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LLM_D\"/>
    </mc:Choice>
  </mc:AlternateContent>
  <xr:revisionPtr revIDLastSave="0" documentId="8_{77728719-F6B2-443F-BCC9-AD1BA9A33399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Exp TA-RPS-2.0_H100_BS-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" i="1" l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43" i="1"/>
  <c r="P42" i="1"/>
  <c r="P41" i="1"/>
  <c r="P40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5" i="1"/>
  <c r="P14" i="1"/>
  <c r="P13" i="1"/>
  <c r="P10" i="1"/>
  <c r="P9" i="1"/>
  <c r="P8" i="1"/>
  <c r="P7" i="1"/>
  <c r="P6" i="1"/>
  <c r="P5" i="1"/>
  <c r="P4" i="1"/>
  <c r="P3" i="1"/>
  <c r="P2" i="1"/>
  <c r="O43" i="1"/>
  <c r="O42" i="1"/>
  <c r="O41" i="1"/>
  <c r="O40" i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P17" i="1" s="1"/>
  <c r="O16" i="1"/>
  <c r="P16" i="1" s="1"/>
  <c r="O15" i="1"/>
  <c r="O14" i="1"/>
  <c r="O13" i="1"/>
  <c r="O12" i="1"/>
  <c r="P12" i="1" s="1"/>
  <c r="O11" i="1"/>
  <c r="P11" i="1" s="1"/>
  <c r="O10" i="1"/>
  <c r="O9" i="1"/>
  <c r="O8" i="1"/>
  <c r="O7" i="1"/>
  <c r="O6" i="1"/>
  <c r="O5" i="1"/>
  <c r="O4" i="1"/>
  <c r="O3" i="1"/>
  <c r="O2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<sst xmlns="http://schemas.openxmlformats.org/spreadsheetml/2006/main" count="18" uniqueCount="18">
  <si>
    <t>In-Tok</t>
  </si>
  <si>
    <t>Out-Tok</t>
  </si>
  <si>
    <t>TTFT</t>
  </si>
  <si>
    <t>Prefill</t>
  </si>
  <si>
    <t>L_TTFT</t>
  </si>
  <si>
    <t>L_P95_TTFT</t>
  </si>
  <si>
    <t>L_P98_TTFT</t>
  </si>
  <si>
    <t>ITL</t>
  </si>
  <si>
    <t>E2E</t>
  </si>
  <si>
    <t>RPS</t>
  </si>
  <si>
    <t>MaxRun</t>
  </si>
  <si>
    <t>Max Kvcache</t>
  </si>
  <si>
    <t>Demand-T</t>
  </si>
  <si>
    <t>Supply</t>
  </si>
  <si>
    <t>Mrate</t>
  </si>
  <si>
    <t>OTS</t>
  </si>
  <si>
    <t>OTS-D</t>
  </si>
  <si>
    <t>S/D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</si>
</sst>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-* #,##0.0_-;\-* #,##0.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43" fontId="0" fillId="0" borderId="0" xfId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zoomScale="80" zoomScaleNormal="80" workbookViewId="0">
      <pane ySplit="1" topLeftCell="A14" activePane="bottomLeft" state="frozen"/>
      <selection pane="bottomLeft" activeCell="Q17" sqref="Q17"/>
    </sheetView>
  </sheetViews>
  <sheetFormatPr defaultRowHeight="14.6" x14ac:dyDescent="0.4"/>
  <cols>
    <col min="1" max="1" width="9.3828125" bestFit="1" customWidth="1"/>
    <col min="2" max="10" width="9.3046875" bestFit="1" customWidth="1"/>
    <col min="12" max="13" width="11.84375" bestFit="1" customWidth="1"/>
    <col min="14" max="14" width="11.765625" customWidth="1"/>
    <col min="15" max="15" width="11.84375" style="5" bestFit="1" customWidth="1"/>
    <col min="16" max="16" width="11.84375" bestFit="1" customWidth="1"/>
    <col min="17" max="17" width="11.84375" style="11" bestFit="1" customWidth="1"/>
    <col min="18" max="19" width="11.84375" bestFit="1" customWidth="1"/>
    <col min="22" max="22" width="11.84375" bestFit="1" customWidth="1"/>
  </cols>
  <sheetData>
    <row r="1" spans="1:19" x14ac:dyDescent="0.4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N1" t="s">
        <v>12</v>
      </c>
      <c r="O1" s="5" t="s">
        <v>13</v>
      </c>
      <c r="P1" t="s">
        <v>14</v>
      </c>
      <c r="Q1" s="11" t="s">
        <v>15</v>
      </c>
      <c r="R1" t="s">
        <v>16</v>
      </c>
      <c r="S1" t="s">
        <v>17</v>
      </c>
    </row>
    <row r="2" spans="1:19" x14ac:dyDescent="0.4">
      <c r="A2" s="3">
        <v>5000</v>
      </c>
      <c r="B2" s="3">
        <v>100</v>
      </c>
      <c r="C2" s="5">
        <v>2</v>
      </c>
      <c r="D2" s="2">
        <v>0.16334598241968359</v>
      </c>
      <c r="E2" s="2">
        <v>0.1465034356345746</v>
      </c>
      <c r="F2" s="2">
        <v>0.66451216245952405</v>
      </c>
      <c r="G2" s="2">
        <v>0.87072707414627037</v>
      </c>
      <c r="H2" s="2">
        <v>0.93947105407714837</v>
      </c>
      <c r="I2" s="2">
        <v>9.9829809746825818E-3</v>
      </c>
      <c r="J2" s="2">
        <v>1.1514244602325761</v>
      </c>
      <c r="K2" s="3">
        <v>7</v>
      </c>
      <c r="L2" s="1">
        <v>0.09</v>
      </c>
      <c r="N2">
        <f>(A2+B2)*C2</f>
        <v>10200</v>
      </c>
      <c r="O2" s="5">
        <f>K2*(A2+B2/2)/L2</f>
        <v>392777.77777777781</v>
      </c>
      <c r="P2" s="11">
        <f>O2/(I2*B2+E2)</f>
        <v>343096.83069099823</v>
      </c>
      <c r="Q2" s="11">
        <f>K2/I2</f>
        <v>701.19336275932062</v>
      </c>
      <c r="R2">
        <f>B2*C2</f>
        <v>200</v>
      </c>
      <c r="S2" s="10">
        <f>O2/N2</f>
        <v>38.507625272331161</v>
      </c>
    </row>
    <row r="3" spans="1:19" x14ac:dyDescent="0.4">
      <c r="A3" s="3">
        <v>5000</v>
      </c>
      <c r="B3" s="3">
        <v>200</v>
      </c>
      <c r="C3" s="5">
        <v>2</v>
      </c>
      <c r="D3" s="2">
        <v>0.16535714735467749</v>
      </c>
      <c r="E3" s="2">
        <v>0.1434511897840097</v>
      </c>
      <c r="F3" s="2">
        <v>0.67089420341583617</v>
      </c>
      <c r="G3" s="2">
        <v>0.83613622188568115</v>
      </c>
      <c r="H3" s="2">
        <v>0.87835173606872552</v>
      </c>
      <c r="I3" s="2">
        <v>9.8254252809248325E-3</v>
      </c>
      <c r="J3" s="2">
        <v>2.071988723949044</v>
      </c>
      <c r="K3" s="3">
        <v>10</v>
      </c>
      <c r="L3" s="1">
        <v>0.13</v>
      </c>
      <c r="N3">
        <f t="shared" ref="N3:N43" si="0">(A3+B3)*C3</f>
        <v>10400</v>
      </c>
      <c r="O3" s="5">
        <f t="shared" ref="O3:O43" si="1">K3*(A3+B3/2)/L3</f>
        <v>392307.69230769231</v>
      </c>
      <c r="P3" s="11">
        <f t="shared" ref="P3:P43" si="2">O3/(I3*B3+E3)</f>
        <v>186056.8880699547</v>
      </c>
      <c r="Q3" s="11">
        <f t="shared" ref="Q3:Q43" si="3">K3/I3</f>
        <v>1017.7676501610662</v>
      </c>
      <c r="R3">
        <f t="shared" ref="R3:R43" si="4">B3*C3</f>
        <v>400</v>
      </c>
      <c r="S3" s="10">
        <f t="shared" ref="S3:S43" si="5">O3/N3</f>
        <v>37.721893491124263</v>
      </c>
    </row>
    <row r="4" spans="1:19" x14ac:dyDescent="0.4">
      <c r="A4" s="3">
        <v>5000</v>
      </c>
      <c r="B4" s="3">
        <v>300</v>
      </c>
      <c r="C4" s="5">
        <v>2</v>
      </c>
      <c r="D4" s="2">
        <v>0.1734898172172846</v>
      </c>
      <c r="E4" s="2">
        <v>0.1558104641950474</v>
      </c>
      <c r="F4" s="2">
        <v>0.6629250435268178</v>
      </c>
      <c r="G4" s="2">
        <v>0.82715935707092281</v>
      </c>
      <c r="H4" s="2">
        <v>0.85363088130950926</v>
      </c>
      <c r="I4" s="2">
        <v>1.228641102710157E-2</v>
      </c>
      <c r="J4" s="2">
        <v>3.7590309057480251</v>
      </c>
      <c r="K4" s="3">
        <v>18</v>
      </c>
      <c r="L4" s="1">
        <v>0.25</v>
      </c>
      <c r="N4">
        <f t="shared" si="0"/>
        <v>10600</v>
      </c>
      <c r="O4" s="5">
        <f t="shared" si="1"/>
        <v>370800</v>
      </c>
      <c r="P4" s="11">
        <f t="shared" si="2"/>
        <v>96518.921397185593</v>
      </c>
      <c r="Q4" s="11">
        <f t="shared" si="3"/>
        <v>1465.0331948276271</v>
      </c>
      <c r="R4">
        <f t="shared" si="4"/>
        <v>600</v>
      </c>
      <c r="S4" s="10">
        <f t="shared" si="5"/>
        <v>34.981132075471699</v>
      </c>
    </row>
    <row r="5" spans="1:19" x14ac:dyDescent="0.4">
      <c r="A5">
        <v>5000</v>
      </c>
      <c r="B5">
        <v>400</v>
      </c>
      <c r="C5" s="6">
        <v>2</v>
      </c>
      <c r="D5" s="2">
        <v>0.16886123310435899</v>
      </c>
      <c r="E5" s="2">
        <v>0.1485272813331267</v>
      </c>
      <c r="F5" s="2">
        <v>1.498758717739221</v>
      </c>
      <c r="G5" s="2">
        <v>6.5913292407989488</v>
      </c>
      <c r="H5" s="2">
        <v>8.7489422130584718</v>
      </c>
      <c r="I5" s="2">
        <v>1.1901900048037879E-2</v>
      </c>
      <c r="J5" s="2">
        <v>4.9361597672561928</v>
      </c>
      <c r="K5" s="3">
        <v>16</v>
      </c>
      <c r="L5" s="1">
        <v>0.22</v>
      </c>
      <c r="N5">
        <f t="shared" si="0"/>
        <v>10800</v>
      </c>
      <c r="O5" s="5">
        <f t="shared" si="1"/>
        <v>378181.81818181818</v>
      </c>
      <c r="P5" s="11">
        <f t="shared" si="2"/>
        <v>77033.955242257289</v>
      </c>
      <c r="Q5" s="11">
        <f t="shared" si="3"/>
        <v>1344.3231698654472</v>
      </c>
      <c r="R5">
        <f t="shared" si="4"/>
        <v>800</v>
      </c>
      <c r="S5" s="10">
        <f t="shared" si="5"/>
        <v>35.016835016835017</v>
      </c>
    </row>
    <row r="6" spans="1:19" x14ac:dyDescent="0.4">
      <c r="A6">
        <v>5000</v>
      </c>
      <c r="B6">
        <v>500</v>
      </c>
      <c r="C6" s="6">
        <v>2</v>
      </c>
      <c r="D6" s="2">
        <v>0.16729098434249559</v>
      </c>
      <c r="E6" s="2">
        <v>0.151115971521388</v>
      </c>
      <c r="F6" s="2">
        <v>0.80344605197509134</v>
      </c>
      <c r="G6" s="2">
        <v>1.331101942062378</v>
      </c>
      <c r="H6" s="2">
        <v>1.518526649475098</v>
      </c>
      <c r="I6" s="2">
        <v>1.4135726063049589E-2</v>
      </c>
      <c r="J6" s="2">
        <v>7.1822248095089627</v>
      </c>
      <c r="K6" s="3">
        <v>25</v>
      </c>
      <c r="L6" s="1">
        <v>0.35</v>
      </c>
      <c r="N6">
        <f t="shared" si="0"/>
        <v>11000</v>
      </c>
      <c r="O6" s="5">
        <f t="shared" si="1"/>
        <v>375000</v>
      </c>
      <c r="P6" s="11">
        <f t="shared" si="2"/>
        <v>51946.404033279745</v>
      </c>
      <c r="Q6" s="11">
        <f t="shared" si="3"/>
        <v>1768.5685113373365</v>
      </c>
      <c r="R6">
        <f t="shared" si="4"/>
        <v>1000</v>
      </c>
      <c r="S6" s="10">
        <f t="shared" si="5"/>
        <v>34.090909090909093</v>
      </c>
    </row>
    <row r="7" spans="1:19" x14ac:dyDescent="0.4">
      <c r="A7">
        <v>5000</v>
      </c>
      <c r="B7">
        <v>600</v>
      </c>
      <c r="C7" s="6">
        <v>2</v>
      </c>
      <c r="D7" s="2">
        <v>0.17645781554959039</v>
      </c>
      <c r="E7" s="2">
        <v>0.15524205285454951</v>
      </c>
      <c r="F7" s="2">
        <v>0.80732801421122113</v>
      </c>
      <c r="G7" s="2">
        <v>1.1666440963745119</v>
      </c>
      <c r="H7" s="2">
        <v>1.205751895904541</v>
      </c>
      <c r="I7" s="2">
        <v>1.448460554973292E-2</v>
      </c>
      <c r="J7" s="2">
        <v>8.792175782111384</v>
      </c>
      <c r="K7" s="3">
        <v>26</v>
      </c>
      <c r="L7" s="1">
        <v>0.36</v>
      </c>
      <c r="N7">
        <f t="shared" si="0"/>
        <v>11200</v>
      </c>
      <c r="O7" s="5">
        <f t="shared" si="1"/>
        <v>382777.77777777781</v>
      </c>
      <c r="P7" s="11">
        <f t="shared" si="2"/>
        <v>43271.25761494755</v>
      </c>
      <c r="Q7" s="11">
        <f t="shared" si="3"/>
        <v>1795.0091848016814</v>
      </c>
      <c r="R7">
        <f t="shared" si="4"/>
        <v>1200</v>
      </c>
      <c r="S7" s="10">
        <f t="shared" si="5"/>
        <v>34.176587301587304</v>
      </c>
    </row>
    <row r="8" spans="1:19" x14ac:dyDescent="0.4">
      <c r="A8">
        <v>5000</v>
      </c>
      <c r="B8">
        <v>700</v>
      </c>
      <c r="C8" s="6">
        <v>2</v>
      </c>
      <c r="D8" s="2">
        <v>0.17247064908345541</v>
      </c>
      <c r="E8" s="2">
        <v>0.15533223149287409</v>
      </c>
      <c r="F8" s="2">
        <v>1.234342398908403</v>
      </c>
      <c r="G8" s="2">
        <v>3.623356306552886</v>
      </c>
      <c r="H8" s="2">
        <v>3.8002678251266468</v>
      </c>
      <c r="I8" s="2">
        <v>1.573413716904274E-2</v>
      </c>
      <c r="J8" s="2">
        <v>11.089835074353729</v>
      </c>
      <c r="K8" s="3">
        <v>45</v>
      </c>
      <c r="L8" s="1">
        <v>0.6</v>
      </c>
      <c r="N8">
        <f t="shared" si="0"/>
        <v>11400</v>
      </c>
      <c r="O8" s="5">
        <f t="shared" si="1"/>
        <v>401250</v>
      </c>
      <c r="P8" s="11">
        <f t="shared" si="2"/>
        <v>35924.594880256489</v>
      </c>
      <c r="Q8" s="11">
        <f t="shared" si="3"/>
        <v>2860.0233693486853</v>
      </c>
      <c r="R8">
        <f t="shared" si="4"/>
        <v>1400</v>
      </c>
      <c r="S8" s="10">
        <f t="shared" si="5"/>
        <v>35.19736842105263</v>
      </c>
    </row>
    <row r="9" spans="1:19" x14ac:dyDescent="0.4">
      <c r="A9">
        <v>5000</v>
      </c>
      <c r="B9">
        <v>800</v>
      </c>
      <c r="C9" s="6">
        <v>2</v>
      </c>
      <c r="D9" s="2">
        <v>0.2479852624022203</v>
      </c>
      <c r="E9" s="2">
        <v>0.1494832323998018</v>
      </c>
      <c r="F9" s="2">
        <v>2.1121992637656328</v>
      </c>
      <c r="G9" s="2">
        <v>8.6066964626312252</v>
      </c>
      <c r="H9" s="2">
        <v>9.4641965103149417</v>
      </c>
      <c r="I9" s="2">
        <v>1.6193825297597081E-2</v>
      </c>
      <c r="J9" s="2">
        <v>12.53055965510848</v>
      </c>
      <c r="K9" s="3">
        <v>45</v>
      </c>
      <c r="L9" s="1">
        <v>0.6</v>
      </c>
      <c r="N9">
        <f t="shared" si="0"/>
        <v>11600</v>
      </c>
      <c r="O9" s="5">
        <f t="shared" si="1"/>
        <v>405000</v>
      </c>
      <c r="P9" s="11">
        <f t="shared" si="2"/>
        <v>30905.311651062329</v>
      </c>
      <c r="Q9" s="11">
        <f t="shared" si="3"/>
        <v>2778.836943898445</v>
      </c>
      <c r="R9">
        <f t="shared" si="4"/>
        <v>1600</v>
      </c>
      <c r="S9" s="10">
        <f t="shared" si="5"/>
        <v>34.913793103448278</v>
      </c>
    </row>
    <row r="10" spans="1:19" x14ac:dyDescent="0.4">
      <c r="A10">
        <v>5000</v>
      </c>
      <c r="B10">
        <v>900</v>
      </c>
      <c r="C10" s="6">
        <v>2</v>
      </c>
      <c r="D10" s="2">
        <v>0.18231788819486441</v>
      </c>
      <c r="E10" s="2">
        <v>0.2135153143876232</v>
      </c>
      <c r="F10" s="2">
        <v>0.83448824015530676</v>
      </c>
      <c r="G10" s="2">
        <v>1.2127751708030701</v>
      </c>
      <c r="H10" s="2">
        <v>1.540804386138916</v>
      </c>
      <c r="I10" s="2">
        <v>1.849901183766069E-2</v>
      </c>
      <c r="J10" s="2">
        <v>16.76209940314293</v>
      </c>
      <c r="K10" s="3">
        <v>45</v>
      </c>
      <c r="L10" s="1">
        <v>0.6</v>
      </c>
      <c r="N10">
        <f t="shared" si="0"/>
        <v>11800</v>
      </c>
      <c r="O10" s="5">
        <f t="shared" si="1"/>
        <v>408750</v>
      </c>
      <c r="P10" s="11">
        <f t="shared" si="2"/>
        <v>24239.996829013362</v>
      </c>
      <c r="Q10" s="11">
        <f t="shared" si="3"/>
        <v>2432.5623657577225</v>
      </c>
      <c r="R10">
        <f t="shared" si="4"/>
        <v>1800</v>
      </c>
      <c r="S10" s="10">
        <f t="shared" si="5"/>
        <v>34.639830508474574</v>
      </c>
    </row>
    <row r="11" spans="1:19" x14ac:dyDescent="0.4">
      <c r="A11">
        <v>5000</v>
      </c>
      <c r="B11">
        <v>1000</v>
      </c>
      <c r="C11" s="6">
        <v>2</v>
      </c>
      <c r="D11" s="2">
        <v>0.18603796308690851</v>
      </c>
      <c r="E11" s="2">
        <v>0.16393227721206269</v>
      </c>
      <c r="F11" s="2">
        <v>0.83768731355667114</v>
      </c>
      <c r="G11" s="2">
        <v>1.317337572574615</v>
      </c>
      <c r="H11" s="2">
        <v>1.499076247215271</v>
      </c>
      <c r="I11" s="2">
        <v>1.9410592099481368E-2</v>
      </c>
      <c r="J11" s="2">
        <v>19.400106277691538</v>
      </c>
      <c r="K11" s="3">
        <v>51</v>
      </c>
      <c r="L11" s="1">
        <v>0.7</v>
      </c>
      <c r="N11">
        <f t="shared" si="0"/>
        <v>12000</v>
      </c>
      <c r="O11" s="5">
        <f t="shared" si="1"/>
        <v>400714.28571428574</v>
      </c>
      <c r="P11" s="11">
        <f t="shared" si="2"/>
        <v>20471.21442150592</v>
      </c>
      <c r="Q11" s="11">
        <f t="shared" si="3"/>
        <v>2627.4314425144544</v>
      </c>
      <c r="R11">
        <f t="shared" si="4"/>
        <v>2000</v>
      </c>
      <c r="S11" s="10">
        <f t="shared" si="5"/>
        <v>33.392857142857146</v>
      </c>
    </row>
    <row r="12" spans="1:19" x14ac:dyDescent="0.4">
      <c r="A12">
        <v>5000</v>
      </c>
      <c r="B12">
        <v>1100</v>
      </c>
      <c r="C12" s="6">
        <v>2</v>
      </c>
      <c r="D12" s="2">
        <v>0.18871087178416629</v>
      </c>
      <c r="E12" s="2">
        <v>0.17227256314634731</v>
      </c>
      <c r="F12" s="2">
        <v>1.0422119381784021</v>
      </c>
      <c r="G12" s="2">
        <v>2.1915854573249818</v>
      </c>
      <c r="H12" s="2">
        <v>2.2993398094177242</v>
      </c>
      <c r="I12" s="2">
        <v>2.055362442554047E-2</v>
      </c>
      <c r="J12" s="2">
        <v>23.15874120647922</v>
      </c>
      <c r="K12" s="3">
        <v>50</v>
      </c>
      <c r="L12" s="1">
        <v>0.7</v>
      </c>
      <c r="N12">
        <f t="shared" si="0"/>
        <v>12200</v>
      </c>
      <c r="O12" s="5">
        <f t="shared" si="1"/>
        <v>396428.57142857148</v>
      </c>
      <c r="P12" s="11">
        <f t="shared" si="2"/>
        <v>17401.521308560004</v>
      </c>
      <c r="Q12" s="11">
        <f t="shared" si="3"/>
        <v>2432.660973305939</v>
      </c>
      <c r="R12">
        <f t="shared" si="4"/>
        <v>2200</v>
      </c>
      <c r="S12" s="10">
        <f t="shared" si="5"/>
        <v>32.494145199063233</v>
      </c>
    </row>
    <row r="13" spans="1:19" x14ac:dyDescent="0.4">
      <c r="A13">
        <v>5000</v>
      </c>
      <c r="B13">
        <v>1200</v>
      </c>
      <c r="C13" s="6">
        <v>2</v>
      </c>
      <c r="D13" s="2">
        <v>0.218708463405308</v>
      </c>
      <c r="E13" s="2">
        <v>0.1901926715145725</v>
      </c>
      <c r="F13" s="2">
        <v>1.6607379772161179</v>
      </c>
      <c r="G13" s="2">
        <v>7.8401595950126524</v>
      </c>
      <c r="H13" s="2">
        <v>9.194607477188109</v>
      </c>
      <c r="I13" s="2">
        <v>2.0180975167515571E-2</v>
      </c>
      <c r="J13" s="2">
        <v>24.183715385078589</v>
      </c>
      <c r="K13" s="3">
        <v>58</v>
      </c>
      <c r="L13" s="1">
        <v>0.8</v>
      </c>
      <c r="N13">
        <f t="shared" si="0"/>
        <v>12400</v>
      </c>
      <c r="O13" s="5">
        <f t="shared" si="1"/>
        <v>406000</v>
      </c>
      <c r="P13" s="11">
        <f t="shared" si="2"/>
        <v>16634.324737183742</v>
      </c>
      <c r="Q13" s="11">
        <f t="shared" si="3"/>
        <v>2873.9939234135745</v>
      </c>
      <c r="R13">
        <f t="shared" si="4"/>
        <v>2400</v>
      </c>
      <c r="S13" s="10">
        <f t="shared" si="5"/>
        <v>32.741935483870968</v>
      </c>
    </row>
    <row r="14" spans="1:19" x14ac:dyDescent="0.4">
      <c r="A14">
        <v>5000</v>
      </c>
      <c r="B14">
        <v>1300</v>
      </c>
      <c r="C14" s="6">
        <v>2</v>
      </c>
      <c r="D14" s="2">
        <v>0.18430006124411419</v>
      </c>
      <c r="E14" s="2">
        <v>0.16308560406186559</v>
      </c>
      <c r="F14" s="2">
        <v>1.08649098493491</v>
      </c>
      <c r="G14" s="2">
        <v>2.900023984909057</v>
      </c>
      <c r="H14" s="2">
        <v>3.6228846645355222</v>
      </c>
      <c r="I14" s="2">
        <v>2.1338710104686961E-2</v>
      </c>
      <c r="J14" s="2">
        <v>27.416177765060869</v>
      </c>
      <c r="K14" s="3">
        <v>58</v>
      </c>
      <c r="L14" s="1">
        <v>0.81</v>
      </c>
      <c r="N14">
        <f t="shared" si="0"/>
        <v>12600</v>
      </c>
      <c r="O14" s="5">
        <f t="shared" si="1"/>
        <v>404567.90123456786</v>
      </c>
      <c r="P14" s="11">
        <f t="shared" si="2"/>
        <v>14498.870191883294</v>
      </c>
      <c r="Q14" s="11">
        <f t="shared" si="3"/>
        <v>2718.0649493551409</v>
      </c>
      <c r="R14">
        <f t="shared" si="4"/>
        <v>2600</v>
      </c>
      <c r="S14" s="10">
        <f t="shared" si="5"/>
        <v>32.108563590045065</v>
      </c>
    </row>
    <row r="15" spans="1:19" x14ac:dyDescent="0.4">
      <c r="A15">
        <v>5000</v>
      </c>
      <c r="B15">
        <v>1400</v>
      </c>
      <c r="C15" s="6">
        <v>2</v>
      </c>
      <c r="D15" s="2">
        <v>0.45963293459357291</v>
      </c>
      <c r="E15" s="2">
        <v>0.17693960692562999</v>
      </c>
      <c r="F15" s="2">
        <v>1.8302002403794271</v>
      </c>
      <c r="G15" s="2">
        <v>6.192794299125671</v>
      </c>
      <c r="H15" s="2">
        <v>6.5221494913101186</v>
      </c>
      <c r="I15" s="2">
        <v>2.4542523392335949E-2</v>
      </c>
      <c r="J15" s="2">
        <v>35.468746495918488</v>
      </c>
      <c r="K15" s="3">
        <v>67</v>
      </c>
      <c r="L15" s="1">
        <v>0.98</v>
      </c>
      <c r="N15">
        <f t="shared" si="0"/>
        <v>12800</v>
      </c>
      <c r="O15" s="5">
        <f t="shared" si="1"/>
        <v>389693.87755102041</v>
      </c>
      <c r="P15" s="11">
        <f t="shared" si="2"/>
        <v>11283.546088085282</v>
      </c>
      <c r="Q15" s="11">
        <f t="shared" si="3"/>
        <v>2729.9556336950473</v>
      </c>
      <c r="R15">
        <f t="shared" si="4"/>
        <v>2800</v>
      </c>
      <c r="S15" s="10">
        <f t="shared" si="5"/>
        <v>30.444834183673471</v>
      </c>
    </row>
    <row r="16" spans="1:19" x14ac:dyDescent="0.4">
      <c r="A16">
        <v>5000</v>
      </c>
      <c r="B16">
        <v>1500</v>
      </c>
      <c r="C16" s="6">
        <v>2</v>
      </c>
      <c r="D16" s="2">
        <v>3.6726982428159332</v>
      </c>
      <c r="E16" s="2">
        <v>0.19873296607395891</v>
      </c>
      <c r="F16" s="2">
        <v>3.183229516659464</v>
      </c>
      <c r="G16" s="2">
        <v>9.3905452370643605</v>
      </c>
      <c r="H16" s="2">
        <v>9.5474681901931771</v>
      </c>
      <c r="I16" s="2">
        <v>2.644625910670528E-2</v>
      </c>
      <c r="J16" s="2">
        <v>41.545647575009262</v>
      </c>
      <c r="K16" s="3">
        <v>69</v>
      </c>
      <c r="L16" s="1">
        <v>1</v>
      </c>
      <c r="N16">
        <f t="shared" si="0"/>
        <v>13000</v>
      </c>
      <c r="O16" s="5">
        <f t="shared" si="1"/>
        <v>396750</v>
      </c>
      <c r="P16" s="11">
        <f t="shared" si="2"/>
        <v>9951.5598883882958</v>
      </c>
      <c r="Q16" s="11">
        <f t="shared" si="3"/>
        <v>2609.0646590732936</v>
      </c>
      <c r="R16">
        <f t="shared" si="4"/>
        <v>3000</v>
      </c>
      <c r="S16" s="10">
        <f t="shared" si="5"/>
        <v>30.51923076923077</v>
      </c>
    </row>
    <row r="17" spans="1:19" x14ac:dyDescent="0.4">
      <c r="A17">
        <v>5000</v>
      </c>
      <c r="B17">
        <v>1600</v>
      </c>
      <c r="C17" s="6">
        <v>2</v>
      </c>
      <c r="D17" s="2">
        <v>5.9322439368659916</v>
      </c>
      <c r="E17" s="2">
        <v>0.19680763871752119</v>
      </c>
      <c r="F17" s="2">
        <v>4.7591740351456862</v>
      </c>
      <c r="G17" s="2">
        <v>16.467653274536129</v>
      </c>
      <c r="H17" s="2">
        <v>16.865968370437621</v>
      </c>
      <c r="I17" s="2">
        <v>2.591236759530112E-2</v>
      </c>
      <c r="J17" s="2">
        <v>47.365863351096877</v>
      </c>
      <c r="K17" s="3">
        <v>68</v>
      </c>
      <c r="L17" s="1">
        <v>1</v>
      </c>
      <c r="N17">
        <f t="shared" si="0"/>
        <v>13200</v>
      </c>
      <c r="O17" s="5">
        <f t="shared" si="1"/>
        <v>394400</v>
      </c>
      <c r="P17" s="11">
        <f t="shared" si="2"/>
        <v>9467.8883981999297</v>
      </c>
      <c r="Q17" s="11">
        <f t="shared" si="3"/>
        <v>2624.2295208999326</v>
      </c>
      <c r="R17">
        <f t="shared" si="4"/>
        <v>3200</v>
      </c>
      <c r="S17" s="10">
        <f t="shared" si="5"/>
        <v>29.878787878787879</v>
      </c>
    </row>
    <row r="18" spans="1:19" s="7" customFormat="1" x14ac:dyDescent="0.4">
      <c r="A18" s="7">
        <v>5000</v>
      </c>
      <c r="B18" s="7">
        <v>1700</v>
      </c>
      <c r="C18" s="8">
        <v>2</v>
      </c>
      <c r="D18" s="9">
        <v>0.64329711316337046</v>
      </c>
      <c r="E18" s="9">
        <v>0.17566862946098791</v>
      </c>
      <c r="F18" s="9">
        <v>1.3550426504994171</v>
      </c>
      <c r="G18" s="9">
        <v>5.0254993438720703</v>
      </c>
      <c r="H18" s="9">
        <v>5.5362988471984842</v>
      </c>
      <c r="I18" s="9">
        <v>2.3032621332617159E-2</v>
      </c>
      <c r="J18" s="9">
        <v>40.292160592180608</v>
      </c>
      <c r="K18" s="7">
        <v>66</v>
      </c>
      <c r="L18" s="7">
        <v>0.98</v>
      </c>
      <c r="N18">
        <f t="shared" si="0"/>
        <v>13400</v>
      </c>
      <c r="O18" s="5">
        <f t="shared" si="1"/>
        <v>393979.59183673467</v>
      </c>
      <c r="P18" s="11">
        <f t="shared" si="2"/>
        <v>10016.992722415616</v>
      </c>
      <c r="Q18" s="11">
        <f t="shared" si="3"/>
        <v>2865.501023391354</v>
      </c>
      <c r="R18">
        <f t="shared" si="4"/>
        <v>3400</v>
      </c>
      <c r="S18" s="10">
        <f t="shared" si="5"/>
        <v>29.401462077368258</v>
      </c>
    </row>
    <row r="19" spans="1:19" s="7" customFormat="1" x14ac:dyDescent="0.4">
      <c r="A19" s="7">
        <v>5000</v>
      </c>
      <c r="B19" s="7">
        <v>1800</v>
      </c>
      <c r="C19" s="8">
        <v>2</v>
      </c>
      <c r="D19" s="9">
        <v>2.2169775780704288</v>
      </c>
      <c r="E19" s="9">
        <v>0.18100366326454551</v>
      </c>
      <c r="F19" s="9">
        <v>1.55260352725568</v>
      </c>
      <c r="G19" s="9">
        <v>3.4582356929779081</v>
      </c>
      <c r="H19" s="9">
        <v>9.6533715534210032</v>
      </c>
      <c r="I19" s="9">
        <v>2.4171515558535368E-2</v>
      </c>
      <c r="J19" s="9">
        <v>45.020570245481309</v>
      </c>
      <c r="K19" s="7">
        <v>68</v>
      </c>
      <c r="L19" s="7">
        <v>1</v>
      </c>
      <c r="N19">
        <f t="shared" si="0"/>
        <v>13600</v>
      </c>
      <c r="O19" s="5">
        <f t="shared" si="1"/>
        <v>401200</v>
      </c>
      <c r="P19" s="11">
        <f t="shared" si="2"/>
        <v>9182.9357763734006</v>
      </c>
      <c r="Q19" s="11">
        <f t="shared" si="3"/>
        <v>2813.2286465582442</v>
      </c>
      <c r="R19">
        <f t="shared" si="4"/>
        <v>3600</v>
      </c>
      <c r="S19" s="10">
        <f t="shared" si="5"/>
        <v>29.5</v>
      </c>
    </row>
    <row r="20" spans="1:19" s="7" customFormat="1" x14ac:dyDescent="0.4">
      <c r="A20" s="7">
        <v>5000</v>
      </c>
      <c r="B20" s="7">
        <v>1700</v>
      </c>
      <c r="C20" s="8">
        <v>2</v>
      </c>
      <c r="D20" s="9">
        <v>3.124506190617879</v>
      </c>
      <c r="E20" s="9">
        <v>0.1985952547688816</v>
      </c>
      <c r="F20" s="9">
        <v>1.8803451129368369</v>
      </c>
      <c r="G20" s="9">
        <v>8.3354482650756836</v>
      </c>
      <c r="H20" s="9">
        <v>9.25648892402649</v>
      </c>
      <c r="I20" s="9">
        <v>2.4522623232745878E-2</v>
      </c>
      <c r="J20" s="9">
        <v>45.070484529680279</v>
      </c>
      <c r="K20" s="7">
        <v>68</v>
      </c>
      <c r="L20" s="7">
        <v>1</v>
      </c>
      <c r="N20">
        <f t="shared" si="0"/>
        <v>13400</v>
      </c>
      <c r="O20" s="5">
        <f t="shared" si="1"/>
        <v>397800</v>
      </c>
      <c r="P20" s="11">
        <f t="shared" si="2"/>
        <v>9496.9675564465651</v>
      </c>
      <c r="Q20" s="11">
        <f t="shared" si="3"/>
        <v>2772.9496699683141</v>
      </c>
      <c r="R20">
        <f t="shared" si="4"/>
        <v>3400</v>
      </c>
      <c r="S20" s="10">
        <f t="shared" si="5"/>
        <v>29.686567164179106</v>
      </c>
    </row>
    <row r="21" spans="1:19" s="7" customFormat="1" x14ac:dyDescent="0.4">
      <c r="A21" s="7">
        <v>5000</v>
      </c>
      <c r="B21" s="7">
        <v>1800</v>
      </c>
      <c r="C21" s="8">
        <v>2</v>
      </c>
      <c r="D21" s="9">
        <v>1.5056451912583979</v>
      </c>
      <c r="E21" s="9">
        <v>0.20272581337413151</v>
      </c>
      <c r="F21" s="9">
        <v>0.90734821177543479</v>
      </c>
      <c r="G21" s="9">
        <v>3.147422993183135</v>
      </c>
      <c r="H21" s="9">
        <v>4.0176717901229857</v>
      </c>
      <c r="I21" s="9">
        <v>2.3674877031626289E-2</v>
      </c>
      <c r="J21" s="9">
        <v>43.920676061085302</v>
      </c>
      <c r="K21" s="7">
        <v>67</v>
      </c>
      <c r="L21" s="7">
        <v>0.98</v>
      </c>
      <c r="N21">
        <f t="shared" si="0"/>
        <v>13600</v>
      </c>
      <c r="O21" s="5">
        <f t="shared" si="1"/>
        <v>403367.3469387755</v>
      </c>
      <c r="P21" s="11">
        <f t="shared" si="2"/>
        <v>9420.6178507800287</v>
      </c>
      <c r="Q21" s="11">
        <f t="shared" si="3"/>
        <v>2830.0041394300579</v>
      </c>
      <c r="R21">
        <f t="shared" si="4"/>
        <v>3600</v>
      </c>
      <c r="S21" s="10">
        <f t="shared" si="5"/>
        <v>29.659363745498197</v>
      </c>
    </row>
    <row r="22" spans="1:19" x14ac:dyDescent="0.4">
      <c r="C22" s="6"/>
      <c r="D22" s="2"/>
      <c r="E22" s="2"/>
      <c r="F22" s="2"/>
      <c r="G22" s="2"/>
      <c r="H22" s="2"/>
      <c r="I22" s="2"/>
      <c r="J22" s="2"/>
      <c r="K22" s="4"/>
      <c r="L22" s="4"/>
      <c r="N22">
        <f t="shared" si="0"/>
        <v>0</v>
      </c>
      <c r="O22" s="5" t="e">
        <f t="shared" si="1"/>
        <v>#DIV/0!</v>
      </c>
      <c r="P22" s="11" t="e">
        <f t="shared" si="2"/>
        <v>#DIV/0!</v>
      </c>
      <c r="Q22" s="11" t="e">
        <f t="shared" si="3"/>
        <v>#DIV/0!</v>
      </c>
      <c r="R22">
        <f t="shared" si="4"/>
        <v>0</v>
      </c>
      <c r="S22" s="10" t="e">
        <f t="shared" si="5"/>
        <v>#DIV/0!</v>
      </c>
    </row>
    <row r="23" spans="1:19" x14ac:dyDescent="0.4">
      <c r="A23" s="3"/>
      <c r="B23" s="3"/>
      <c r="C23" s="5"/>
      <c r="D23" s="2"/>
      <c r="E23" s="2"/>
      <c r="F23" s="2"/>
      <c r="G23" s="2"/>
      <c r="H23" s="2"/>
      <c r="I23" s="2"/>
      <c r="J23" s="2"/>
      <c r="K23" s="3"/>
      <c r="L23" s="1"/>
      <c r="N23">
        <f t="shared" si="0"/>
        <v>0</v>
      </c>
      <c r="O23" s="5" t="e">
        <f t="shared" si="1"/>
        <v>#DIV/0!</v>
      </c>
      <c r="P23" s="11" t="e">
        <f t="shared" si="2"/>
        <v>#DIV/0!</v>
      </c>
      <c r="Q23" s="11" t="e">
        <f t="shared" si="3"/>
        <v>#DIV/0!</v>
      </c>
      <c r="R23">
        <f t="shared" si="4"/>
        <v>0</v>
      </c>
      <c r="S23" s="10" t="e">
        <f t="shared" si="5"/>
        <v>#DIV/0!</v>
      </c>
    </row>
    <row r="24" spans="1:19" x14ac:dyDescent="0.4">
      <c r="A24" s="3">
        <v>1000</v>
      </c>
      <c r="B24" s="3">
        <v>300</v>
      </c>
      <c r="C24" s="5">
        <v>2</v>
      </c>
      <c r="D24" s="2">
        <v>3.7131818917279687E-2</v>
      </c>
      <c r="E24" s="2">
        <v>3.2261350356783333E-2</v>
      </c>
      <c r="F24" s="2">
        <v>0.51557046935913409</v>
      </c>
      <c r="G24" s="2">
        <v>0.66023570299148571</v>
      </c>
      <c r="H24" s="2">
        <v>0.68712345123290985</v>
      </c>
      <c r="I24" s="2">
        <v>6.7543592431371438E-3</v>
      </c>
      <c r="J24" s="2">
        <v>2.0521420154782288</v>
      </c>
      <c r="K24" s="3">
        <v>6</v>
      </c>
      <c r="L24" s="1">
        <v>0.02</v>
      </c>
      <c r="N24">
        <f t="shared" si="0"/>
        <v>2600</v>
      </c>
      <c r="O24" s="5">
        <f t="shared" si="1"/>
        <v>345000</v>
      </c>
      <c r="P24" s="11">
        <f t="shared" si="2"/>
        <v>167592.13771131157</v>
      </c>
      <c r="Q24" s="11">
        <f t="shared" si="3"/>
        <v>888.31520267394421</v>
      </c>
      <c r="R24">
        <f t="shared" si="4"/>
        <v>600</v>
      </c>
      <c r="S24" s="10">
        <f t="shared" si="5"/>
        <v>132.69230769230768</v>
      </c>
    </row>
    <row r="25" spans="1:19" x14ac:dyDescent="0.4">
      <c r="A25" s="3">
        <v>3000</v>
      </c>
      <c r="B25" s="3">
        <v>300</v>
      </c>
      <c r="C25" s="5">
        <v>2</v>
      </c>
      <c r="D25" s="2">
        <v>9.2678348854105308E-2</v>
      </c>
      <c r="E25" s="2">
        <v>8.267410832310193E-2</v>
      </c>
      <c r="F25" s="2">
        <v>0.57765116942556283</v>
      </c>
      <c r="G25" s="2">
        <v>0.70570037364959715</v>
      </c>
      <c r="H25" s="2">
        <v>0.74266746520996096</v>
      </c>
      <c r="I25" s="2">
        <v>8.3587587090588784E-3</v>
      </c>
      <c r="J25" s="2">
        <v>2.5495263676894342</v>
      </c>
      <c r="K25" s="3">
        <v>11</v>
      </c>
      <c r="L25" s="1">
        <v>0.09</v>
      </c>
      <c r="N25">
        <f t="shared" si="0"/>
        <v>6600</v>
      </c>
      <c r="O25" s="5">
        <f t="shared" si="1"/>
        <v>385000</v>
      </c>
      <c r="P25" s="11">
        <f t="shared" si="2"/>
        <v>148631.33389932261</v>
      </c>
      <c r="Q25" s="11">
        <f t="shared" si="3"/>
        <v>1315.9848708252164</v>
      </c>
      <c r="R25">
        <f t="shared" si="4"/>
        <v>600</v>
      </c>
      <c r="S25" s="10">
        <f t="shared" si="5"/>
        <v>58.333333333333336</v>
      </c>
    </row>
    <row r="26" spans="1:19" x14ac:dyDescent="0.4">
      <c r="A26" s="3">
        <v>5000</v>
      </c>
      <c r="B26" s="3">
        <v>300</v>
      </c>
      <c r="C26" s="5">
        <v>2</v>
      </c>
      <c r="D26" s="2">
        <v>0.1693189047314794</v>
      </c>
      <c r="E26" s="2">
        <v>0.1519350947536604</v>
      </c>
      <c r="F26" s="2">
        <v>0.67041244457677462</v>
      </c>
      <c r="G26" s="2">
        <v>0.86490677595138543</v>
      </c>
      <c r="H26" s="2">
        <v>0.93546070098876932</v>
      </c>
      <c r="I26" s="2">
        <v>1.1379101785501619E-2</v>
      </c>
      <c r="J26" s="2">
        <v>3.5174809986231281</v>
      </c>
      <c r="K26" s="3">
        <v>11</v>
      </c>
      <c r="L26" s="1">
        <v>0.15</v>
      </c>
      <c r="N26">
        <f t="shared" si="0"/>
        <v>10600</v>
      </c>
      <c r="O26" s="5">
        <f t="shared" si="1"/>
        <v>377666.66666666669</v>
      </c>
      <c r="P26" s="11">
        <f t="shared" si="2"/>
        <v>105917.57775780576</v>
      </c>
      <c r="Q26" s="11">
        <f t="shared" si="3"/>
        <v>966.68438400079685</v>
      </c>
      <c r="R26">
        <f t="shared" si="4"/>
        <v>600</v>
      </c>
      <c r="S26" s="10">
        <f t="shared" si="5"/>
        <v>35.628930817610062</v>
      </c>
    </row>
    <row r="27" spans="1:19" x14ac:dyDescent="0.4">
      <c r="A27" s="3">
        <v>7000</v>
      </c>
      <c r="B27" s="3">
        <v>300</v>
      </c>
      <c r="C27" s="5">
        <v>2</v>
      </c>
      <c r="D27" s="2">
        <v>0.3005323045394</v>
      </c>
      <c r="E27" s="2">
        <v>0.24936726370904441</v>
      </c>
      <c r="F27" s="2">
        <v>0.83023263278760406</v>
      </c>
      <c r="G27" s="2">
        <v>1.1938431262969971</v>
      </c>
      <c r="H27" s="2">
        <v>1.341461753845214</v>
      </c>
      <c r="I27" s="2">
        <v>1.3772436756650779E-2</v>
      </c>
      <c r="J27" s="2">
        <v>4.3176723226101812</v>
      </c>
      <c r="K27" s="3">
        <v>14</v>
      </c>
      <c r="L27" s="1">
        <v>0.26</v>
      </c>
      <c r="N27">
        <f t="shared" si="0"/>
        <v>14600</v>
      </c>
      <c r="O27" s="5">
        <f t="shared" si="1"/>
        <v>385000</v>
      </c>
      <c r="P27" s="11">
        <f t="shared" si="2"/>
        <v>87877.507979422619</v>
      </c>
      <c r="Q27" s="11">
        <f t="shared" si="3"/>
        <v>1016.5230922726387</v>
      </c>
      <c r="R27">
        <f t="shared" si="4"/>
        <v>600</v>
      </c>
      <c r="S27" s="10">
        <f t="shared" si="5"/>
        <v>26.36986301369863</v>
      </c>
    </row>
    <row r="28" spans="1:19" x14ac:dyDescent="0.4">
      <c r="A28" s="3">
        <v>9000</v>
      </c>
      <c r="B28" s="3">
        <v>300</v>
      </c>
      <c r="C28" s="5">
        <v>2</v>
      </c>
      <c r="D28" s="2">
        <v>0.4484505060627974</v>
      </c>
      <c r="E28" s="2">
        <v>0.38463898299107702</v>
      </c>
      <c r="F28" s="2">
        <v>1.062705794750656</v>
      </c>
      <c r="G28" s="2">
        <v>1.8227055072784419</v>
      </c>
      <c r="H28" s="2">
        <v>2.2571533679962159</v>
      </c>
      <c r="I28" s="2">
        <v>2.4803741665172751E-2</v>
      </c>
      <c r="J28" s="2">
        <v>7.5124617792238846</v>
      </c>
      <c r="K28" s="3">
        <v>25</v>
      </c>
      <c r="L28" s="1">
        <v>0.6</v>
      </c>
      <c r="N28">
        <f t="shared" si="0"/>
        <v>18600</v>
      </c>
      <c r="O28" s="5">
        <f t="shared" si="1"/>
        <v>381250</v>
      </c>
      <c r="P28" s="11">
        <f t="shared" si="2"/>
        <v>48717.303849658943</v>
      </c>
      <c r="Q28" s="11">
        <f t="shared" si="3"/>
        <v>1007.9124487537628</v>
      </c>
      <c r="R28">
        <f t="shared" si="4"/>
        <v>600</v>
      </c>
      <c r="S28" s="10">
        <f t="shared" si="5"/>
        <v>20.497311827956988</v>
      </c>
    </row>
    <row r="29" spans="1:19" x14ac:dyDescent="0.4">
      <c r="A29" s="3">
        <v>11000</v>
      </c>
      <c r="B29" s="3">
        <v>300</v>
      </c>
      <c r="C29" s="5">
        <v>2</v>
      </c>
      <c r="D29" s="2">
        <v>2.209256335034397</v>
      </c>
      <c r="E29" s="2">
        <v>0.60848259174800867</v>
      </c>
      <c r="F29" s="2">
        <v>2.8444135879558292</v>
      </c>
      <c r="G29" s="2">
        <v>6.0601673841476442</v>
      </c>
      <c r="H29" s="2">
        <v>6.4998461914062498</v>
      </c>
      <c r="I29" s="2">
        <v>4.8861448948144953E-2</v>
      </c>
      <c r="J29" s="2">
        <v>16.47976095183602</v>
      </c>
      <c r="K29" s="3">
        <v>34</v>
      </c>
      <c r="L29" s="1">
        <v>0.99</v>
      </c>
      <c r="N29">
        <f t="shared" si="0"/>
        <v>22600</v>
      </c>
      <c r="O29" s="5">
        <f t="shared" si="1"/>
        <v>382929.29292929295</v>
      </c>
      <c r="P29" s="11">
        <f t="shared" si="2"/>
        <v>25082.293039372449</v>
      </c>
      <c r="Q29" s="11">
        <f t="shared" si="3"/>
        <v>695.8451034901376</v>
      </c>
      <c r="R29">
        <f t="shared" si="4"/>
        <v>600</v>
      </c>
      <c r="S29" s="10">
        <f t="shared" si="5"/>
        <v>16.94377402342004</v>
      </c>
    </row>
    <row r="30" spans="1:19" x14ac:dyDescent="0.4">
      <c r="A30" s="3"/>
      <c r="B30" s="3"/>
      <c r="C30" s="5"/>
      <c r="D30" s="2"/>
      <c r="E30" s="2"/>
      <c r="F30" s="2"/>
      <c r="G30" s="2"/>
      <c r="H30" s="2"/>
      <c r="I30" s="2"/>
      <c r="J30" s="2"/>
      <c r="K30" s="3"/>
      <c r="L30" s="1"/>
      <c r="N30">
        <f t="shared" si="0"/>
        <v>0</v>
      </c>
      <c r="O30" s="5" t="e">
        <f t="shared" si="1"/>
        <v>#DIV/0!</v>
      </c>
      <c r="P30" s="11" t="e">
        <f t="shared" si="2"/>
        <v>#DIV/0!</v>
      </c>
      <c r="Q30" s="11" t="e">
        <f t="shared" si="3"/>
        <v>#DIV/0!</v>
      </c>
      <c r="R30">
        <f t="shared" si="4"/>
        <v>0</v>
      </c>
      <c r="S30" s="10" t="e">
        <f t="shared" si="5"/>
        <v>#DIV/0!</v>
      </c>
    </row>
    <row r="31" spans="1:19" x14ac:dyDescent="0.4">
      <c r="A31" s="3">
        <v>3000</v>
      </c>
      <c r="B31" s="3">
        <v>300</v>
      </c>
      <c r="C31" s="5">
        <v>2</v>
      </c>
      <c r="D31" s="2">
        <v>8.9398443376695794E-2</v>
      </c>
      <c r="E31" s="2">
        <v>8.0997610038944651E-2</v>
      </c>
      <c r="F31" s="2">
        <v>0.58296145080889339</v>
      </c>
      <c r="G31" s="2">
        <v>0.6593477725982666</v>
      </c>
      <c r="H31" s="2">
        <v>0.70001498222351088</v>
      </c>
      <c r="I31" s="2">
        <v>8.2515474515699322E-3</v>
      </c>
      <c r="J31" s="2">
        <v>2.521028060913086</v>
      </c>
      <c r="K31" s="3">
        <v>12</v>
      </c>
      <c r="L31" s="1">
        <v>9.8000000000000004E-2</v>
      </c>
      <c r="N31">
        <f t="shared" si="0"/>
        <v>6600</v>
      </c>
      <c r="O31" s="5">
        <f t="shared" si="1"/>
        <v>385714.28571428568</v>
      </c>
      <c r="P31" s="11">
        <f t="shared" si="2"/>
        <v>150878.17030860056</v>
      </c>
      <c r="Q31" s="11">
        <f t="shared" si="3"/>
        <v>1454.2726767834183</v>
      </c>
      <c r="R31">
        <f t="shared" si="4"/>
        <v>600</v>
      </c>
      <c r="S31" s="10">
        <f t="shared" si="5"/>
        <v>58.441558441558435</v>
      </c>
    </row>
    <row r="32" spans="1:19" x14ac:dyDescent="0.4">
      <c r="A32" s="3">
        <v>3000</v>
      </c>
      <c r="B32" s="3">
        <v>300</v>
      </c>
      <c r="C32" s="5">
        <v>3</v>
      </c>
      <c r="D32" s="2">
        <v>0.10245767126278001</v>
      </c>
      <c r="E32" s="2">
        <v>9.1557726273949966E-2</v>
      </c>
      <c r="F32" s="2">
        <v>0.60241221716679427</v>
      </c>
      <c r="G32" s="2">
        <v>0.70839107036590576</v>
      </c>
      <c r="H32" s="2">
        <v>0.82796716690063477</v>
      </c>
      <c r="I32" s="2">
        <v>9.3494640782004861E-3</v>
      </c>
      <c r="J32" s="2">
        <v>2.8402169688135128</v>
      </c>
      <c r="K32" s="3">
        <v>15</v>
      </c>
      <c r="L32" s="1">
        <v>0.12</v>
      </c>
      <c r="N32">
        <f t="shared" si="0"/>
        <v>9900</v>
      </c>
      <c r="O32" s="5">
        <f t="shared" si="1"/>
        <v>393750</v>
      </c>
      <c r="P32" s="11">
        <f t="shared" si="2"/>
        <v>135944.76407529303</v>
      </c>
      <c r="Q32" s="11">
        <f t="shared" si="3"/>
        <v>1604.3700338904437</v>
      </c>
      <c r="R32">
        <f t="shared" si="4"/>
        <v>900</v>
      </c>
      <c r="S32" s="10">
        <f t="shared" si="5"/>
        <v>39.772727272727273</v>
      </c>
    </row>
    <row r="33" spans="1:19" x14ac:dyDescent="0.4">
      <c r="A33" s="3">
        <v>3000</v>
      </c>
      <c r="B33" s="3">
        <v>300</v>
      </c>
      <c r="C33" s="5">
        <v>4</v>
      </c>
      <c r="D33" s="2">
        <v>0.11028037721460519</v>
      </c>
      <c r="E33" s="2">
        <v>9.4324833374678077E-2</v>
      </c>
      <c r="F33" s="2">
        <v>0.60214673171704503</v>
      </c>
      <c r="G33" s="2">
        <v>0.71014814376831048</v>
      </c>
      <c r="H33" s="2">
        <v>0.73681056022644054</v>
      </c>
      <c r="I33" s="2">
        <v>1.147275750641329E-2</v>
      </c>
      <c r="J33" s="2">
        <v>3.5058185323473099</v>
      </c>
      <c r="K33" s="3">
        <v>22</v>
      </c>
      <c r="L33" s="1">
        <v>0.17499999999999999</v>
      </c>
      <c r="N33">
        <f t="shared" si="0"/>
        <v>13200</v>
      </c>
      <c r="O33" s="5">
        <f t="shared" si="1"/>
        <v>396000</v>
      </c>
      <c r="P33" s="11">
        <f t="shared" si="2"/>
        <v>111986.13364123835</v>
      </c>
      <c r="Q33" s="11">
        <f t="shared" si="3"/>
        <v>1917.5860718490708</v>
      </c>
      <c r="R33">
        <f t="shared" si="4"/>
        <v>1200</v>
      </c>
      <c r="S33" s="10">
        <f t="shared" si="5"/>
        <v>30</v>
      </c>
    </row>
    <row r="34" spans="1:19" x14ac:dyDescent="0.4">
      <c r="A34" s="3">
        <v>3000</v>
      </c>
      <c r="B34" s="3">
        <v>300</v>
      </c>
      <c r="C34" s="5">
        <v>5</v>
      </c>
      <c r="D34" s="2">
        <v>0.12269813893577471</v>
      </c>
      <c r="E34" s="2">
        <v>0.1038058400330668</v>
      </c>
      <c r="F34" s="2">
        <v>0.61669667435126863</v>
      </c>
      <c r="G34" s="2">
        <v>0.72700529098510736</v>
      </c>
      <c r="H34" s="2">
        <v>0.76221325874328616</v>
      </c>
      <c r="I34" s="2">
        <v>1.422304159720209E-2</v>
      </c>
      <c r="J34" s="2">
        <v>4.3455525602774596</v>
      </c>
      <c r="K34" s="3">
        <v>29</v>
      </c>
      <c r="L34" s="1">
        <v>0.25</v>
      </c>
      <c r="N34">
        <f t="shared" si="0"/>
        <v>16500</v>
      </c>
      <c r="O34" s="5">
        <f t="shared" si="1"/>
        <v>365400</v>
      </c>
      <c r="P34" s="11">
        <f t="shared" si="2"/>
        <v>83601.818583314394</v>
      </c>
      <c r="Q34" s="11">
        <f t="shared" si="3"/>
        <v>2038.94503168048</v>
      </c>
      <c r="R34">
        <f t="shared" si="4"/>
        <v>1500</v>
      </c>
      <c r="S34" s="10">
        <f t="shared" si="5"/>
        <v>22.145454545454545</v>
      </c>
    </row>
    <row r="35" spans="1:19" x14ac:dyDescent="0.4">
      <c r="A35" s="3">
        <v>3000</v>
      </c>
      <c r="B35" s="3">
        <v>300</v>
      </c>
      <c r="C35" s="5">
        <v>6</v>
      </c>
      <c r="D35" s="2">
        <v>0.15959419346032649</v>
      </c>
      <c r="E35" s="2">
        <v>0.1283897472012247</v>
      </c>
      <c r="F35" s="2">
        <v>0.67490199439200083</v>
      </c>
      <c r="G35" s="2">
        <v>0.94233903884887649</v>
      </c>
      <c r="H35" s="2">
        <v>1.027751412391662</v>
      </c>
      <c r="I35" s="2">
        <v>2.020475377032975E-2</v>
      </c>
      <c r="J35" s="2">
        <v>6.0485303334651457</v>
      </c>
      <c r="K35" s="3">
        <v>48</v>
      </c>
      <c r="L35" s="1">
        <v>0.39</v>
      </c>
      <c r="N35">
        <f t="shared" si="0"/>
        <v>19800</v>
      </c>
      <c r="O35" s="5">
        <f t="shared" si="1"/>
        <v>387692.30769230769</v>
      </c>
      <c r="P35" s="11">
        <f t="shared" si="2"/>
        <v>62633.899830761351</v>
      </c>
      <c r="Q35" s="11">
        <f t="shared" si="3"/>
        <v>2375.6785430608402</v>
      </c>
      <c r="R35">
        <f t="shared" si="4"/>
        <v>1800</v>
      </c>
      <c r="S35" s="10">
        <f t="shared" si="5"/>
        <v>19.58041958041958</v>
      </c>
    </row>
    <row r="36" spans="1:19" x14ac:dyDescent="0.4">
      <c r="A36" s="3">
        <v>3000</v>
      </c>
      <c r="B36" s="3">
        <v>300</v>
      </c>
      <c r="C36" s="5">
        <v>7</v>
      </c>
      <c r="D36" s="2">
        <v>0.23852951275674919</v>
      </c>
      <c r="E36" s="2">
        <v>0.19280129836097021</v>
      </c>
      <c r="F36" s="2">
        <v>0.98300215299281324</v>
      </c>
      <c r="G36" s="2">
        <v>2.6971490383148189</v>
      </c>
      <c r="H36" s="2">
        <v>2.9049063205718988</v>
      </c>
      <c r="I36" s="2">
        <v>2.394496453076396E-2</v>
      </c>
      <c r="J36" s="2">
        <v>7.2637321673376709</v>
      </c>
      <c r="K36" s="3">
        <v>64</v>
      </c>
      <c r="L36" s="1">
        <v>0.51</v>
      </c>
      <c r="N36">
        <f t="shared" si="0"/>
        <v>23100</v>
      </c>
      <c r="O36" s="5">
        <f t="shared" si="1"/>
        <v>395294.1176470588</v>
      </c>
      <c r="P36" s="11">
        <f t="shared" si="2"/>
        <v>53589.823936818917</v>
      </c>
      <c r="Q36" s="11">
        <f t="shared" si="3"/>
        <v>2672.7957737324782</v>
      </c>
      <c r="R36">
        <f t="shared" si="4"/>
        <v>2100</v>
      </c>
      <c r="S36" s="10">
        <f t="shared" si="5"/>
        <v>17.112299465240639</v>
      </c>
    </row>
    <row r="37" spans="1:19" x14ac:dyDescent="0.4">
      <c r="A37" s="3"/>
      <c r="B37" s="3"/>
      <c r="C37" s="5"/>
      <c r="D37" s="2"/>
      <c r="E37" s="2"/>
      <c r="F37" s="2"/>
      <c r="G37" s="2"/>
      <c r="H37" s="2"/>
      <c r="I37" s="2"/>
      <c r="J37" s="2"/>
      <c r="K37" s="3"/>
      <c r="L37" s="1"/>
      <c r="N37">
        <f t="shared" si="0"/>
        <v>0</v>
      </c>
      <c r="O37" s="5" t="e">
        <f t="shared" si="1"/>
        <v>#DIV/0!</v>
      </c>
      <c r="P37" s="11" t="e">
        <f t="shared" si="2"/>
        <v>#DIV/0!</v>
      </c>
      <c r="Q37" s="11" t="e">
        <f t="shared" si="3"/>
        <v>#DIV/0!</v>
      </c>
      <c r="R37">
        <f t="shared" si="4"/>
        <v>0</v>
      </c>
      <c r="S37" s="10" t="e">
        <f t="shared" si="5"/>
        <v>#DIV/0!</v>
      </c>
    </row>
    <row r="38" spans="1:19" x14ac:dyDescent="0.4">
      <c r="A38" s="3">
        <v>5000</v>
      </c>
      <c r="B38" s="3">
        <v>300</v>
      </c>
      <c r="C38" s="5">
        <v>2</v>
      </c>
      <c r="D38" s="2">
        <v>0.1650705940268013</v>
      </c>
      <c r="E38" s="2">
        <v>0.14694567367359129</v>
      </c>
      <c r="F38" s="2">
        <v>0.68459073917285818</v>
      </c>
      <c r="G38" s="2">
        <v>0.83547563552856419</v>
      </c>
      <c r="H38" s="2">
        <v>0.88278712272644044</v>
      </c>
      <c r="I38" s="2">
        <v>1.074500466724552E-2</v>
      </c>
      <c r="J38" s="2">
        <v>3.3131276885898129</v>
      </c>
      <c r="K38" s="3">
        <v>14</v>
      </c>
      <c r="L38" s="1">
        <v>0.185</v>
      </c>
      <c r="N38">
        <f t="shared" si="0"/>
        <v>10600</v>
      </c>
      <c r="O38" s="5">
        <f t="shared" si="1"/>
        <v>389729.72972972976</v>
      </c>
      <c r="P38" s="11">
        <f t="shared" si="2"/>
        <v>115631.46407306343</v>
      </c>
      <c r="Q38" s="11">
        <f t="shared" si="3"/>
        <v>1302.931030144345</v>
      </c>
      <c r="R38">
        <f t="shared" si="4"/>
        <v>600</v>
      </c>
      <c r="S38" s="10">
        <f t="shared" si="5"/>
        <v>36.766955634880169</v>
      </c>
    </row>
    <row r="39" spans="1:19" x14ac:dyDescent="0.4">
      <c r="A39" s="3">
        <v>5000</v>
      </c>
      <c r="B39" s="3">
        <v>300</v>
      </c>
      <c r="C39" s="5">
        <v>3</v>
      </c>
      <c r="D39" s="2">
        <v>0.20869471828142799</v>
      </c>
      <c r="E39" s="2">
        <v>0.17446553965334979</v>
      </c>
      <c r="F39" s="2">
        <v>0.94913248398043371</v>
      </c>
      <c r="G39" s="2">
        <v>2.5386061429977409</v>
      </c>
      <c r="H39" s="2">
        <v>2.9179372787475581</v>
      </c>
      <c r="I39" s="2">
        <v>1.4573607242160939E-2</v>
      </c>
      <c r="J39" s="2">
        <v>4.5171227823511213</v>
      </c>
      <c r="K39" s="3">
        <v>26</v>
      </c>
      <c r="L39" s="1">
        <v>0.36</v>
      </c>
      <c r="N39">
        <f t="shared" si="0"/>
        <v>15900</v>
      </c>
      <c r="O39" s="5">
        <f t="shared" si="1"/>
        <v>371944.44444444444</v>
      </c>
      <c r="P39" s="11">
        <f t="shared" si="2"/>
        <v>81808.103198405079</v>
      </c>
      <c r="Q39" s="11">
        <f t="shared" si="3"/>
        <v>1784.046980817687</v>
      </c>
      <c r="R39">
        <f t="shared" si="4"/>
        <v>900</v>
      </c>
      <c r="S39" s="10">
        <f t="shared" si="5"/>
        <v>23.392732354996504</v>
      </c>
    </row>
    <row r="40" spans="1:19" x14ac:dyDescent="0.4">
      <c r="A40" s="3">
        <v>5000</v>
      </c>
      <c r="B40" s="3">
        <v>300</v>
      </c>
      <c r="C40" s="5">
        <v>4</v>
      </c>
      <c r="D40" s="2">
        <v>0.29405784061976842</v>
      </c>
      <c r="E40" s="2">
        <v>0.22934286280937449</v>
      </c>
      <c r="F40" s="2">
        <v>0.95281513827187669</v>
      </c>
      <c r="G40" s="2">
        <v>1.7444678306579591</v>
      </c>
      <c r="H40" s="2">
        <v>2.028056583404541</v>
      </c>
      <c r="I40" s="2">
        <v>2.6556238246986899E-2</v>
      </c>
      <c r="J40" s="2">
        <v>8.1563313416475367</v>
      </c>
      <c r="K40" s="3">
        <v>49</v>
      </c>
      <c r="L40" s="1">
        <v>0.66</v>
      </c>
      <c r="N40">
        <f t="shared" si="0"/>
        <v>21200</v>
      </c>
      <c r="O40" s="5">
        <f t="shared" si="1"/>
        <v>382348.4848484848</v>
      </c>
      <c r="P40" s="11">
        <f t="shared" si="2"/>
        <v>46649.400458803037</v>
      </c>
      <c r="Q40" s="11">
        <f t="shared" si="3"/>
        <v>1845.1408495538556</v>
      </c>
      <c r="R40">
        <f t="shared" si="4"/>
        <v>1200</v>
      </c>
      <c r="S40" s="10">
        <f t="shared" si="5"/>
        <v>18.035305889079471</v>
      </c>
    </row>
    <row r="41" spans="1:19" x14ac:dyDescent="0.4">
      <c r="A41" s="3">
        <v>5000</v>
      </c>
      <c r="B41" s="3">
        <v>300</v>
      </c>
      <c r="C41" s="5">
        <v>5</v>
      </c>
      <c r="D41" s="2">
        <v>2.3786166098998049</v>
      </c>
      <c r="E41" s="2">
        <v>1.3393055563696821</v>
      </c>
      <c r="F41" s="2">
        <v>4.456726340035063</v>
      </c>
      <c r="G41" s="2">
        <v>9.4399232387542718</v>
      </c>
      <c r="H41" s="2">
        <v>10.37267045974731</v>
      </c>
      <c r="I41" s="2">
        <v>4.3163523798805531E-2</v>
      </c>
      <c r="J41" s="2">
        <v>14.90785648338592</v>
      </c>
      <c r="K41" s="3">
        <v>75</v>
      </c>
      <c r="L41" s="1">
        <v>1</v>
      </c>
      <c r="N41">
        <f t="shared" si="0"/>
        <v>26500</v>
      </c>
      <c r="O41" s="5">
        <f t="shared" si="1"/>
        <v>386250</v>
      </c>
      <c r="P41" s="11">
        <f t="shared" si="2"/>
        <v>27032.488481540531</v>
      </c>
      <c r="Q41" s="11">
        <f t="shared" si="3"/>
        <v>1737.5782466137643</v>
      </c>
      <c r="R41">
        <f t="shared" si="4"/>
        <v>1500</v>
      </c>
      <c r="S41" s="10">
        <f t="shared" si="5"/>
        <v>14.575471698113208</v>
      </c>
    </row>
    <row r="42" spans="1:19" x14ac:dyDescent="0.4">
      <c r="A42" s="3">
        <v>5000</v>
      </c>
      <c r="B42" s="3">
        <v>300</v>
      </c>
      <c r="C42" s="5">
        <v>6</v>
      </c>
      <c r="D42" s="2">
        <v>4.6089767452951627</v>
      </c>
      <c r="E42" s="2">
        <v>0.40272247304112241</v>
      </c>
      <c r="F42" s="2">
        <v>6.1974579067395723</v>
      </c>
      <c r="G42" s="2">
        <v>12.462714672088619</v>
      </c>
      <c r="H42" s="2">
        <v>13.426980447769161</v>
      </c>
      <c r="I42" s="2">
        <v>5.1248951044386683E-2</v>
      </c>
      <c r="J42" s="2">
        <v>19.59539189229066</v>
      </c>
      <c r="K42" s="3">
        <v>75</v>
      </c>
      <c r="L42" s="1">
        <v>1</v>
      </c>
      <c r="N42">
        <f t="shared" si="0"/>
        <v>31800</v>
      </c>
      <c r="O42" s="5">
        <f t="shared" si="1"/>
        <v>386250</v>
      </c>
      <c r="P42" s="11">
        <f t="shared" si="2"/>
        <v>24481.207891070295</v>
      </c>
      <c r="Q42" s="11">
        <f t="shared" si="3"/>
        <v>1463.4445870910129</v>
      </c>
      <c r="R42">
        <f t="shared" si="4"/>
        <v>1800</v>
      </c>
      <c r="S42" s="10">
        <f t="shared" si="5"/>
        <v>12.14622641509434</v>
      </c>
    </row>
    <row r="43" spans="1:19" x14ac:dyDescent="0.4">
      <c r="A43" s="3">
        <v>5000</v>
      </c>
      <c r="B43" s="3">
        <v>300</v>
      </c>
      <c r="C43" s="5">
        <v>7</v>
      </c>
      <c r="D43" s="2">
        <v>7.2514966360266282</v>
      </c>
      <c r="E43" s="2">
        <v>1.177578070621234</v>
      </c>
      <c r="F43" s="2">
        <v>10.66393147068894</v>
      </c>
      <c r="G43" s="2">
        <v>20.032485318183902</v>
      </c>
      <c r="H43" s="2">
        <v>20.672544732093812</v>
      </c>
      <c r="I43" s="2">
        <v>4.7456456174096252E-2</v>
      </c>
      <c r="J43" s="2">
        <v>21.194463487482661</v>
      </c>
      <c r="K43" s="3">
        <v>75</v>
      </c>
      <c r="L43" s="1">
        <v>1</v>
      </c>
      <c r="N43">
        <f t="shared" si="0"/>
        <v>37100</v>
      </c>
      <c r="O43" s="5">
        <f t="shared" si="1"/>
        <v>386250</v>
      </c>
      <c r="P43" s="11">
        <f t="shared" si="2"/>
        <v>25057.551400948218</v>
      </c>
      <c r="Q43" s="11">
        <f t="shared" si="3"/>
        <v>1580.3961367207646</v>
      </c>
      <c r="R43">
        <f t="shared" si="4"/>
        <v>2100</v>
      </c>
      <c r="S43" s="10">
        <f t="shared" si="5"/>
        <v>10.411051212938006</v>
      </c>
    </row>
    <row r="44" spans="1:19" x14ac:dyDescent="0.4">
      <c r="A44" s="3"/>
      <c r="B44" s="3"/>
    </row>
    <row r="45" spans="1:19" x14ac:dyDescent="0.4">
      <c r="A45" s="3"/>
      <c r="B45" s="3"/>
    </row>
    <row r="46" spans="1:19" x14ac:dyDescent="0.4">
      <c r="A46" s="3"/>
      <c r="B46" s="3"/>
    </row>
    <row r="47" spans="1:19" x14ac:dyDescent="0.4">
      <c r="A47" s="3"/>
      <c r="B47" s="3"/>
    </row>
    <row r="48" spans="1:19" x14ac:dyDescent="0.4">
      <c r="A48" s="3"/>
      <c r="B4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 TA-RPS-2.0_H100_BS-6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OFER BIRAN</cp:lastModifiedBy>
  <dcterms:created xsi:type="dcterms:W3CDTF">2026-02-18T15:47:56Z</dcterms:created>
  <dcterms:modified xsi:type="dcterms:W3CDTF">2026-02-25T14:11:39Z</dcterms:modified>
</cp:coreProperties>
</file>