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:\home\dean\code\llm-d\llm-d-workload-variant-autoscaler\ideas\"/>
    </mc:Choice>
  </mc:AlternateContent>
  <xr:revisionPtr revIDLastSave="0" documentId="13_ncr:9_{69A25BB1-E907-4E9D-9E22-8FCE5E0F5BF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TA-AVG-H100_BS-65000__summary_" sheetId="1" r:id="rId1"/>
    <sheet name="Sheet1" sheetId="2" r:id="rId2"/>
    <sheet name="Sheet2" sheetId="3" r:id="rId3"/>
    <sheet name="Sheet3" sheetId="4" r:id="rId4"/>
  </sheets>
  <calcPr calcId="191029"/>
  <pivotCaches>
    <pivotCache cacheId="7" r:id="rId5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S3" i="1"/>
  <c r="T3" i="1"/>
  <c r="AD3" i="1" s="1"/>
  <c r="U3" i="1"/>
  <c r="V3" i="1"/>
  <c r="W3" i="1"/>
  <c r="X3" i="1"/>
  <c r="Y3" i="1"/>
  <c r="AA3" i="1"/>
  <c r="AB3" i="1"/>
  <c r="AC3" i="1"/>
  <c r="AI3" i="1"/>
  <c r="R4" i="1"/>
  <c r="S4" i="1"/>
  <c r="T4" i="1"/>
  <c r="AD4" i="1" s="1"/>
  <c r="U4" i="1"/>
  <c r="Y4" i="1" s="1"/>
  <c r="V4" i="1"/>
  <c r="W4" i="1"/>
  <c r="X4" i="1"/>
  <c r="AA4" i="1"/>
  <c r="AB4" i="1" s="1"/>
  <c r="AC4" i="1"/>
  <c r="AI4" i="1"/>
  <c r="R5" i="1"/>
  <c r="S5" i="1"/>
  <c r="T5" i="1"/>
  <c r="AD5" i="1" s="1"/>
  <c r="U5" i="1"/>
  <c r="V5" i="1"/>
  <c r="W5" i="1"/>
  <c r="X5" i="1"/>
  <c r="Y5" i="1"/>
  <c r="AA5" i="1"/>
  <c r="AC5" i="1" s="1"/>
  <c r="AB5" i="1"/>
  <c r="AI5" i="1"/>
  <c r="R6" i="1"/>
  <c r="S6" i="1"/>
  <c r="T6" i="1"/>
  <c r="U6" i="1"/>
  <c r="V6" i="1"/>
  <c r="W6" i="1"/>
  <c r="X6" i="1"/>
  <c r="Y6" i="1"/>
  <c r="AA6" i="1"/>
  <c r="AB6" i="1"/>
  <c r="AC6" i="1"/>
  <c r="AD6" i="1"/>
  <c r="AI6" i="1"/>
  <c r="R7" i="1"/>
  <c r="S7" i="1"/>
  <c r="T7" i="1"/>
  <c r="U7" i="1"/>
  <c r="Y7" i="1" s="1"/>
  <c r="V7" i="1"/>
  <c r="W7" i="1"/>
  <c r="X7" i="1"/>
  <c r="AA7" i="1"/>
  <c r="AB7" i="1" s="1"/>
  <c r="AI7" i="1"/>
  <c r="R8" i="1"/>
  <c r="S8" i="1"/>
  <c r="U8" i="1" s="1"/>
  <c r="T8" i="1"/>
  <c r="AD8" i="1" s="1"/>
  <c r="V8" i="1"/>
  <c r="W8" i="1"/>
  <c r="X8" i="1"/>
  <c r="AA8" i="1"/>
  <c r="AB8" i="1"/>
  <c r="AC8" i="1"/>
  <c r="AI8" i="1"/>
  <c r="R9" i="1"/>
  <c r="S9" i="1"/>
  <c r="T9" i="1"/>
  <c r="AD9" i="1" s="1"/>
  <c r="U9" i="1"/>
  <c r="V9" i="1"/>
  <c r="W9" i="1"/>
  <c r="X9" i="1"/>
  <c r="Y9" i="1"/>
  <c r="AA9" i="1"/>
  <c r="AB9" i="1" s="1"/>
  <c r="AC9" i="1"/>
  <c r="AI9" i="1"/>
  <c r="R10" i="1"/>
  <c r="S10" i="1"/>
  <c r="U10" i="1" s="1"/>
  <c r="T10" i="1"/>
  <c r="V10" i="1"/>
  <c r="W10" i="1"/>
  <c r="X10" i="1"/>
  <c r="AA10" i="1"/>
  <c r="AB10" i="1"/>
  <c r="AC10" i="1"/>
  <c r="AD10" i="1"/>
  <c r="AI10" i="1"/>
  <c r="R11" i="1"/>
  <c r="S11" i="1"/>
  <c r="T11" i="1"/>
  <c r="U11" i="1"/>
  <c r="Y11" i="1" s="1"/>
  <c r="V11" i="1"/>
  <c r="W11" i="1"/>
  <c r="X11" i="1"/>
  <c r="AA11" i="1"/>
  <c r="AB11" i="1"/>
  <c r="AC11" i="1"/>
  <c r="AD11" i="1"/>
  <c r="AI11" i="1"/>
  <c r="R12" i="1"/>
  <c r="S12" i="1"/>
  <c r="T12" i="1"/>
  <c r="U12" i="1"/>
  <c r="V12" i="1"/>
  <c r="W12" i="1"/>
  <c r="X12" i="1"/>
  <c r="Y12" i="1"/>
  <c r="AA12" i="1"/>
  <c r="AB12" i="1" s="1"/>
  <c r="AI12" i="1"/>
  <c r="R13" i="1"/>
  <c r="S13" i="1"/>
  <c r="T13" i="1"/>
  <c r="AD13" i="1" s="1"/>
  <c r="U13" i="1"/>
  <c r="V13" i="1"/>
  <c r="W13" i="1"/>
  <c r="X13" i="1"/>
  <c r="AA13" i="1"/>
  <c r="AC13" i="1" s="1"/>
  <c r="AB13" i="1"/>
  <c r="AI13" i="1"/>
  <c r="R14" i="1"/>
  <c r="S14" i="1"/>
  <c r="T14" i="1"/>
  <c r="AD14" i="1" s="1"/>
  <c r="U14" i="1"/>
  <c r="V14" i="1"/>
  <c r="W14" i="1"/>
  <c r="X14" i="1"/>
  <c r="Y14" i="1"/>
  <c r="AA14" i="1"/>
  <c r="AB14" i="1"/>
  <c r="AC14" i="1"/>
  <c r="AI14" i="1"/>
  <c r="R15" i="1"/>
  <c r="S15" i="1"/>
  <c r="U15" i="1" s="1"/>
  <c r="T15" i="1"/>
  <c r="V15" i="1"/>
  <c r="W15" i="1"/>
  <c r="X15" i="1"/>
  <c r="AA15" i="1"/>
  <c r="AB15" i="1"/>
  <c r="AC15" i="1"/>
  <c r="AD15" i="1"/>
  <c r="AI15" i="1"/>
  <c r="R16" i="1"/>
  <c r="S16" i="1"/>
  <c r="U16" i="1" s="1"/>
  <c r="T16" i="1"/>
  <c r="AD16" i="1" s="1"/>
  <c r="V16" i="1"/>
  <c r="W16" i="1"/>
  <c r="X16" i="1"/>
  <c r="AA16" i="1"/>
  <c r="AC16" i="1" s="1"/>
  <c r="AB16" i="1"/>
  <c r="AI16" i="1"/>
  <c r="R17" i="1"/>
  <c r="S17" i="1"/>
  <c r="T17" i="1"/>
  <c r="AD17" i="1" s="1"/>
  <c r="U17" i="1"/>
  <c r="Y17" i="1" s="1"/>
  <c r="V17" i="1"/>
  <c r="W17" i="1"/>
  <c r="X17" i="1"/>
  <c r="AA17" i="1"/>
  <c r="AB17" i="1"/>
  <c r="AC17" i="1"/>
  <c r="AI17" i="1"/>
  <c r="R18" i="1"/>
  <c r="R19" i="1"/>
  <c r="R20" i="1"/>
  <c r="S20" i="1"/>
  <c r="T20" i="1"/>
  <c r="U20" i="1"/>
  <c r="V20" i="1"/>
  <c r="W20" i="1"/>
  <c r="X20" i="1"/>
  <c r="Y20" i="1"/>
  <c r="AA20" i="1"/>
  <c r="AB20" i="1" s="1"/>
  <c r="AI20" i="1"/>
  <c r="R21" i="1"/>
  <c r="S21" i="1"/>
  <c r="T21" i="1"/>
  <c r="AD21" i="1" s="1"/>
  <c r="U21" i="1"/>
  <c r="Y21" i="1" s="1"/>
  <c r="V21" i="1"/>
  <c r="W21" i="1"/>
  <c r="X21" i="1"/>
  <c r="AA21" i="1"/>
  <c r="AC21" i="1" s="1"/>
  <c r="AB21" i="1"/>
  <c r="AI21" i="1"/>
  <c r="R22" i="1"/>
  <c r="S22" i="1"/>
  <c r="T22" i="1"/>
  <c r="AD22" i="1" s="1"/>
  <c r="U22" i="1"/>
  <c r="V22" i="1"/>
  <c r="W22" i="1"/>
  <c r="X22" i="1"/>
  <c r="Y22" i="1"/>
  <c r="AA22" i="1"/>
  <c r="AB22" i="1"/>
  <c r="AC22" i="1"/>
  <c r="AI22" i="1"/>
  <c r="R23" i="1"/>
  <c r="S23" i="1"/>
  <c r="U23" i="1" s="1"/>
  <c r="T23" i="1"/>
  <c r="V23" i="1"/>
  <c r="W23" i="1"/>
  <c r="X23" i="1"/>
  <c r="AA23" i="1"/>
  <c r="AB23" i="1"/>
  <c r="AC23" i="1"/>
  <c r="AD23" i="1"/>
  <c r="AI23" i="1"/>
  <c r="R24" i="1"/>
  <c r="S24" i="1"/>
  <c r="U24" i="1" s="1"/>
  <c r="T24" i="1"/>
  <c r="V24" i="1"/>
  <c r="W24" i="1"/>
  <c r="X24" i="1"/>
  <c r="AA24" i="1"/>
  <c r="AC24" i="1" s="1"/>
  <c r="AB24" i="1"/>
  <c r="AI24" i="1"/>
  <c r="R25" i="1"/>
  <c r="S25" i="1"/>
  <c r="T25" i="1"/>
  <c r="AD25" i="1" s="1"/>
  <c r="U25" i="1"/>
  <c r="Y25" i="1" s="1"/>
  <c r="V25" i="1"/>
  <c r="W25" i="1"/>
  <c r="X25" i="1"/>
  <c r="AA25" i="1"/>
  <c r="AB25" i="1"/>
  <c r="AC25" i="1"/>
  <c r="AI25" i="1"/>
  <c r="R26" i="1"/>
  <c r="S26" i="1"/>
  <c r="T26" i="1"/>
  <c r="AD26" i="1" s="1"/>
  <c r="U26" i="1"/>
  <c r="V26" i="1"/>
  <c r="W26" i="1"/>
  <c r="X26" i="1"/>
  <c r="Y26" i="1"/>
  <c r="AA26" i="1"/>
  <c r="AB26" i="1" s="1"/>
  <c r="AI26" i="1"/>
  <c r="R27" i="1"/>
  <c r="S27" i="1"/>
  <c r="U27" i="1" s="1"/>
  <c r="T27" i="1"/>
  <c r="V27" i="1"/>
  <c r="W27" i="1"/>
  <c r="X27" i="1"/>
  <c r="AA27" i="1"/>
  <c r="AB27" i="1"/>
  <c r="AC27" i="1"/>
  <c r="AD27" i="1"/>
  <c r="AI27" i="1"/>
  <c r="R28" i="1"/>
  <c r="S28" i="1"/>
  <c r="T28" i="1"/>
  <c r="U28" i="1"/>
  <c r="Y28" i="1" s="1"/>
  <c r="V28" i="1"/>
  <c r="W28" i="1"/>
  <c r="X28" i="1"/>
  <c r="AA28" i="1"/>
  <c r="AB28" i="1"/>
  <c r="AC28" i="1"/>
  <c r="AD28" i="1"/>
  <c r="AI28" i="1"/>
  <c r="R29" i="1"/>
  <c r="S29" i="1"/>
  <c r="U29" i="1" s="1"/>
  <c r="T29" i="1"/>
  <c r="V29" i="1"/>
  <c r="W29" i="1"/>
  <c r="X29" i="1"/>
  <c r="AA29" i="1"/>
  <c r="AC29" i="1" s="1"/>
  <c r="AB29" i="1"/>
  <c r="AI29" i="1"/>
  <c r="R30" i="1"/>
  <c r="S30" i="1"/>
  <c r="T30" i="1"/>
  <c r="AD30" i="1" s="1"/>
  <c r="U30" i="1"/>
  <c r="Y30" i="1" s="1"/>
  <c r="V30" i="1"/>
  <c r="W30" i="1"/>
  <c r="X30" i="1"/>
  <c r="AA30" i="1"/>
  <c r="AB30" i="1"/>
  <c r="AC30" i="1"/>
  <c r="AI30" i="1"/>
  <c r="R31" i="1"/>
  <c r="S31" i="1"/>
  <c r="T31" i="1"/>
  <c r="U31" i="1"/>
  <c r="V31" i="1"/>
  <c r="W31" i="1"/>
  <c r="X31" i="1"/>
  <c r="Y31" i="1"/>
  <c r="AA31" i="1"/>
  <c r="AB31" i="1"/>
  <c r="AC31" i="1"/>
  <c r="AD31" i="1"/>
  <c r="AI31" i="1"/>
  <c r="R32" i="1"/>
  <c r="S32" i="1"/>
  <c r="U32" i="1" s="1"/>
  <c r="T32" i="1"/>
  <c r="V32" i="1"/>
  <c r="W32" i="1"/>
  <c r="X32" i="1"/>
  <c r="AA32" i="1"/>
  <c r="AB32" i="1"/>
  <c r="AC32" i="1"/>
  <c r="AD32" i="1"/>
  <c r="AI32" i="1"/>
  <c r="R33" i="1"/>
  <c r="S33" i="1"/>
  <c r="T33" i="1"/>
  <c r="AD33" i="1" s="1"/>
  <c r="U33" i="1"/>
  <c r="V33" i="1"/>
  <c r="W33" i="1"/>
  <c r="X33" i="1"/>
  <c r="Y33" i="1"/>
  <c r="AA33" i="1"/>
  <c r="AB33" i="1"/>
  <c r="AC33" i="1"/>
  <c r="AI33" i="1"/>
  <c r="R34" i="1"/>
  <c r="S34" i="1"/>
  <c r="T34" i="1"/>
  <c r="AD34" i="1" s="1"/>
  <c r="U34" i="1"/>
  <c r="Y34" i="1" s="1"/>
  <c r="V34" i="1"/>
  <c r="W34" i="1"/>
  <c r="X34" i="1"/>
  <c r="AA34" i="1"/>
  <c r="AB34" i="1" s="1"/>
  <c r="AC34" i="1"/>
  <c r="AI34" i="1"/>
  <c r="R35" i="1"/>
  <c r="S35" i="1"/>
  <c r="T35" i="1"/>
  <c r="AD35" i="1" s="1"/>
  <c r="U35" i="1"/>
  <c r="V35" i="1"/>
  <c r="W35" i="1"/>
  <c r="X35" i="1"/>
  <c r="Y35" i="1"/>
  <c r="AA35" i="1"/>
  <c r="AC35" i="1" s="1"/>
  <c r="AB35" i="1"/>
  <c r="AI35" i="1"/>
  <c r="R36" i="1"/>
  <c r="S36" i="1"/>
  <c r="T36" i="1"/>
  <c r="U36" i="1"/>
  <c r="V36" i="1"/>
  <c r="W36" i="1"/>
  <c r="X36" i="1"/>
  <c r="Y36" i="1"/>
  <c r="AA36" i="1"/>
  <c r="AB36" i="1"/>
  <c r="AC36" i="1"/>
  <c r="AD36" i="1"/>
  <c r="AI36" i="1"/>
  <c r="R37" i="1"/>
  <c r="S37" i="1"/>
  <c r="T37" i="1"/>
  <c r="U37" i="1"/>
  <c r="Y37" i="1" s="1"/>
  <c r="V37" i="1"/>
  <c r="W37" i="1"/>
  <c r="X37" i="1"/>
  <c r="AA37" i="1"/>
  <c r="AB37" i="1" s="1"/>
  <c r="AI37" i="1"/>
  <c r="R38" i="1"/>
  <c r="R39" i="1"/>
  <c r="R40" i="1"/>
  <c r="S40" i="1"/>
  <c r="U40" i="1" s="1"/>
  <c r="T40" i="1"/>
  <c r="V40" i="1"/>
  <c r="W40" i="1"/>
  <c r="X40" i="1"/>
  <c r="AA40" i="1"/>
  <c r="AB40" i="1" s="1"/>
  <c r="AI40" i="1"/>
  <c r="R41" i="1"/>
  <c r="S41" i="1"/>
  <c r="T41" i="1"/>
  <c r="AD41" i="1" s="1"/>
  <c r="U41" i="1"/>
  <c r="Y41" i="1" s="1"/>
  <c r="V41" i="1"/>
  <c r="W41" i="1"/>
  <c r="X41" i="1"/>
  <c r="AA41" i="1"/>
  <c r="AC41" i="1" s="1"/>
  <c r="AB41" i="1"/>
  <c r="AI41" i="1"/>
  <c r="R42" i="1"/>
  <c r="S42" i="1"/>
  <c r="T42" i="1"/>
  <c r="AD42" i="1" s="1"/>
  <c r="U42" i="1"/>
  <c r="V42" i="1"/>
  <c r="W42" i="1"/>
  <c r="X42" i="1"/>
  <c r="Y42" i="1"/>
  <c r="AA42" i="1"/>
  <c r="AB42" i="1"/>
  <c r="AC42" i="1"/>
  <c r="AI42" i="1"/>
  <c r="R43" i="1"/>
  <c r="S43" i="1"/>
  <c r="U43" i="1" s="1"/>
  <c r="T43" i="1"/>
  <c r="V43" i="1"/>
  <c r="W43" i="1"/>
  <c r="X43" i="1"/>
  <c r="AA43" i="1"/>
  <c r="AB43" i="1"/>
  <c r="AC43" i="1"/>
  <c r="AD43" i="1"/>
  <c r="AI43" i="1"/>
  <c r="R44" i="1"/>
  <c r="S44" i="1"/>
  <c r="T44" i="1"/>
  <c r="U44" i="1" s="1"/>
  <c r="V44" i="1"/>
  <c r="W44" i="1"/>
  <c r="X44" i="1"/>
  <c r="AA44" i="1"/>
  <c r="AC44" i="1" s="1"/>
  <c r="AB44" i="1"/>
  <c r="AI44" i="1"/>
  <c r="R45" i="1"/>
  <c r="S45" i="1"/>
  <c r="T45" i="1"/>
  <c r="AD45" i="1" s="1"/>
  <c r="U45" i="1"/>
  <c r="Y45" i="1" s="1"/>
  <c r="V45" i="1"/>
  <c r="W45" i="1"/>
  <c r="X45" i="1"/>
  <c r="AA45" i="1"/>
  <c r="AB45" i="1"/>
  <c r="AC45" i="1"/>
  <c r="AI45" i="1"/>
  <c r="Y32" i="1" l="1"/>
  <c r="Y8" i="1"/>
  <c r="Y16" i="1"/>
  <c r="Y10" i="1"/>
  <c r="Y44" i="1"/>
  <c r="Y40" i="1"/>
  <c r="Y23" i="1"/>
  <c r="Y24" i="1"/>
  <c r="Y29" i="1"/>
  <c r="Y43" i="1"/>
  <c r="Y27" i="1"/>
  <c r="Y15" i="1"/>
  <c r="AD7" i="1"/>
  <c r="AD24" i="1"/>
  <c r="AC7" i="1"/>
  <c r="AD37" i="1"/>
  <c r="AD44" i="1"/>
  <c r="AC37" i="1"/>
  <c r="AD40" i="1"/>
  <c r="AD20" i="1"/>
  <c r="AD12" i="1"/>
  <c r="AC40" i="1"/>
  <c r="AD29" i="1"/>
  <c r="AC20" i="1"/>
  <c r="AC12" i="1"/>
  <c r="AC26" i="1"/>
  <c r="Y13" i="1"/>
  <c r="AB1" i="1" l="1"/>
  <c r="AE1" i="1" s="1"/>
  <c r="AD1" i="1"/>
  <c r="AC1" i="1"/>
  <c r="AE31" i="1" l="1"/>
  <c r="AE21" i="1"/>
  <c r="AE41" i="1"/>
  <c r="AE34" i="1"/>
  <c r="AE11" i="1"/>
  <c r="AE10" i="1"/>
  <c r="AE14" i="1"/>
  <c r="AE22" i="1"/>
  <c r="AE42" i="1"/>
  <c r="AE5" i="1"/>
  <c r="AE35" i="1"/>
  <c r="AE26" i="1"/>
  <c r="AE32" i="1"/>
  <c r="AE15" i="1"/>
  <c r="AE23" i="1"/>
  <c r="AE43" i="1"/>
  <c r="AE36" i="1"/>
  <c r="AE27" i="1"/>
  <c r="AE9" i="1"/>
  <c r="AE30" i="1"/>
  <c r="AE13" i="1"/>
  <c r="AE4" i="1"/>
  <c r="AE17" i="1"/>
  <c r="AE25" i="1"/>
  <c r="AE45" i="1"/>
  <c r="AE8" i="1"/>
  <c r="AE29" i="1"/>
  <c r="AE28" i="1"/>
  <c r="AE12" i="1"/>
  <c r="AE20" i="1"/>
  <c r="AE40" i="1"/>
  <c r="AE33" i="1"/>
  <c r="AE16" i="1"/>
  <c r="AE6" i="1"/>
  <c r="AE3" i="1"/>
  <c r="AE24" i="1"/>
  <c r="AE44" i="1"/>
  <c r="AE7" i="1"/>
  <c r="AE37" i="1"/>
  <c r="AG17" i="1" l="1"/>
  <c r="AH17" i="1" s="1"/>
  <c r="AF17" i="1"/>
  <c r="AG4" i="1"/>
  <c r="AH4" i="1" s="1"/>
  <c r="AF4" i="1"/>
  <c r="AG9" i="1"/>
  <c r="AH9" i="1" s="1"/>
  <c r="AF9" i="1"/>
  <c r="AG43" i="1"/>
  <c r="AH43" i="1" s="1"/>
  <c r="AF43" i="1"/>
  <c r="AG41" i="1"/>
  <c r="AH41" i="1" s="1"/>
  <c r="AF41" i="1"/>
  <c r="AG31" i="1"/>
  <c r="AH31" i="1" s="1"/>
  <c r="AF31" i="1"/>
  <c r="AG13" i="1"/>
  <c r="AH13" i="1" s="1"/>
  <c r="AF13" i="1"/>
  <c r="AG30" i="1"/>
  <c r="AH30" i="1" s="1"/>
  <c r="AF30" i="1"/>
  <c r="AG27" i="1"/>
  <c r="AH27" i="1" s="1"/>
  <c r="AF27" i="1"/>
  <c r="AG37" i="1"/>
  <c r="AH37" i="1" s="1"/>
  <c r="AF37" i="1"/>
  <c r="AF36" i="1"/>
  <c r="AG36" i="1"/>
  <c r="AH36" i="1" s="1"/>
  <c r="AG7" i="1"/>
  <c r="AH7" i="1" s="1"/>
  <c r="AF7" i="1"/>
  <c r="AG44" i="1"/>
  <c r="AH44" i="1" s="1"/>
  <c r="AF44" i="1"/>
  <c r="AG23" i="1"/>
  <c r="AH23" i="1" s="1"/>
  <c r="AF23" i="1"/>
  <c r="AG24" i="1"/>
  <c r="AH24" i="1" s="1"/>
  <c r="AF24" i="1"/>
  <c r="AG15" i="1"/>
  <c r="AH15" i="1" s="1"/>
  <c r="AF15" i="1"/>
  <c r="AF3" i="1"/>
  <c r="AG3" i="1"/>
  <c r="AH3" i="1" s="1"/>
  <c r="AG32" i="1"/>
  <c r="AH32" i="1" s="1"/>
  <c r="AF32" i="1"/>
  <c r="AF6" i="1"/>
  <c r="AG6" i="1"/>
  <c r="AH6" i="1" s="1"/>
  <c r="AG26" i="1"/>
  <c r="AH26" i="1" s="1"/>
  <c r="AF26" i="1"/>
  <c r="AG16" i="1"/>
  <c r="AH16" i="1" s="1"/>
  <c r="AF16" i="1"/>
  <c r="AG35" i="1"/>
  <c r="AH35" i="1" s="1"/>
  <c r="AF35" i="1"/>
  <c r="AF33" i="1"/>
  <c r="AG33" i="1"/>
  <c r="AH33" i="1" s="1"/>
  <c r="AG5" i="1"/>
  <c r="AH5" i="1" s="1"/>
  <c r="AF5" i="1"/>
  <c r="AG40" i="1"/>
  <c r="AH40" i="1" s="1"/>
  <c r="AF40" i="1"/>
  <c r="AG42" i="1"/>
  <c r="AH42" i="1" s="1"/>
  <c r="AF42" i="1"/>
  <c r="AG20" i="1"/>
  <c r="AH20" i="1" s="1"/>
  <c r="AF20" i="1"/>
  <c r="AG22" i="1"/>
  <c r="AH22" i="1" s="1"/>
  <c r="AF22" i="1"/>
  <c r="AG12" i="1"/>
  <c r="AH12" i="1" s="1"/>
  <c r="AF12" i="1"/>
  <c r="AG14" i="1"/>
  <c r="AH14" i="1" s="1"/>
  <c r="AF14" i="1"/>
  <c r="AG28" i="1"/>
  <c r="AH28" i="1" s="1"/>
  <c r="AF28" i="1"/>
  <c r="AG10" i="1"/>
  <c r="AH10" i="1" s="1"/>
  <c r="AF10" i="1"/>
  <c r="AG29" i="1"/>
  <c r="AH29" i="1" s="1"/>
  <c r="AF29" i="1"/>
  <c r="AF11" i="1"/>
  <c r="AG11" i="1"/>
  <c r="AH11" i="1" s="1"/>
  <c r="AG8" i="1"/>
  <c r="AH8" i="1" s="1"/>
  <c r="AF8" i="1"/>
  <c r="AG34" i="1"/>
  <c r="AH34" i="1" s="1"/>
  <c r="AF34" i="1"/>
  <c r="AG45" i="1"/>
  <c r="AH45" i="1" s="1"/>
  <c r="AF45" i="1"/>
  <c r="AG25" i="1"/>
  <c r="AH25" i="1" s="1"/>
  <c r="AF25" i="1"/>
  <c r="AG21" i="1"/>
  <c r="AH21" i="1" s="1"/>
  <c r="AF21" i="1"/>
</calcChain>
</file>

<file path=xl/sharedStrings.xml><?xml version="1.0" encoding="utf-8"?>
<sst xmlns="http://schemas.openxmlformats.org/spreadsheetml/2006/main" count="121" uniqueCount="85">
  <si>
    <t>In-Tok</t>
  </si>
  <si>
    <t>Out-Tok</t>
  </si>
  <si>
    <t>RPS</t>
  </si>
  <si>
    <t>PHR</t>
  </si>
  <si>
    <t>TTFT</t>
  </si>
  <si>
    <t>Prefill</t>
  </si>
  <si>
    <t>L_TTFT</t>
  </si>
  <si>
    <t>L_P95_TTFT</t>
  </si>
  <si>
    <t>L_P98_TTFT</t>
  </si>
  <si>
    <t>ITL</t>
  </si>
  <si>
    <t>E2E</t>
  </si>
  <si>
    <t>PPS</t>
  </si>
  <si>
    <t>GPS</t>
  </si>
  <si>
    <t>Run</t>
  </si>
  <si>
    <t>MaxRun</t>
  </si>
  <si>
    <t>Kvcache</t>
  </si>
  <si>
    <t>MaxKvcache</t>
  </si>
  <si>
    <t>GPS*ITL</t>
  </si>
  <si>
    <t>PPS*PREFILL/IL</t>
  </si>
  <si>
    <t>N</t>
  </si>
  <si>
    <t>PPS/IL</t>
  </si>
  <si>
    <t>GPS/OL</t>
  </si>
  <si>
    <t>RUN/E2E</t>
  </si>
  <si>
    <t>Tokens load</t>
  </si>
  <si>
    <t>C(MaxR)</t>
  </si>
  <si>
    <t>C(N)</t>
  </si>
  <si>
    <t>C(R)</t>
  </si>
  <si>
    <t>N/E2E</t>
  </si>
  <si>
    <t>alpha</t>
  </si>
  <si>
    <t>mem</t>
  </si>
  <si>
    <t>N(maxT)</t>
  </si>
  <si>
    <t>N%</t>
  </si>
  <si>
    <t>max N%</t>
  </si>
  <si>
    <t>max C%</t>
  </si>
  <si>
    <t>Column1</t>
  </si>
  <si>
    <t>Column2</t>
  </si>
  <si>
    <t xml:space="preserve">   </t>
  </si>
  <si>
    <t>e2e sat</t>
  </si>
  <si>
    <t>IMPORTANT DETAIL</t>
  </si>
  <si>
    <t>In order to insert a suggestion that uses a PivotTable or formula, your data was organized in columns with a single header row.</t>
  </si>
  <si>
    <t>Field26</t>
  </si>
  <si>
    <t>'Kvcache' by 'ITL'</t>
  </si>
  <si>
    <t>(blank)</t>
  </si>
  <si>
    <t>Grand Total</t>
  </si>
  <si>
    <t>0.00659619886192841 Total</t>
  </si>
  <si>
    <t>0.00728040409791147 Total</t>
  </si>
  <si>
    <t>0.0082483981479026 Total</t>
  </si>
  <si>
    <t>0.00902976842071354 Total</t>
  </si>
  <si>
    <t>0.0096372250619072 Total</t>
  </si>
  <si>
    <t>0.0104600844841789 Total</t>
  </si>
  <si>
    <t>0.0107464120064169 Total</t>
  </si>
  <si>
    <t>0.0110758336594669 Total</t>
  </si>
  <si>
    <t>0.0111540693042093 Total</t>
  </si>
  <si>
    <t>0.0113423180188719 Total</t>
  </si>
  <si>
    <t>0.0137681671391538 Total</t>
  </si>
  <si>
    <t>0.014934354230036 Total</t>
  </si>
  <si>
    <t>0.0154060342694451 Total</t>
  </si>
  <si>
    <t>0.016075060193485 Total</t>
  </si>
  <si>
    <t>0.0161499811002495 Total</t>
  </si>
  <si>
    <t>0.016170001649484 Total</t>
  </si>
  <si>
    <t>0.0179619321733865 Total</t>
  </si>
  <si>
    <t>0.0187660423905914 Total</t>
  </si>
  <si>
    <t>0.0191493879405222 Total</t>
  </si>
  <si>
    <t>0.0203267160395751 Total</t>
  </si>
  <si>
    <t>0.0208721829533295 Total</t>
  </si>
  <si>
    <t>0.0209878590758217 Total</t>
  </si>
  <si>
    <t>0.0218517809453712 Total</t>
  </si>
  <si>
    <t>0.0240754933652917 Total</t>
  </si>
  <si>
    <t>0.0241253580875851 Total</t>
  </si>
  <si>
    <t>0.0241447240839305 Total</t>
  </si>
  <si>
    <t>0.0243245838185126 Total</t>
  </si>
  <si>
    <t>0.0246559181084159 Total</t>
  </si>
  <si>
    <t>0.0249802852228032 Total</t>
  </si>
  <si>
    <t>0.0253815273393163 Total</t>
  </si>
  <si>
    <t>0.0367577375756029 Total</t>
  </si>
  <si>
    <t>0.0391541837387596 Total</t>
  </si>
  <si>
    <t>0.0433047667970388 Total</t>
  </si>
  <si>
    <t>0.0472996614969752 Total</t>
  </si>
  <si>
    <t>0.0491843092473644 Total</t>
  </si>
  <si>
    <t>0.0499758821811066 Total</t>
  </si>
  <si>
    <t>0.0541481474011545 Total</t>
  </si>
  <si>
    <t>0.0548802654732104 Total</t>
  </si>
  <si>
    <t>0.0560337751993648 Total</t>
  </si>
  <si>
    <t>(blank) Total</t>
  </si>
  <si>
    <t>relative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</si>
</sst>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0.000"/>
    <numFmt numFmtId="165" formatCode="0.0"/>
    <numFmt numFmtId="167" formatCode="_-* #,##0_-;\-* #,##0_-;_-* &quot;-&quot;??_-;_-@_-"/>
    <numFmt numFmtId="169" formatCode="0.0%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4472C4"/>
      <name val="Calibri"/>
      <family val="2"/>
      <scheme val="minor"/>
    </font>
    <font>
      <sz val="11"/>
      <color rgb="FF333333"/>
      <name val="Calibri"/>
      <family val="2"/>
      <scheme val="minor"/>
    </font>
    <font>
      <b/>
      <i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0">
    <xf numFmtId="0" fontId="0" fillId="0" borderId="0" xfId="0"/>
    <xf numFmtId="0" fontId="1" fillId="0" borderId="0" xfId="0" applyFont="1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43" fontId="0" fillId="0" borderId="0" xfId="1" applyFont="1"/>
    <xf numFmtId="167" fontId="0" fillId="0" borderId="0" xfId="1" applyNumberFormat="1" applyFont="1"/>
    <xf numFmtId="43" fontId="0" fillId="0" borderId="0" xfId="0" applyNumberFormat="1"/>
    <xf numFmtId="9" fontId="0" fillId="0" borderId="0" xfId="2" applyFont="1"/>
    <xf numFmtId="169" fontId="0" fillId="0" borderId="0" xfId="2" applyNumberFormat="1" applyFont="1"/>
    <xf numFmtId="10" fontId="0" fillId="0" borderId="0" xfId="2" applyNumberFormat="1" applyFont="1"/>
    <xf numFmtId="9" fontId="0" fillId="0" borderId="0" xfId="2" applyNumberFormat="1" applyFont="1"/>
    <xf numFmtId="167" fontId="0" fillId="0" borderId="0" xfId="0" applyNumberFormat="1"/>
    <xf numFmtId="0" fontId="4" fillId="0" borderId="0" xfId="0" applyFont="1"/>
    <xf numFmtId="0" fontId="5" fillId="0" borderId="0" xfId="0" applyFont="1"/>
    <xf numFmtId="0" fontId="0" fillId="0" borderId="0" xfId="0" applyNumberFormat="1"/>
    <xf numFmtId="10" fontId="0" fillId="0" borderId="0" xfId="0" applyNumberFormat="1"/>
    <xf numFmtId="169" fontId="0" fillId="0" borderId="0" xfId="0" applyNumberFormat="1"/>
    <xf numFmtId="0" fontId="6" fillId="0" borderId="0" xfId="0" quotePrefix="1" applyFont="1" applyAlignment="1">
      <alignment horizontal="left" vertical="center"/>
    </xf>
    <xf numFmtId="0" fontId="0" fillId="0" borderId="0" xfId="0" pivotButton="1"/>
  </cellXfs>
  <cellStyles count="3">
    <cellStyle name="Comma" xfId="1" builtinId="3"/>
    <cellStyle name="Normal" xfId="0" builtinId="0"/>
    <cellStyle name="Percent" xfId="2" builtinId="5"/>
  </cellStyles>
  <dxfs count="39">
    <dxf>
      <numFmt numFmtId="14" formatCode="0.00%"/>
    </dxf>
    <dxf>
      <numFmt numFmtId="169" formatCode="0.0%"/>
    </dxf>
    <dxf>
      <numFmt numFmtId="35" formatCode="_-* #,##0.00_-;\-* #,##0.00_-;_-* &quot;-&quot;??_-;_-@_-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color rgb="FF9C0006"/>
      </font>
    </dxf>
    <dxf>
      <font>
        <color rgb="FF9C0006"/>
      </font>
      <fill>
        <patternFill patternType="none">
          <bgColor auto="1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7" formatCode="_-* #,##0_-;\-* #,##0_-;_-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4" formatCode="0.00%"/>
    </dxf>
    <dxf>
      <numFmt numFmtId="165" formatCode="0.0"/>
    </dxf>
    <dxf>
      <numFmt numFmtId="165" formatCode="0.0"/>
    </dxf>
    <dxf>
      <numFmt numFmtId="1" formatCode="0"/>
    </dxf>
    <dxf>
      <numFmt numFmtId="1" formatCode="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numFmt numFmtId="164" formatCode="0.000"/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EAN LORENZ" refreshedDate="46091.666482870372" createdVersion="8" refreshedVersion="8" minRefreshableVersion="3" recordCount="43" xr:uid="{7FBD6A1B-7963-4843-9904-C9615EF6CA0B}">
  <cacheSource type="worksheet">
    <worksheetSource ref="C6:AJ49" sheet="Sheet2"/>
  </cacheSource>
  <cacheFields count="34">
    <cacheField name="In-Tok" numFmtId="0">
      <sharedItems containsString="0" containsBlank="1" containsNumber="1" containsInteger="1" minValue="1000" maxValue="15000"/>
    </cacheField>
    <cacheField name="Out-Tok" numFmtId="0">
      <sharedItems containsString="0" containsBlank="1" containsNumber="1" containsInteger="1" minValue="100" maxValue="1800"/>
    </cacheField>
    <cacheField name="RPS" numFmtId="0">
      <sharedItems containsString="0" containsBlank="1" containsNumber="1" containsInteger="1" minValue="2" maxValue="7"/>
    </cacheField>
    <cacheField name="PHR" numFmtId="0">
      <sharedItems containsString="0" containsBlank="1" containsNumber="1" containsInteger="1" minValue="0" maxValue="0"/>
    </cacheField>
    <cacheField name="TTFT" numFmtId="0">
      <sharedItems containsString="0" containsBlank="1" containsNumber="1" minValue="3.7026038223119902E-2" maxValue="13.6280866776283"/>
    </cacheField>
    <cacheField name="Prefill" numFmtId="0">
      <sharedItems containsString="0" containsBlank="1" containsNumber="1" minValue="3.20889051665137E-2" maxValue="1.00335202297882"/>
    </cacheField>
    <cacheField name="L_TTFT" numFmtId="0">
      <sharedItems containsString="0" containsBlank="1" containsNumber="1" minValue="0.59547004836481099" maxValue="13.5788930350445"/>
    </cacheField>
    <cacheField name="L_P95_TTFT" numFmtId="0">
      <sharedItems containsString="0" containsBlank="1" containsNumber="1" minValue="0.73050089677174901" maxValue="27.903930230935401"/>
    </cacheField>
    <cacheField name="L_P98_TTFT" numFmtId="0">
      <sharedItems containsString="0" containsBlank="1" containsNumber="1" minValue="0.84733685811360704" maxValue="28.690085995992"/>
    </cacheField>
    <cacheField name="ITL" numFmtId="0">
      <sharedItems containsString="0" containsBlank="1" containsNumber="1" minValue="6.5961988619284099E-3" maxValue="5.6033775199364803E-2" count="40">
        <n v="6.5961988619284099E-3"/>
        <n v="7.2804040979114696E-3"/>
        <n v="8.2483981479026004E-3"/>
        <n v="9.0297684207135392E-3"/>
        <n v="1.07464120064169E-2"/>
        <n v="1.3768167139153799E-2"/>
        <n v="1.6170001649484001E-2"/>
        <n v="2.0987859075821701E-2"/>
        <n v="2.4980285222803201E-2"/>
        <n v="4.3304766797038798E-2"/>
        <n v="4.7299661496975197E-2"/>
        <n v="4.9184309247364402E-2"/>
        <n v="5.4880265473210399E-2"/>
        <n v="5.4148147401154499E-2"/>
        <n v="5.6033775199364803E-2"/>
        <m/>
        <n v="9.6372250619072009E-3"/>
        <n v="1.04600844841789E-2"/>
        <n v="1.1342318018871899E-2"/>
        <n v="1.10758336594669E-2"/>
        <n v="1.5406034269445101E-2"/>
        <n v="1.4934354230035999E-2"/>
        <n v="1.6075060193485001E-2"/>
        <n v="1.61499811002495E-2"/>
        <n v="1.79619321733865E-2"/>
        <n v="2.0872182953329502E-2"/>
        <n v="1.87660423905914E-2"/>
        <n v="2.0326716039575098E-2"/>
        <n v="2.1851780945371199E-2"/>
        <n v="2.46559181084159E-2"/>
        <n v="2.5381527339316302E-2"/>
        <n v="2.4125358087585098E-2"/>
        <n v="2.4324583818512598E-2"/>
        <n v="2.4144724083930501E-2"/>
        <n v="1.1154069304209299E-2"/>
        <n v="1.9149387940522199E-2"/>
        <n v="2.40754933652917E-2"/>
        <n v="3.6757737575602897E-2"/>
        <n v="3.9154183738759597E-2"/>
        <n v="4.9975882181106601E-2"/>
      </sharedItems>
    </cacheField>
    <cacheField name="E2E" numFmtId="0">
      <sharedItems containsString="0" containsBlank="1" containsNumber="1" minValue="1.10502210299121" maxValue="46.483889755176897"/>
    </cacheField>
    <cacheField name="PPS" numFmtId="0">
      <sharedItems containsString="0" containsBlank="1" containsNumber="1" minValue="2261.52833333333" maxValue="50632.435930735897"/>
    </cacheField>
    <cacheField name="GPS" numFmtId="0">
      <sharedItems containsString="0" containsBlank="1" containsNumber="1" minValue="258.153205128205" maxValue="2758.0151515151501"/>
    </cacheField>
    <cacheField name="Run" numFmtId="0">
      <sharedItems containsString="0" containsBlank="1" containsNumber="1" minValue="2.11904761904762" maxValue="57.210317460317498"/>
    </cacheField>
    <cacheField name="MaxRun" numFmtId="0">
      <sharedItems containsString="0" containsBlank="1" containsNumber="1" minValue="6.3333333333333304" maxValue="75.6666666666667"/>
    </cacheField>
    <cacheField name="Kvcache" numFmtId="10">
      <sharedItems containsString="0" containsBlank="1" containsNumber="1" minValue="1.01505575077199E-2" maxValue="0.87529748645382999" count="40">
        <n v="1.01505575077199E-2"/>
        <n v="1.9997642191088998E-2"/>
        <n v="3.9849347419340098E-2"/>
        <n v="5.5108173991086001E-2"/>
        <n v="7.8173154444089496E-2"/>
        <n v="0.13567259668284201"/>
        <n v="0.18465843461770501"/>
        <n v="0.275617619170761"/>
        <n v="0.33464087147659699"/>
        <n v="0.63176008533747097"/>
        <n v="0.71907486423584199"/>
        <n v="0.77042547042090703"/>
        <n v="0.853004051374881"/>
        <n v="0.87529748645382999"/>
        <n v="0.87014661362483003"/>
        <m/>
        <n v="2.7674917911307301E-2"/>
        <n v="6.2301221497132603E-2"/>
        <n v="9.50714187924976E-2"/>
        <n v="0.10698367787766799"/>
        <n v="0.21169130957270399"/>
        <n v="0.24133771429440701"/>
        <n v="0.29655056359238802"/>
        <n v="0.31619645703294702"/>
        <n v="0.39154670574375799"/>
        <n v="0.49386129038198101"/>
        <n v="0.43729828190854703"/>
        <n v="0.51077284626098496"/>
        <n v="0.567262872075456"/>
        <n v="0.67386728678039798"/>
        <n v="0.715988523156871"/>
        <n v="0.68742814378966399"/>
        <n v="0.71036971783084402"/>
        <n v="0.69163114163282802"/>
        <n v="8.4433992759244902E-2"/>
        <n v="0.22876618141438099"/>
        <n v="0.33997760986991099"/>
        <n v="0.46147243053759701"/>
        <n v="0.52409993391374299"/>
        <n v="0.757031413548093"/>
      </sharedItems>
    </cacheField>
    <cacheField name="MaxKvcache" numFmtId="10">
      <sharedItems containsString="0" containsBlank="1" containsNumber="1" minValue="2.4075510731833401E-2" maxValue="0.99922420480993002"/>
    </cacheField>
    <cacheField name="e2e sat" numFmtId="164">
      <sharedItems containsSemiMixedTypes="0" containsString="0" containsNumber="1" minValue="0" maxValue="43.653902154609902"/>
    </cacheField>
    <cacheField name="GPS*ITL" numFmtId="164">
      <sharedItems containsString="0" containsBlank="1" containsNumber="1" minValue="2.4878805382732101" maxValue="112.339469173864"/>
    </cacheField>
    <cacheField name="PPS*PREFILL/IL" numFmtId="164">
      <sharedItems containsString="0" containsBlank="1" containsNumber="1" minValue="7.2569968219717104E-2" maxValue="10.160431403889801"/>
    </cacheField>
    <cacheField name="N" numFmtId="164">
      <sharedItems containsString="0" containsBlank="1" containsNumber="1" minValue="2.8755535899428502" maxValue="120.261771191186"/>
    </cacheField>
    <cacheField name="PPS/IL" numFmtId="164">
      <sharedItems containsString="0" containsBlank="1" containsNumber="1" minValue="1.5130887965368001" maxValue="10.1264871861472"/>
    </cacheField>
    <cacheField name="GPS/OL" numFmtId="164">
      <sharedItems containsString="0" containsBlank="1" containsNumber="1" minValue="1.4145795334295299" maxValue="9.1933838383838395"/>
    </cacheField>
    <cacheField name="RUN/E2E" numFmtId="164">
      <sharedItems containsString="0" containsBlank="1" containsNumber="1" minValue="0.74844881294348398" maxValue="3.5894180532368498"/>
    </cacheField>
    <cacheField name="N/E2E" numFmtId="43">
      <sharedItems containsString="0" containsBlank="1" containsNumber="1" minValue="0.99286914873038201" maxValue="7.7317986778095102"/>
    </cacheField>
    <cacheField name="Field26" numFmtId="0">
      <sharedItems containsNonDate="0" containsString="0" containsBlank="1"/>
    </cacheField>
    <cacheField name="Tokens load" numFmtId="0">
      <sharedItems containsString="0" containsBlank="1" containsNumber="1" containsInteger="1" minValue="1150" maxValue="15150"/>
    </cacheField>
    <cacheField name="C(R)" numFmtId="167">
      <sharedItems containsString="0" containsBlank="1" containsNumber="1" minValue="385121.99534087698" maxValue="391917.49873219902"/>
    </cacheField>
    <cacheField name="C(MaxR)" numFmtId="167">
      <sharedItems containsString="0" containsBlank="1" containsNumber="1" minValue="378219.64656411402" maxValue="397017.22391084098"/>
    </cacheField>
    <cacheField name="C(N)" numFmtId="43">
      <sharedItems containsString="0" containsBlank="1" containsNumber="1" minValue="175359.16311325901" maxValue="620084.00909880002"/>
    </cacheField>
    <cacheField name="N(maxT)" numFmtId="43">
      <sharedItems containsString="0" containsBlank="1" containsNumber="1" minValue="25.619948446786701" maxValue="337.51497301636402"/>
    </cacheField>
    <cacheField name="N%" numFmtId="10">
      <sharedItems containsString="0" containsBlank="1" containsNumber="1" minValue="1.2597504655165299E-2" maxValue="1.59567316145106"/>
    </cacheField>
    <cacheField name="Column1" numFmtId="43">
      <sharedItems containsMixedTypes="1" containsNumber="1" minValue="1.46579831367824" maxValue="167.83869020886499"/>
    </cacheField>
    <cacheField name="Column2" numFmtId="169">
      <sharedItems containsMixedTypes="1" containsNumber="1" minValue="1.1916203573271E-2" maxValue="1.48157312368068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1000"/>
    <n v="300"/>
    <n v="2"/>
    <n v="0"/>
    <n v="3.7026038223119902E-2"/>
    <n v="3.20889051665137E-2"/>
    <n v="0.59547004836481099"/>
    <n v="0.73050089677174901"/>
    <n v="0.97615059534708504"/>
    <x v="0"/>
    <n v="2.0093213791123201"/>
    <n v="2261.52833333333"/>
    <n v="633.58861111111105"/>
    <n v="3.40686274509804"/>
    <n v="8"/>
    <x v="0"/>
    <n v="2.4075510731833401E-2"/>
    <n v="2.0109485637450399"/>
    <n v="4.1792764755419096"/>
    <n v="7.2569968219717104E-2"/>
    <n v="4.2518464437616297"/>
    <n v="2.26152833333333"/>
    <n v="2.1119620370370402"/>
    <n v="1.6955290380691299"/>
    <n v="2.1160609188561099"/>
    <m/>
    <n v="1150"/>
    <n v="385978.02671262401"/>
    <n v="382131.04189044097"/>
    <n v="202643.17419618001"/>
    <n v="337.51497301636402"/>
    <n v="1.2597504655165299E-2"/>
    <n v="167.83869020886499"/>
    <n v="1.1916203573271E-2"/>
  </r>
  <r>
    <n v="2000"/>
    <n v="300"/>
    <n v="2"/>
    <n v="0"/>
    <n v="6.0708237632462601E-2"/>
    <n v="5.4781456020521702E-2"/>
    <n v="0.61998406863458499"/>
    <n v="0.76988332271575899"/>
    <n v="0.84733685811360704"/>
    <x v="1"/>
    <n v="2.2369354792963598"/>
    <n v="4844.90333333333"/>
    <n v="679.72083333333296"/>
    <n v="3.5821078431372499"/>
    <n v="7.6666666666666696"/>
    <x v="1"/>
    <n v="4.24877165761572E-2"/>
    <n v="2.2389026853939602"/>
    <n v="4.9486423404358"/>
    <n v="0.132705429439339"/>
    <n v="5.0813477698751397"/>
    <n v="2.42245166666667"/>
    <n v="2.2657361111111101"/>
    <n v="1.6013460720217201"/>
    <n v="2.2715665323854202"/>
    <m/>
    <n v="2150"/>
    <n v="385121.99534087698"/>
    <n v="387955.26475958602"/>
    <n v="256662.22545212501"/>
    <n v="180.53126463666001"/>
    <n v="2.8146635875519601E-2"/>
    <n v="80.633814865827205"/>
    <n v="2.48034897434526E-2"/>
  </r>
  <r>
    <n v="3000"/>
    <n v="300"/>
    <n v="2"/>
    <n v="0"/>
    <n v="8.9187976034611899E-2"/>
    <n v="8.1037995716015901E-2"/>
    <n v="0.68898616983040495"/>
    <n v="0.89063829183578502"/>
    <n v="0.99142997741699201"/>
    <x v="2"/>
    <n v="2.55314819235437"/>
    <n v="7408.6961111111104"/>
    <n v="691.59111111111099"/>
    <n v="4.8786764705882399"/>
    <n v="11"/>
    <x v="2"/>
    <n v="8.9604344453064394E-2"/>
    <n v="2.55555744008679"/>
    <n v="5.7045188399947904"/>
    <n v="0.20012862790449501"/>
    <n v="5.90464746789928"/>
    <n v="2.4695653703703702"/>
    <n v="2.3053037037037001"/>
    <n v="1.9108473551194001"/>
    <n v="2.3126928102259301"/>
    <m/>
    <n v="3150"/>
    <n v="385648.24464087602"/>
    <n v="386700"/>
    <n v="207240.177282074"/>
    <n v="123.219752053593"/>
    <n v="4.7919650620065403E-2"/>
    <n v="48.2163891606398"/>
    <n v="4.1479671846365598E-2"/>
  </r>
  <r>
    <n v="4000"/>
    <n v="300"/>
    <n v="2"/>
    <n v="0"/>
    <n v="0.120179948917643"/>
    <n v="0.10961615169576"/>
    <n v="0.74510267118587203"/>
    <n v="1.01989855766296"/>
    <n v="1.2181447839736901"/>
    <x v="3"/>
    <n v="2.8195524820219502"/>
    <n v="9242.0788888888892"/>
    <n v="646.99833333333299"/>
    <n v="5.1323529411764701"/>
    <n v="10.6666666666667"/>
    <x v="3"/>
    <n v="0.11567106283941"/>
    <n v="2.8185466779098198"/>
    <n v="5.8422451185876296"/>
    <n v="0.25327028036715599"/>
    <n v="6.0955153989547801"/>
    <n v="2.31051972222222"/>
    <n v="2.1566611111111098"/>
    <n v="1.8202721793268299"/>
    <n v="2.1618733603368101"/>
    <m/>
    <n v="4150"/>
    <n v="386499.19174109498"/>
    <n v="382694.38855354401"/>
    <n v="218364.02072897201"/>
    <n v="93.528245534655198"/>
    <n v="6.5172989871773099E-2"/>
    <n v="33.183145862964302"/>
    <n v="6.0271560998446397E-2"/>
  </r>
  <r>
    <n v="5000"/>
    <n v="300"/>
    <n v="2"/>
    <n v="0"/>
    <n v="0.15427486259356099"/>
    <n v="0.14188560392014299"/>
    <n v="0.84892997103396595"/>
    <n v="1.34304271539052"/>
    <n v="1.5120748329162601"/>
    <x v="4"/>
    <n v="3.3648584072408001"/>
    <n v="12072.1086111111"/>
    <n v="673.46"/>
    <n v="5.875"/>
    <n v="12.6666666666667"/>
    <x v="4"/>
    <n v="0.16894233255753799"/>
    <n v="3.36580920584522"/>
    <n v="7.2372786298415299"/>
    <n v="0.34257168417541101"/>
    <n v="7.57985031401694"/>
    <n v="2.4144217222222202"/>
    <n v="2.2448666666666699"/>
    <n v="1.7459872865252399"/>
    <n v="2.2526506011979399"/>
    <m/>
    <n v="5150"/>
    <n v="387041.43660519301"/>
    <n v="386127.81264350202"/>
    <n v="230758.287602567"/>
    <n v="75.367421158994006"/>
    <n v="0.10057197390403699"/>
    <n v="22.392065785579099"/>
    <n v="8.9317351027435404E-2"/>
  </r>
  <r>
    <n v="6000"/>
    <n v="300"/>
    <n v="2"/>
    <n v="0"/>
    <n v="0.18643617367521401"/>
    <n v="0.172647181184231"/>
    <n v="1.26619539333366"/>
    <n v="2.3803513328234298"/>
    <n v="2.7856695540746101"/>
    <x v="5"/>
    <n v="4.2964526845534996"/>
    <n v="16270.848174603199"/>
    <n v="751.35365079365101"/>
    <n v="8.5368464052287596"/>
    <n v="18"/>
    <x v="5"/>
    <n v="0.28603568657874301"/>
    <n v="4.3030973229303804"/>
    <n v="10.344762644740401"/>
    <n v="0.46818601213696998"/>
    <n v="10.812948656877399"/>
    <n v="2.71180802910053"/>
    <n v="2.5045121693121701"/>
    <n v="1.98695226783719"/>
    <n v="2.5167154047225599"/>
    <m/>
    <n v="6150"/>
    <n v="386972.80567931099"/>
    <n v="387014.64605370199"/>
    <n v="232241.67282248501"/>
    <n v="63.112555929889297"/>
    <n v="0.17132801068759301"/>
    <n v="14.6667739987136"/>
    <n v="0.136362638449016"/>
  </r>
  <r>
    <n v="7000"/>
    <n v="300"/>
    <n v="2"/>
    <n v="0"/>
    <n v="0.23248837006197501"/>
    <n v="0.21039942635422901"/>
    <n v="1.39725201494921"/>
    <n v="3.0287375291188501"/>
    <n v="3.32205493927002"/>
    <x v="6"/>
    <n v="4.9579540108612301"/>
    <n v="18386.626031746"/>
    <n v="703.13619047619"/>
    <n v="9.9930555555555607"/>
    <n v="19"/>
    <x v="6"/>
    <n v="0.35277993276441699"/>
    <n v="5.06139992119944"/>
    <n v="11.3697133598119"/>
    <n v="0.55264793852415595"/>
    <n v="11.922361298336099"/>
    <n v="2.6266608616779998"/>
    <n v="2.3437873015872999"/>
    <n v="2.0155603568859499"/>
    <n v="2.40469380559363"/>
    <m/>
    <n v="7150"/>
    <n v="386932.48629635799"/>
    <n v="385084.26183844003"/>
    <n v="241402.58042737001"/>
    <n v="54.285625030604002"/>
    <n v="0.21962280606725501"/>
    <n v="10.7254170537347"/>
    <n v="0.18647293526955"/>
  </r>
  <r>
    <n v="8000"/>
    <n v="300"/>
    <n v="2"/>
    <n v="0"/>
    <n v="0.28995406362148402"/>
    <n v="0.247471040808591"/>
    <n v="1.4878297557159501"/>
    <n v="2.38486715952555"/>
    <n v="2.6166748650868699"/>
    <x v="7"/>
    <n v="6.5415801912346998"/>
    <n v="21109.800952381"/>
    <n v="715.05142857142903"/>
    <n v="13.1111111111111"/>
    <n v="27.6666666666667"/>
    <x v="7"/>
    <n v="0.58376002068787203"/>
    <n v="6.5438287635550996"/>
    <n v="15.007398614822099"/>
    <n v="0.65300805161848796"/>
    <n v="15.660406666440601"/>
    <n v="2.6387251190476202"/>
    <n v="2.38350476190476"/>
    <n v="2.0042727793322999"/>
    <n v="2.3939791623168598"/>
    <m/>
    <n v="8150"/>
    <n v="387694.93719976"/>
    <n v="386260.321608931"/>
    <n v="218470.533445351"/>
    <n v="47.624812143413401"/>
    <n v="0.32882873362906301"/>
    <n v="7.2778206557990597"/>
    <n v="0.27480754123919998"/>
  </r>
  <r>
    <n v="9000"/>
    <n v="300"/>
    <n v="2"/>
    <n v="0"/>
    <n v="0.31103301268871297"/>
    <n v="0.27097875811431299"/>
    <n v="1.44344058315041"/>
    <n v="2.1836857676506001"/>
    <n v="2.3837302366892499"/>
    <x v="8"/>
    <n v="7.8049970651244802"/>
    <n v="21954.551111111101"/>
    <n v="664.26222222222202"/>
    <n v="14.1666666666667"/>
    <n v="25"/>
    <x v="8"/>
    <n v="0.59260408585466795"/>
    <n v="7.7650643249552598"/>
    <n v="16.593459773844199"/>
    <n v="0.661024110560677"/>
    <n v="17.254483884404799"/>
    <n v="2.4393945679012301"/>
    <n v="2.2142074074074101"/>
    <n v="1.8150764886214199"/>
    <n v="2.2106970368386198"/>
    <m/>
    <n v="9150"/>
    <n v="387355.55351631797"/>
    <n v="386008.13841857202"/>
    <n v="266247.52966083097"/>
    <n v="42.419914641401"/>
    <n v="0.40675432825045799"/>
    <n v="5.46291863997474"/>
    <n v="0.36610466525440499"/>
  </r>
  <r>
    <n v="10000"/>
    <n v="300"/>
    <n v="2"/>
    <n v="0"/>
    <n v="1.3162716745102501"/>
    <n v="0.34317679329223799"/>
    <n v="2.6800668145139301"/>
    <n v="5.5133614261945096"/>
    <n v="6.1796992651621503"/>
    <x v="9"/>
    <n v="14.0648739007001"/>
    <n v="25051.397142857099"/>
    <n v="670.70222222222196"/>
    <n v="24.093055555555601"/>
    <n v="36.6666666666667"/>
    <x v="9"/>
    <n v="0.96374450478407003"/>
    <n v="13.3346068324039"/>
    <n v="29.044603323589001"/>
    <n v="0.85970581389760403"/>
    <n v="29.904309137486599"/>
    <n v="2.5051397142857099"/>
    <n v="2.2356740740740699"/>
    <n v="1.7129947787414099"/>
    <n v="2.1261697295414899"/>
    <m/>
    <n v="10150"/>
    <n v="387084.46380916802"/>
    <n v="386167.35537190101"/>
    <n v="314813.50126233097"/>
    <n v="38.2406127062876"/>
    <n v="0.782003922561882"/>
    <n v="2.8677720450940201"/>
    <n v="0.69740550104791499"/>
  </r>
  <r>
    <n v="11000"/>
    <n v="300"/>
    <n v="2"/>
    <n v="0"/>
    <n v="1.7155508230327801"/>
    <n v="0.38150473381773797"/>
    <n v="3.1402686691967698"/>
    <n v="5.7949740290641802"/>
    <n v="6.3687061834335301"/>
    <x v="10"/>
    <n v="15.0939510999678"/>
    <n v="27245.546666666702"/>
    <n v="646.85777777777798"/>
    <n v="24.9791666666667"/>
    <n v="34"/>
    <x v="10"/>
    <n v="0.98143263511766199"/>
    <n v="14.5714031829103"/>
    <n v="30.596153925574502"/>
    <n v="0.94493682079867602"/>
    <n v="31.5410907463732"/>
    <n v="2.4768678787878802"/>
    <n v="2.15619259259259"/>
    <n v="1.6549123884944901"/>
    <n v="2.08965104878606"/>
    <m/>
    <n v="11150"/>
    <n v="387327.83217129001"/>
    <n v="386272.054173693"/>
    <n v="358192.104806863"/>
    <n v="34.810961342494998"/>
    <n v="0.90606778813286803"/>
    <n v="2.38899170557041"/>
    <n v="0.83717327077218495"/>
  </r>
  <r>
    <n v="12000"/>
    <n v="300"/>
    <n v="2"/>
    <n v="0"/>
    <n v="3.5051964294542102"/>
    <n v="0.55509771442608802"/>
    <n v="5.0868831865476398"/>
    <n v="11.4102446635564"/>
    <n v="12.3404813305537"/>
    <x v="11"/>
    <n v="18.024079743383901"/>
    <n v="27444.9666666667"/>
    <n v="617.20000000000005"/>
    <n v="24.5490196078431"/>
    <n v="31.6666666666667"/>
    <x v="11"/>
    <n v="0.99200930954228095"/>
    <n v="15.310390488635401"/>
    <n v="30.356555667473302"/>
    <n v="1.26955318909724"/>
    <n v="31.6261088565706"/>
    <n v="2.2870805555555598"/>
    <n v="2.0573333333333301"/>
    <n v="1.3620123721908399"/>
    <n v="1.7546587291470199"/>
    <m/>
    <n v="12150"/>
    <n v="387150.476829822"/>
    <n v="387849.18276374397"/>
    <n v="387160.46909497102"/>
    <n v="31.9458616435242"/>
    <n v="0.98999079159229897"/>
    <n v="2.0865478034173499"/>
    <n v="0.95852105411838395"/>
  </r>
  <r>
    <n v="13000"/>
    <n v="300"/>
    <n v="2"/>
    <n v="0"/>
    <n v="9.1159876795979198"/>
    <n v="0.65528987854474097"/>
    <n v="10.954635734701"/>
    <n v="19.046502681573202"/>
    <n v="19.7753710349401"/>
    <x v="12"/>
    <n v="24.2800043031793"/>
    <n v="28724.251960784299"/>
    <n v="573.862745098039"/>
    <n v="25.1165577342048"/>
    <n v="29"/>
    <x v="12"/>
    <n v="0.98924230669769897"/>
    <n v="17.119369520507899"/>
    <n v="31.493739796165698"/>
    <n v="1.4479008906669899"/>
    <n v="32.941640686832699"/>
    <n v="2.2095578431372598"/>
    <n v="1.9128758169934601"/>
    <n v="1.0344544185651501"/>
    <n v="1.35673949129075"/>
    <m/>
    <n v="13150"/>
    <n v="387199.49063833797"/>
    <n v="385497.05913107097"/>
    <n v="437673.74986577302"/>
    <n v="29.516518552761902"/>
    <n v="1.11604085786568"/>
    <n v="1.7241592055947501"/>
    <n v="1.15998568665246"/>
  </r>
  <r>
    <n v="14000"/>
    <n v="300"/>
    <n v="2"/>
    <n v="0"/>
    <n v="11.6442189975528"/>
    <n v="0.60584197872183498"/>
    <n v="12.454836155189399"/>
    <n v="22.9439738432566"/>
    <n v="23.639374065399199"/>
    <x v="13"/>
    <n v="27.865864387883999"/>
    <n v="27878.763123494999"/>
    <n v="541.92778351106494"/>
    <n v="23.9465886939571"/>
    <n v="27"/>
    <x v="13"/>
    <n v="0.99237134729764698"/>
    <n v="16.850286199068201"/>
    <n v="29.344385502338099"/>
    <n v="1.2064375010754"/>
    <n v="30.550823003413502"/>
    <n v="1.99134022310679"/>
    <n v="1.80642594503688"/>
    <n v="0.85935208614483105"/>
    <n v="1.0963529635454901"/>
    <m/>
    <n v="14150"/>
    <n v="387118.934149215"/>
    <n v="384986.93159609102"/>
    <n v="435434.96197249001"/>
    <n v="27.430545510163899"/>
    <n v="1.1137519300187999"/>
    <n v="1.6278978995431399"/>
    <n v="1.22857827911768"/>
  </r>
  <r>
    <n v="15000"/>
    <n v="300"/>
    <n v="2"/>
    <n v="0"/>
    <n v="13.6280866776283"/>
    <n v="0.66836240618394505"/>
    <n v="13.5788930350445"/>
    <n v="27.903930230935401"/>
    <n v="28.690085995992"/>
    <x v="14"/>
    <n v="29.740709199202701"/>
    <n v="27945.355204678399"/>
    <n v="504.75730994152099"/>
    <n v="22.2593984962406"/>
    <n v="25.3333333333333"/>
    <x v="14"/>
    <n v="0.98259632790276696"/>
    <n v="17.478494965993399"/>
    <n v="28.2834576354993"/>
    <n v="1.2451749897509199"/>
    <n v="29.5286326252502"/>
    <n v="1.86302368031189"/>
    <n v="1.68252436647174"/>
    <n v="0.74844881294348398"/>
    <n v="0.99286914873038201"/>
    <m/>
    <n v="15150"/>
    <n v="387555.24866461701"/>
    <n v="390597.83667131601"/>
    <n v="455092.28492489102"/>
    <n v="25.619948446786701"/>
    <n v="1.1525640922573199"/>
    <n v="1.46579831367824"/>
    <n v="1.36444419490513"/>
  </r>
  <r>
    <m/>
    <m/>
    <m/>
    <m/>
    <m/>
    <m/>
    <m/>
    <m/>
    <m/>
    <x v="15"/>
    <m/>
    <m/>
    <m/>
    <m/>
    <m/>
    <x v="15"/>
    <m/>
    <n v="0"/>
    <m/>
    <m/>
    <m/>
    <m/>
    <m/>
    <m/>
    <m/>
    <m/>
    <m/>
    <m/>
    <m/>
    <m/>
    <m/>
    <m/>
    <e v="#DIV/0!"/>
    <e v="#DIV/0!"/>
  </r>
  <r>
    <m/>
    <m/>
    <m/>
    <m/>
    <m/>
    <m/>
    <m/>
    <m/>
    <m/>
    <x v="15"/>
    <m/>
    <m/>
    <m/>
    <m/>
    <m/>
    <x v="15"/>
    <m/>
    <n v="0"/>
    <m/>
    <m/>
    <m/>
    <m/>
    <m/>
    <m/>
    <m/>
    <m/>
    <m/>
    <m/>
    <m/>
    <m/>
    <m/>
    <m/>
    <e v="#DIV/0!"/>
    <e v="#DIV/0!"/>
  </r>
  <r>
    <n v="5000"/>
    <n v="100"/>
    <n v="2"/>
    <n v="0"/>
    <n v="0.15310316644821001"/>
    <n v="0.14001906340436099"/>
    <n v="1.1558934795849101"/>
    <n v="2.3622004191080701"/>
    <n v="2.7759022140502898"/>
    <x v="16"/>
    <n v="1.10502210299121"/>
    <n v="13843.5810897436"/>
    <n v="258.153205128205"/>
    <n v="2.11904761904762"/>
    <n v="6.3333333333333304"/>
    <x v="16"/>
    <n v="8.2699767261443E-2"/>
    <n v="1.1037415695950801"/>
    <n v="2.4878805382732101"/>
    <n v="0.387673051669643"/>
    <n v="2.8755535899428502"/>
    <n v="2.7687162179487199"/>
    <n v="2.5815320512820499"/>
    <n v="1.9176517947573399"/>
    <n v="2.6022588889027198"/>
    <m/>
    <n v="5050"/>
    <n v="386674.69621719199"/>
    <n v="386740.30644152599"/>
    <n v="175359.16311325901"/>
    <n v="76.859845340360195"/>
    <n v="3.7412950510230303E-2"/>
    <n v="69.635725841654207"/>
    <n v="2.87208896845253E-2"/>
  </r>
  <r>
    <n v="5000"/>
    <n v="200"/>
    <n v="2"/>
    <n v="0"/>
    <n v="0.15337052458484801"/>
    <n v="0.14131639997156401"/>
    <n v="1.0886227086385301"/>
    <n v="2.1854217251141899"/>
    <n v="2.5071182203292799"/>
    <x v="17"/>
    <n v="2.21300169078844"/>
    <n v="12979.142261904801"/>
    <n v="482.27559523809498"/>
    <n v="4.7281045751633997"/>
    <n v="10"/>
    <x v="17"/>
    <n v="0.131574864235842"/>
    <n v="2.2333332968073401"/>
    <n v="5.04464347084813"/>
    <n v="0.366833131834232"/>
    <n v="5.4114766026823702"/>
    <n v="2.5958284523809501"/>
    <n v="2.4113779761904799"/>
    <n v="2.13651195787333"/>
    <n v="2.4453106498777202"/>
    <m/>
    <n v="5100"/>
    <n v="387044.31075148599"/>
    <n v="387612.02830188698"/>
    <n v="209476.54037547301"/>
    <n v="76.106317444866406"/>
    <n v="7.1104170906739705E-2"/>
    <n v="34.077456129662401"/>
    <n v="5.8689826857677901E-2"/>
  </r>
  <r>
    <n v="5000"/>
    <n v="300"/>
    <n v="2"/>
    <n v="0"/>
    <n v="0.16116826119435401"/>
    <n v="0.144551321959379"/>
    <n v="0.79212661878774704"/>
    <n v="1.0923022747039799"/>
    <n v="1.25332887013753"/>
    <x v="18"/>
    <n v="3.5331056238159402"/>
    <n v="12742.9708333333"/>
    <n v="714.52499999999998"/>
    <n v="7.1372549019607803"/>
    <n v="16.3333333333333"/>
    <x v="18"/>
    <n v="0.21825704680631"/>
    <n v="3.5472467276209398"/>
    <n v="8.1043697824344196"/>
    <n v="0.36840265592962901"/>
    <n v="8.4727724383640499"/>
    <n v="2.5485941666666698"/>
    <n v="2.3817499999999998"/>
    <n v="2.0201079905027499"/>
    <n v="2.3981090124367701"/>
    <m/>
    <n v="5150"/>
    <n v="386623.68997904001"/>
    <n v="385401.83649289102"/>
    <n v="199670.60993847199"/>
    <n v="75.367421158994006"/>
    <n v="0.11241956150377"/>
    <n v="21.246737807138999"/>
    <n v="9.4132097743870602E-2"/>
  </r>
  <r>
    <n v="5000"/>
    <n v="400"/>
    <n v="2"/>
    <n v="0"/>
    <n v="0.15893258931756399"/>
    <n v="0.14438882254426599"/>
    <n v="0.86264109190174798"/>
    <n v="1.3129658778508499"/>
    <n v="1.5561990388234399"/>
    <x v="19"/>
    <n v="4.5276417927164196"/>
    <n v="11301.0375"/>
    <n v="830.43333333333305"/>
    <n v="7.9607843137254903"/>
    <n v="17"/>
    <x v="19"/>
    <n v="0.228652702353245"/>
    <n v="4.5747222863310402"/>
    <n v="9.1977414652766498"/>
    <n v="0.32634869963072"/>
    <n v="9.5240901649073706"/>
    <n v="2.2602074999999999"/>
    <n v="2.0760833333333299"/>
    <n v="1.75826283928467"/>
    <n v="2.1035432132084102"/>
    <m/>
    <n v="5200"/>
    <n v="386938.262476895"/>
    <n v="386612.53110156098"/>
    <n v="216310.58198114601"/>
    <n v="74.642734417080604"/>
    <n v="0.12759567611349401"/>
    <n v="16.316342226960501"/>
    <n v="0.12257649246258601"/>
  </r>
  <r>
    <n v="5000"/>
    <n v="500"/>
    <n v="2"/>
    <n v="0"/>
    <n v="0.50221464618893996"/>
    <n v="0.34444617464136201"/>
    <n v="3.80244521559773"/>
    <n v="8.4403578162193291"/>
    <n v="9.3858100938796998"/>
    <x v="20"/>
    <n v="7.4567372525505498"/>
    <n v="16988.75"/>
    <n v="1554.07321428571"/>
    <n v="15.6789215686274"/>
    <n v="35"/>
    <x v="20"/>
    <n v="0.48582880786139099"/>
    <n v="8.0474633093639305"/>
    <n v="23.942105196512401"/>
    <n v="1.1703419898876899"/>
    <n v="25.1124471864001"/>
    <n v="3.3977499999999998"/>
    <n v="3.10814642857143"/>
    <n v="2.1026517413181698"/>
    <n v="3.3677527229232198"/>
    <m/>
    <n v="5250"/>
    <n v="388841.367184342"/>
    <n v="378219.64656411402"/>
    <n v="270769.785781538"/>
    <n v="73.931851232156006"/>
    <n v="0.339670206654824"/>
    <n v="9.1869758692940895"/>
    <n v="0.21769949420294701"/>
  </r>
  <r>
    <n v="5000"/>
    <n v="600"/>
    <n v="2"/>
    <n v="0"/>
    <n v="0.17005826780993499"/>
    <n v="0.24551542522963199"/>
    <n v="0.85443627847475501"/>
    <n v="1.25501197179158"/>
    <n v="1.4356961647669499"/>
    <x v="21"/>
    <n v="9.7387336150591608"/>
    <n v="12520.516666666699"/>
    <n v="1383.0625"/>
    <n v="17.6666666666667"/>
    <n v="32"/>
    <x v="21"/>
    <n v="0.43791052495474497"/>
    <n v="9.2061279632512498"/>
    <n v="20.655145297279201"/>
    <n v="0.61479599470227297"/>
    <n v="21.2699412919815"/>
    <n v="2.50410333333333"/>
    <n v="2.3051041666666698"/>
    <n v="1.8140620089811701"/>
    <n v="2.18405617534208"/>
    <m/>
    <n v="5300"/>
    <n v="387976.38241949398"/>
    <n v="387293.72859336197"/>
    <n v="257007.41049948899"/>
    <n v="73.234380937512995"/>
    <n v="0.29043655479425701"/>
    <n v="7.9549601341462797"/>
    <n v="0.251415464851307"/>
  </r>
  <r>
    <n v="5000"/>
    <n v="700"/>
    <n v="2"/>
    <n v="0"/>
    <n v="0.176196579078579"/>
    <n v="0.15544193767139"/>
    <n v="0.99250126931340699"/>
    <n v="2.0728516777356498"/>
    <n v="2.4672814178466802"/>
    <x v="22"/>
    <n v="11.325994664118999"/>
    <n v="12397.2552777778"/>
    <n v="1573.9455555555601"/>
    <n v="21.506127450980401"/>
    <n v="38.6666666666667"/>
    <x v="22"/>
    <n v="0.53491078355314203"/>
    <n v="11.407984073110899"/>
    <n v="25.301269546823701"/>
    <n v="0.385410676436928"/>
    <n v="25.686680223260598"/>
    <n v="2.4794510555555598"/>
    <n v="2.2484936507936499"/>
    <n v="1.8988290290399199"/>
    <n v="2.2679403429913898"/>
    <m/>
    <n v="5350"/>
    <n v="387987.06186542002"/>
    <n v="386731.15784384799"/>
    <n v="256657.464532218"/>
    <n v="72.549947470807297"/>
    <n v="0.35405511814597002"/>
    <n v="6.3595765041266903"/>
    <n v="0.31448634963385003"/>
  </r>
  <r>
    <n v="5000"/>
    <n v="800"/>
    <n v="2"/>
    <n v="0"/>
    <n v="0.23137368829244701"/>
    <n v="0.15481857555113501"/>
    <n v="1.10258211708091"/>
    <n v="2.8050277670224499"/>
    <n v="3.1549166059494"/>
    <x v="23"/>
    <n v="12.9253107103199"/>
    <n v="11441.094607843101"/>
    <n v="1689.06985294118"/>
    <n v="22.738562091503301"/>
    <n v="35.3333333333333"/>
    <x v="23"/>
    <n v="0.49519006982156699"/>
    <n v="13.0748034557507"/>
    <n v="27.278446202001199"/>
    <n v="0.35425879398640903"/>
    <n v="27.632704995987599"/>
    <n v="2.2882189215686299"/>
    <n v="2.1113373161764701"/>
    <n v="1.75922750339365"/>
    <n v="2.1378754921477401"/>
    <m/>
    <n v="5400"/>
    <n v="388328.94095749903"/>
    <n v="385306.59564468102"/>
    <n v="301045.82572597801"/>
    <n v="71.878188697929403"/>
    <n v="0.384437970635501"/>
    <n v="5.4974584467895102"/>
    <n v="0.363804477897962"/>
  </r>
  <r>
    <n v="5000"/>
    <n v="900"/>
    <n v="2"/>
    <n v="0"/>
    <n v="0.174360444004624"/>
    <n v="0.19344804233874499"/>
    <n v="0.90162968768440099"/>
    <n v="1.5425634225209599"/>
    <n v="1.7170548375447601"/>
    <x v="24"/>
    <n v="16.094139975212599"/>
    <n v="11075.8431372549"/>
    <n v="1852.61176470588"/>
    <n v="27.8888888888889"/>
    <n v="42.3333333333333"/>
    <x v="24"/>
    <n v="0.59490561158520805"/>
    <n v="16.359186998386601"/>
    <n v="33.276486861264999"/>
    <n v="0.428520034430598"/>
    <n v="33.705006895695597"/>
    <n v="2.2151686274509799"/>
    <n v="2.0584575163398702"/>
    <n v="1.7328598441322101"/>
    <n v="2.0942409440707199"/>
    <m/>
    <n v="5450"/>
    <n v="388189.81800836598"/>
    <n v="387820.62595088"/>
    <n v="308451.37445768499"/>
    <n v="71.2187557740952"/>
    <n v="0.47326026029726398"/>
    <n v="4.3534410225348603"/>
    <n v="0.45940670601653599"/>
  </r>
  <r>
    <n v="5000"/>
    <n v="1000"/>
    <n v="2"/>
    <n v="0"/>
    <n v="0.188289233753448"/>
    <n v="0.16248296045972299"/>
    <n v="1.1704781419399799"/>
    <n v="3.2295448025067599"/>
    <n v="4.1053449932734196"/>
    <x v="25"/>
    <n v="20.6583734287928"/>
    <n v="11753.0101851852"/>
    <n v="2126.0847222222201"/>
    <n v="34.896800825593402"/>
    <n v="54"/>
    <x v="25"/>
    <n v="0.76237393328161396"/>
    <n v="21.034665913789301"/>
    <n v="44.376029296501102"/>
    <n v="0.381932777840433"/>
    <n v="44.757962074341499"/>
    <n v="2.35060203703704"/>
    <n v="2.1260847222222199"/>
    <n v="1.6892327436077601"/>
    <n v="2.1665772587864902"/>
    <m/>
    <n v="5500"/>
    <n v="388636.25936811499"/>
    <n v="389572.60608527501"/>
    <n v="322647.21323977399"/>
    <n v="70.571312539785296"/>
    <n v="0.63422317742933798"/>
    <n v="3.3550003992942998"/>
    <n v="0.59612511534147195"/>
  </r>
  <r>
    <n v="5000"/>
    <n v="1100"/>
    <n v="2"/>
    <n v="0"/>
    <n v="0.235042102962048"/>
    <n v="0.201412869795107"/>
    <n v="1.3894296544767499"/>
    <n v="3.5152292529741902"/>
    <n v="3.6208382987976102"/>
    <x v="26"/>
    <n v="20.971273956765199"/>
    <n v="10473.4808278867"/>
    <n v="2125.9195642701502"/>
    <n v="30.688961988304101"/>
    <n v="46"/>
    <x v="26"/>
    <n v="0.65254719420739604"/>
    <n v="20.844059499445699"/>
    <n v="39.8950966620814"/>
    <n v="0.42189876605773802"/>
    <n v="40.316995428139101"/>
    <n v="2.0946961655773402"/>
    <n v="1.9326541493364999"/>
    <n v="1.46338091102968"/>
    <n v="1.92248670782983"/>
    <m/>
    <n v="5550"/>
    <n v="389490.98608786199"/>
    <n v="391236.07038123201"/>
    <n v="342545.76877974899"/>
    <n v="69.935534949336699"/>
    <n v="0.57648798221599196"/>
    <n v="3.35517824400744"/>
    <n v="0.59609351710959901"/>
  </r>
  <r>
    <n v="5000"/>
    <n v="1200"/>
    <n v="2"/>
    <n v="0"/>
    <n v="0.18824029019694399"/>
    <n v="0.164324926119371"/>
    <n v="1.04800992424897"/>
    <n v="2.0461770534515402"/>
    <n v="2.38565671920776"/>
    <x v="27"/>
    <n v="24.388625301044399"/>
    <n v="9556.6426785918993"/>
    <n v="2145.7577571379402"/>
    <n v="35.480311890838202"/>
    <n v="55"/>
    <x v="27"/>
    <n v="0.79175071114559104"/>
    <n v="24.556384173609501"/>
    <n v="43.616208619058497"/>
    <n v="0.31407892042176799"/>
    <n v="43.930287539480297"/>
    <n v="1.91132853571838"/>
    <n v="1.78813146428162"/>
    <n v="1.45478933121002"/>
    <n v="1.80126132560653"/>
    <m/>
    <n v="5600"/>
    <n v="388998.25635439402"/>
    <n v="389011.33357285202"/>
    <n v="310477.98177933501"/>
    <n v="69.311110530146195"/>
    <n v="0.63381306695949202"/>
    <n v="2.8225291655370901"/>
    <n v="0.70858435208389603"/>
  </r>
  <r>
    <n v="5000"/>
    <n v="1300"/>
    <n v="2"/>
    <n v="0"/>
    <n v="0.41800318059958003"/>
    <n v="0.17561969466664901"/>
    <n v="1.91991254140609"/>
    <n v="5.2925902485847498"/>
    <n v="5.6682829332351696"/>
    <x v="28"/>
    <n v="28.635474381773498"/>
    <n v="9893.9683430799196"/>
    <n v="2384.68245614035"/>
    <n v="39.140350877193001"/>
    <n v="63"/>
    <x v="28"/>
    <n v="0.91130074993535004"/>
    <n v="28.582934923649201"/>
    <n v="52.109558655848602"/>
    <n v="0.34751513989063698"/>
    <n v="52.457073795739298"/>
    <n v="1.9787936686159799"/>
    <n v="1.83437112010796"/>
    <n v="1.36684834884753"/>
    <n v="1.8318912093570301"/>
    <m/>
    <n v="5650"/>
    <n v="389842.15844594198"/>
    <n v="390595.53064699197"/>
    <n v="324982.26532350399"/>
    <n v="68.697737870587403"/>
    <n v="0.76359244746250199"/>
    <n v="2.4034529013235701"/>
    <n v="0.83213613168729395"/>
  </r>
  <r>
    <n v="5000"/>
    <n v="1400"/>
    <n v="2"/>
    <n v="0"/>
    <n v="1.82496743722552"/>
    <n v="0.193290645337546"/>
    <n v="2.2599220545800001"/>
    <n v="6.5031854073206601"/>
    <n v="7.7864677302042704"/>
    <x v="29"/>
    <n v="35.467737052007799"/>
    <n v="9392.2722590790709"/>
    <n v="2441.3438891346"/>
    <n v="46.140067340067297"/>
    <n v="69.3333333333333"/>
    <x v="29"/>
    <n v="0.99542280837858799"/>
    <n v="34.711575997119802"/>
    <n v="60.193575004984197"/>
    <n v="0.36308767322866498"/>
    <n v="60.556662678212902"/>
    <n v="1.8784544518158099"/>
    <n v="1.7438170636675701"/>
    <n v="1.3009024870239201"/>
    <n v="1.7073731709868101"/>
    <m/>
    <n v="5700"/>
    <n v="390282.16534287803"/>
    <n v="397017.22391084098"/>
    <n v="346504.83492173598"/>
    <n v="68.095126134880502"/>
    <n v="0.88929510987709004"/>
    <n v="1.9617411246476"/>
    <n v="1.01950250972042"/>
  </r>
  <r>
    <n v="5000"/>
    <n v="1500"/>
    <n v="2"/>
    <n v="0"/>
    <n v="1.6748234095749299"/>
    <n v="0.20547268770167801"/>
    <n v="2.2110054026521402"/>
    <n v="7.0016373594601902"/>
    <n v="8.4012144899368302"/>
    <x v="30"/>
    <n v="38.719617624598399"/>
    <n v="9991.0628879891992"/>
    <n v="2529.55233468286"/>
    <n v="48.647619047619102"/>
    <n v="68.6666666666667"/>
    <x v="30"/>
    <n v="0.99756917507111498"/>
    <n v="38.277763696676203"/>
    <n v="64.203901738984499"/>
    <n v="0.41057810891832602"/>
    <n v="64.6144798479028"/>
    <n v="1.9982125775978401"/>
    <n v="1.6863682231219099"/>
    <n v="1.2564075275555799"/>
    <n v="1.66877887262124"/>
    <m/>
    <n v="5750"/>
    <n v="390681.97390996898"/>
    <n v="395795.44276233902"/>
    <n v="372129.90820139198"/>
    <n v="67.502994603272896"/>
    <n v="0.95720908720648101"/>
    <n v="1.76350413619212"/>
    <n v="1.13410564736102"/>
  </r>
  <r>
    <n v="5000"/>
    <n v="1600"/>
    <n v="2"/>
    <n v="0"/>
    <n v="1.36617891280683"/>
    <n v="0.18625423975646399"/>
    <n v="1.5875425631830999"/>
    <n v="5.1241823712984704"/>
    <n v="6.0669184684753397"/>
    <x v="31"/>
    <n v="39.494148024441699"/>
    <n v="8649.2764985994399"/>
    <n v="2556.0095611577999"/>
    <n v="46.273929773929801"/>
    <n v="66.3333333333333"/>
    <x v="31"/>
    <n v="0.98492371347297603"/>
    <n v="38.786827179892697"/>
    <n v="61.664645938223202"/>
    <n v="0.32219288373801902"/>
    <n v="61.9868388219612"/>
    <n v="1.7298552997198899"/>
    <n v="1.5975059757236201"/>
    <n v="1.17166547675094"/>
    <n v="1.56951958511928"/>
    <m/>
    <n v="5800"/>
    <n v="390424.50489328901"/>
    <n v="390622.46960905299"/>
    <n v="364765.21576840099"/>
    <n v="66.921072236003297"/>
    <n v="0.92626786676936401"/>
    <n v="1.7253556710278"/>
    <n v="1.1591812827836201"/>
  </r>
  <r>
    <n v="5000"/>
    <n v="1700"/>
    <n v="2"/>
    <n v="0"/>
    <n v="3.2103631128871402"/>
    <n v="0.19055890054551"/>
    <n v="2.3143201234855599"/>
    <n v="7.9766825318336503"/>
    <n v="8.8034968773523996"/>
    <x v="32"/>
    <n v="44.130213181764702"/>
    <n v="7827.5383694083703"/>
    <n v="2467.4315440115402"/>
    <n v="47.339983687809799"/>
    <n v="67.3333333333333"/>
    <x v="32"/>
    <n v="0.99922420480993002"/>
    <n v="41.542351392016897"/>
    <n v="60.019245408750699"/>
    <n v="0.29832142113045002"/>
    <n v="60.317566829881201"/>
    <n v="1.56550767388167"/>
    <n v="1.45143032000679"/>
    <n v="1.0727340811345001"/>
    <n v="1.3668088704091099"/>
    <m/>
    <n v="5850"/>
    <n v="389851.787910296"/>
    <n v="394205.82298136601"/>
    <n v="352877.95376605698"/>
    <n v="66.3490972596272"/>
    <n v="0.90909400912955396"/>
    <n v="1.59714351827416"/>
    <n v="1.2522356175988301"/>
  </r>
  <r>
    <n v="5000"/>
    <n v="1800"/>
    <n v="2"/>
    <n v="0"/>
    <n v="3.2667168117106802"/>
    <n v="0.19339880353494801"/>
    <n v="1.9306123339336401"/>
    <n v="6.0410357594489996"/>
    <n v="6.8753524398803698"/>
    <x v="33"/>
    <n v="46.483889755176897"/>
    <n v="7565.4439826839798"/>
    <n v="2546.24316017316"/>
    <n v="45.810464897421397"/>
    <n v="67"/>
    <x v="33"/>
    <n v="0.998241530902508"/>
    <n v="43.653902154609902"/>
    <n v="61.478338552976197"/>
    <n v="0.29262956289234998"/>
    <n v="61.770968115868598"/>
    <n v="1.5130887965368001"/>
    <n v="1.4145795334295299"/>
    <n v="0.98551272577870896"/>
    <n v="1.3288683120368401"/>
    <m/>
    <n v="5900"/>
    <n v="390788.85640790401"/>
    <n v="395996.34733951598"/>
    <n v="364826.88207508501"/>
    <n v="65.786816774376106"/>
    <n v="0.93895663515259697"/>
    <n v="1.5070088474880801"/>
    <n v="1.32713222177405"/>
  </r>
  <r>
    <m/>
    <m/>
    <m/>
    <m/>
    <m/>
    <m/>
    <m/>
    <m/>
    <m/>
    <x v="15"/>
    <m/>
    <m/>
    <m/>
    <m/>
    <m/>
    <x v="15"/>
    <m/>
    <n v="0"/>
    <m/>
    <m/>
    <m/>
    <m/>
    <m/>
    <m/>
    <m/>
    <m/>
    <m/>
    <m/>
    <m/>
    <m/>
    <m/>
    <m/>
    <e v="#DIV/0!"/>
    <e v="#DIV/0!"/>
  </r>
  <r>
    <m/>
    <m/>
    <m/>
    <m/>
    <m/>
    <m/>
    <m/>
    <m/>
    <m/>
    <x v="15"/>
    <m/>
    <m/>
    <m/>
    <m/>
    <m/>
    <x v="15"/>
    <m/>
    <n v="0"/>
    <m/>
    <m/>
    <m/>
    <m/>
    <m/>
    <m/>
    <m/>
    <m/>
    <m/>
    <m/>
    <m/>
    <m/>
    <m/>
    <m/>
    <e v="#DIV/0!"/>
    <e v="#DIV/0!"/>
  </r>
  <r>
    <n v="5000"/>
    <n v="300"/>
    <n v="2"/>
    <n v="0"/>
    <n v="0.15797126601105899"/>
    <n v="0.145322171163177"/>
    <n v="0.84658706088967794"/>
    <n v="1.2881464004516601"/>
    <n v="1.43992893854777"/>
    <x v="34"/>
    <n v="3.4883015090697298"/>
    <n v="12196.995555555601"/>
    <n v="672.84888888888895"/>
    <n v="6.3333333333333304"/>
    <n v="16"/>
    <x v="34"/>
    <n v="0.215334884923713"/>
    <n v="3.4915429624259602"/>
    <n v="7.5050031379268596"/>
    <n v="0.35449877516019201"/>
    <n v="7.8595019130870503"/>
    <n v="2.43939911111111"/>
    <n v="2.2428296296296302"/>
    <n v="1.8155922923710599"/>
    <n v="2.2531028045173298"/>
    <m/>
    <n v="5150"/>
    <n v="386297.812063322"/>
    <n v="382659.78143388999"/>
    <n v="187722.765173163"/>
    <n v="75.367421158994006"/>
    <n v="0.10428248429127999"/>
    <n v="21.585706368232099"/>
    <n v="9.2653905592981603E-2"/>
  </r>
  <r>
    <n v="5000"/>
    <n v="300"/>
    <n v="3"/>
    <n v="0"/>
    <n v="0.331207723370056"/>
    <n v="0.26971127856781402"/>
    <n v="2.0491161676162402"/>
    <n v="5.6007031043370601"/>
    <n v="6.4501546065012603"/>
    <x v="35"/>
    <n v="6.0779019709939899"/>
    <n v="22495.554285714301"/>
    <n v="1241.35142857143"/>
    <n v="17.313368983957201"/>
    <n v="38.3333333333333"/>
    <x v="35"/>
    <n v="0.506801137832945"/>
    <n v="6.0145276607244602"/>
    <n v="23.7711200762357"/>
    <n v="1.21346094169833"/>
    <n v="24.984581017934001"/>
    <n v="4.4991108571428597"/>
    <n v="4.1378380952381004"/>
    <n v="2.8485765427910898"/>
    <n v="4.11072457850912"/>
    <m/>
    <n v="5150"/>
    <n v="389759.752582794"/>
    <n v="389534.77395652601"/>
    <n v="253528.580560248"/>
    <n v="75.367421158994006"/>
    <n v="0.33150372712404402"/>
    <n v="12.530896091999301"/>
    <n v="0.23940825763573501"/>
  </r>
  <r>
    <n v="5000"/>
    <n v="300"/>
    <n v="4"/>
    <n v="0"/>
    <n v="0.57532700991569496"/>
    <n v="0.24776598173587699"/>
    <n v="2.4551695264825901"/>
    <n v="8.0907527367273993"/>
    <n v="9.3781185261408506"/>
    <x v="36"/>
    <n v="7.1516629555313003"/>
    <n v="25250.193727106202"/>
    <n v="1383.6219780219801"/>
    <n v="25.670308123249299"/>
    <n v="57.6666666666667"/>
    <x v="36"/>
    <n v="0.76560641324023804"/>
    <n v="7.4704139913233796"/>
    <n v="33.311381751939898"/>
    <n v="1.2512278075635099"/>
    <n v="34.5626095595034"/>
    <n v="5.0500387454212401"/>
    <n v="4.6120732600732604"/>
    <n v="3.5894180532368498"/>
    <n v="4.8328073868150696"/>
    <m/>
    <n v="5150"/>
    <n v="388855.27457328601"/>
    <n v="387906.01567249902"/>
    <n v="232246.95089448401"/>
    <n v="75.367421158994006"/>
    <n v="0.45858819404992801"/>
    <n v="10.0887877494514"/>
    <n v="0.39647974556878701"/>
  </r>
  <r>
    <n v="5000"/>
    <n v="300"/>
    <n v="5"/>
    <n v="0"/>
    <n v="2.0035749013798498"/>
    <n v="0.94486020957379502"/>
    <n v="5.4556400209684304"/>
    <n v="12.1036649386088"/>
    <n v="13.9973399305344"/>
    <x v="37"/>
    <n v="13.114092820746301"/>
    <n v="39891.479004328998"/>
    <n v="2204.7870129870098"/>
    <n v="35.057407407407403"/>
    <n v="73.3333333333333"/>
    <x v="37"/>
    <n v="0.96276183087664802"/>
    <n v="11.972181482254699"/>
    <n v="81.042982433473995"/>
    <n v="7.53837424244779"/>
    <n v="88.581356675921796"/>
    <n v="7.9782958008657996"/>
    <n v="7.3492900432900399"/>
    <n v="2.67326210715447"/>
    <n v="6.7546690332851398"/>
    <m/>
    <n v="5150"/>
    <n v="391238.21099739301"/>
    <n v="392274.24120333098"/>
    <n v="472664.38713120698"/>
    <n v="75.367421158994006"/>
    <n v="1.1753268894400899"/>
    <n v="6.2952120522650503"/>
    <n v="0.79425442042114802"/>
  </r>
  <r>
    <n v="5000"/>
    <n v="300"/>
    <n v="6"/>
    <n v="0"/>
    <n v="3.5241948201112301"/>
    <n v="1.00335202297882"/>
    <n v="11.071278691786301"/>
    <n v="24.911963017781598"/>
    <n v="26.627600100835199"/>
    <x v="38"/>
    <n v="15.280825112491099"/>
    <n v="50632.435930735897"/>
    <n v="2758.0151515151501"/>
    <n v="39.884259259259302"/>
    <n v="74.6666666666667"/>
    <x v="38"/>
    <n v="0.98458753555727896"/>
    <n v="12.749607144606699"/>
    <n v="107.987831996707"/>
    <n v="10.160431403889801"/>
    <n v="118.148263400597"/>
    <n v="10.1264871861472"/>
    <n v="9.1933838383838395"/>
    <n v="2.6100854479812399"/>
    <n v="7.7317986778095102"/>
    <m/>
    <n v="5150"/>
    <n v="391917.49873219902"/>
    <n v="390552.71313757403"/>
    <n v="616440.35688402294"/>
    <n v="75.367421158994006"/>
    <n v="1.5676304374452901"/>
    <n v="5.9113524286805799"/>
    <n v="1.01499615737497"/>
  </r>
  <r>
    <n v="5000"/>
    <n v="300"/>
    <n v="7"/>
    <n v="0"/>
    <n v="6.3528541746707301"/>
    <n v="0.95899900142358896"/>
    <n v="10.1134534656368"/>
    <n v="18.2739693085353"/>
    <n v="19.245490632057201"/>
    <x v="39"/>
    <n v="20.948593228629399"/>
    <n v="41305.058741258697"/>
    <n v="2247.8736596736599"/>
    <n v="57.210317460317498"/>
    <n v="75.6666666666667"/>
    <x v="39"/>
    <n v="0.99689681923972095"/>
    <n v="15.951763655755601"/>
    <n v="112.339469173864"/>
    <n v="7.92230201732196"/>
    <n v="120.261771191186"/>
    <n v="8.2610117482517502"/>
    <n v="7.4929121989122001"/>
    <n v="2.7309861256998902"/>
    <n v="5.7408041618198098"/>
    <m/>
    <n v="5150"/>
    <n v="389195.38825969398"/>
    <n v="390896.35538262001"/>
    <n v="620084.00909880002"/>
    <n v="75.367421158994006"/>
    <n v="1.59567316145106"/>
    <n v="4.72470773673985"/>
    <n v="1.481573123680689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41A96-833C-4BBD-ADB9-91BAC3E3CDA7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D85" firstHeaderRow="1" firstDataRow="1" firstDataCol="2"/>
  <pivotFields count="34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1">
        <item x="0"/>
        <item x="1"/>
        <item x="2"/>
        <item x="3"/>
        <item x="16"/>
        <item x="17"/>
        <item x="4"/>
        <item x="19"/>
        <item x="34"/>
        <item x="18"/>
        <item x="5"/>
        <item x="21"/>
        <item x="20"/>
        <item x="22"/>
        <item x="23"/>
        <item x="6"/>
        <item x="24"/>
        <item x="26"/>
        <item x="35"/>
        <item x="27"/>
        <item x="25"/>
        <item x="7"/>
        <item x="28"/>
        <item x="36"/>
        <item x="31"/>
        <item x="33"/>
        <item x="32"/>
        <item x="29"/>
        <item x="8"/>
        <item x="30"/>
        <item x="37"/>
        <item x="38"/>
        <item x="9"/>
        <item x="10"/>
        <item x="11"/>
        <item x="39"/>
        <item x="13"/>
        <item x="12"/>
        <item x="14"/>
        <item x="15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1">
        <item x="0"/>
        <item x="1"/>
        <item x="16"/>
        <item x="2"/>
        <item x="3"/>
        <item x="17"/>
        <item x="4"/>
        <item x="34"/>
        <item x="18"/>
        <item x="19"/>
        <item x="5"/>
        <item x="6"/>
        <item x="20"/>
        <item x="35"/>
        <item x="21"/>
        <item x="7"/>
        <item x="22"/>
        <item x="23"/>
        <item x="8"/>
        <item x="36"/>
        <item x="24"/>
        <item x="26"/>
        <item x="37"/>
        <item x="25"/>
        <item x="27"/>
        <item x="38"/>
        <item x="28"/>
        <item x="9"/>
        <item x="29"/>
        <item x="31"/>
        <item x="33"/>
        <item x="32"/>
        <item x="30"/>
        <item x="10"/>
        <item x="39"/>
        <item x="11"/>
        <item x="12"/>
        <item x="14"/>
        <item x="13"/>
        <item x="15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</pivotFields>
  <rowFields count="2">
    <field x="9"/>
    <field x="15"/>
  </rowFields>
  <rowItems count="81">
    <i>
      <x/>
      <x/>
    </i>
    <i t="default">
      <x/>
    </i>
    <i>
      <x v="1"/>
      <x v="1"/>
    </i>
    <i t="default">
      <x v="1"/>
    </i>
    <i>
      <x v="2"/>
      <x v="3"/>
    </i>
    <i t="default">
      <x v="2"/>
    </i>
    <i>
      <x v="3"/>
      <x v="4"/>
    </i>
    <i t="default">
      <x v="3"/>
    </i>
    <i>
      <x v="4"/>
      <x v="2"/>
    </i>
    <i t="default">
      <x v="4"/>
    </i>
    <i>
      <x v="5"/>
      <x v="5"/>
    </i>
    <i t="default">
      <x v="5"/>
    </i>
    <i>
      <x v="6"/>
      <x v="6"/>
    </i>
    <i t="default">
      <x v="6"/>
    </i>
    <i>
      <x v="7"/>
      <x v="9"/>
    </i>
    <i t="default">
      <x v="7"/>
    </i>
    <i>
      <x v="8"/>
      <x v="7"/>
    </i>
    <i t="default">
      <x v="8"/>
    </i>
    <i>
      <x v="9"/>
      <x v="8"/>
    </i>
    <i t="default">
      <x v="9"/>
    </i>
    <i>
      <x v="10"/>
      <x v="10"/>
    </i>
    <i t="default">
      <x v="10"/>
    </i>
    <i>
      <x v="11"/>
      <x v="14"/>
    </i>
    <i t="default">
      <x v="11"/>
    </i>
    <i>
      <x v="12"/>
      <x v="12"/>
    </i>
    <i t="default">
      <x v="12"/>
    </i>
    <i>
      <x v="13"/>
      <x v="16"/>
    </i>
    <i t="default">
      <x v="13"/>
    </i>
    <i>
      <x v="14"/>
      <x v="17"/>
    </i>
    <i t="default">
      <x v="14"/>
    </i>
    <i>
      <x v="15"/>
      <x v="11"/>
    </i>
    <i t="default">
      <x v="15"/>
    </i>
    <i>
      <x v="16"/>
      <x v="20"/>
    </i>
    <i t="default">
      <x v="16"/>
    </i>
    <i>
      <x v="17"/>
      <x v="21"/>
    </i>
    <i t="default">
      <x v="17"/>
    </i>
    <i>
      <x v="18"/>
      <x v="13"/>
    </i>
    <i t="default">
      <x v="18"/>
    </i>
    <i>
      <x v="19"/>
      <x v="24"/>
    </i>
    <i t="default">
      <x v="19"/>
    </i>
    <i>
      <x v="20"/>
      <x v="23"/>
    </i>
    <i t="default">
      <x v="20"/>
    </i>
    <i>
      <x v="21"/>
      <x v="15"/>
    </i>
    <i t="default">
      <x v="21"/>
    </i>
    <i>
      <x v="22"/>
      <x v="26"/>
    </i>
    <i t="default">
      <x v="22"/>
    </i>
    <i>
      <x v="23"/>
      <x v="19"/>
    </i>
    <i t="default">
      <x v="23"/>
    </i>
    <i>
      <x v="24"/>
      <x v="29"/>
    </i>
    <i t="default">
      <x v="24"/>
    </i>
    <i>
      <x v="25"/>
      <x v="30"/>
    </i>
    <i t="default">
      <x v="25"/>
    </i>
    <i>
      <x v="26"/>
      <x v="31"/>
    </i>
    <i t="default">
      <x v="26"/>
    </i>
    <i>
      <x v="27"/>
      <x v="28"/>
    </i>
    <i t="default">
      <x v="27"/>
    </i>
    <i>
      <x v="28"/>
      <x v="18"/>
    </i>
    <i t="default">
      <x v="28"/>
    </i>
    <i>
      <x v="29"/>
      <x v="32"/>
    </i>
    <i t="default">
      <x v="29"/>
    </i>
    <i>
      <x v="30"/>
      <x v="22"/>
    </i>
    <i t="default">
      <x v="30"/>
    </i>
    <i>
      <x v="31"/>
      <x v="25"/>
    </i>
    <i t="default">
      <x v="31"/>
    </i>
    <i>
      <x v="32"/>
      <x v="27"/>
    </i>
    <i t="default">
      <x v="32"/>
    </i>
    <i>
      <x v="33"/>
      <x v="33"/>
    </i>
    <i t="default">
      <x v="33"/>
    </i>
    <i>
      <x v="34"/>
      <x v="35"/>
    </i>
    <i t="default">
      <x v="34"/>
    </i>
    <i>
      <x v="35"/>
      <x v="34"/>
    </i>
    <i t="default">
      <x v="35"/>
    </i>
    <i>
      <x v="36"/>
      <x v="38"/>
    </i>
    <i t="default">
      <x v="36"/>
    </i>
    <i>
      <x v="37"/>
      <x v="36"/>
    </i>
    <i t="default">
      <x v="37"/>
    </i>
    <i>
      <x v="38"/>
      <x v="37"/>
    </i>
    <i t="default">
      <x v="38"/>
    </i>
    <i>
      <x v="39"/>
      <x v="39"/>
    </i>
    <i t="default">
      <x v="39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4183826-5473-4801-A11D-F10ACA080112}" name="Table1" displayName="Table1" ref="A2:AI45" totalsRowShown="0" headerRowDxfId="13">
  <autoFilter ref="A2:AI45" xr:uid="{14183826-5473-4801-A11D-F10ACA080112}"/>
  <tableColumns count="35">
    <tableColumn id="1" xr3:uid="{7A2C2C8A-C225-45C1-BB27-41E5137829C1}" name="In-Tok"/>
    <tableColumn id="2" xr3:uid="{89509359-DB9E-4D39-ACE9-A03A03653791}" name="Out-Tok"/>
    <tableColumn id="3" xr3:uid="{E34C2307-6E6A-4608-9109-CBB1FF1C8788}" name="RPS"/>
    <tableColumn id="4" xr3:uid="{BFA5938B-53D3-4919-9074-C28C13C87FFD}" name="PHR"/>
    <tableColumn id="5" xr3:uid="{4D7170AF-B173-4A60-A85F-D4E896F6CEAB}" name="TTFT" dataDxfId="35"/>
    <tableColumn id="6" xr3:uid="{8720497F-0E58-4E7C-8606-2418B0C55691}" name="Prefill" dataDxfId="34"/>
    <tableColumn id="7" xr3:uid="{D16F2E96-7EAD-4289-AAE9-6C6B81356F17}" name="L_TTFT" dataDxfId="33"/>
    <tableColumn id="8" xr3:uid="{854414D6-0A09-4C2C-B623-DDB282DA6CAC}" name="L_P95_TTFT" dataDxfId="32"/>
    <tableColumn id="9" xr3:uid="{0D2CFD35-B687-4F3D-84A8-B6847414300A}" name="L_P98_TTFT" dataDxfId="31"/>
    <tableColumn id="10" xr3:uid="{4A794CC3-9200-4F44-A752-3D123A57144F}" name="ITL" dataDxfId="30"/>
    <tableColumn id="11" xr3:uid="{7ECAED79-4C8B-4714-A69E-00C102129FB0}" name="E2E" dataDxfId="29"/>
    <tableColumn id="12" xr3:uid="{DCE8875D-C01E-4FFC-93C7-C532C83FAA0B}" name="PPS" dataDxfId="28"/>
    <tableColumn id="13" xr3:uid="{447A210F-2C83-4A70-8B84-4CF6DBEEE4B7}" name="GPS" dataDxfId="27"/>
    <tableColumn id="14" xr3:uid="{A3058377-67D0-46BB-A72B-417E24C770BC}" name="Run" dataDxfId="26"/>
    <tableColumn id="15" xr3:uid="{7E96C70B-CC05-42E5-B5A9-CA12969CCD35}" name="MaxRun" dataDxfId="25"/>
    <tableColumn id="16" xr3:uid="{5FCF863D-261F-4DAA-B72B-F17C0CBAD2C2}" name="Kvcache" dataDxfId="24" dataCellStyle="Percent"/>
    <tableColumn id="17" xr3:uid="{3F23E72C-659A-4AB2-8027-2CC232CDABEA}" name="MaxKvcache" dataDxfId="5" dataCellStyle="Percent"/>
    <tableColumn id="18" xr3:uid="{A13A7022-67F1-4CBB-87A1-C6B38B1E777B}" name="e2e sat" dataDxfId="3">
      <calculatedColumnFormula>Table1[[#This Row],[Prefill]]+Table1[[#This Row],[Out-Tok]]*Table1[[#This Row],[ITL]]</calculatedColumnFormula>
    </tableColumn>
    <tableColumn id="19" xr3:uid="{C2404139-CE19-4074-A57D-9177742C5F65}" name="GPS*ITL" dataDxfId="4">
      <calculatedColumnFormula>M3*J3</calculatedColumnFormula>
    </tableColumn>
    <tableColumn id="20" xr3:uid="{C88D7FFD-5D02-4CA0-A78C-322366C1A720}" name="PPS*PREFILL/IL" dataDxfId="23">
      <calculatedColumnFormula>L3*F3/A3</calculatedColumnFormula>
    </tableColumn>
    <tableColumn id="21" xr3:uid="{C7766388-E3D8-47AB-8733-9C5FDCDE154A}" name="N" dataDxfId="22">
      <calculatedColumnFormula>S3+T3</calculatedColumnFormula>
    </tableColumn>
    <tableColumn id="22" xr3:uid="{58B8A778-5721-4A6B-A93E-620ED55427C6}" name="PPS/IL" dataDxfId="21">
      <calculatedColumnFormula>L3/A3</calculatedColumnFormula>
    </tableColumn>
    <tableColumn id="23" xr3:uid="{E33FA115-36F1-490E-B2C4-782258F815D6}" name="GPS/OL" dataDxfId="20">
      <calculatedColumnFormula>M3/B3</calculatedColumnFormula>
    </tableColumn>
    <tableColumn id="24" xr3:uid="{A4E21D0C-D3EB-4649-A442-4AB3C79437F1}" name="RUN/E2E" dataDxfId="19">
      <calculatedColumnFormula>N3/K3</calculatedColumnFormula>
    </tableColumn>
    <tableColumn id="25" xr3:uid="{293CA7C8-6253-4935-8DFE-393153A06D57}" name="N/E2E" dataDxfId="18" dataCellStyle="Comma">
      <calculatedColumnFormula>U3/K3</calculatedColumnFormula>
    </tableColumn>
    <tableColumn id="26" xr3:uid="{F051241E-EC84-44FB-AFB3-D4470E74A31B}" name="   "/>
    <tableColumn id="27" xr3:uid="{63222662-68A9-4F7B-AA8D-B56A7AC7734B}" name="Tokens load">
      <calculatedColumnFormula>A3+B3*$AA$1</calculatedColumnFormula>
    </tableColumn>
    <tableColumn id="28" xr3:uid="{9847072A-1FCA-49B2-9A57-B3F419086A15}" name="C(R)" dataDxfId="17" dataCellStyle="Comma">
      <calculatedColumnFormula>N3*AA3/P3</calculatedColumnFormula>
    </tableColumn>
    <tableColumn id="29" xr3:uid="{D79666C9-C50B-4C18-85A3-DC71EC432643}" name="C(MaxR)" dataDxfId="16" dataCellStyle="Comma">
      <calculatedColumnFormula>O3*AA3/Q3</calculatedColumnFormula>
    </tableColumn>
    <tableColumn id="30" xr3:uid="{C05CAB3B-B0EB-437D-AD93-98C8BF7C6BD1}" name="C(N)" dataDxfId="15" dataCellStyle="Comma">
      <calculatedColumnFormula>(T3*A3+S3*AA3)/Q3</calculatedColumnFormula>
    </tableColumn>
    <tableColumn id="31" xr3:uid="{8188B091-D09F-4827-980C-E0AE8DCB33AA}" name="N(maxT)" dataDxfId="6" dataCellStyle="Comma">
      <calculatedColumnFormula>$AE$1/AA3</calculatedColumnFormula>
    </tableColumn>
    <tableColumn id="32" xr3:uid="{E4667A21-BE06-4299-A081-2B22EDF27058}" name="N%" dataDxfId="14" dataCellStyle="Percent">
      <calculatedColumnFormula>U3/AE3</calculatedColumnFormula>
    </tableColumn>
    <tableColumn id="33" xr3:uid="{BBCEE1A1-7D7D-4959-BCF4-462C178FF851}" name="Column1" dataDxfId="2">
      <calculatedColumnFormula>Table1[[#This Row],[N(maxT)]]/Table1[[#This Row],[e2e sat]]</calculatedColumnFormula>
    </tableColumn>
    <tableColumn id="34" xr3:uid="{81BAA4F4-C565-4B03-9756-B0A45C1DD96C}" name="Column2" dataDxfId="1" dataCellStyle="Percent">
      <calculatedColumnFormula>Table1[[#This Row],[RPS]]/AG3</calculatedColumnFormula>
    </tableColumn>
    <tableColumn id="35" xr3:uid="{957E9D18-5550-4DE3-A8F6-A9EF516E4840}" name="relative cache" dataDxfId="0">
      <calculatedColumnFormula>Table1[[#This Row],[Kvcache]]/$Q$1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5"/>
  <sheetViews>
    <sheetView tabSelected="1" workbookViewId="0">
      <pane xSplit="3" ySplit="2" topLeftCell="U3" activePane="bottomRight" state="frozen"/>
      <selection pane="topRight" activeCell="D1" sqref="D1"/>
      <selection pane="bottomLeft" activeCell="A2" sqref="A2"/>
      <selection pane="bottomRight" activeCell="AJ18" sqref="AJ18"/>
    </sheetView>
  </sheetViews>
  <sheetFormatPr defaultRowHeight="15" x14ac:dyDescent="0.25"/>
  <cols>
    <col min="2" max="2" width="10.28515625" customWidth="1"/>
    <col min="5" max="7" width="9.28515625" bestFit="1" customWidth="1"/>
    <col min="8" max="9" width="13.140625" customWidth="1"/>
    <col min="10" max="11" width="9.28515625" bestFit="1" customWidth="1"/>
    <col min="12" max="12" width="9.42578125" bestFit="1" customWidth="1"/>
    <col min="15" max="15" width="10.42578125" customWidth="1"/>
    <col min="16" max="16" width="10.28515625" customWidth="1"/>
    <col min="17" max="17" width="14.140625" customWidth="1"/>
    <col min="18" max="18" width="11" customWidth="1"/>
    <col min="19" max="19" width="10" customWidth="1"/>
    <col min="20" max="20" width="16.28515625" customWidth="1"/>
    <col min="23" max="23" width="9.7109375" customWidth="1"/>
    <col min="24" max="24" width="10.85546875" customWidth="1"/>
    <col min="26" max="26" width="11" customWidth="1"/>
    <col min="27" max="27" width="13.7109375" customWidth="1"/>
    <col min="28" max="29" width="11.5703125" bestFit="1" customWidth="1"/>
    <col min="30" max="30" width="13.28515625" bestFit="1" customWidth="1"/>
    <col min="31" max="31" width="11.5703125" bestFit="1" customWidth="1"/>
  </cols>
  <sheetData>
    <row r="1" spans="1:35" x14ac:dyDescent="0.25">
      <c r="Q1" s="8">
        <v>0.8</v>
      </c>
      <c r="AA1">
        <v>0.5</v>
      </c>
      <c r="AB1" s="12">
        <f>AVERAGE(Table1[C(R)])</f>
        <v>388142.2189688189</v>
      </c>
      <c r="AC1" s="12">
        <f>AVERAGE(Table1[C(MaxR)])</f>
        <v>387973.37129449216</v>
      </c>
      <c r="AD1" s="12">
        <f>AVERAGE(Table1[C(N)])</f>
        <v>311322.84880891</v>
      </c>
      <c r="AE1" s="6">
        <f>AB1</f>
        <v>388142.2189688189</v>
      </c>
      <c r="AF1" s="11">
        <v>0.8</v>
      </c>
    </row>
    <row r="2" spans="1:35" s="1" customForma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37</v>
      </c>
      <c r="S2" t="s">
        <v>17</v>
      </c>
      <c r="T2" t="s">
        <v>18</v>
      </c>
      <c r="U2" t="s">
        <v>19</v>
      </c>
      <c r="V2" t="s">
        <v>20</v>
      </c>
      <c r="W2" t="s">
        <v>21</v>
      </c>
      <c r="X2" t="s">
        <v>22</v>
      </c>
      <c r="Y2" s="1" t="s">
        <v>27</v>
      </c>
      <c r="Z2" s="1" t="s">
        <v>36</v>
      </c>
      <c r="AA2" s="1" t="s">
        <v>23</v>
      </c>
      <c r="AB2" s="1" t="s">
        <v>26</v>
      </c>
      <c r="AC2" s="1" t="s">
        <v>24</v>
      </c>
      <c r="AD2" s="1" t="s">
        <v>25</v>
      </c>
      <c r="AE2" s="1" t="s">
        <v>30</v>
      </c>
      <c r="AF2" s="1" t="s">
        <v>31</v>
      </c>
      <c r="AG2" s="1" t="s">
        <v>34</v>
      </c>
      <c r="AH2" s="1" t="s">
        <v>35</v>
      </c>
      <c r="AI2" s="1" t="s">
        <v>84</v>
      </c>
    </row>
    <row r="3" spans="1:35" x14ac:dyDescent="0.25">
      <c r="A3">
        <v>1000</v>
      </c>
      <c r="B3">
        <v>300</v>
      </c>
      <c r="C3">
        <v>2</v>
      </c>
      <c r="D3">
        <v>0</v>
      </c>
      <c r="E3" s="2">
        <v>3.7026038223119916E-2</v>
      </c>
      <c r="F3" s="2">
        <v>3.2088905166513686E-2</v>
      </c>
      <c r="G3" s="2">
        <v>0.59547004836481088</v>
      </c>
      <c r="H3" s="2">
        <v>0.7305008967717489</v>
      </c>
      <c r="I3" s="2">
        <v>0.97615059534708548</v>
      </c>
      <c r="J3" s="2">
        <v>6.596198861928409E-3</v>
      </c>
      <c r="K3" s="2">
        <v>2.0093213791123161</v>
      </c>
      <c r="L3" s="3">
        <v>2261.5283333333332</v>
      </c>
      <c r="M3" s="3">
        <v>633.58861111111116</v>
      </c>
      <c r="N3" s="4">
        <v>3.4068627450980391</v>
      </c>
      <c r="O3" s="4">
        <v>8</v>
      </c>
      <c r="P3" s="10">
        <v>1.0150557507719928E-2</v>
      </c>
      <c r="Q3" s="10">
        <v>2.4075510731833449E-2</v>
      </c>
      <c r="R3" s="2">
        <f>Table1[[#This Row],[Prefill]]+Table1[[#This Row],[Out-Tok]]*Table1[[#This Row],[ITL]]</f>
        <v>2.0109485637450364</v>
      </c>
      <c r="S3" s="2">
        <f>M3*J3</f>
        <v>4.1792764755419132</v>
      </c>
      <c r="T3" s="2">
        <f>L3*F3/A3</f>
        <v>7.2569968219717076E-2</v>
      </c>
      <c r="U3" s="2">
        <f>S3+T3</f>
        <v>4.2518464437616306</v>
      </c>
      <c r="V3" s="2">
        <f>L3/A3</f>
        <v>2.2615283333333331</v>
      </c>
      <c r="W3" s="2">
        <f>M3/B3</f>
        <v>2.1119620370370371</v>
      </c>
      <c r="X3" s="2">
        <f>N3/K3</f>
        <v>1.6955290380691281</v>
      </c>
      <c r="Y3" s="5">
        <f>U3/K3</f>
        <v>2.1160609188561086</v>
      </c>
      <c r="AA3">
        <f>A3+B3*$AA$1</f>
        <v>1150</v>
      </c>
      <c r="AB3" s="6">
        <f>N3*AA3/P3</f>
        <v>385978.02671262366</v>
      </c>
      <c r="AC3" s="6">
        <f>O3*AA3/Q3</f>
        <v>382131.04189044063</v>
      </c>
      <c r="AD3" s="5">
        <f>(T3*A3+S3*AA3)/Q3</f>
        <v>202643.17419617961</v>
      </c>
      <c r="AE3" s="5">
        <f t="shared" ref="AE3:AE45" si="0">$AE$1/AA3</f>
        <v>337.51497301636425</v>
      </c>
      <c r="AF3" s="10">
        <f>U3/AE3</f>
        <v>1.2597504655165273E-2</v>
      </c>
      <c r="AG3" s="7">
        <f>Table1[[#This Row],[N(maxT)]]/Table1[[#This Row],[e2e sat]]</f>
        <v>167.83869020886453</v>
      </c>
      <c r="AH3" s="9">
        <f>Table1[[#This Row],[RPS]]/AG3</f>
        <v>1.1916203573271025E-2</v>
      </c>
      <c r="AI3" s="16">
        <f>Table1[[#This Row],[Kvcache]]/$Q$1</f>
        <v>1.2688196884649909E-2</v>
      </c>
    </row>
    <row r="4" spans="1:35" x14ac:dyDescent="0.25">
      <c r="A4">
        <v>2000</v>
      </c>
      <c r="B4">
        <v>300</v>
      </c>
      <c r="C4">
        <v>2</v>
      </c>
      <c r="D4">
        <v>0</v>
      </c>
      <c r="E4" s="2">
        <v>6.0708237632462643E-2</v>
      </c>
      <c r="F4" s="2">
        <v>5.4781456020521681E-2</v>
      </c>
      <c r="G4" s="2">
        <v>0.61998406863458533</v>
      </c>
      <c r="H4" s="2">
        <v>0.76988332271575921</v>
      </c>
      <c r="I4" s="2">
        <v>0.84733685811360682</v>
      </c>
      <c r="J4" s="2">
        <v>7.280404097911467E-3</v>
      </c>
      <c r="K4" s="2">
        <v>2.2369354792963563</v>
      </c>
      <c r="L4" s="3">
        <v>4844.9033333333336</v>
      </c>
      <c r="M4" s="3">
        <v>679.7208333333333</v>
      </c>
      <c r="N4" s="4">
        <v>3.5821078431372548</v>
      </c>
      <c r="O4" s="4">
        <v>7.666666666666667</v>
      </c>
      <c r="P4" s="10">
        <v>1.9997642191089005E-2</v>
      </c>
      <c r="Q4" s="10">
        <v>4.2487716576157242E-2</v>
      </c>
      <c r="R4" s="2">
        <f>Table1[[#This Row],[Prefill]]+Table1[[#This Row],[Out-Tok]]*Table1[[#This Row],[ITL]]</f>
        <v>2.2389026853939615</v>
      </c>
      <c r="S4" s="2">
        <f t="shared" ref="S4:S45" si="1">M4*J4</f>
        <v>4.9486423404357973</v>
      </c>
      <c r="T4" s="2">
        <f t="shared" ref="T4:T45" si="2">L4*F4/A4</f>
        <v>0.13270542943933947</v>
      </c>
      <c r="U4" s="2">
        <f t="shared" ref="U4:U45" si="3">S4+T4</f>
        <v>5.081347769875137</v>
      </c>
      <c r="V4" s="2">
        <f t="shared" ref="V4:V45" si="4">L4/A4</f>
        <v>2.4224516666666669</v>
      </c>
      <c r="W4" s="2">
        <f t="shared" ref="W4:W45" si="5">M4/B4</f>
        <v>2.265736111111111</v>
      </c>
      <c r="X4" s="2">
        <f t="shared" ref="X4:X45" si="6">N4/K4</f>
        <v>1.601346072021725</v>
      </c>
      <c r="Y4" s="5">
        <f t="shared" ref="Y4:Y45" si="7">U4/K4</f>
        <v>2.2715665323854179</v>
      </c>
      <c r="AA4">
        <f t="shared" ref="AA4:AA17" si="8">A4+B4*$AA$1</f>
        <v>2150</v>
      </c>
      <c r="AB4" s="6">
        <f t="shared" ref="AB4:AB45" si="9">N4*AA4/P4</f>
        <v>385121.99534087663</v>
      </c>
      <c r="AC4" s="6">
        <f t="shared" ref="AC4:AC45" si="10">O4*AA4/Q4</f>
        <v>387955.26475958608</v>
      </c>
      <c r="AD4" s="5">
        <f t="shared" ref="AD4:AD45" si="11">(T4*A4+S4*AA4)/Q4</f>
        <v>256662.22545212464</v>
      </c>
      <c r="AE4" s="5">
        <f t="shared" si="0"/>
        <v>180.53126463665996</v>
      </c>
      <c r="AF4" s="10">
        <f t="shared" ref="AF4:AF45" si="12">U4/AE4</f>
        <v>2.8146635875519604E-2</v>
      </c>
      <c r="AG4" s="7">
        <f>Table1[[#This Row],[N(maxT)]]/Table1[[#This Row],[e2e sat]]</f>
        <v>80.633814865827162</v>
      </c>
      <c r="AH4" s="9">
        <f>Table1[[#This Row],[RPS]]/AG4</f>
        <v>2.4803489743452603E-2</v>
      </c>
      <c r="AI4" s="16">
        <f>Table1[[#This Row],[Kvcache]]/$Q$1</f>
        <v>2.4997052738861256E-2</v>
      </c>
    </row>
    <row r="5" spans="1:35" x14ac:dyDescent="0.25">
      <c r="A5">
        <v>3000</v>
      </c>
      <c r="B5">
        <v>300</v>
      </c>
      <c r="C5">
        <v>2</v>
      </c>
      <c r="D5">
        <v>0</v>
      </c>
      <c r="E5" s="2">
        <v>8.9187976034611885E-2</v>
      </c>
      <c r="F5" s="2">
        <v>8.1037995716015873E-2</v>
      </c>
      <c r="G5" s="2">
        <v>0.68898616983040506</v>
      </c>
      <c r="H5" s="2">
        <v>0.89063829183578491</v>
      </c>
      <c r="I5" s="2">
        <v>0.99142997741699224</v>
      </c>
      <c r="J5" s="2">
        <v>8.2483981479025952E-3</v>
      </c>
      <c r="K5" s="2">
        <v>2.5531481923543735</v>
      </c>
      <c r="L5" s="3">
        <v>7408.6961111111113</v>
      </c>
      <c r="M5" s="3">
        <v>691.59111111111122</v>
      </c>
      <c r="N5" s="4">
        <v>4.8786764705882355</v>
      </c>
      <c r="O5" s="4">
        <v>11</v>
      </c>
      <c r="P5" s="10">
        <v>3.9849347419340118E-2</v>
      </c>
      <c r="Q5" s="10">
        <v>8.9604344453064352E-2</v>
      </c>
      <c r="R5" s="2">
        <f>Table1[[#This Row],[Prefill]]+Table1[[#This Row],[Out-Tok]]*Table1[[#This Row],[ITL]]</f>
        <v>2.5555574400867944</v>
      </c>
      <c r="S5" s="2">
        <f t="shared" si="1"/>
        <v>5.7045188399947877</v>
      </c>
      <c r="T5" s="2">
        <f t="shared" si="2"/>
        <v>0.20012862790449523</v>
      </c>
      <c r="U5" s="2">
        <f t="shared" si="3"/>
        <v>5.9046474678992826</v>
      </c>
      <c r="V5" s="2">
        <f t="shared" si="4"/>
        <v>2.4695653703703706</v>
      </c>
      <c r="W5" s="2">
        <f t="shared" si="5"/>
        <v>2.3053037037037041</v>
      </c>
      <c r="X5" s="2">
        <f t="shared" si="6"/>
        <v>1.9108473551194014</v>
      </c>
      <c r="Y5" s="5">
        <f t="shared" si="7"/>
        <v>2.3126928102259274</v>
      </c>
      <c r="AA5">
        <f t="shared" si="8"/>
        <v>3150</v>
      </c>
      <c r="AB5" s="6">
        <f t="shared" si="9"/>
        <v>385648.24464087607</v>
      </c>
      <c r="AC5" s="6">
        <f t="shared" si="10"/>
        <v>386700.00000000017</v>
      </c>
      <c r="AD5" s="5">
        <f t="shared" si="11"/>
        <v>207240.17728207388</v>
      </c>
      <c r="AE5" s="5">
        <f t="shared" si="0"/>
        <v>123.2197520535933</v>
      </c>
      <c r="AF5" s="10">
        <f t="shared" si="12"/>
        <v>4.7919650620065445E-2</v>
      </c>
      <c r="AG5" s="7">
        <f>Table1[[#This Row],[N(maxT)]]/Table1[[#This Row],[e2e sat]]</f>
        <v>48.216389160639793</v>
      </c>
      <c r="AH5" s="9">
        <f>Table1[[#This Row],[RPS]]/AG5</f>
        <v>4.1479671846365647E-2</v>
      </c>
      <c r="AI5" s="16">
        <f>Table1[[#This Row],[Kvcache]]/$Q$1</f>
        <v>4.9811684274175143E-2</v>
      </c>
    </row>
    <row r="6" spans="1:35" x14ac:dyDescent="0.25">
      <c r="A6">
        <v>4000</v>
      </c>
      <c r="B6">
        <v>300</v>
      </c>
      <c r="C6">
        <v>2</v>
      </c>
      <c r="D6">
        <v>0</v>
      </c>
      <c r="E6" s="2">
        <v>0.12017994891764257</v>
      </c>
      <c r="F6" s="2">
        <v>0.10961615169575983</v>
      </c>
      <c r="G6" s="2">
        <v>0.74510267118587248</v>
      </c>
      <c r="H6" s="2">
        <v>1.019898557662964</v>
      </c>
      <c r="I6" s="2">
        <v>1.2181447839736934</v>
      </c>
      <c r="J6" s="2">
        <v>9.0297684207135426E-3</v>
      </c>
      <c r="K6" s="2">
        <v>2.8195524820219489</v>
      </c>
      <c r="L6" s="3">
        <v>9242.0788888888874</v>
      </c>
      <c r="M6" s="3">
        <v>646.99833333333333</v>
      </c>
      <c r="N6" s="4">
        <v>5.132352941176471</v>
      </c>
      <c r="O6" s="4">
        <v>10.666666666666666</v>
      </c>
      <c r="P6" s="10">
        <v>5.5108173991085967E-2</v>
      </c>
      <c r="Q6" s="10">
        <v>0.11567106283941038</v>
      </c>
      <c r="R6" s="2">
        <f>Table1[[#This Row],[Prefill]]+Table1[[#This Row],[Out-Tok]]*Table1[[#This Row],[ITL]]</f>
        <v>2.8185466779098225</v>
      </c>
      <c r="S6" s="2">
        <f t="shared" si="1"/>
        <v>5.8422451185876279</v>
      </c>
      <c r="T6" s="2">
        <f t="shared" si="2"/>
        <v>0.25327028036715593</v>
      </c>
      <c r="U6" s="2">
        <f t="shared" si="3"/>
        <v>6.0955153989547837</v>
      </c>
      <c r="V6" s="2">
        <f t="shared" si="4"/>
        <v>2.3105197222222218</v>
      </c>
      <c r="W6" s="2">
        <f t="shared" si="5"/>
        <v>2.1566611111111111</v>
      </c>
      <c r="X6" s="2">
        <f t="shared" si="6"/>
        <v>1.8202721793268319</v>
      </c>
      <c r="Y6" s="5">
        <f t="shared" si="7"/>
        <v>2.1618733603368101</v>
      </c>
      <c r="AA6">
        <f t="shared" si="8"/>
        <v>4150</v>
      </c>
      <c r="AB6" s="6">
        <f t="shared" si="9"/>
        <v>386499.19174109487</v>
      </c>
      <c r="AC6" s="6">
        <f t="shared" si="10"/>
        <v>382694.38855354354</v>
      </c>
      <c r="AD6" s="5">
        <f t="shared" si="11"/>
        <v>218364.02072897242</v>
      </c>
      <c r="AE6" s="5">
        <f t="shared" si="0"/>
        <v>93.528245534655156</v>
      </c>
      <c r="AF6" s="10">
        <f t="shared" si="12"/>
        <v>6.5172989871773057E-2</v>
      </c>
      <c r="AG6" s="7">
        <f>Table1[[#This Row],[N(maxT)]]/Table1[[#This Row],[e2e sat]]</f>
        <v>33.183145862964324</v>
      </c>
      <c r="AH6" s="9">
        <f>Table1[[#This Row],[RPS]]/AG6</f>
        <v>6.0271560998446445E-2</v>
      </c>
      <c r="AI6" s="16">
        <f>Table1[[#This Row],[Kvcache]]/$Q$1</f>
        <v>6.8885217488857453E-2</v>
      </c>
    </row>
    <row r="7" spans="1:35" x14ac:dyDescent="0.25">
      <c r="A7">
        <v>5000</v>
      </c>
      <c r="B7">
        <v>300</v>
      </c>
      <c r="C7">
        <v>2</v>
      </c>
      <c r="D7">
        <v>0</v>
      </c>
      <c r="E7" s="2">
        <v>0.15427486259356141</v>
      </c>
      <c r="F7" s="2">
        <v>0.14188560392014285</v>
      </c>
      <c r="G7" s="2">
        <v>0.84892997103396572</v>
      </c>
      <c r="H7" s="2">
        <v>1.3430427153905231</v>
      </c>
      <c r="I7" s="2">
        <v>1.5120748329162597</v>
      </c>
      <c r="J7" s="2">
        <v>1.0746412006416907E-2</v>
      </c>
      <c r="K7" s="2">
        <v>3.3648584072407979</v>
      </c>
      <c r="L7" s="3">
        <v>12072.108611111114</v>
      </c>
      <c r="M7" s="3">
        <v>673.46</v>
      </c>
      <c r="N7" s="4">
        <v>5.875</v>
      </c>
      <c r="O7" s="4">
        <v>12.666666666666666</v>
      </c>
      <c r="P7" s="10">
        <v>7.817315444408951E-2</v>
      </c>
      <c r="Q7" s="10">
        <v>0.16894233255753818</v>
      </c>
      <c r="R7" s="2">
        <f>Table1[[#This Row],[Prefill]]+Table1[[#This Row],[Out-Tok]]*Table1[[#This Row],[ITL]]</f>
        <v>3.3658092058452151</v>
      </c>
      <c r="S7" s="2">
        <f t="shared" si="1"/>
        <v>7.2372786298415308</v>
      </c>
      <c r="T7" s="2">
        <f t="shared" si="2"/>
        <v>0.34257168417541145</v>
      </c>
      <c r="U7" s="2">
        <f t="shared" si="3"/>
        <v>7.5798503140169426</v>
      </c>
      <c r="V7" s="2">
        <f t="shared" si="4"/>
        <v>2.4144217222222228</v>
      </c>
      <c r="W7" s="2">
        <f t="shared" si="5"/>
        <v>2.2448666666666668</v>
      </c>
      <c r="X7" s="2">
        <f t="shared" si="6"/>
        <v>1.7459872865252395</v>
      </c>
      <c r="Y7" s="5">
        <f t="shared" si="7"/>
        <v>2.2526506011979448</v>
      </c>
      <c r="AA7">
        <f t="shared" si="8"/>
        <v>5150</v>
      </c>
      <c r="AB7" s="6">
        <f t="shared" si="9"/>
        <v>387041.4366051926</v>
      </c>
      <c r="AC7" s="6">
        <f t="shared" si="10"/>
        <v>386127.81264350208</v>
      </c>
      <c r="AD7" s="5">
        <f t="shared" si="11"/>
        <v>230758.28760256714</v>
      </c>
      <c r="AE7" s="5">
        <f t="shared" si="0"/>
        <v>75.367421158993963</v>
      </c>
      <c r="AF7" s="10">
        <f t="shared" si="12"/>
        <v>0.10057197390403748</v>
      </c>
      <c r="AG7" s="7">
        <f>Table1[[#This Row],[N(maxT)]]/Table1[[#This Row],[e2e sat]]</f>
        <v>22.392065785579149</v>
      </c>
      <c r="AH7" s="9">
        <f>Table1[[#This Row],[RPS]]/AG7</f>
        <v>8.9317351027435446E-2</v>
      </c>
      <c r="AI7" s="16">
        <f>Table1[[#This Row],[Kvcache]]/$Q$1</f>
        <v>9.7716443055111887E-2</v>
      </c>
    </row>
    <row r="8" spans="1:35" x14ac:dyDescent="0.25">
      <c r="A8">
        <v>6000</v>
      </c>
      <c r="B8">
        <v>300</v>
      </c>
      <c r="C8">
        <v>2</v>
      </c>
      <c r="D8">
        <v>0</v>
      </c>
      <c r="E8" s="2">
        <v>0.18643617367521356</v>
      </c>
      <c r="F8" s="2">
        <v>0.1726471811842305</v>
      </c>
      <c r="G8" s="2">
        <v>1.2661953933336647</v>
      </c>
      <c r="H8" s="2">
        <v>2.3803513328234325</v>
      </c>
      <c r="I8" s="2">
        <v>2.7856695540746053</v>
      </c>
      <c r="J8" s="2">
        <v>1.3768167139153839E-2</v>
      </c>
      <c r="K8" s="2">
        <v>4.2964526845535014</v>
      </c>
      <c r="L8" s="3">
        <v>16270.848174603176</v>
      </c>
      <c r="M8" s="3">
        <v>751.3536507936509</v>
      </c>
      <c r="N8" s="4">
        <v>8.5368464052287578</v>
      </c>
      <c r="O8" s="4">
        <v>18</v>
      </c>
      <c r="P8" s="10">
        <v>0.13567259668284176</v>
      </c>
      <c r="Q8" s="10">
        <v>0.28603568657874323</v>
      </c>
      <c r="R8" s="2">
        <f>Table1[[#This Row],[Prefill]]+Table1[[#This Row],[Out-Tok]]*Table1[[#This Row],[ITL]]</f>
        <v>4.3030973229303822</v>
      </c>
      <c r="S8" s="2">
        <f t="shared" si="1"/>
        <v>10.344762644740413</v>
      </c>
      <c r="T8" s="2">
        <f t="shared" si="2"/>
        <v>0.46818601213697009</v>
      </c>
      <c r="U8" s="2">
        <f t="shared" si="3"/>
        <v>10.812948656877383</v>
      </c>
      <c r="V8" s="2">
        <f t="shared" si="4"/>
        <v>2.7118080291005291</v>
      </c>
      <c r="W8" s="2">
        <f t="shared" si="5"/>
        <v>2.5045121693121697</v>
      </c>
      <c r="X8" s="2">
        <f t="shared" si="6"/>
        <v>1.9869522678371889</v>
      </c>
      <c r="Y8" s="5">
        <f t="shared" si="7"/>
        <v>2.5167154047225573</v>
      </c>
      <c r="AA8">
        <f t="shared" si="8"/>
        <v>6150</v>
      </c>
      <c r="AB8" s="6">
        <f t="shared" si="9"/>
        <v>386972.80567931099</v>
      </c>
      <c r="AC8" s="6">
        <f t="shared" si="10"/>
        <v>387014.64605370216</v>
      </c>
      <c r="AD8" s="5">
        <f t="shared" si="11"/>
        <v>232241.67282248507</v>
      </c>
      <c r="AE8" s="5">
        <f t="shared" si="0"/>
        <v>63.112555929889254</v>
      </c>
      <c r="AF8" s="10">
        <f t="shared" si="12"/>
        <v>0.1713280106875931</v>
      </c>
      <c r="AG8" s="7">
        <f>Table1[[#This Row],[N(maxT)]]/Table1[[#This Row],[e2e sat]]</f>
        <v>14.666773998713559</v>
      </c>
      <c r="AH8" s="9">
        <f>Table1[[#This Row],[RPS]]/AG8</f>
        <v>0.13636263844901561</v>
      </c>
      <c r="AI8" s="16">
        <f>Table1[[#This Row],[Kvcache]]/$Q$1</f>
        <v>0.16959074585355219</v>
      </c>
    </row>
    <row r="9" spans="1:35" x14ac:dyDescent="0.25">
      <c r="A9">
        <v>7000</v>
      </c>
      <c r="B9">
        <v>300</v>
      </c>
      <c r="C9">
        <v>2</v>
      </c>
      <c r="D9">
        <v>0</v>
      </c>
      <c r="E9" s="2">
        <v>0.23248837006197517</v>
      </c>
      <c r="F9" s="2">
        <v>0.21039942635422862</v>
      </c>
      <c r="G9" s="2">
        <v>1.3972520149492091</v>
      </c>
      <c r="H9" s="2">
        <v>3.0287375291188536</v>
      </c>
      <c r="I9" s="2">
        <v>3.3220549392700192</v>
      </c>
      <c r="J9" s="2">
        <v>1.6170001649484025E-2</v>
      </c>
      <c r="K9" s="2">
        <v>4.9579540108612274</v>
      </c>
      <c r="L9" s="3">
        <v>18386.626031746029</v>
      </c>
      <c r="M9" s="3">
        <v>703.13619047619034</v>
      </c>
      <c r="N9" s="4">
        <v>9.9930555555555571</v>
      </c>
      <c r="O9" s="4">
        <v>19</v>
      </c>
      <c r="P9" s="10">
        <v>0.18465843461770537</v>
      </c>
      <c r="Q9" s="10">
        <v>0.35277993276441683</v>
      </c>
      <c r="R9" s="2">
        <f>Table1[[#This Row],[Prefill]]+Table1[[#This Row],[Out-Tok]]*Table1[[#This Row],[ITL]]</f>
        <v>5.0613999211994365</v>
      </c>
      <c r="S9" s="2">
        <f t="shared" si="1"/>
        <v>11.369713359811911</v>
      </c>
      <c r="T9" s="2">
        <f t="shared" si="2"/>
        <v>0.55264793852415595</v>
      </c>
      <c r="U9" s="2">
        <f t="shared" si="3"/>
        <v>11.922361298336067</v>
      </c>
      <c r="V9" s="2">
        <f t="shared" si="4"/>
        <v>2.6266608616780043</v>
      </c>
      <c r="W9" s="2">
        <f t="shared" si="5"/>
        <v>2.3437873015873012</v>
      </c>
      <c r="X9" s="2">
        <f t="shared" si="6"/>
        <v>2.015560356885945</v>
      </c>
      <c r="Y9" s="5">
        <f t="shared" si="7"/>
        <v>2.404693805593626</v>
      </c>
      <c r="AA9">
        <f t="shared" si="8"/>
        <v>7150</v>
      </c>
      <c r="AB9" s="6">
        <f t="shared" si="9"/>
        <v>386932.48629635817</v>
      </c>
      <c r="AC9" s="6">
        <f t="shared" si="10"/>
        <v>385084.26183844014</v>
      </c>
      <c r="AD9" s="5">
        <f t="shared" si="11"/>
        <v>241402.58042736986</v>
      </c>
      <c r="AE9" s="5">
        <f t="shared" si="0"/>
        <v>54.285625030604038</v>
      </c>
      <c r="AF9" s="10">
        <f t="shared" si="12"/>
        <v>0.21962280606725487</v>
      </c>
      <c r="AG9" s="7">
        <f>Table1[[#This Row],[N(maxT)]]/Table1[[#This Row],[e2e sat]]</f>
        <v>10.725417053734727</v>
      </c>
      <c r="AH9" s="9">
        <f>Table1[[#This Row],[RPS]]/AG9</f>
        <v>0.18647293526954967</v>
      </c>
      <c r="AI9" s="16">
        <f>Table1[[#This Row],[Kvcache]]/$Q$1</f>
        <v>0.23082304327213171</v>
      </c>
    </row>
    <row r="10" spans="1:35" x14ac:dyDescent="0.25">
      <c r="A10">
        <v>8000</v>
      </c>
      <c r="B10">
        <v>300</v>
      </c>
      <c r="C10">
        <v>2</v>
      </c>
      <c r="D10">
        <v>0</v>
      </c>
      <c r="E10" s="2">
        <v>0.28995406362148374</v>
      </c>
      <c r="F10" s="2">
        <v>0.24747104080859131</v>
      </c>
      <c r="G10" s="2">
        <v>1.4878297557159534</v>
      </c>
      <c r="H10" s="2">
        <v>2.3848671595255535</v>
      </c>
      <c r="I10" s="2">
        <v>2.6166748650868734</v>
      </c>
      <c r="J10" s="2">
        <v>2.0987859075821697E-2</v>
      </c>
      <c r="K10" s="2">
        <v>6.5415801912347034</v>
      </c>
      <c r="L10" s="3">
        <v>21109.800952380956</v>
      </c>
      <c r="M10" s="3">
        <v>715.05142857142857</v>
      </c>
      <c r="N10" s="4">
        <v>13.111111111111109</v>
      </c>
      <c r="O10" s="4">
        <v>27.666666666666668</v>
      </c>
      <c r="P10" s="10">
        <v>0.27561761917076111</v>
      </c>
      <c r="Q10" s="10">
        <v>0.58376002068787169</v>
      </c>
      <c r="R10" s="2">
        <f>Table1[[#This Row],[Prefill]]+Table1[[#This Row],[Out-Tok]]*Table1[[#This Row],[ITL]]</f>
        <v>6.5438287635551005</v>
      </c>
      <c r="S10" s="2">
        <f t="shared" si="1"/>
        <v>15.007398614822128</v>
      </c>
      <c r="T10" s="2">
        <f t="shared" si="2"/>
        <v>0.65300805161848841</v>
      </c>
      <c r="U10" s="2">
        <f t="shared" si="3"/>
        <v>15.660406666440617</v>
      </c>
      <c r="V10" s="2">
        <f t="shared" si="4"/>
        <v>2.6387251190476193</v>
      </c>
      <c r="W10" s="2">
        <f t="shared" si="5"/>
        <v>2.3835047619047618</v>
      </c>
      <c r="X10" s="2">
        <f t="shared" si="6"/>
        <v>2.0042727793323016</v>
      </c>
      <c r="Y10" s="5">
        <f t="shared" si="7"/>
        <v>2.3939791623168594</v>
      </c>
      <c r="AA10">
        <f t="shared" si="8"/>
        <v>8150</v>
      </c>
      <c r="AB10" s="6">
        <f t="shared" si="9"/>
        <v>387694.93719975976</v>
      </c>
      <c r="AC10" s="6">
        <f t="shared" si="10"/>
        <v>386260.32160893065</v>
      </c>
      <c r="AD10" s="5">
        <f t="shared" si="11"/>
        <v>218470.53344535062</v>
      </c>
      <c r="AE10" s="5">
        <f t="shared" si="0"/>
        <v>47.624812143413358</v>
      </c>
      <c r="AF10" s="10">
        <f t="shared" si="12"/>
        <v>0.32882873362906256</v>
      </c>
      <c r="AG10" s="7">
        <f>Table1[[#This Row],[N(maxT)]]/Table1[[#This Row],[e2e sat]]</f>
        <v>7.2778206557990641</v>
      </c>
      <c r="AH10" s="9">
        <f>Table1[[#This Row],[RPS]]/AG10</f>
        <v>0.27480754123919959</v>
      </c>
      <c r="AI10" s="16">
        <f>Table1[[#This Row],[Kvcache]]/$Q$1</f>
        <v>0.34452202396345138</v>
      </c>
    </row>
    <row r="11" spans="1:35" x14ac:dyDescent="0.25">
      <c r="A11">
        <v>9000</v>
      </c>
      <c r="B11">
        <v>300</v>
      </c>
      <c r="C11">
        <v>2</v>
      </c>
      <c r="D11">
        <v>0</v>
      </c>
      <c r="E11" s="2">
        <v>0.31103301268871292</v>
      </c>
      <c r="F11" s="2">
        <v>0.27097875811431282</v>
      </c>
      <c r="G11" s="2">
        <v>1.4434405831504122</v>
      </c>
      <c r="H11" s="2">
        <v>2.1836857676506036</v>
      </c>
      <c r="I11" s="2">
        <v>2.3837302366892499</v>
      </c>
      <c r="J11" s="2">
        <v>2.4980285222803156E-2</v>
      </c>
      <c r="K11" s="2">
        <v>7.8049970651244811</v>
      </c>
      <c r="L11" s="3">
        <v>21954.551111111112</v>
      </c>
      <c r="M11" s="3">
        <v>664.26222222222225</v>
      </c>
      <c r="N11" s="4">
        <v>14.166666666666666</v>
      </c>
      <c r="O11" s="4">
        <v>25</v>
      </c>
      <c r="P11" s="10">
        <v>0.33464087147659677</v>
      </c>
      <c r="Q11" s="10">
        <v>0.59260408585466773</v>
      </c>
      <c r="R11" s="2">
        <f>Table1[[#This Row],[Prefill]]+Table1[[#This Row],[Out-Tok]]*Table1[[#This Row],[ITL]]</f>
        <v>7.7650643249552598</v>
      </c>
      <c r="S11" s="2">
        <f t="shared" si="1"/>
        <v>16.593459773844163</v>
      </c>
      <c r="T11" s="2">
        <f t="shared" si="2"/>
        <v>0.66102411056067734</v>
      </c>
      <c r="U11" s="2">
        <f t="shared" si="3"/>
        <v>17.254483884404841</v>
      </c>
      <c r="V11" s="2">
        <f t="shared" si="4"/>
        <v>2.4393945679012345</v>
      </c>
      <c r="W11" s="2">
        <f t="shared" si="5"/>
        <v>2.2142074074074074</v>
      </c>
      <c r="X11" s="2">
        <f t="shared" si="6"/>
        <v>1.8150764886214243</v>
      </c>
      <c r="Y11" s="5">
        <f t="shared" si="7"/>
        <v>2.2106970368386234</v>
      </c>
      <c r="AA11">
        <f t="shared" si="8"/>
        <v>9150</v>
      </c>
      <c r="AB11" s="6">
        <f t="shared" si="9"/>
        <v>387355.55351631751</v>
      </c>
      <c r="AC11" s="6">
        <f t="shared" si="10"/>
        <v>386008.13841857214</v>
      </c>
      <c r="AD11" s="5">
        <f t="shared" si="11"/>
        <v>266247.52966083086</v>
      </c>
      <c r="AE11" s="5">
        <f t="shared" si="0"/>
        <v>42.419914641400972</v>
      </c>
      <c r="AF11" s="10">
        <f t="shared" si="12"/>
        <v>0.40675432825045849</v>
      </c>
      <c r="AG11" s="7">
        <f>Table1[[#This Row],[N(maxT)]]/Table1[[#This Row],[e2e sat]]</f>
        <v>5.4629186399747418</v>
      </c>
      <c r="AH11" s="9">
        <f>Table1[[#This Row],[RPS]]/AG11</f>
        <v>0.3661046652544046</v>
      </c>
      <c r="AI11" s="16">
        <f>Table1[[#This Row],[Kvcache]]/$Q$1</f>
        <v>0.41830108934574595</v>
      </c>
    </row>
    <row r="12" spans="1:35" x14ac:dyDescent="0.25">
      <c r="A12">
        <v>10000</v>
      </c>
      <c r="B12">
        <v>300</v>
      </c>
      <c r="C12">
        <v>2</v>
      </c>
      <c r="D12">
        <v>0</v>
      </c>
      <c r="E12" s="2">
        <v>1.3162716745102527</v>
      </c>
      <c r="F12" s="2">
        <v>0.34317679329223766</v>
      </c>
      <c r="G12" s="2">
        <v>2.6800668145139266</v>
      </c>
      <c r="H12" s="2">
        <v>5.513361426194507</v>
      </c>
      <c r="I12" s="2">
        <v>6.1796992651621503</v>
      </c>
      <c r="J12" s="2">
        <v>4.3304766797038811E-2</v>
      </c>
      <c r="K12" s="2">
        <v>14.064873900700087</v>
      </c>
      <c r="L12" s="3">
        <v>25051.397142857142</v>
      </c>
      <c r="M12" s="3">
        <v>670.7022222222223</v>
      </c>
      <c r="N12" s="4">
        <v>24.093055555555555</v>
      </c>
      <c r="O12" s="4">
        <v>36.666666666666664</v>
      </c>
      <c r="P12" s="10">
        <v>0.63176008533747097</v>
      </c>
      <c r="Q12" s="10">
        <v>0.96374450478407037</v>
      </c>
      <c r="R12" s="2">
        <f>Table1[[#This Row],[Prefill]]+Table1[[#This Row],[Out-Tok]]*Table1[[#This Row],[ITL]]</f>
        <v>13.33460683240388</v>
      </c>
      <c r="S12" s="2">
        <f t="shared" si="1"/>
        <v>29.04460332358904</v>
      </c>
      <c r="T12" s="2">
        <f t="shared" si="2"/>
        <v>0.85970581389760392</v>
      </c>
      <c r="U12" s="2">
        <f t="shared" si="3"/>
        <v>29.904309137486646</v>
      </c>
      <c r="V12" s="2">
        <f t="shared" si="4"/>
        <v>2.5051397142857144</v>
      </c>
      <c r="W12" s="2">
        <f t="shared" si="5"/>
        <v>2.2356740740740744</v>
      </c>
      <c r="X12" s="2">
        <f t="shared" si="6"/>
        <v>1.7129947787414084</v>
      </c>
      <c r="Y12" s="5">
        <f t="shared" si="7"/>
        <v>2.1261697295414885</v>
      </c>
      <c r="AA12">
        <f t="shared" si="8"/>
        <v>10150</v>
      </c>
      <c r="AB12" s="6">
        <f t="shared" si="9"/>
        <v>387084.46380916756</v>
      </c>
      <c r="AC12" s="6">
        <f t="shared" si="10"/>
        <v>386167.35537190078</v>
      </c>
      <c r="AD12" s="5">
        <f t="shared" si="11"/>
        <v>314813.50126233132</v>
      </c>
      <c r="AE12" s="5">
        <f t="shared" si="0"/>
        <v>38.240612706287578</v>
      </c>
      <c r="AF12" s="10">
        <f t="shared" si="12"/>
        <v>0.78200392256188234</v>
      </c>
      <c r="AG12" s="7">
        <f>Table1[[#This Row],[N(maxT)]]/Table1[[#This Row],[e2e sat]]</f>
        <v>2.8677720450940209</v>
      </c>
      <c r="AH12" s="9">
        <f>Table1[[#This Row],[RPS]]/AG12</f>
        <v>0.6974055010479151</v>
      </c>
      <c r="AI12" s="16">
        <f>Table1[[#This Row],[Kvcache]]/$Q$1</f>
        <v>0.78970010667183865</v>
      </c>
    </row>
    <row r="13" spans="1:35" x14ac:dyDescent="0.25">
      <c r="A13">
        <v>11000</v>
      </c>
      <c r="B13">
        <v>300</v>
      </c>
      <c r="C13">
        <v>2</v>
      </c>
      <c r="D13">
        <v>0</v>
      </c>
      <c r="E13" s="2">
        <v>1.7155508230327792</v>
      </c>
      <c r="F13" s="2">
        <v>0.38150473381773814</v>
      </c>
      <c r="G13" s="2">
        <v>3.1402686691967703</v>
      </c>
      <c r="H13" s="2">
        <v>5.7949740290641758</v>
      </c>
      <c r="I13" s="2">
        <v>6.3687061834335319</v>
      </c>
      <c r="J13" s="2">
        <v>4.7299661496975204E-2</v>
      </c>
      <c r="K13" s="2">
        <v>15.093951099967761</v>
      </c>
      <c r="L13" s="3">
        <v>27245.546666666673</v>
      </c>
      <c r="M13" s="3">
        <v>646.85777777777787</v>
      </c>
      <c r="N13" s="4">
        <v>24.979166666666668</v>
      </c>
      <c r="O13" s="4">
        <v>34</v>
      </c>
      <c r="P13" s="10">
        <v>0.71907486423584166</v>
      </c>
      <c r="Q13" s="10">
        <v>0.98143263511766232</v>
      </c>
      <c r="R13" s="2">
        <f>Table1[[#This Row],[Prefill]]+Table1[[#This Row],[Out-Tok]]*Table1[[#This Row],[ITL]]</f>
        <v>14.5714031829103</v>
      </c>
      <c r="S13" s="2">
        <f t="shared" si="1"/>
        <v>30.596153925574502</v>
      </c>
      <c r="T13" s="2">
        <f t="shared" si="2"/>
        <v>0.94493682079867558</v>
      </c>
      <c r="U13" s="2">
        <f t="shared" si="3"/>
        <v>31.541090746373179</v>
      </c>
      <c r="V13" s="2">
        <f t="shared" si="4"/>
        <v>2.4768678787878793</v>
      </c>
      <c r="W13" s="2">
        <f t="shared" si="5"/>
        <v>2.1561925925925931</v>
      </c>
      <c r="X13" s="2">
        <f t="shared" si="6"/>
        <v>1.6549123884944892</v>
      </c>
      <c r="Y13" s="5">
        <f t="shared" si="7"/>
        <v>2.0896510487860627</v>
      </c>
      <c r="AA13">
        <f t="shared" si="8"/>
        <v>11150</v>
      </c>
      <c r="AB13" s="6">
        <f t="shared" si="9"/>
        <v>387327.83217129024</v>
      </c>
      <c r="AC13" s="6">
        <f t="shared" si="10"/>
        <v>386272.05417369306</v>
      </c>
      <c r="AD13" s="5">
        <f t="shared" si="11"/>
        <v>358192.10480686271</v>
      </c>
      <c r="AE13" s="5">
        <f t="shared" si="0"/>
        <v>34.81096134249497</v>
      </c>
      <c r="AF13" s="10">
        <f t="shared" si="12"/>
        <v>0.9060677881328677</v>
      </c>
      <c r="AG13" s="7">
        <f>Table1[[#This Row],[N(maxT)]]/Table1[[#This Row],[e2e sat]]</f>
        <v>2.3889917055704095</v>
      </c>
      <c r="AH13" s="9">
        <f>Table1[[#This Row],[RPS]]/AG13</f>
        <v>0.83717327077218484</v>
      </c>
      <c r="AI13" s="16">
        <f>Table1[[#This Row],[Kvcache]]/$Q$1</f>
        <v>0.89884358029480205</v>
      </c>
    </row>
    <row r="14" spans="1:35" x14ac:dyDescent="0.25">
      <c r="A14">
        <v>12000</v>
      </c>
      <c r="B14">
        <v>300</v>
      </c>
      <c r="C14">
        <v>2</v>
      </c>
      <c r="D14">
        <v>0</v>
      </c>
      <c r="E14" s="2">
        <v>3.5051964294542088</v>
      </c>
      <c r="F14" s="2">
        <v>0.55509771442608835</v>
      </c>
      <c r="G14" s="2">
        <v>5.0868831865476398</v>
      </c>
      <c r="H14" s="2">
        <v>11.410244663556417</v>
      </c>
      <c r="I14" s="2">
        <v>12.340481330553688</v>
      </c>
      <c r="J14" s="2">
        <v>4.9184309247364444E-2</v>
      </c>
      <c r="K14" s="2">
        <v>18.024079743383879</v>
      </c>
      <c r="L14" s="3">
        <v>27444.966666666664</v>
      </c>
      <c r="M14" s="3">
        <v>617.19999999999993</v>
      </c>
      <c r="N14" s="4">
        <v>24.549019607843135</v>
      </c>
      <c r="O14" s="4">
        <v>31.666666666666668</v>
      </c>
      <c r="P14" s="10">
        <v>0.77042547042090703</v>
      </c>
      <c r="Q14" s="10">
        <v>0.99200930954228095</v>
      </c>
      <c r="R14" s="2">
        <f>Table1[[#This Row],[Prefill]]+Table1[[#This Row],[Out-Tok]]*Table1[[#This Row],[ITL]]</f>
        <v>15.310390488635422</v>
      </c>
      <c r="S14" s="2">
        <f t="shared" si="1"/>
        <v>30.35655566747333</v>
      </c>
      <c r="T14" s="2">
        <f t="shared" si="2"/>
        <v>1.2695531890972371</v>
      </c>
      <c r="U14" s="2">
        <f t="shared" si="3"/>
        <v>31.626108856570568</v>
      </c>
      <c r="V14" s="2">
        <f t="shared" si="4"/>
        <v>2.2870805555555553</v>
      </c>
      <c r="W14" s="2">
        <f t="shared" si="5"/>
        <v>2.0573333333333332</v>
      </c>
      <c r="X14" s="2">
        <f t="shared" si="6"/>
        <v>1.3620123721908395</v>
      </c>
      <c r="Y14" s="5">
        <f t="shared" si="7"/>
        <v>1.7546587291470235</v>
      </c>
      <c r="AA14">
        <f t="shared" si="8"/>
        <v>12150</v>
      </c>
      <c r="AB14" s="6">
        <f t="shared" si="9"/>
        <v>387150.476829822</v>
      </c>
      <c r="AC14" s="6">
        <f t="shared" si="10"/>
        <v>387849.18276374438</v>
      </c>
      <c r="AD14" s="5">
        <f t="shared" si="11"/>
        <v>387160.46909497102</v>
      </c>
      <c r="AE14" s="5">
        <f t="shared" si="0"/>
        <v>31.945861643524189</v>
      </c>
      <c r="AF14" s="10">
        <f t="shared" si="12"/>
        <v>0.98999079159229875</v>
      </c>
      <c r="AG14" s="7">
        <f>Table1[[#This Row],[N(maxT)]]/Table1[[#This Row],[e2e sat]]</f>
        <v>2.0865478034173539</v>
      </c>
      <c r="AH14" s="9">
        <f>Table1[[#This Row],[RPS]]/AG14</f>
        <v>0.95852105411838362</v>
      </c>
      <c r="AI14" s="16">
        <f>Table1[[#This Row],[Kvcache]]/$Q$1</f>
        <v>0.96303183802613379</v>
      </c>
    </row>
    <row r="15" spans="1:35" x14ac:dyDescent="0.25">
      <c r="A15">
        <v>13000</v>
      </c>
      <c r="B15">
        <v>300</v>
      </c>
      <c r="C15">
        <v>2</v>
      </c>
      <c r="D15">
        <v>0</v>
      </c>
      <c r="E15" s="2">
        <v>9.1159876795979198</v>
      </c>
      <c r="F15" s="2">
        <v>0.65528987854474108</v>
      </c>
      <c r="G15" s="2">
        <v>10.95463573470102</v>
      </c>
      <c r="H15" s="2">
        <v>19.046502681573234</v>
      </c>
      <c r="I15" s="2">
        <v>19.775371034940083</v>
      </c>
      <c r="J15" s="2">
        <v>5.4880265473210399E-2</v>
      </c>
      <c r="K15" s="2">
        <v>24.280004303179297</v>
      </c>
      <c r="L15" s="3">
        <v>28724.251960784317</v>
      </c>
      <c r="M15" s="3">
        <v>573.86274509803923</v>
      </c>
      <c r="N15" s="4">
        <v>25.11655773420479</v>
      </c>
      <c r="O15" s="4">
        <v>29</v>
      </c>
      <c r="P15" s="10">
        <v>0.85300405137488144</v>
      </c>
      <c r="Q15" s="10">
        <v>0.98924230669769864</v>
      </c>
      <c r="R15" s="2">
        <f>Table1[[#This Row],[Prefill]]+Table1[[#This Row],[Out-Tok]]*Table1[[#This Row],[ITL]]</f>
        <v>17.119369520507863</v>
      </c>
      <c r="S15" s="2">
        <f t="shared" si="1"/>
        <v>31.493739796165663</v>
      </c>
      <c r="T15" s="2">
        <f t="shared" si="2"/>
        <v>1.4479008906669921</v>
      </c>
      <c r="U15" s="2">
        <f t="shared" si="3"/>
        <v>32.941640686832656</v>
      </c>
      <c r="V15" s="2">
        <f t="shared" si="4"/>
        <v>2.2095578431372553</v>
      </c>
      <c r="W15" s="2">
        <f t="shared" si="5"/>
        <v>1.9128758169934641</v>
      </c>
      <c r="X15" s="2">
        <f t="shared" si="6"/>
        <v>1.0344544185651545</v>
      </c>
      <c r="Y15" s="5">
        <f t="shared" si="7"/>
        <v>1.3567394912907482</v>
      </c>
      <c r="AA15">
        <f t="shared" si="8"/>
        <v>13150</v>
      </c>
      <c r="AB15" s="6">
        <f t="shared" si="9"/>
        <v>387199.49063833826</v>
      </c>
      <c r="AC15" s="6">
        <f t="shared" si="10"/>
        <v>385497.0591310712</v>
      </c>
      <c r="AD15" s="5">
        <f t="shared" si="11"/>
        <v>437673.74986577348</v>
      </c>
      <c r="AE15" s="5">
        <f t="shared" si="0"/>
        <v>29.516518552761895</v>
      </c>
      <c r="AF15" s="10">
        <f t="shared" si="12"/>
        <v>1.1160408578656804</v>
      </c>
      <c r="AG15" s="7">
        <f>Table1[[#This Row],[N(maxT)]]/Table1[[#This Row],[e2e sat]]</f>
        <v>1.7241592055947548</v>
      </c>
      <c r="AH15" s="9">
        <f>Table1[[#This Row],[RPS]]/AG15</f>
        <v>1.1599856866524649</v>
      </c>
      <c r="AI15" s="16">
        <f>Table1[[#This Row],[Kvcache]]/$Q$1</f>
        <v>1.0662550642186017</v>
      </c>
    </row>
    <row r="16" spans="1:35" x14ac:dyDescent="0.25">
      <c r="A16">
        <v>14000</v>
      </c>
      <c r="B16">
        <v>300</v>
      </c>
      <c r="C16">
        <v>2</v>
      </c>
      <c r="D16">
        <v>0</v>
      </c>
      <c r="E16" s="2">
        <v>11.644218997552805</v>
      </c>
      <c r="F16" s="2">
        <v>0.60584197872183487</v>
      </c>
      <c r="G16" s="2">
        <v>12.454836155189392</v>
      </c>
      <c r="H16" s="2">
        <v>22.943973843256629</v>
      </c>
      <c r="I16" s="2">
        <v>23.639374065399171</v>
      </c>
      <c r="J16" s="2">
        <v>5.4148147401154513E-2</v>
      </c>
      <c r="K16" s="2">
        <v>27.865864387884045</v>
      </c>
      <c r="L16" s="3">
        <v>27878.763123495013</v>
      </c>
      <c r="M16" s="3">
        <v>541.92778351106517</v>
      </c>
      <c r="N16" s="4">
        <v>23.946588693957121</v>
      </c>
      <c r="O16" s="4">
        <v>27</v>
      </c>
      <c r="P16" s="10">
        <v>0.87529748645382954</v>
      </c>
      <c r="Q16" s="10">
        <v>0.99237134729764664</v>
      </c>
      <c r="R16" s="2">
        <f>Table1[[#This Row],[Prefill]]+Table1[[#This Row],[Out-Tok]]*Table1[[#This Row],[ITL]]</f>
        <v>16.850286199068186</v>
      </c>
      <c r="S16" s="2">
        <f t="shared" si="1"/>
        <v>29.34438550233811</v>
      </c>
      <c r="T16" s="2">
        <f t="shared" si="2"/>
        <v>1.2064375010753956</v>
      </c>
      <c r="U16" s="2">
        <f t="shared" si="3"/>
        <v>30.550823003413505</v>
      </c>
      <c r="V16" s="2">
        <f t="shared" si="4"/>
        <v>1.9913402231067867</v>
      </c>
      <c r="W16" s="2">
        <f t="shared" si="5"/>
        <v>1.8064259450368838</v>
      </c>
      <c r="X16" s="2">
        <f t="shared" si="6"/>
        <v>0.8593520861448315</v>
      </c>
      <c r="Y16" s="5">
        <f t="shared" si="7"/>
        <v>1.0963529635454936</v>
      </c>
      <c r="AA16">
        <f t="shared" si="8"/>
        <v>14150</v>
      </c>
      <c r="AB16" s="6">
        <f t="shared" si="9"/>
        <v>387118.93414921477</v>
      </c>
      <c r="AC16" s="6">
        <f t="shared" si="10"/>
        <v>384986.93159609125</v>
      </c>
      <c r="AD16" s="5">
        <f t="shared" si="11"/>
        <v>435434.96197249036</v>
      </c>
      <c r="AE16" s="5">
        <f t="shared" si="0"/>
        <v>27.430545510163881</v>
      </c>
      <c r="AF16" s="10">
        <f t="shared" si="12"/>
        <v>1.1137519300187984</v>
      </c>
      <c r="AG16" s="7">
        <f>Table1[[#This Row],[N(maxT)]]/Table1[[#This Row],[e2e sat]]</f>
        <v>1.6278978995431412</v>
      </c>
      <c r="AH16" s="9">
        <f>Table1[[#This Row],[RPS]]/AG16</f>
        <v>1.2285782791176809</v>
      </c>
      <c r="AI16" s="16">
        <f>Table1[[#This Row],[Kvcache]]/$Q$1</f>
        <v>1.0941218580672869</v>
      </c>
    </row>
    <row r="17" spans="1:35" x14ac:dyDescent="0.25">
      <c r="A17">
        <v>15000</v>
      </c>
      <c r="B17">
        <v>300</v>
      </c>
      <c r="C17">
        <v>2</v>
      </c>
      <c r="D17">
        <v>0</v>
      </c>
      <c r="E17" s="2">
        <v>13.628086677628298</v>
      </c>
      <c r="F17" s="2">
        <v>0.66836240618394516</v>
      </c>
      <c r="G17" s="2">
        <v>13.578893035044539</v>
      </c>
      <c r="H17" s="2">
        <v>27.903930230935416</v>
      </c>
      <c r="I17" s="2">
        <v>28.690085995992025</v>
      </c>
      <c r="J17" s="2">
        <v>5.603377519936481E-2</v>
      </c>
      <c r="K17" s="2">
        <v>29.740709199202666</v>
      </c>
      <c r="L17" s="3">
        <v>27945.355204678362</v>
      </c>
      <c r="M17" s="3">
        <v>504.75730994152053</v>
      </c>
      <c r="N17" s="4">
        <v>22.259398496240603</v>
      </c>
      <c r="O17" s="4">
        <v>25.333333333333332</v>
      </c>
      <c r="P17" s="10">
        <v>0.87014661362483015</v>
      </c>
      <c r="Q17" s="10">
        <v>0.98259632790276707</v>
      </c>
      <c r="R17" s="2">
        <f>Table1[[#This Row],[Prefill]]+Table1[[#This Row],[Out-Tok]]*Table1[[#This Row],[ITL]]</f>
        <v>17.478494965993388</v>
      </c>
      <c r="S17" s="2">
        <f t="shared" si="1"/>
        <v>28.283457635499271</v>
      </c>
      <c r="T17" s="2">
        <f t="shared" si="2"/>
        <v>1.2451749897509243</v>
      </c>
      <c r="U17" s="2">
        <f t="shared" si="3"/>
        <v>29.528632625250196</v>
      </c>
      <c r="V17" s="2">
        <f t="shared" si="4"/>
        <v>1.8630236803118909</v>
      </c>
      <c r="W17" s="2">
        <f t="shared" si="5"/>
        <v>1.6825243664717351</v>
      </c>
      <c r="X17" s="2">
        <f t="shared" si="6"/>
        <v>0.74844881294348442</v>
      </c>
      <c r="Y17" s="5">
        <f t="shared" si="7"/>
        <v>0.99286914873038212</v>
      </c>
      <c r="AA17">
        <f t="shared" si="8"/>
        <v>15150</v>
      </c>
      <c r="AB17" s="6">
        <f t="shared" si="9"/>
        <v>387555.24866461661</v>
      </c>
      <c r="AC17" s="6">
        <f t="shared" si="10"/>
        <v>390597.83667131612</v>
      </c>
      <c r="AD17" s="5">
        <f t="shared" si="11"/>
        <v>455092.28492489108</v>
      </c>
      <c r="AE17" s="5">
        <f t="shared" si="0"/>
        <v>25.619948446786726</v>
      </c>
      <c r="AF17" s="10">
        <f t="shared" si="12"/>
        <v>1.1525640922573246</v>
      </c>
      <c r="AG17" s="7">
        <f>Table1[[#This Row],[N(maxT)]]/Table1[[#This Row],[e2e sat]]</f>
        <v>1.4657983136782406</v>
      </c>
      <c r="AH17" s="9">
        <f>Table1[[#This Row],[RPS]]/AG17</f>
        <v>1.3644441949051271</v>
      </c>
      <c r="AI17" s="16">
        <f>Table1[[#This Row],[Kvcache]]/$Q$1</f>
        <v>1.0876832670310377</v>
      </c>
    </row>
    <row r="18" spans="1:35" x14ac:dyDescent="0.25">
      <c r="P18" s="10"/>
      <c r="Q18" s="10"/>
      <c r="R18" s="2">
        <f>Table1[[#This Row],[Prefill]]+Table1[[#This Row],[Out-Tok]]*Table1[[#This Row],[ITL]]</f>
        <v>0</v>
      </c>
      <c r="S18" s="2"/>
      <c r="T18" s="2"/>
      <c r="U18" s="2"/>
      <c r="V18" s="2"/>
      <c r="W18" s="2"/>
      <c r="X18" s="2"/>
      <c r="Y18" s="5"/>
      <c r="AB18" s="6"/>
      <c r="AC18" s="6"/>
      <c r="AD18" s="5"/>
      <c r="AE18" s="5"/>
      <c r="AF18" s="10"/>
      <c r="AG18" s="7"/>
      <c r="AH18" s="9"/>
      <c r="AI18" s="16"/>
    </row>
    <row r="19" spans="1:35" x14ac:dyDescent="0.25">
      <c r="P19" s="10"/>
      <c r="Q19" s="10"/>
      <c r="R19" s="2">
        <f>Table1[[#This Row],[Prefill]]+Table1[[#This Row],[Out-Tok]]*Table1[[#This Row],[ITL]]</f>
        <v>0</v>
      </c>
      <c r="S19" s="2"/>
      <c r="T19" s="2"/>
      <c r="U19" s="2"/>
      <c r="V19" s="2"/>
      <c r="W19" s="2"/>
      <c r="X19" s="2"/>
      <c r="Y19" s="5"/>
      <c r="AB19" s="6"/>
      <c r="AC19" s="6"/>
      <c r="AD19" s="5"/>
      <c r="AE19" s="5"/>
      <c r="AF19" s="10"/>
      <c r="AG19" s="7"/>
      <c r="AH19" s="9"/>
      <c r="AI19" s="16"/>
    </row>
    <row r="20" spans="1:35" x14ac:dyDescent="0.25">
      <c r="A20">
        <v>5000</v>
      </c>
      <c r="B20">
        <v>100</v>
      </c>
      <c r="C20">
        <v>2</v>
      </c>
      <c r="D20">
        <v>0</v>
      </c>
      <c r="E20" s="2">
        <v>0.15310316644821045</v>
      </c>
      <c r="F20" s="2">
        <v>0.14001906340436057</v>
      </c>
      <c r="G20" s="2">
        <v>1.155893479584911</v>
      </c>
      <c r="H20" s="2">
        <v>2.3622004191080728</v>
      </c>
      <c r="I20" s="2">
        <v>2.7759022140502925</v>
      </c>
      <c r="J20" s="2">
        <v>9.6372250619072009E-3</v>
      </c>
      <c r="K20" s="2">
        <v>1.1050221029912082</v>
      </c>
      <c r="L20" s="3">
        <v>13843.581089743588</v>
      </c>
      <c r="M20" s="3">
        <v>258.15320512820512</v>
      </c>
      <c r="N20" s="4">
        <v>2.1190476190476191</v>
      </c>
      <c r="O20" s="4">
        <v>6.333333333333333</v>
      </c>
      <c r="P20" s="10">
        <v>2.7674917911307269E-2</v>
      </c>
      <c r="Q20" s="10">
        <v>8.2699767261443E-2</v>
      </c>
      <c r="R20" s="2">
        <f>Table1[[#This Row],[Prefill]]+Table1[[#This Row],[Out-Tok]]*Table1[[#This Row],[ITL]]</f>
        <v>1.1037415695950807</v>
      </c>
      <c r="S20" s="2">
        <f t="shared" si="1"/>
        <v>2.4878805382732088</v>
      </c>
      <c r="T20" s="2">
        <f t="shared" si="2"/>
        <v>0.38767305166964289</v>
      </c>
      <c r="U20" s="2">
        <f t="shared" si="3"/>
        <v>2.8755535899428515</v>
      </c>
      <c r="V20" s="2">
        <f t="shared" si="4"/>
        <v>2.7687162179487177</v>
      </c>
      <c r="W20" s="2">
        <f t="shared" si="5"/>
        <v>2.5815320512820512</v>
      </c>
      <c r="X20" s="2">
        <f t="shared" si="6"/>
        <v>1.9176517947573386</v>
      </c>
      <c r="Y20" s="5">
        <f t="shared" si="7"/>
        <v>2.6022588889027229</v>
      </c>
      <c r="AA20">
        <f t="shared" ref="AA20:AA37" si="13">A20+B20*$AA$1</f>
        <v>5050</v>
      </c>
      <c r="AB20" s="6">
        <f t="shared" si="9"/>
        <v>386674.69621719245</v>
      </c>
      <c r="AC20" s="6">
        <f t="shared" si="10"/>
        <v>386740.30644152587</v>
      </c>
      <c r="AD20" s="5">
        <f t="shared" si="11"/>
        <v>175359.16311325875</v>
      </c>
      <c r="AE20" s="5">
        <f t="shared" si="0"/>
        <v>76.859845340360181</v>
      </c>
      <c r="AF20" s="10">
        <f t="shared" si="12"/>
        <v>3.7412950510230317E-2</v>
      </c>
      <c r="AG20" s="7">
        <f>Table1[[#This Row],[N(maxT)]]/Table1[[#This Row],[e2e sat]]</f>
        <v>69.635725841654249</v>
      </c>
      <c r="AH20" s="9">
        <f>Table1[[#This Row],[RPS]]/AG20</f>
        <v>2.8720889684525307E-2</v>
      </c>
      <c r="AI20" s="16">
        <f>Table1[[#This Row],[Kvcache]]/$Q$1</f>
        <v>3.4593647389134084E-2</v>
      </c>
    </row>
    <row r="21" spans="1:35" x14ac:dyDescent="0.25">
      <c r="A21">
        <v>5000</v>
      </c>
      <c r="B21">
        <v>200</v>
      </c>
      <c r="C21">
        <v>2</v>
      </c>
      <c r="D21">
        <v>0</v>
      </c>
      <c r="E21" s="2">
        <v>0.15337052458484812</v>
      </c>
      <c r="F21" s="2">
        <v>0.14131639997156367</v>
      </c>
      <c r="G21" s="2">
        <v>1.0886227086385336</v>
      </c>
      <c r="H21" s="2">
        <v>2.1854217251141868</v>
      </c>
      <c r="I21" s="2">
        <v>2.5071182203292834</v>
      </c>
      <c r="J21" s="2">
        <v>1.0460084484178884E-2</v>
      </c>
      <c r="K21" s="2">
        <v>2.2130016907884409</v>
      </c>
      <c r="L21" s="3">
        <v>12979.142261904761</v>
      </c>
      <c r="M21" s="3">
        <v>482.27559523809515</v>
      </c>
      <c r="N21" s="4">
        <v>4.7281045751633988</v>
      </c>
      <c r="O21" s="4">
        <v>10</v>
      </c>
      <c r="P21" s="10">
        <v>6.230122149713261E-2</v>
      </c>
      <c r="Q21" s="10">
        <v>0.13157486423584175</v>
      </c>
      <c r="R21" s="2">
        <f>Table1[[#This Row],[Prefill]]+Table1[[#This Row],[Out-Tok]]*Table1[[#This Row],[ITL]]</f>
        <v>2.2333332968073405</v>
      </c>
      <c r="S21" s="2">
        <f t="shared" si="1"/>
        <v>5.0446434708481345</v>
      </c>
      <c r="T21" s="2">
        <f t="shared" si="2"/>
        <v>0.36683313183423172</v>
      </c>
      <c r="U21" s="2">
        <f t="shared" si="3"/>
        <v>5.4114766026823666</v>
      </c>
      <c r="V21" s="2">
        <f t="shared" si="4"/>
        <v>2.5958284523809523</v>
      </c>
      <c r="W21" s="2">
        <f t="shared" si="5"/>
        <v>2.4113779761904759</v>
      </c>
      <c r="X21" s="2">
        <f t="shared" si="6"/>
        <v>2.1365119578733287</v>
      </c>
      <c r="Y21" s="5">
        <f t="shared" si="7"/>
        <v>2.4453106498777162</v>
      </c>
      <c r="AA21">
        <f t="shared" si="13"/>
        <v>5100</v>
      </c>
      <c r="AB21" s="6">
        <f t="shared" si="9"/>
        <v>387044.31075148564</v>
      </c>
      <c r="AC21" s="6">
        <f t="shared" si="10"/>
        <v>387612.02830188675</v>
      </c>
      <c r="AD21" s="5">
        <f t="shared" si="11"/>
        <v>209476.54037547269</v>
      </c>
      <c r="AE21" s="5">
        <f t="shared" si="0"/>
        <v>76.106317444866448</v>
      </c>
      <c r="AF21" s="10">
        <f t="shared" si="12"/>
        <v>7.1104170906739664E-2</v>
      </c>
      <c r="AG21" s="7">
        <f>Table1[[#This Row],[N(maxT)]]/Table1[[#This Row],[e2e sat]]</f>
        <v>34.077456129662401</v>
      </c>
      <c r="AH21" s="9">
        <f>Table1[[#This Row],[RPS]]/AG21</f>
        <v>5.8689826857677874E-2</v>
      </c>
      <c r="AI21" s="16">
        <f>Table1[[#This Row],[Kvcache]]/$Q$1</f>
        <v>7.787652687141576E-2</v>
      </c>
    </row>
    <row r="22" spans="1:35" x14ac:dyDescent="0.25">
      <c r="A22">
        <v>5000</v>
      </c>
      <c r="B22">
        <v>300</v>
      </c>
      <c r="C22">
        <v>2</v>
      </c>
      <c r="D22">
        <v>0</v>
      </c>
      <c r="E22" s="2">
        <v>0.16116826119435404</v>
      </c>
      <c r="F22" s="2">
        <v>0.14455132195937925</v>
      </c>
      <c r="G22" s="2">
        <v>0.79212661878774748</v>
      </c>
      <c r="H22" s="2">
        <v>1.0923022747039794</v>
      </c>
      <c r="I22" s="2">
        <v>1.2533288701375327</v>
      </c>
      <c r="J22" s="2">
        <v>1.1342318018871873E-2</v>
      </c>
      <c r="K22" s="2">
        <v>3.533105623815942</v>
      </c>
      <c r="L22" s="3">
        <v>12742.970833333333</v>
      </c>
      <c r="M22" s="3">
        <v>714.52499999999998</v>
      </c>
      <c r="N22" s="4">
        <v>7.1372549019607847</v>
      </c>
      <c r="O22" s="4">
        <v>16.333333333333332</v>
      </c>
      <c r="P22" s="10">
        <v>9.50714187924976E-2</v>
      </c>
      <c r="Q22" s="10">
        <v>0.21825704680630986</v>
      </c>
      <c r="R22" s="2">
        <f>Table1[[#This Row],[Prefill]]+Table1[[#This Row],[Out-Tok]]*Table1[[#This Row],[ITL]]</f>
        <v>3.5472467276209416</v>
      </c>
      <c r="S22" s="2">
        <f t="shared" si="1"/>
        <v>8.104369782434425</v>
      </c>
      <c r="T22" s="2">
        <f t="shared" si="2"/>
        <v>0.36840265592962917</v>
      </c>
      <c r="U22" s="2">
        <f t="shared" si="3"/>
        <v>8.4727724383640535</v>
      </c>
      <c r="V22" s="2">
        <f t="shared" si="4"/>
        <v>2.5485941666666667</v>
      </c>
      <c r="W22" s="2">
        <f t="shared" si="5"/>
        <v>2.3817499999999998</v>
      </c>
      <c r="X22" s="2">
        <f t="shared" si="6"/>
        <v>2.020107990502749</v>
      </c>
      <c r="Y22" s="5">
        <f t="shared" si="7"/>
        <v>2.3981090124367719</v>
      </c>
      <c r="AA22">
        <f t="shared" si="13"/>
        <v>5150</v>
      </c>
      <c r="AB22" s="6">
        <f t="shared" si="9"/>
        <v>386623.68997903971</v>
      </c>
      <c r="AC22" s="6">
        <f t="shared" si="10"/>
        <v>385401.83649289084</v>
      </c>
      <c r="AD22" s="5">
        <f t="shared" si="11"/>
        <v>199670.60993847161</v>
      </c>
      <c r="AE22" s="5">
        <f t="shared" si="0"/>
        <v>75.367421158993963</v>
      </c>
      <c r="AF22" s="10">
        <f t="shared" si="12"/>
        <v>0.11241956150376993</v>
      </c>
      <c r="AG22" s="7">
        <f>Table1[[#This Row],[N(maxT)]]/Table1[[#This Row],[e2e sat]]</f>
        <v>21.246737807139002</v>
      </c>
      <c r="AH22" s="9">
        <f>Table1[[#This Row],[RPS]]/AG22</f>
        <v>9.413209774387063E-2</v>
      </c>
      <c r="AI22" s="16">
        <f>Table1[[#This Row],[Kvcache]]/$Q$1</f>
        <v>0.118839273490622</v>
      </c>
    </row>
    <row r="23" spans="1:35" x14ac:dyDescent="0.25">
      <c r="A23">
        <v>5000</v>
      </c>
      <c r="B23">
        <v>400</v>
      </c>
      <c r="C23">
        <v>2</v>
      </c>
      <c r="D23">
        <v>0</v>
      </c>
      <c r="E23" s="2">
        <v>0.15893258931756402</v>
      </c>
      <c r="F23" s="2">
        <v>0.14438882254426644</v>
      </c>
      <c r="G23" s="2">
        <v>0.86264109190174754</v>
      </c>
      <c r="H23" s="2">
        <v>1.3129658778508508</v>
      </c>
      <c r="I23" s="2">
        <v>1.5561990388234443</v>
      </c>
      <c r="J23" s="2">
        <v>1.1075833659466924E-2</v>
      </c>
      <c r="K23" s="2">
        <v>4.5276417927164161</v>
      </c>
      <c r="L23" s="3">
        <v>11301.037499999999</v>
      </c>
      <c r="M23" s="3">
        <v>830.43333333333339</v>
      </c>
      <c r="N23" s="4">
        <v>7.9607843137254903</v>
      </c>
      <c r="O23" s="4">
        <v>17</v>
      </c>
      <c r="P23" s="10">
        <v>0.10698367787766773</v>
      </c>
      <c r="Q23" s="10">
        <v>0.22865270235324539</v>
      </c>
      <c r="R23" s="2">
        <f>Table1[[#This Row],[Prefill]]+Table1[[#This Row],[Out-Tok]]*Table1[[#This Row],[ITL]]</f>
        <v>4.5747222863310366</v>
      </c>
      <c r="S23" s="2">
        <f t="shared" si="1"/>
        <v>9.1977414652766498</v>
      </c>
      <c r="T23" s="2">
        <f t="shared" si="2"/>
        <v>0.32634869963072005</v>
      </c>
      <c r="U23" s="2">
        <f t="shared" si="3"/>
        <v>9.5240901649073706</v>
      </c>
      <c r="V23" s="2">
        <f t="shared" si="4"/>
        <v>2.2602074999999999</v>
      </c>
      <c r="W23" s="2">
        <f t="shared" si="5"/>
        <v>2.0760833333333335</v>
      </c>
      <c r="X23" s="2">
        <f t="shared" si="6"/>
        <v>1.758262839284668</v>
      </c>
      <c r="Y23" s="5">
        <f t="shared" si="7"/>
        <v>2.1035432132084089</v>
      </c>
      <c r="AA23">
        <f t="shared" si="13"/>
        <v>5200</v>
      </c>
      <c r="AB23" s="6">
        <f t="shared" si="9"/>
        <v>386938.26247689471</v>
      </c>
      <c r="AC23" s="6">
        <f t="shared" si="10"/>
        <v>386612.53110156074</v>
      </c>
      <c r="AD23" s="5">
        <f t="shared" si="11"/>
        <v>216310.58198114563</v>
      </c>
      <c r="AE23" s="5">
        <f t="shared" si="0"/>
        <v>74.642734417080561</v>
      </c>
      <c r="AF23" s="10">
        <f t="shared" si="12"/>
        <v>0.12759567611349409</v>
      </c>
      <c r="AG23" s="7">
        <f>Table1[[#This Row],[N(maxT)]]/Table1[[#This Row],[e2e sat]]</f>
        <v>16.31634222696054</v>
      </c>
      <c r="AH23" s="9">
        <f>Table1[[#This Row],[RPS]]/AG23</f>
        <v>0.12257649246258585</v>
      </c>
      <c r="AI23" s="16">
        <f>Table1[[#This Row],[Kvcache]]/$Q$1</f>
        <v>0.13372959734708464</v>
      </c>
    </row>
    <row r="24" spans="1:35" x14ac:dyDescent="0.25">
      <c r="A24">
        <v>5000</v>
      </c>
      <c r="B24">
        <v>500</v>
      </c>
      <c r="C24">
        <v>2</v>
      </c>
      <c r="D24">
        <v>0</v>
      </c>
      <c r="E24" s="2">
        <v>0.50221464618893996</v>
      </c>
      <c r="F24" s="2">
        <v>0.34444617464136235</v>
      </c>
      <c r="G24" s="2">
        <v>3.8024452155977304</v>
      </c>
      <c r="H24" s="2">
        <v>8.4403578162193256</v>
      </c>
      <c r="I24" s="2">
        <v>9.385810093879698</v>
      </c>
      <c r="J24" s="2">
        <v>1.5406034269445123E-2</v>
      </c>
      <c r="K24" s="2">
        <v>7.4567372525505506</v>
      </c>
      <c r="L24" s="3">
        <v>16988.75</v>
      </c>
      <c r="M24" s="3">
        <v>1554.0732142857141</v>
      </c>
      <c r="N24" s="4">
        <v>15.67892156862745</v>
      </c>
      <c r="O24" s="4">
        <v>35</v>
      </c>
      <c r="P24" s="10">
        <v>0.21169130957270418</v>
      </c>
      <c r="Q24" s="10">
        <v>0.48582880786139127</v>
      </c>
      <c r="R24" s="2">
        <f>Table1[[#This Row],[Prefill]]+Table1[[#This Row],[Out-Tok]]*Table1[[#This Row],[ITL]]</f>
        <v>8.0474633093639252</v>
      </c>
      <c r="S24" s="2">
        <f t="shared" si="1"/>
        <v>23.942105196512447</v>
      </c>
      <c r="T24" s="2">
        <f t="shared" si="2"/>
        <v>1.170341989887689</v>
      </c>
      <c r="U24" s="2">
        <f t="shared" si="3"/>
        <v>25.112447186400136</v>
      </c>
      <c r="V24" s="2">
        <f t="shared" si="4"/>
        <v>3.3977499999999998</v>
      </c>
      <c r="W24" s="2">
        <f t="shared" si="5"/>
        <v>3.1081464285714282</v>
      </c>
      <c r="X24" s="2">
        <f t="shared" si="6"/>
        <v>2.1026517413181658</v>
      </c>
      <c r="Y24" s="5">
        <f t="shared" si="7"/>
        <v>3.3677527229232211</v>
      </c>
      <c r="AA24">
        <f t="shared" si="13"/>
        <v>5250</v>
      </c>
      <c r="AB24" s="6">
        <f t="shared" si="9"/>
        <v>388841.36718434218</v>
      </c>
      <c r="AC24" s="6">
        <f t="shared" si="10"/>
        <v>378219.6465641135</v>
      </c>
      <c r="AD24" s="5">
        <f t="shared" si="11"/>
        <v>270769.78578153776</v>
      </c>
      <c r="AE24" s="5">
        <f t="shared" si="0"/>
        <v>73.931851232155978</v>
      </c>
      <c r="AF24" s="10">
        <f t="shared" si="12"/>
        <v>0.33967020665482411</v>
      </c>
      <c r="AG24" s="7">
        <f>Table1[[#This Row],[N(maxT)]]/Table1[[#This Row],[e2e sat]]</f>
        <v>9.1869758692940948</v>
      </c>
      <c r="AH24" s="9">
        <f>Table1[[#This Row],[RPS]]/AG24</f>
        <v>0.2176994942029466</v>
      </c>
      <c r="AI24" s="16">
        <f>Table1[[#This Row],[Kvcache]]/$Q$1</f>
        <v>0.26461413696588021</v>
      </c>
    </row>
    <row r="25" spans="1:35" x14ac:dyDescent="0.25">
      <c r="A25">
        <v>5000</v>
      </c>
      <c r="B25">
        <v>600</v>
      </c>
      <c r="C25">
        <v>2</v>
      </c>
      <c r="D25">
        <v>0</v>
      </c>
      <c r="E25" s="2">
        <v>0.17005826780993508</v>
      </c>
      <c r="F25" s="2">
        <v>0.24551542522963241</v>
      </c>
      <c r="G25" s="2">
        <v>0.85443627847475501</v>
      </c>
      <c r="H25" s="2">
        <v>1.2550119717915849</v>
      </c>
      <c r="I25" s="2">
        <v>1.4356961647669477</v>
      </c>
      <c r="J25" s="2">
        <v>1.4934354230036029E-2</v>
      </c>
      <c r="K25" s="2">
        <v>9.738733615059159</v>
      </c>
      <c r="L25" s="3">
        <v>12520.516666666668</v>
      </c>
      <c r="M25" s="3">
        <v>1383.0625</v>
      </c>
      <c r="N25" s="4">
        <v>17.666666666666668</v>
      </c>
      <c r="O25" s="4">
        <v>32</v>
      </c>
      <c r="P25" s="10">
        <v>0.24133771429440673</v>
      </c>
      <c r="Q25" s="10">
        <v>0.43791052495474525</v>
      </c>
      <c r="R25" s="2">
        <f>Table1[[#This Row],[Prefill]]+Table1[[#This Row],[Out-Tok]]*Table1[[#This Row],[ITL]]</f>
        <v>9.2061279632512498</v>
      </c>
      <c r="S25" s="2">
        <f t="shared" si="1"/>
        <v>20.655145297279205</v>
      </c>
      <c r="T25" s="2">
        <f t="shared" si="2"/>
        <v>0.61479599470227331</v>
      </c>
      <c r="U25" s="2">
        <f t="shared" si="3"/>
        <v>21.269941291981478</v>
      </c>
      <c r="V25" s="2">
        <f t="shared" si="4"/>
        <v>2.5041033333333336</v>
      </c>
      <c r="W25" s="2">
        <f t="shared" si="5"/>
        <v>2.3051041666666667</v>
      </c>
      <c r="X25" s="2">
        <f t="shared" si="6"/>
        <v>1.8140620089811696</v>
      </c>
      <c r="Y25" s="5">
        <f t="shared" si="7"/>
        <v>2.1840561753420822</v>
      </c>
      <c r="AA25">
        <f t="shared" si="13"/>
        <v>5300</v>
      </c>
      <c r="AB25" s="6">
        <f t="shared" si="9"/>
        <v>387976.38241949404</v>
      </c>
      <c r="AC25" s="6">
        <f t="shared" si="10"/>
        <v>387293.7285933625</v>
      </c>
      <c r="AD25" s="5">
        <f t="shared" si="11"/>
        <v>257007.41049948949</v>
      </c>
      <c r="AE25" s="5">
        <f t="shared" si="0"/>
        <v>73.234380937512995</v>
      </c>
      <c r="AF25" s="10">
        <f t="shared" si="12"/>
        <v>0.29043655479425695</v>
      </c>
      <c r="AG25" s="7">
        <f>Table1[[#This Row],[N(maxT)]]/Table1[[#This Row],[e2e sat]]</f>
        <v>7.9549601341462814</v>
      </c>
      <c r="AH25" s="9">
        <f>Table1[[#This Row],[RPS]]/AG25</f>
        <v>0.25141546485130667</v>
      </c>
      <c r="AI25" s="16">
        <f>Table1[[#This Row],[Kvcache]]/$Q$1</f>
        <v>0.30167214286800842</v>
      </c>
    </row>
    <row r="26" spans="1:35" x14ac:dyDescent="0.25">
      <c r="A26">
        <v>5000</v>
      </c>
      <c r="B26">
        <v>700</v>
      </c>
      <c r="C26">
        <v>2</v>
      </c>
      <c r="D26">
        <v>0</v>
      </c>
      <c r="E26" s="2">
        <v>0.17619657907857875</v>
      </c>
      <c r="F26" s="2">
        <v>0.15544193767138964</v>
      </c>
      <c r="G26" s="2">
        <v>0.99250126931340743</v>
      </c>
      <c r="H26" s="2">
        <v>2.0728516777356458</v>
      </c>
      <c r="I26" s="2">
        <v>2.4672814178466793</v>
      </c>
      <c r="J26" s="2">
        <v>1.6075060193484956E-2</v>
      </c>
      <c r="K26" s="2">
        <v>11.325994664118975</v>
      </c>
      <c r="L26" s="3">
        <v>12397.255277777776</v>
      </c>
      <c r="M26" s="3">
        <v>1573.9455555555558</v>
      </c>
      <c r="N26" s="4">
        <v>21.506127450980397</v>
      </c>
      <c r="O26" s="4">
        <v>38.666666666666664</v>
      </c>
      <c r="P26" s="10">
        <v>0.29655056359238813</v>
      </c>
      <c r="Q26" s="10">
        <v>0.53491078355314203</v>
      </c>
      <c r="R26" s="2">
        <f>Table1[[#This Row],[Prefill]]+Table1[[#This Row],[Out-Tok]]*Table1[[#This Row],[ITL]]</f>
        <v>11.407984073110859</v>
      </c>
      <c r="S26" s="2">
        <f t="shared" si="1"/>
        <v>25.301269546823679</v>
      </c>
      <c r="T26" s="2">
        <f t="shared" si="2"/>
        <v>0.38541067643692783</v>
      </c>
      <c r="U26" s="2">
        <f t="shared" si="3"/>
        <v>25.686680223260606</v>
      </c>
      <c r="V26" s="2">
        <f t="shared" si="4"/>
        <v>2.4794510555555553</v>
      </c>
      <c r="W26" s="2">
        <f t="shared" si="5"/>
        <v>2.2484936507936513</v>
      </c>
      <c r="X26" s="2">
        <f t="shared" si="6"/>
        <v>1.8988290290399243</v>
      </c>
      <c r="Y26" s="5">
        <f t="shared" si="7"/>
        <v>2.2679403429913871</v>
      </c>
      <c r="AA26">
        <f t="shared" si="13"/>
        <v>5350</v>
      </c>
      <c r="AB26" s="6">
        <f t="shared" si="9"/>
        <v>387987.0618654202</v>
      </c>
      <c r="AC26" s="6">
        <f t="shared" si="10"/>
        <v>386731.15784384811</v>
      </c>
      <c r="AD26" s="5">
        <f t="shared" si="11"/>
        <v>256657.46453221768</v>
      </c>
      <c r="AE26" s="5">
        <f t="shared" si="0"/>
        <v>72.549947470807268</v>
      </c>
      <c r="AF26" s="10">
        <f t="shared" si="12"/>
        <v>0.35405511814597029</v>
      </c>
      <c r="AG26" s="7">
        <f>Table1[[#This Row],[N(maxT)]]/Table1[[#This Row],[e2e sat]]</f>
        <v>6.3595765041266858</v>
      </c>
      <c r="AH26" s="9">
        <f>Table1[[#This Row],[RPS]]/AG26</f>
        <v>0.31448634963384964</v>
      </c>
      <c r="AI26" s="16">
        <f>Table1[[#This Row],[Kvcache]]/$Q$1</f>
        <v>0.37068820449048512</v>
      </c>
    </row>
    <row r="27" spans="1:35" x14ac:dyDescent="0.25">
      <c r="A27">
        <v>5000</v>
      </c>
      <c r="B27">
        <v>800</v>
      </c>
      <c r="C27">
        <v>2</v>
      </c>
      <c r="D27">
        <v>0</v>
      </c>
      <c r="E27" s="2">
        <v>0.23137368829244689</v>
      </c>
      <c r="F27" s="2">
        <v>0.15481857555113479</v>
      </c>
      <c r="G27" s="2">
        <v>1.1025821170809051</v>
      </c>
      <c r="H27" s="2">
        <v>2.8050277670224504</v>
      </c>
      <c r="I27" s="2">
        <v>3.1549166059494014</v>
      </c>
      <c r="J27" s="2">
        <v>1.614998110024948E-2</v>
      </c>
      <c r="K27" s="2">
        <v>12.925310710319906</v>
      </c>
      <c r="L27" s="3">
        <v>11441.094607843137</v>
      </c>
      <c r="M27" s="3">
        <v>1689.0698529411764</v>
      </c>
      <c r="N27" s="4">
        <v>22.738562091503269</v>
      </c>
      <c r="O27" s="4">
        <v>35.333333333333336</v>
      </c>
      <c r="P27" s="10">
        <v>0.31619645703294674</v>
      </c>
      <c r="Q27" s="10">
        <v>0.49519006982156716</v>
      </c>
      <c r="R27" s="2">
        <f>Table1[[#This Row],[Prefill]]+Table1[[#This Row],[Out-Tok]]*Table1[[#This Row],[ITL]]</f>
        <v>13.074803455750718</v>
      </c>
      <c r="S27" s="2">
        <f t="shared" si="1"/>
        <v>27.278446202001167</v>
      </c>
      <c r="T27" s="2">
        <f t="shared" si="2"/>
        <v>0.35425879398640875</v>
      </c>
      <c r="U27" s="2">
        <f t="shared" si="3"/>
        <v>27.632704995987574</v>
      </c>
      <c r="V27" s="2">
        <f t="shared" si="4"/>
        <v>2.2882189215686273</v>
      </c>
      <c r="W27" s="2">
        <f t="shared" si="5"/>
        <v>2.1113373161764706</v>
      </c>
      <c r="X27" s="2">
        <f t="shared" si="6"/>
        <v>1.7592275033936482</v>
      </c>
      <c r="Y27" s="5">
        <f t="shared" si="7"/>
        <v>2.1378754921477361</v>
      </c>
      <c r="AA27">
        <f t="shared" si="13"/>
        <v>5400</v>
      </c>
      <c r="AB27" s="6">
        <f t="shared" si="9"/>
        <v>388328.94095749932</v>
      </c>
      <c r="AC27" s="6">
        <f t="shared" si="10"/>
        <v>385306.59564468113</v>
      </c>
      <c r="AD27" s="5">
        <f t="shared" si="11"/>
        <v>301045.82572597789</v>
      </c>
      <c r="AE27" s="5">
        <f t="shared" si="0"/>
        <v>71.878188697929431</v>
      </c>
      <c r="AF27" s="10">
        <f t="shared" si="12"/>
        <v>0.38443797063550073</v>
      </c>
      <c r="AG27" s="7">
        <f>Table1[[#This Row],[N(maxT)]]/Table1[[#This Row],[e2e sat]]</f>
        <v>5.4974584467895076</v>
      </c>
      <c r="AH27" s="9">
        <f>Table1[[#This Row],[RPS]]/AG27</f>
        <v>0.36380447789796239</v>
      </c>
      <c r="AI27" s="16">
        <f>Table1[[#This Row],[Kvcache]]/$Q$1</f>
        <v>0.39524557129118343</v>
      </c>
    </row>
    <row r="28" spans="1:35" x14ac:dyDescent="0.25">
      <c r="A28">
        <v>5000</v>
      </c>
      <c r="B28">
        <v>900</v>
      </c>
      <c r="C28">
        <v>2</v>
      </c>
      <c r="D28">
        <v>0</v>
      </c>
      <c r="E28" s="2">
        <v>0.17436044400462422</v>
      </c>
      <c r="F28" s="2">
        <v>0.19344804233874538</v>
      </c>
      <c r="G28" s="2">
        <v>0.9016296876844011</v>
      </c>
      <c r="H28" s="2">
        <v>1.5425634225209555</v>
      </c>
      <c r="I28" s="2">
        <v>1.717054837544759</v>
      </c>
      <c r="J28" s="2">
        <v>1.7961932173386517E-2</v>
      </c>
      <c r="K28" s="2">
        <v>16.094139975212617</v>
      </c>
      <c r="L28" s="3">
        <v>11075.8431372549</v>
      </c>
      <c r="M28" s="3">
        <v>1852.6117647058825</v>
      </c>
      <c r="N28" s="4">
        <v>27.888888888888889</v>
      </c>
      <c r="O28" s="4">
        <v>42.333333333333336</v>
      </c>
      <c r="P28" s="10">
        <v>0.39154670574375766</v>
      </c>
      <c r="Q28" s="10">
        <v>0.59490561158520816</v>
      </c>
      <c r="R28" s="2">
        <f>Table1[[#This Row],[Prefill]]+Table1[[#This Row],[Out-Tok]]*Table1[[#This Row],[ITL]]</f>
        <v>16.359186998386608</v>
      </c>
      <c r="S28" s="2">
        <f t="shared" si="1"/>
        <v>33.276486861264964</v>
      </c>
      <c r="T28" s="2">
        <f t="shared" si="2"/>
        <v>0.42852003443059766</v>
      </c>
      <c r="U28" s="2">
        <f t="shared" si="3"/>
        <v>33.705006895695561</v>
      </c>
      <c r="V28" s="2">
        <f t="shared" si="4"/>
        <v>2.2151686274509799</v>
      </c>
      <c r="W28" s="2">
        <f t="shared" si="5"/>
        <v>2.0584575163398693</v>
      </c>
      <c r="X28" s="2">
        <f t="shared" si="6"/>
        <v>1.7328598441322089</v>
      </c>
      <c r="Y28" s="5">
        <f t="shared" si="7"/>
        <v>2.0942409440707186</v>
      </c>
      <c r="AA28">
        <f t="shared" si="13"/>
        <v>5450</v>
      </c>
      <c r="AB28" s="6">
        <f t="shared" si="9"/>
        <v>388189.81800836581</v>
      </c>
      <c r="AC28" s="6">
        <f t="shared" si="10"/>
        <v>387820.62595088029</v>
      </c>
      <c r="AD28" s="5">
        <f t="shared" si="11"/>
        <v>308451.37445768475</v>
      </c>
      <c r="AE28" s="5">
        <f t="shared" si="0"/>
        <v>71.218755774095214</v>
      </c>
      <c r="AF28" s="10">
        <f t="shared" si="12"/>
        <v>0.47326026029726381</v>
      </c>
      <c r="AG28" s="7">
        <f>Table1[[#This Row],[N(maxT)]]/Table1[[#This Row],[e2e sat]]</f>
        <v>4.3534410225348621</v>
      </c>
      <c r="AH28" s="9">
        <f>Table1[[#This Row],[RPS]]/AG28</f>
        <v>0.45940670601653572</v>
      </c>
      <c r="AI28" s="16">
        <f>Table1[[#This Row],[Kvcache]]/$Q$1</f>
        <v>0.48943338217969706</v>
      </c>
    </row>
    <row r="29" spans="1:35" x14ac:dyDescent="0.25">
      <c r="A29">
        <v>5000</v>
      </c>
      <c r="B29">
        <v>1000</v>
      </c>
      <c r="C29">
        <v>2</v>
      </c>
      <c r="D29">
        <v>0</v>
      </c>
      <c r="E29" s="2">
        <v>0.18828923375344761</v>
      </c>
      <c r="F29" s="2">
        <v>0.16248296045972282</v>
      </c>
      <c r="G29" s="2">
        <v>1.1704781419399841</v>
      </c>
      <c r="H29" s="2">
        <v>3.2295448025067626</v>
      </c>
      <c r="I29" s="2">
        <v>4.105344993273417</v>
      </c>
      <c r="J29" s="2">
        <v>2.0872182953329547E-2</v>
      </c>
      <c r="K29" s="2">
        <v>20.658373428792796</v>
      </c>
      <c r="L29" s="3">
        <v>11753.010185185187</v>
      </c>
      <c r="M29" s="3">
        <v>2126.0847222222224</v>
      </c>
      <c r="N29" s="4">
        <v>34.896800825593395</v>
      </c>
      <c r="O29" s="4">
        <v>54</v>
      </c>
      <c r="P29" s="10">
        <v>0.49386129038198118</v>
      </c>
      <c r="Q29" s="10">
        <v>0.76237393328161362</v>
      </c>
      <c r="R29" s="2">
        <f>Table1[[#This Row],[Prefill]]+Table1[[#This Row],[Out-Tok]]*Table1[[#This Row],[ITL]]</f>
        <v>21.034665913789269</v>
      </c>
      <c r="S29" s="2">
        <f t="shared" si="1"/>
        <v>44.376029296501052</v>
      </c>
      <c r="T29" s="2">
        <f t="shared" si="2"/>
        <v>0.38193277784043289</v>
      </c>
      <c r="U29" s="2">
        <f t="shared" si="3"/>
        <v>44.757962074341485</v>
      </c>
      <c r="V29" s="2">
        <f t="shared" si="4"/>
        <v>2.3506020370370373</v>
      </c>
      <c r="W29" s="2">
        <f t="shared" si="5"/>
        <v>2.1260847222222226</v>
      </c>
      <c r="X29" s="2">
        <f t="shared" si="6"/>
        <v>1.6892327436077645</v>
      </c>
      <c r="Y29" s="5">
        <f t="shared" si="7"/>
        <v>2.1665772587864867</v>
      </c>
      <c r="AA29">
        <f t="shared" si="13"/>
        <v>5500</v>
      </c>
      <c r="AB29" s="6">
        <f t="shared" si="9"/>
        <v>388636.25936811516</v>
      </c>
      <c r="AC29" s="6">
        <f t="shared" si="10"/>
        <v>389572.6060852753</v>
      </c>
      <c r="AD29" s="5">
        <f t="shared" si="11"/>
        <v>322647.21323977393</v>
      </c>
      <c r="AE29" s="5">
        <f t="shared" si="0"/>
        <v>70.571312539785254</v>
      </c>
      <c r="AF29" s="10">
        <f t="shared" si="12"/>
        <v>0.63422317742933798</v>
      </c>
      <c r="AG29" s="7">
        <f>Table1[[#This Row],[N(maxT)]]/Table1[[#This Row],[e2e sat]]</f>
        <v>3.3550003992943025</v>
      </c>
      <c r="AH29" s="9">
        <f>Table1[[#This Row],[RPS]]/AG29</f>
        <v>0.59612511534147183</v>
      </c>
      <c r="AI29" s="16">
        <f>Table1[[#This Row],[Kvcache]]/$Q$1</f>
        <v>0.61732661297747649</v>
      </c>
    </row>
    <row r="30" spans="1:35" x14ac:dyDescent="0.25">
      <c r="A30">
        <v>5000</v>
      </c>
      <c r="B30">
        <v>1100</v>
      </c>
      <c r="C30">
        <v>2</v>
      </c>
      <c r="D30">
        <v>0</v>
      </c>
      <c r="E30" s="2">
        <v>0.23504210296204842</v>
      </c>
      <c r="F30" s="2">
        <v>0.20141286979510664</v>
      </c>
      <c r="G30" s="2">
        <v>1.3894296544767464</v>
      </c>
      <c r="H30" s="2">
        <v>3.5152292529741924</v>
      </c>
      <c r="I30" s="2">
        <v>3.620838298797608</v>
      </c>
      <c r="J30" s="2">
        <v>1.8766042390591448E-2</v>
      </c>
      <c r="K30" s="2">
        <v>20.971273956765248</v>
      </c>
      <c r="L30" s="3">
        <v>10473.480827886708</v>
      </c>
      <c r="M30" s="3">
        <v>2125.919564270152</v>
      </c>
      <c r="N30" s="4">
        <v>30.68896198830409</v>
      </c>
      <c r="O30" s="4">
        <v>46</v>
      </c>
      <c r="P30" s="10">
        <v>0.43729828190854692</v>
      </c>
      <c r="Q30" s="10">
        <v>0.65254719420739582</v>
      </c>
      <c r="R30" s="2">
        <f>Table1[[#This Row],[Prefill]]+Table1[[#This Row],[Out-Tok]]*Table1[[#This Row],[ITL]]</f>
        <v>20.844059499445699</v>
      </c>
      <c r="S30" s="2">
        <f t="shared" si="1"/>
        <v>39.895096662081372</v>
      </c>
      <c r="T30" s="2">
        <f t="shared" si="2"/>
        <v>0.42189876605773824</v>
      </c>
      <c r="U30" s="2">
        <f t="shared" si="3"/>
        <v>40.316995428139109</v>
      </c>
      <c r="V30" s="2">
        <f t="shared" si="4"/>
        <v>2.0946961655773415</v>
      </c>
      <c r="W30" s="2">
        <f t="shared" si="5"/>
        <v>1.9326541493365019</v>
      </c>
      <c r="X30" s="2">
        <f t="shared" si="6"/>
        <v>1.463380911029678</v>
      </c>
      <c r="Y30" s="5">
        <f t="shared" si="7"/>
        <v>1.9224867078298316</v>
      </c>
      <c r="AA30">
        <f t="shared" si="13"/>
        <v>5550</v>
      </c>
      <c r="AB30" s="6">
        <f t="shared" si="9"/>
        <v>389490.98608786176</v>
      </c>
      <c r="AC30" s="6">
        <f t="shared" si="10"/>
        <v>391236.07038123172</v>
      </c>
      <c r="AD30" s="5">
        <f t="shared" si="11"/>
        <v>342545.76877974859</v>
      </c>
      <c r="AE30" s="5">
        <f t="shared" si="0"/>
        <v>69.935534949336741</v>
      </c>
      <c r="AF30" s="10">
        <f t="shared" si="12"/>
        <v>0.57648798221599173</v>
      </c>
      <c r="AG30" s="7">
        <f>Table1[[#This Row],[N(maxT)]]/Table1[[#This Row],[e2e sat]]</f>
        <v>3.3551782440074365</v>
      </c>
      <c r="AH30" s="9">
        <f>Table1[[#This Row],[RPS]]/AG30</f>
        <v>0.59609351710959868</v>
      </c>
      <c r="AI30" s="16">
        <f>Table1[[#This Row],[Kvcache]]/$Q$1</f>
        <v>0.54662285238568364</v>
      </c>
    </row>
    <row r="31" spans="1:35" x14ac:dyDescent="0.25">
      <c r="A31">
        <v>5000</v>
      </c>
      <c r="B31">
        <v>1200</v>
      </c>
      <c r="C31">
        <v>2</v>
      </c>
      <c r="D31">
        <v>0</v>
      </c>
      <c r="E31" s="2">
        <v>0.18824029019694385</v>
      </c>
      <c r="F31" s="2">
        <v>0.16432492611937052</v>
      </c>
      <c r="G31" s="2">
        <v>1.0480099242489727</v>
      </c>
      <c r="H31" s="2">
        <v>2.0461770534515371</v>
      </c>
      <c r="I31" s="2">
        <v>2.385656719207764</v>
      </c>
      <c r="J31" s="2">
        <v>2.0326716039575112E-2</v>
      </c>
      <c r="K31" s="2">
        <v>24.388625301044417</v>
      </c>
      <c r="L31" s="3">
        <v>9556.6426785919048</v>
      </c>
      <c r="M31" s="3">
        <v>2145.7577571379429</v>
      </c>
      <c r="N31" s="4">
        <v>35.480311890838209</v>
      </c>
      <c r="O31" s="4">
        <v>55</v>
      </c>
      <c r="P31" s="10">
        <v>0.51077284626098474</v>
      </c>
      <c r="Q31" s="10">
        <v>0.79175071114559081</v>
      </c>
      <c r="R31" s="2">
        <f>Table1[[#This Row],[Prefill]]+Table1[[#This Row],[Out-Tok]]*Table1[[#This Row],[ITL]]</f>
        <v>24.556384173609505</v>
      </c>
      <c r="S31" s="2">
        <f t="shared" si="1"/>
        <v>43.61620861905854</v>
      </c>
      <c r="T31" s="2">
        <f t="shared" si="2"/>
        <v>0.3140789204217676</v>
      </c>
      <c r="U31" s="2">
        <f t="shared" si="3"/>
        <v>43.930287539480311</v>
      </c>
      <c r="V31" s="2">
        <f t="shared" si="4"/>
        <v>1.9113285357183809</v>
      </c>
      <c r="W31" s="2">
        <f t="shared" si="5"/>
        <v>1.7881314642816191</v>
      </c>
      <c r="X31" s="2">
        <f t="shared" si="6"/>
        <v>1.4547893312100211</v>
      </c>
      <c r="Y31" s="5">
        <f t="shared" si="7"/>
        <v>1.8012613256065335</v>
      </c>
      <c r="AA31">
        <f t="shared" si="13"/>
        <v>5600</v>
      </c>
      <c r="AB31" s="6">
        <f t="shared" si="9"/>
        <v>388998.2563543939</v>
      </c>
      <c r="AC31" s="6">
        <f t="shared" si="10"/>
        <v>389011.33357285173</v>
      </c>
      <c r="AD31" s="5">
        <f t="shared" si="11"/>
        <v>310477.98177933547</v>
      </c>
      <c r="AE31" s="5">
        <f t="shared" si="0"/>
        <v>69.311110530146237</v>
      </c>
      <c r="AF31" s="10">
        <f t="shared" si="12"/>
        <v>0.6338130669594918</v>
      </c>
      <c r="AG31" s="7">
        <f>Table1[[#This Row],[N(maxT)]]/Table1[[#This Row],[e2e sat]]</f>
        <v>2.8225291655370901</v>
      </c>
      <c r="AH31" s="9">
        <f>Table1[[#This Row],[RPS]]/AG31</f>
        <v>0.70858435208389647</v>
      </c>
      <c r="AI31" s="16">
        <f>Table1[[#This Row],[Kvcache]]/$Q$1</f>
        <v>0.63846605782623089</v>
      </c>
    </row>
    <row r="32" spans="1:35" x14ac:dyDescent="0.25">
      <c r="A32">
        <v>5000</v>
      </c>
      <c r="B32">
        <v>1300</v>
      </c>
      <c r="C32">
        <v>2</v>
      </c>
      <c r="D32">
        <v>0</v>
      </c>
      <c r="E32" s="2">
        <v>0.4180031805995803</v>
      </c>
      <c r="F32" s="2">
        <v>0.17561969466664892</v>
      </c>
      <c r="G32" s="2">
        <v>1.9199125414060869</v>
      </c>
      <c r="H32" s="2">
        <v>5.2925902485847471</v>
      </c>
      <c r="I32" s="2">
        <v>5.6682829332351696</v>
      </c>
      <c r="J32" s="2">
        <v>2.1851780945371161E-2</v>
      </c>
      <c r="K32" s="2">
        <v>28.635474381773509</v>
      </c>
      <c r="L32" s="3">
        <v>9893.9683430799232</v>
      </c>
      <c r="M32" s="3">
        <v>2384.682456140351</v>
      </c>
      <c r="N32" s="4">
        <v>39.140350877192986</v>
      </c>
      <c r="O32" s="4">
        <v>63</v>
      </c>
      <c r="P32" s="10">
        <v>0.56726287207545623</v>
      </c>
      <c r="Q32" s="10">
        <v>0.91130074993535037</v>
      </c>
      <c r="R32" s="2">
        <f>Table1[[#This Row],[Prefill]]+Table1[[#This Row],[Out-Tok]]*Table1[[#This Row],[ITL]]</f>
        <v>28.582934923649159</v>
      </c>
      <c r="S32" s="2">
        <f t="shared" si="1"/>
        <v>52.109558655848623</v>
      </c>
      <c r="T32" s="2">
        <f t="shared" si="2"/>
        <v>0.34751513989063726</v>
      </c>
      <c r="U32" s="2">
        <f t="shared" si="3"/>
        <v>52.457073795739262</v>
      </c>
      <c r="V32" s="2">
        <f t="shared" si="4"/>
        <v>1.9787936686159846</v>
      </c>
      <c r="W32" s="2">
        <f t="shared" si="5"/>
        <v>1.8343711201079622</v>
      </c>
      <c r="X32" s="2">
        <f t="shared" si="6"/>
        <v>1.3668483488475343</v>
      </c>
      <c r="Y32" s="5">
        <f t="shared" si="7"/>
        <v>1.8318912093570279</v>
      </c>
      <c r="AA32">
        <f t="shared" si="13"/>
        <v>5650</v>
      </c>
      <c r="AB32" s="6">
        <f t="shared" si="9"/>
        <v>389842.15844594239</v>
      </c>
      <c r="AC32" s="6">
        <f t="shared" si="10"/>
        <v>390595.53064699209</v>
      </c>
      <c r="AD32" s="5">
        <f t="shared" si="11"/>
        <v>324982.26532350364</v>
      </c>
      <c r="AE32" s="5">
        <f t="shared" si="0"/>
        <v>68.697737870587417</v>
      </c>
      <c r="AF32" s="10">
        <f t="shared" si="12"/>
        <v>0.7635924474625021</v>
      </c>
      <c r="AG32" s="7">
        <f>Table1[[#This Row],[N(maxT)]]/Table1[[#This Row],[e2e sat]]</f>
        <v>2.4034529013235719</v>
      </c>
      <c r="AH32" s="9">
        <f>Table1[[#This Row],[RPS]]/AG32</f>
        <v>0.83213613168729372</v>
      </c>
      <c r="AI32" s="16">
        <f>Table1[[#This Row],[Kvcache]]/$Q$1</f>
        <v>0.70907859009432028</v>
      </c>
    </row>
    <row r="33" spans="1:35" x14ac:dyDescent="0.25">
      <c r="A33">
        <v>5000</v>
      </c>
      <c r="B33">
        <v>1400</v>
      </c>
      <c r="C33">
        <v>2</v>
      </c>
      <c r="D33">
        <v>0</v>
      </c>
      <c r="E33" s="2">
        <v>1.8249674372255154</v>
      </c>
      <c r="F33" s="2">
        <v>0.19329064533754595</v>
      </c>
      <c r="G33" s="2">
        <v>2.2599220545800045</v>
      </c>
      <c r="H33" s="2">
        <v>6.5031854073206565</v>
      </c>
      <c r="I33" s="2">
        <v>7.7864677302042651</v>
      </c>
      <c r="J33" s="2">
        <v>2.4655918108415869E-2</v>
      </c>
      <c r="K33" s="2">
        <v>35.467737052007756</v>
      </c>
      <c r="L33" s="3">
        <v>9392.272259079069</v>
      </c>
      <c r="M33" s="3">
        <v>2441.3438891346009</v>
      </c>
      <c r="N33" s="4">
        <v>46.14006734006734</v>
      </c>
      <c r="O33" s="4">
        <v>69.333333333333329</v>
      </c>
      <c r="P33" s="10">
        <v>0.67386728678039765</v>
      </c>
      <c r="Q33" s="10">
        <v>0.9954228083785881</v>
      </c>
      <c r="R33" s="2">
        <f>Table1[[#This Row],[Prefill]]+Table1[[#This Row],[Out-Tok]]*Table1[[#This Row],[ITL]]</f>
        <v>34.711575997119766</v>
      </c>
      <c r="S33" s="2">
        <f t="shared" si="1"/>
        <v>60.193575004984233</v>
      </c>
      <c r="T33" s="2">
        <f t="shared" si="2"/>
        <v>0.36308767322866475</v>
      </c>
      <c r="U33" s="2">
        <f t="shared" si="3"/>
        <v>60.556662678212895</v>
      </c>
      <c r="V33" s="2">
        <f t="shared" si="4"/>
        <v>1.8784544518158137</v>
      </c>
      <c r="W33" s="2">
        <f t="shared" si="5"/>
        <v>1.7438170636675721</v>
      </c>
      <c r="X33" s="2">
        <f t="shared" si="6"/>
        <v>1.3009024870239203</v>
      </c>
      <c r="Y33" s="5">
        <f t="shared" si="7"/>
        <v>1.7073731709868112</v>
      </c>
      <c r="AA33">
        <f t="shared" si="13"/>
        <v>5700</v>
      </c>
      <c r="AB33" s="6">
        <f t="shared" si="9"/>
        <v>390282.16534287814</v>
      </c>
      <c r="AC33" s="6">
        <f t="shared" si="10"/>
        <v>397017.22391084093</v>
      </c>
      <c r="AD33" s="5">
        <f t="shared" si="11"/>
        <v>346504.83492173592</v>
      </c>
      <c r="AE33" s="5">
        <f t="shared" si="0"/>
        <v>68.095126134880502</v>
      </c>
      <c r="AF33" s="10">
        <f t="shared" si="12"/>
        <v>0.88929510987709048</v>
      </c>
      <c r="AG33" s="7">
        <f>Table1[[#This Row],[N(maxT)]]/Table1[[#This Row],[e2e sat]]</f>
        <v>1.961741124647604</v>
      </c>
      <c r="AH33" s="9">
        <f>Table1[[#This Row],[RPS]]/AG33</f>
        <v>1.0195025097204242</v>
      </c>
      <c r="AI33" s="16">
        <f>Table1[[#This Row],[Kvcache]]/$Q$1</f>
        <v>0.84233410847549706</v>
      </c>
    </row>
    <row r="34" spans="1:35" x14ac:dyDescent="0.25">
      <c r="A34">
        <v>5000</v>
      </c>
      <c r="B34">
        <v>1500</v>
      </c>
      <c r="C34">
        <v>2</v>
      </c>
      <c r="D34">
        <v>0</v>
      </c>
      <c r="E34" s="2">
        <v>1.6748234095749341</v>
      </c>
      <c r="F34" s="2">
        <v>0.2054726877016777</v>
      </c>
      <c r="G34" s="2">
        <v>2.2110054026521362</v>
      </c>
      <c r="H34" s="2">
        <v>7.0016373594601946</v>
      </c>
      <c r="I34" s="2">
        <v>8.4012144899368302</v>
      </c>
      <c r="J34" s="2">
        <v>2.5381527339316323E-2</v>
      </c>
      <c r="K34" s="2">
        <v>38.719617624598435</v>
      </c>
      <c r="L34" s="3">
        <v>9991.0628879892047</v>
      </c>
      <c r="M34" s="3">
        <v>2529.5523346828609</v>
      </c>
      <c r="N34" s="4">
        <v>48.647619047619052</v>
      </c>
      <c r="O34" s="4">
        <v>68.666666666666671</v>
      </c>
      <c r="P34" s="10">
        <v>0.71598852315687067</v>
      </c>
      <c r="Q34" s="10">
        <v>0.99756917507111453</v>
      </c>
      <c r="R34" s="2">
        <f>Table1[[#This Row],[Prefill]]+Table1[[#This Row],[Out-Tok]]*Table1[[#This Row],[ITL]]</f>
        <v>38.277763696676161</v>
      </c>
      <c r="S34" s="2">
        <f t="shared" si="1"/>
        <v>64.20390173898447</v>
      </c>
      <c r="T34" s="2">
        <f t="shared" si="2"/>
        <v>0.41057810891832558</v>
      </c>
      <c r="U34" s="2">
        <f t="shared" si="3"/>
        <v>64.6144798479028</v>
      </c>
      <c r="V34" s="2">
        <f t="shared" si="4"/>
        <v>1.998212577597841</v>
      </c>
      <c r="W34" s="2">
        <f t="shared" si="5"/>
        <v>1.6863682231219073</v>
      </c>
      <c r="X34" s="2">
        <f t="shared" si="6"/>
        <v>1.2564075275555768</v>
      </c>
      <c r="Y34" s="5">
        <f t="shared" si="7"/>
        <v>1.6687788726212383</v>
      </c>
      <c r="AA34">
        <f t="shared" si="13"/>
        <v>5750</v>
      </c>
      <c r="AB34" s="6">
        <f t="shared" si="9"/>
        <v>390681.97390996863</v>
      </c>
      <c r="AC34" s="6">
        <f t="shared" si="10"/>
        <v>395795.44276233931</v>
      </c>
      <c r="AD34" s="5">
        <f t="shared" si="11"/>
        <v>372129.90820139216</v>
      </c>
      <c r="AE34" s="5">
        <f t="shared" si="0"/>
        <v>67.502994603272853</v>
      </c>
      <c r="AF34" s="10">
        <f t="shared" si="12"/>
        <v>0.95720908720648068</v>
      </c>
      <c r="AG34" s="7">
        <f>Table1[[#This Row],[N(maxT)]]/Table1[[#This Row],[e2e sat]]</f>
        <v>1.7635041361921167</v>
      </c>
      <c r="AH34" s="9">
        <f>Table1[[#This Row],[RPS]]/AG34</f>
        <v>1.1341056473610218</v>
      </c>
      <c r="AI34" s="16">
        <f>Table1[[#This Row],[Kvcache]]/$Q$1</f>
        <v>0.89498565394608831</v>
      </c>
    </row>
    <row r="35" spans="1:35" x14ac:dyDescent="0.25">
      <c r="A35">
        <v>5000</v>
      </c>
      <c r="B35">
        <v>1600</v>
      </c>
      <c r="C35">
        <v>2</v>
      </c>
      <c r="D35">
        <v>0</v>
      </c>
      <c r="E35" s="2">
        <v>1.3661789128068271</v>
      </c>
      <c r="F35" s="2">
        <v>0.18625423975646438</v>
      </c>
      <c r="G35" s="2">
        <v>1.5875425631830991</v>
      </c>
      <c r="H35" s="2">
        <v>5.1241823712984704</v>
      </c>
      <c r="I35" s="2">
        <v>6.0669184684753406</v>
      </c>
      <c r="J35" s="2">
        <v>2.4125358087585144E-2</v>
      </c>
      <c r="K35" s="2">
        <v>39.494148024441749</v>
      </c>
      <c r="L35" s="3">
        <v>8649.2764985994381</v>
      </c>
      <c r="M35" s="3">
        <v>2556.0095611577967</v>
      </c>
      <c r="N35" s="4">
        <v>46.273929773929773</v>
      </c>
      <c r="O35" s="4">
        <v>66.333333333333329</v>
      </c>
      <c r="P35" s="10">
        <v>0.68742814378966433</v>
      </c>
      <c r="Q35" s="10">
        <v>0.98492371347297647</v>
      </c>
      <c r="R35" s="2">
        <f>Table1[[#This Row],[Prefill]]+Table1[[#This Row],[Out-Tok]]*Table1[[#This Row],[ITL]]</f>
        <v>38.786827179892697</v>
      </c>
      <c r="S35" s="2">
        <f t="shared" si="1"/>
        <v>61.664645938223202</v>
      </c>
      <c r="T35" s="2">
        <f t="shared" si="2"/>
        <v>0.32219288373801852</v>
      </c>
      <c r="U35" s="2">
        <f t="shared" si="3"/>
        <v>61.986838821961221</v>
      </c>
      <c r="V35" s="2">
        <f t="shared" si="4"/>
        <v>1.7298552997198877</v>
      </c>
      <c r="W35" s="2">
        <f t="shared" si="5"/>
        <v>1.597505975723623</v>
      </c>
      <c r="X35" s="2">
        <f t="shared" si="6"/>
        <v>1.1716654767509409</v>
      </c>
      <c r="Y35" s="5">
        <f t="shared" si="7"/>
        <v>1.5695195851192794</v>
      </c>
      <c r="AA35">
        <f t="shared" si="13"/>
        <v>5800</v>
      </c>
      <c r="AB35" s="6">
        <f t="shared" si="9"/>
        <v>390424.50489328947</v>
      </c>
      <c r="AC35" s="6">
        <f t="shared" si="10"/>
        <v>390622.46960905293</v>
      </c>
      <c r="AD35" s="5">
        <f t="shared" si="11"/>
        <v>364765.21576840064</v>
      </c>
      <c r="AE35" s="5">
        <f t="shared" si="0"/>
        <v>66.921072236003255</v>
      </c>
      <c r="AF35" s="10">
        <f t="shared" si="12"/>
        <v>0.92626786676936357</v>
      </c>
      <c r="AG35" s="7">
        <f>Table1[[#This Row],[N(maxT)]]/Table1[[#This Row],[e2e sat]]</f>
        <v>1.7253556710278046</v>
      </c>
      <c r="AH35" s="9">
        <f>Table1[[#This Row],[RPS]]/AG35</f>
        <v>1.1591812827836177</v>
      </c>
      <c r="AI35" s="16">
        <f>Table1[[#This Row],[Kvcache]]/$Q$1</f>
        <v>0.85928517973708041</v>
      </c>
    </row>
    <row r="36" spans="1:35" x14ac:dyDescent="0.25">
      <c r="A36">
        <v>5000</v>
      </c>
      <c r="B36">
        <v>1700</v>
      </c>
      <c r="C36">
        <v>2</v>
      </c>
      <c r="D36">
        <v>0</v>
      </c>
      <c r="E36" s="2">
        <v>3.2103631128871375</v>
      </c>
      <c r="F36" s="2">
        <v>0.19055890054550972</v>
      </c>
      <c r="G36" s="2">
        <v>2.314320123485555</v>
      </c>
      <c r="H36" s="2">
        <v>7.9766825318336485</v>
      </c>
      <c r="I36" s="2">
        <v>8.8034968773523961</v>
      </c>
      <c r="J36" s="2">
        <v>2.4324583818512577E-2</v>
      </c>
      <c r="K36" s="2">
        <v>44.130213181764738</v>
      </c>
      <c r="L36" s="3">
        <v>7827.5383694083694</v>
      </c>
      <c r="M36" s="3">
        <v>2467.4315440115438</v>
      </c>
      <c r="N36" s="4">
        <v>47.339983687809784</v>
      </c>
      <c r="O36" s="4">
        <v>67.333333333333329</v>
      </c>
      <c r="P36" s="10">
        <v>0.71036971783084368</v>
      </c>
      <c r="Q36" s="10">
        <v>0.99922420480993013</v>
      </c>
      <c r="R36" s="2">
        <f>Table1[[#This Row],[Prefill]]+Table1[[#This Row],[Out-Tok]]*Table1[[#This Row],[ITL]]</f>
        <v>41.54235139201689</v>
      </c>
      <c r="S36" s="2">
        <f t="shared" si="1"/>
        <v>60.019245408750706</v>
      </c>
      <c r="T36" s="2">
        <f t="shared" si="2"/>
        <v>0.29832142113045013</v>
      </c>
      <c r="U36" s="2">
        <f t="shared" si="3"/>
        <v>60.317566829881159</v>
      </c>
      <c r="V36" s="2">
        <f t="shared" si="4"/>
        <v>1.5655076738816738</v>
      </c>
      <c r="W36" s="2">
        <f t="shared" si="5"/>
        <v>1.4514303200067904</v>
      </c>
      <c r="X36" s="2">
        <f t="shared" si="6"/>
        <v>1.0727340811344952</v>
      </c>
      <c r="Y36" s="5">
        <f t="shared" si="7"/>
        <v>1.3668088704091119</v>
      </c>
      <c r="AA36">
        <f t="shared" si="13"/>
        <v>5850</v>
      </c>
      <c r="AB36" s="6">
        <f t="shared" si="9"/>
        <v>389851.78791029647</v>
      </c>
      <c r="AC36" s="6">
        <f t="shared" si="10"/>
        <v>394205.82298136648</v>
      </c>
      <c r="AD36" s="5">
        <f t="shared" si="11"/>
        <v>352877.95376605733</v>
      </c>
      <c r="AE36" s="5">
        <f t="shared" si="0"/>
        <v>66.349097259627158</v>
      </c>
      <c r="AF36" s="10">
        <f t="shared" si="12"/>
        <v>0.90909400912955407</v>
      </c>
      <c r="AG36" s="7">
        <f>Table1[[#This Row],[N(maxT)]]/Table1[[#This Row],[e2e sat]]</f>
        <v>1.5971435182741565</v>
      </c>
      <c r="AH36" s="9">
        <f>Table1[[#This Row],[RPS]]/AG36</f>
        <v>1.2522356175988258</v>
      </c>
      <c r="AI36" s="16">
        <f>Table1[[#This Row],[Kvcache]]/$Q$1</f>
        <v>0.8879621472885546</v>
      </c>
    </row>
    <row r="37" spans="1:35" x14ac:dyDescent="0.25">
      <c r="A37">
        <v>5000</v>
      </c>
      <c r="B37">
        <v>1800</v>
      </c>
      <c r="C37">
        <v>2</v>
      </c>
      <c r="D37">
        <v>0</v>
      </c>
      <c r="E37" s="2">
        <v>3.2667168117106846</v>
      </c>
      <c r="F37" s="2">
        <v>0.19339880353494768</v>
      </c>
      <c r="G37" s="2">
        <v>1.9306123339336396</v>
      </c>
      <c r="H37" s="2">
        <v>6.0410357594490049</v>
      </c>
      <c r="I37" s="2">
        <v>6.8753524398803707</v>
      </c>
      <c r="J37" s="2">
        <v>2.4144724083930518E-2</v>
      </c>
      <c r="K37" s="2">
        <v>46.483889755176939</v>
      </c>
      <c r="L37" s="3">
        <v>7565.4439826839834</v>
      </c>
      <c r="M37" s="3">
        <v>2546.24316017316</v>
      </c>
      <c r="N37" s="4">
        <v>45.810464897421419</v>
      </c>
      <c r="O37" s="4">
        <v>67</v>
      </c>
      <c r="P37" s="10">
        <v>0.69163114163282824</v>
      </c>
      <c r="Q37" s="10">
        <v>0.99824153090250833</v>
      </c>
      <c r="R37" s="2">
        <f>Table1[[#This Row],[Prefill]]+Table1[[#This Row],[Out-Tok]]*Table1[[#This Row],[ITL]]</f>
        <v>43.653902154609881</v>
      </c>
      <c r="S37" s="2">
        <f t="shared" si="1"/>
        <v>61.478338552976247</v>
      </c>
      <c r="T37" s="2">
        <f t="shared" si="2"/>
        <v>0.29262956289235037</v>
      </c>
      <c r="U37" s="2">
        <f t="shared" si="3"/>
        <v>61.770968115868598</v>
      </c>
      <c r="V37" s="2">
        <f t="shared" si="4"/>
        <v>1.5130887965367967</v>
      </c>
      <c r="W37" s="2">
        <f t="shared" si="5"/>
        <v>1.4145795334295335</v>
      </c>
      <c r="X37" s="2">
        <f t="shared" si="6"/>
        <v>0.98551272577870874</v>
      </c>
      <c r="Y37" s="5">
        <f t="shared" si="7"/>
        <v>1.3288683120368412</v>
      </c>
      <c r="AA37">
        <f t="shared" si="13"/>
        <v>5900</v>
      </c>
      <c r="AB37" s="6">
        <f t="shared" si="9"/>
        <v>390788.85640790447</v>
      </c>
      <c r="AC37" s="6">
        <f t="shared" si="10"/>
        <v>395996.3473395161</v>
      </c>
      <c r="AD37" s="5">
        <f t="shared" si="11"/>
        <v>364826.88207508484</v>
      </c>
      <c r="AE37" s="5">
        <f t="shared" si="0"/>
        <v>65.786816774376078</v>
      </c>
      <c r="AF37" s="10">
        <f t="shared" si="12"/>
        <v>0.9389566351525972</v>
      </c>
      <c r="AG37" s="7">
        <f>Table1[[#This Row],[N(maxT)]]/Table1[[#This Row],[e2e sat]]</f>
        <v>1.5070088474880807</v>
      </c>
      <c r="AH37" s="9">
        <f>Table1[[#This Row],[RPS]]/AG37</f>
        <v>1.3271322217740453</v>
      </c>
      <c r="AI37" s="16">
        <f>Table1[[#This Row],[Kvcache]]/$Q$1</f>
        <v>0.8645389270410353</v>
      </c>
    </row>
    <row r="38" spans="1:35" x14ac:dyDescent="0.25">
      <c r="P38" s="10"/>
      <c r="Q38" s="10"/>
      <c r="R38" s="2">
        <f>Table1[[#This Row],[Prefill]]+Table1[[#This Row],[Out-Tok]]*Table1[[#This Row],[ITL]]</f>
        <v>0</v>
      </c>
      <c r="S38" s="2"/>
      <c r="T38" s="2"/>
      <c r="U38" s="2"/>
      <c r="V38" s="2"/>
      <c r="W38" s="2"/>
      <c r="X38" s="2"/>
      <c r="Y38" s="5"/>
      <c r="AB38" s="6"/>
      <c r="AC38" s="6"/>
      <c r="AD38" s="5"/>
      <c r="AE38" s="5"/>
      <c r="AF38" s="10"/>
      <c r="AG38" s="7"/>
      <c r="AH38" s="9"/>
      <c r="AI38" s="16"/>
    </row>
    <row r="39" spans="1:35" x14ac:dyDescent="0.25">
      <c r="P39" s="10"/>
      <c r="Q39" s="10"/>
      <c r="R39" s="2">
        <f>Table1[[#This Row],[Prefill]]+Table1[[#This Row],[Out-Tok]]*Table1[[#This Row],[ITL]]</f>
        <v>0</v>
      </c>
      <c r="S39" s="2"/>
      <c r="T39" s="2"/>
      <c r="U39" s="2"/>
      <c r="V39" s="2"/>
      <c r="W39" s="2"/>
      <c r="X39" s="2"/>
      <c r="Y39" s="5"/>
      <c r="AB39" s="6"/>
      <c r="AC39" s="6"/>
      <c r="AD39" s="5"/>
      <c r="AE39" s="5"/>
      <c r="AF39" s="10"/>
      <c r="AG39" s="7"/>
      <c r="AH39" s="9"/>
      <c r="AI39" s="16"/>
    </row>
    <row r="40" spans="1:35" x14ac:dyDescent="0.25">
      <c r="A40">
        <v>5000</v>
      </c>
      <c r="B40">
        <v>300</v>
      </c>
      <c r="C40">
        <v>2</v>
      </c>
      <c r="D40">
        <v>0</v>
      </c>
      <c r="E40" s="2">
        <v>0.15797126601105918</v>
      </c>
      <c r="F40" s="2">
        <v>0.14532217116317739</v>
      </c>
      <c r="G40" s="2">
        <v>0.84658706088967772</v>
      </c>
      <c r="H40" s="2">
        <v>1.2881464004516598</v>
      </c>
      <c r="I40" s="2">
        <v>1.4399289385477705</v>
      </c>
      <c r="J40" s="2">
        <v>1.1154069304209259E-2</v>
      </c>
      <c r="K40" s="2">
        <v>3.4883015090697325</v>
      </c>
      <c r="L40" s="3">
        <v>12196.995555555557</v>
      </c>
      <c r="M40" s="3">
        <v>672.84888888888884</v>
      </c>
      <c r="N40" s="4">
        <v>6.333333333333333</v>
      </c>
      <c r="O40" s="4">
        <v>16</v>
      </c>
      <c r="P40" s="10">
        <v>8.4433992759244889E-2</v>
      </c>
      <c r="Q40" s="10">
        <v>0.21533488492371347</v>
      </c>
      <c r="R40" s="2">
        <f>Table1[[#This Row],[Prefill]]+Table1[[#This Row],[Out-Tok]]*Table1[[#This Row],[ITL]]</f>
        <v>3.4915429624259553</v>
      </c>
      <c r="S40" s="2">
        <f t="shared" si="1"/>
        <v>7.5050031379268614</v>
      </c>
      <c r="T40" s="2">
        <f t="shared" si="2"/>
        <v>0.35449877516019168</v>
      </c>
      <c r="U40" s="2">
        <f t="shared" si="3"/>
        <v>7.8595019130870529</v>
      </c>
      <c r="V40" s="2">
        <f t="shared" si="4"/>
        <v>2.4393991111111113</v>
      </c>
      <c r="W40" s="2">
        <f t="shared" si="5"/>
        <v>2.2428296296296293</v>
      </c>
      <c r="X40" s="2">
        <f t="shared" si="6"/>
        <v>1.815592292371057</v>
      </c>
      <c r="Y40" s="5">
        <f t="shared" si="7"/>
        <v>2.2531028045173311</v>
      </c>
      <c r="AA40">
        <f t="shared" ref="AA40:AA45" si="14">A40+B40*$AA$1</f>
        <v>5150</v>
      </c>
      <c r="AB40" s="6">
        <f t="shared" si="9"/>
        <v>386297.81206332188</v>
      </c>
      <c r="AC40" s="6">
        <f t="shared" si="10"/>
        <v>382659.78143388976</v>
      </c>
      <c r="AD40" s="5">
        <f t="shared" si="11"/>
        <v>187722.76517316277</v>
      </c>
      <c r="AE40" s="5">
        <f t="shared" si="0"/>
        <v>75.367421158993963</v>
      </c>
      <c r="AF40" s="10">
        <f t="shared" si="12"/>
        <v>0.10428248429127975</v>
      </c>
      <c r="AG40" s="7">
        <f>Table1[[#This Row],[N(maxT)]]/Table1[[#This Row],[e2e sat]]</f>
        <v>21.585706368232113</v>
      </c>
      <c r="AH40" s="9">
        <f>Table1[[#This Row],[RPS]]/AG40</f>
        <v>9.2653905592981603E-2</v>
      </c>
      <c r="AI40" s="16">
        <f>Table1[[#This Row],[Kvcache]]/$Q$1</f>
        <v>0.1055424909490561</v>
      </c>
    </row>
    <row r="41" spans="1:35" x14ac:dyDescent="0.25">
      <c r="A41">
        <v>5000</v>
      </c>
      <c r="B41">
        <v>300</v>
      </c>
      <c r="C41">
        <v>3</v>
      </c>
      <c r="D41">
        <v>0</v>
      </c>
      <c r="E41" s="2">
        <v>0.33120772337005583</v>
      </c>
      <c r="F41" s="2">
        <v>0.26971127856781363</v>
      </c>
      <c r="G41" s="2">
        <v>2.0491161676162375</v>
      </c>
      <c r="H41" s="2">
        <v>5.6007031043370574</v>
      </c>
      <c r="I41" s="2">
        <v>6.4501546065012612</v>
      </c>
      <c r="J41" s="2">
        <v>1.9149387940522167E-2</v>
      </c>
      <c r="K41" s="2">
        <v>6.0779019709939872</v>
      </c>
      <c r="L41" s="3">
        <v>22495.554285714286</v>
      </c>
      <c r="M41" s="3">
        <v>1241.3514285714289</v>
      </c>
      <c r="N41" s="4">
        <v>17.313368983957215</v>
      </c>
      <c r="O41" s="4">
        <v>38.333333333333336</v>
      </c>
      <c r="P41" s="10">
        <v>0.22876618141438113</v>
      </c>
      <c r="Q41" s="10">
        <v>0.50680113783294545</v>
      </c>
      <c r="R41" s="2">
        <f>Table1[[#This Row],[Prefill]]+Table1[[#This Row],[Out-Tok]]*Table1[[#This Row],[ITL]]</f>
        <v>6.0145276607244638</v>
      </c>
      <c r="S41" s="2">
        <f t="shared" si="1"/>
        <v>23.771120076235686</v>
      </c>
      <c r="T41" s="2">
        <f t="shared" si="2"/>
        <v>1.213460941698332</v>
      </c>
      <c r="U41" s="2">
        <f t="shared" si="3"/>
        <v>24.984581017934019</v>
      </c>
      <c r="V41" s="2">
        <f t="shared" si="4"/>
        <v>4.4991108571428571</v>
      </c>
      <c r="W41" s="2">
        <f t="shared" si="5"/>
        <v>4.137838095238096</v>
      </c>
      <c r="X41" s="2">
        <f t="shared" si="6"/>
        <v>2.8485765427910916</v>
      </c>
      <c r="Y41" s="5">
        <f t="shared" si="7"/>
        <v>4.1107245785091218</v>
      </c>
      <c r="AA41">
        <f t="shared" si="14"/>
        <v>5150</v>
      </c>
      <c r="AB41" s="6">
        <f t="shared" si="9"/>
        <v>389759.75258279359</v>
      </c>
      <c r="AC41" s="6">
        <f t="shared" si="10"/>
        <v>389534.77395652619</v>
      </c>
      <c r="AD41" s="5">
        <f t="shared" si="11"/>
        <v>253528.58056024837</v>
      </c>
      <c r="AE41" s="5">
        <f t="shared" si="0"/>
        <v>75.367421158993963</v>
      </c>
      <c r="AF41" s="10">
        <f t="shared" si="12"/>
        <v>0.3315037271240438</v>
      </c>
      <c r="AG41" s="7">
        <f>Table1[[#This Row],[N(maxT)]]/Table1[[#This Row],[e2e sat]]</f>
        <v>12.530896091999315</v>
      </c>
      <c r="AH41" s="9">
        <f>Table1[[#This Row],[RPS]]/AG41</f>
        <v>0.23940825763573526</v>
      </c>
      <c r="AI41" s="16">
        <f>Table1[[#This Row],[Kvcache]]/$Q$1</f>
        <v>0.28595772676797637</v>
      </c>
    </row>
    <row r="42" spans="1:35" x14ac:dyDescent="0.25">
      <c r="A42">
        <v>5000</v>
      </c>
      <c r="B42">
        <v>300</v>
      </c>
      <c r="C42">
        <v>4</v>
      </c>
      <c r="D42">
        <v>0</v>
      </c>
      <c r="E42" s="2">
        <v>0.57532700991569519</v>
      </c>
      <c r="F42" s="2">
        <v>0.24776598173587749</v>
      </c>
      <c r="G42" s="2">
        <v>2.455169526482591</v>
      </c>
      <c r="H42" s="2">
        <v>8.0907527367273957</v>
      </c>
      <c r="I42" s="2">
        <v>9.3781185261408471</v>
      </c>
      <c r="J42" s="2">
        <v>2.4075493365291672E-2</v>
      </c>
      <c r="K42" s="2">
        <v>7.1516629555313029</v>
      </c>
      <c r="L42" s="3">
        <v>25250.193727106223</v>
      </c>
      <c r="M42" s="3">
        <v>1383.6219780219781</v>
      </c>
      <c r="N42" s="4">
        <v>25.670308123249299</v>
      </c>
      <c r="O42" s="4">
        <v>57.666666666666664</v>
      </c>
      <c r="P42" s="10">
        <v>0.33997760986991121</v>
      </c>
      <c r="Q42" s="10">
        <v>0.76560641324023793</v>
      </c>
      <c r="R42" s="2">
        <f>Table1[[#This Row],[Prefill]]+Table1[[#This Row],[Out-Tok]]*Table1[[#This Row],[ITL]]</f>
        <v>7.4704139913233796</v>
      </c>
      <c r="S42" s="2">
        <f t="shared" si="1"/>
        <v>33.311381751939869</v>
      </c>
      <c r="T42" s="2">
        <f t="shared" si="2"/>
        <v>1.2512278075635139</v>
      </c>
      <c r="U42" s="2">
        <f t="shared" si="3"/>
        <v>34.562609559503386</v>
      </c>
      <c r="V42" s="2">
        <f t="shared" si="4"/>
        <v>5.0500387454212445</v>
      </c>
      <c r="W42" s="2">
        <f t="shared" si="5"/>
        <v>4.6120732600732604</v>
      </c>
      <c r="X42" s="2">
        <f t="shared" si="6"/>
        <v>3.5894180532368547</v>
      </c>
      <c r="Y42" s="5">
        <f t="shared" si="7"/>
        <v>4.8328073868150714</v>
      </c>
      <c r="AA42">
        <f t="shared" si="14"/>
        <v>5150</v>
      </c>
      <c r="AB42" s="6">
        <f t="shared" si="9"/>
        <v>388855.27457328618</v>
      </c>
      <c r="AC42" s="6">
        <f t="shared" si="10"/>
        <v>387906.01567249879</v>
      </c>
      <c r="AD42" s="5">
        <f t="shared" si="11"/>
        <v>232246.95089448441</v>
      </c>
      <c r="AE42" s="5">
        <f t="shared" si="0"/>
        <v>75.367421158993963</v>
      </c>
      <c r="AF42" s="10">
        <f t="shared" si="12"/>
        <v>0.45858819404992818</v>
      </c>
      <c r="AG42" s="7">
        <f>Table1[[#This Row],[N(maxT)]]/Table1[[#This Row],[e2e sat]]</f>
        <v>10.088787749451441</v>
      </c>
      <c r="AH42" s="9">
        <f>Table1[[#This Row],[RPS]]/AG42</f>
        <v>0.39647974556878673</v>
      </c>
      <c r="AI42" s="16">
        <f>Table1[[#This Row],[Kvcache]]/$Q$1</f>
        <v>0.42497201233738902</v>
      </c>
    </row>
    <row r="43" spans="1:35" x14ac:dyDescent="0.25">
      <c r="A43">
        <v>5000</v>
      </c>
      <c r="B43">
        <v>300</v>
      </c>
      <c r="C43">
        <v>5</v>
      </c>
      <c r="D43">
        <v>0</v>
      </c>
      <c r="E43" s="2">
        <v>2.0035749013798547</v>
      </c>
      <c r="F43" s="2">
        <v>0.94486020957379535</v>
      </c>
      <c r="G43" s="2">
        <v>5.4556400209684339</v>
      </c>
      <c r="H43" s="2">
        <v>12.103664938608803</v>
      </c>
      <c r="I43" s="2">
        <v>13.997339930534361</v>
      </c>
      <c r="J43" s="2">
        <v>3.675773757560289E-2</v>
      </c>
      <c r="K43" s="2">
        <v>13.114092820746263</v>
      </c>
      <c r="L43" s="3">
        <v>39891.479004329005</v>
      </c>
      <c r="M43" s="3">
        <v>2204.787012987013</v>
      </c>
      <c r="N43" s="4">
        <v>35.05740740740741</v>
      </c>
      <c r="O43" s="4">
        <v>73.333333333333329</v>
      </c>
      <c r="P43" s="10">
        <v>0.4614724305375974</v>
      </c>
      <c r="Q43" s="10">
        <v>0.96276183087664846</v>
      </c>
      <c r="R43" s="2">
        <f>Table1[[#This Row],[Prefill]]+Table1[[#This Row],[Out-Tok]]*Table1[[#This Row],[ITL]]</f>
        <v>11.972181482254662</v>
      </c>
      <c r="S43" s="2">
        <f t="shared" si="1"/>
        <v>81.042982433473981</v>
      </c>
      <c r="T43" s="2">
        <f t="shared" si="2"/>
        <v>7.5383742424477926</v>
      </c>
      <c r="U43" s="2">
        <f t="shared" si="3"/>
        <v>88.581356675921768</v>
      </c>
      <c r="V43" s="2">
        <f t="shared" si="4"/>
        <v>7.9782958008658014</v>
      </c>
      <c r="W43" s="2">
        <f t="shared" si="5"/>
        <v>7.3492900432900434</v>
      </c>
      <c r="X43" s="2">
        <f t="shared" si="6"/>
        <v>2.673262107154466</v>
      </c>
      <c r="Y43" s="5">
        <f t="shared" si="7"/>
        <v>6.7546690332851407</v>
      </c>
      <c r="AA43">
        <f t="shared" si="14"/>
        <v>5150</v>
      </c>
      <c r="AB43" s="6">
        <f t="shared" si="9"/>
        <v>391238.21099739271</v>
      </c>
      <c r="AC43" s="6">
        <f t="shared" si="10"/>
        <v>392274.24120333063</v>
      </c>
      <c r="AD43" s="5">
        <f t="shared" si="11"/>
        <v>472664.38713120716</v>
      </c>
      <c r="AE43" s="5">
        <f t="shared" si="0"/>
        <v>75.367421158993963</v>
      </c>
      <c r="AF43" s="10">
        <f t="shared" si="12"/>
        <v>1.1753268894400923</v>
      </c>
      <c r="AG43" s="7">
        <f>Table1[[#This Row],[N(maxT)]]/Table1[[#This Row],[e2e sat]]</f>
        <v>6.2952120522650468</v>
      </c>
      <c r="AH43" s="9">
        <f>Table1[[#This Row],[RPS]]/AG43</f>
        <v>0.79425442042114791</v>
      </c>
      <c r="AI43" s="16">
        <f>Table1[[#This Row],[Kvcache]]/$Q$1</f>
        <v>0.57684053817199676</v>
      </c>
    </row>
    <row r="44" spans="1:35" x14ac:dyDescent="0.25">
      <c r="A44">
        <v>5000</v>
      </c>
      <c r="B44">
        <v>300</v>
      </c>
      <c r="C44">
        <v>6</v>
      </c>
      <c r="D44">
        <v>0</v>
      </c>
      <c r="E44" s="2">
        <v>3.5241948201112305</v>
      </c>
      <c r="F44" s="2">
        <v>1.0033520229788151</v>
      </c>
      <c r="G44" s="2">
        <v>11.071278691786256</v>
      </c>
      <c r="H44" s="2">
        <v>24.911963017781574</v>
      </c>
      <c r="I44" s="2">
        <v>26.627600100835163</v>
      </c>
      <c r="J44" s="2">
        <v>3.9154183738759556E-2</v>
      </c>
      <c r="K44" s="2">
        <v>15.280825112491078</v>
      </c>
      <c r="L44" s="3">
        <v>50632.435930735934</v>
      </c>
      <c r="M44" s="3">
        <v>2758.015151515152</v>
      </c>
      <c r="N44" s="4">
        <v>39.88425925925926</v>
      </c>
      <c r="O44" s="4">
        <v>74.666666666666671</v>
      </c>
      <c r="P44" s="10">
        <v>0.52409993391374299</v>
      </c>
      <c r="Q44" s="10">
        <v>0.9845875355572794</v>
      </c>
      <c r="R44" s="2">
        <f>Table1[[#This Row],[Prefill]]+Table1[[#This Row],[Out-Tok]]*Table1[[#This Row],[ITL]]</f>
        <v>12.749607144606681</v>
      </c>
      <c r="S44" s="2">
        <f t="shared" si="1"/>
        <v>107.98783199670703</v>
      </c>
      <c r="T44" s="2">
        <f t="shared" si="2"/>
        <v>10.160431403889829</v>
      </c>
      <c r="U44" s="2">
        <f t="shared" si="3"/>
        <v>118.14826340059686</v>
      </c>
      <c r="V44" s="2">
        <f t="shared" si="4"/>
        <v>10.126487186147187</v>
      </c>
      <c r="W44" s="2">
        <f t="shared" si="5"/>
        <v>9.1933838383838395</v>
      </c>
      <c r="X44" s="2">
        <f t="shared" si="6"/>
        <v>2.6100854479812403</v>
      </c>
      <c r="Y44" s="5">
        <f t="shared" si="7"/>
        <v>7.7317986778095094</v>
      </c>
      <c r="AA44">
        <f t="shared" si="14"/>
        <v>5150</v>
      </c>
      <c r="AB44" s="6">
        <f t="shared" si="9"/>
        <v>391917.49873219948</v>
      </c>
      <c r="AC44" s="6">
        <f t="shared" si="10"/>
        <v>390552.71313757432</v>
      </c>
      <c r="AD44" s="5">
        <f t="shared" si="11"/>
        <v>616440.35688402329</v>
      </c>
      <c r="AE44" s="5">
        <f t="shared" si="0"/>
        <v>75.367421158993963</v>
      </c>
      <c r="AF44" s="10">
        <f t="shared" si="12"/>
        <v>1.5676304374452867</v>
      </c>
      <c r="AG44" s="7">
        <f>Table1[[#This Row],[N(maxT)]]/Table1[[#This Row],[e2e sat]]</f>
        <v>5.911352428680579</v>
      </c>
      <c r="AH44" s="9">
        <f>Table1[[#This Row],[RPS]]/AG44</f>
        <v>1.0149961573749726</v>
      </c>
      <c r="AI44" s="16">
        <f>Table1[[#This Row],[Kvcache]]/$Q$1</f>
        <v>0.65512491739217871</v>
      </c>
    </row>
    <row r="45" spans="1:35" x14ac:dyDescent="0.25">
      <c r="A45">
        <v>5000</v>
      </c>
      <c r="B45">
        <v>300</v>
      </c>
      <c r="C45">
        <v>7</v>
      </c>
      <c r="D45">
        <v>0</v>
      </c>
      <c r="E45" s="2">
        <v>6.3528541746707345</v>
      </c>
      <c r="F45" s="2">
        <v>0.95899900142358907</v>
      </c>
      <c r="G45" s="2">
        <v>10.113453465636804</v>
      </c>
      <c r="H45" s="2">
        <v>18.273969308535253</v>
      </c>
      <c r="I45" s="2">
        <v>19.245490632057187</v>
      </c>
      <c r="J45" s="2">
        <v>4.9975882181106622E-2</v>
      </c>
      <c r="K45" s="2">
        <v>20.948593228629377</v>
      </c>
      <c r="L45" s="3">
        <v>41305.058741258741</v>
      </c>
      <c r="M45" s="3">
        <v>2247.8736596736594</v>
      </c>
      <c r="N45" s="4">
        <v>57.210317460317469</v>
      </c>
      <c r="O45" s="4">
        <v>75.666666666666671</v>
      </c>
      <c r="P45" s="10">
        <v>0.75703141354809311</v>
      </c>
      <c r="Q45" s="10">
        <v>0.99689681923972062</v>
      </c>
      <c r="R45" s="2">
        <f>Table1[[#This Row],[Prefill]]+Table1[[#This Row],[Out-Tok]]*Table1[[#This Row],[ITL]]</f>
        <v>15.951763655755576</v>
      </c>
      <c r="S45" s="2">
        <f t="shared" si="1"/>
        <v>112.33946917386376</v>
      </c>
      <c r="T45" s="2">
        <f t="shared" si="2"/>
        <v>7.9223020173219645</v>
      </c>
      <c r="U45" s="2">
        <f t="shared" si="3"/>
        <v>120.26177119118573</v>
      </c>
      <c r="V45" s="2">
        <f t="shared" si="4"/>
        <v>8.2610117482517484</v>
      </c>
      <c r="W45" s="2">
        <f t="shared" si="5"/>
        <v>7.4929121989121983</v>
      </c>
      <c r="X45" s="2">
        <f t="shared" si="6"/>
        <v>2.7309861256998889</v>
      </c>
      <c r="Y45" s="5">
        <f t="shared" si="7"/>
        <v>5.7408041618198054</v>
      </c>
      <c r="AA45">
        <f t="shared" si="14"/>
        <v>5150</v>
      </c>
      <c r="AB45" s="6">
        <f t="shared" si="9"/>
        <v>389195.38825969386</v>
      </c>
      <c r="AC45" s="6">
        <f t="shared" si="10"/>
        <v>390896.35538262007</v>
      </c>
      <c r="AD45" s="5">
        <f t="shared" si="11"/>
        <v>620084.00909880048</v>
      </c>
      <c r="AE45" s="5">
        <f t="shared" si="0"/>
        <v>75.367421158993963</v>
      </c>
      <c r="AF45" s="10">
        <f t="shared" si="12"/>
        <v>1.5956731614510642</v>
      </c>
      <c r="AG45" s="7">
        <f>Table1[[#This Row],[N(maxT)]]/Table1[[#This Row],[e2e sat]]</f>
        <v>4.7247077367398527</v>
      </c>
      <c r="AH45" s="9">
        <f>Table1[[#This Row],[RPS]]/AG45</f>
        <v>1.4815731236806928</v>
      </c>
      <c r="AI45" s="16">
        <f>Table1[[#This Row],[Kvcache]]/$Q$1</f>
        <v>0.94628926693511639</v>
      </c>
    </row>
  </sheetData>
  <phoneticPr fontId="3" type="noConversion"/>
  <conditionalFormatting sqref="Y3:Y45">
    <cfRule type="cellIs" dxfId="12" priority="3" operator="lessThan">
      <formula>C3</formula>
    </cfRule>
  </conditionalFormatting>
  <conditionalFormatting sqref="P3:Q45">
    <cfRule type="cellIs" dxfId="10" priority="4" operator="greaterThan">
      <formula>$Q$1</formula>
    </cfRule>
  </conditionalFormatting>
  <conditionalFormatting sqref="AF3:AF45">
    <cfRule type="cellIs" dxfId="11" priority="5" operator="greaterThan">
      <formula>$AF$1</formula>
    </cfRule>
  </conditionalFormatting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FCF0-7E65-481F-B1CB-4DB82B88E819}">
  <dimension ref="A1:A4"/>
  <sheetViews>
    <sheetView workbookViewId="0">
      <selection activeCell="B1" sqref="B1"/>
    </sheetView>
  </sheetViews>
  <sheetFormatPr defaultRowHeight="15" x14ac:dyDescent="0.25"/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32</v>
      </c>
    </row>
    <row r="4" spans="1:1" x14ac:dyDescent="0.25">
      <c r="A4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DB68-A81A-441E-B9B5-05BC24095190}">
  <dimension ref="B2:AJ49"/>
  <sheetViews>
    <sheetView workbookViewId="0"/>
  </sheetViews>
  <sheetFormatPr defaultRowHeight="15" x14ac:dyDescent="0.25"/>
  <sheetData>
    <row r="2" spans="2:36" x14ac:dyDescent="0.25">
      <c r="B2" s="13" t="s">
        <v>38</v>
      </c>
    </row>
    <row r="3" spans="2:36" x14ac:dyDescent="0.25">
      <c r="B3" s="14" t="s">
        <v>39</v>
      </c>
    </row>
    <row r="4" spans="2:36" x14ac:dyDescent="0.25">
      <c r="B4" s="14"/>
    </row>
    <row r="6" spans="2:36" x14ac:dyDescent="0.25">
      <c r="C6" t="s">
        <v>0</v>
      </c>
      <c r="D6" t="s">
        <v>1</v>
      </c>
      <c r="E6" t="s">
        <v>2</v>
      </c>
      <c r="F6" t="s">
        <v>3</v>
      </c>
      <c r="G6" t="s">
        <v>4</v>
      </c>
      <c r="H6" t="s">
        <v>5</v>
      </c>
      <c r="I6" t="s">
        <v>6</v>
      </c>
      <c r="J6" t="s">
        <v>7</v>
      </c>
      <c r="K6" t="s">
        <v>8</v>
      </c>
      <c r="L6" t="s">
        <v>9</v>
      </c>
      <c r="M6" t="s">
        <v>10</v>
      </c>
      <c r="N6" t="s">
        <v>11</v>
      </c>
      <c r="O6" t="s">
        <v>12</v>
      </c>
      <c r="P6" t="s">
        <v>13</v>
      </c>
      <c r="Q6" t="s">
        <v>14</v>
      </c>
      <c r="R6" t="s">
        <v>15</v>
      </c>
      <c r="S6" t="s">
        <v>16</v>
      </c>
      <c r="T6" t="s">
        <v>37</v>
      </c>
      <c r="U6" t="s">
        <v>17</v>
      </c>
      <c r="V6" t="s">
        <v>18</v>
      </c>
      <c r="W6" t="s">
        <v>19</v>
      </c>
      <c r="X6" t="s">
        <v>20</v>
      </c>
      <c r="Y6" t="s">
        <v>21</v>
      </c>
      <c r="Z6" t="s">
        <v>22</v>
      </c>
      <c r="AA6" t="s">
        <v>27</v>
      </c>
      <c r="AB6" t="s">
        <v>40</v>
      </c>
      <c r="AC6" t="s">
        <v>23</v>
      </c>
      <c r="AD6" t="s">
        <v>26</v>
      </c>
      <c r="AE6" t="s">
        <v>24</v>
      </c>
      <c r="AF6" t="s">
        <v>25</v>
      </c>
      <c r="AG6" t="s">
        <v>30</v>
      </c>
      <c r="AH6" t="s">
        <v>31</v>
      </c>
      <c r="AI6" t="s">
        <v>34</v>
      </c>
      <c r="AJ6" t="s">
        <v>35</v>
      </c>
    </row>
    <row r="7" spans="2:36" x14ac:dyDescent="0.25">
      <c r="C7" s="15">
        <v>1000</v>
      </c>
      <c r="D7" s="15">
        <v>300</v>
      </c>
      <c r="E7" s="15">
        <v>2</v>
      </c>
      <c r="F7" s="15">
        <v>0</v>
      </c>
      <c r="G7" s="2">
        <v>3.7026038223119902E-2</v>
      </c>
      <c r="H7" s="2">
        <v>3.20889051665137E-2</v>
      </c>
      <c r="I7" s="2">
        <v>0.59547004836481099</v>
      </c>
      <c r="J7" s="2">
        <v>0.73050089677174901</v>
      </c>
      <c r="K7" s="2">
        <v>0.97615059534708504</v>
      </c>
      <c r="L7" s="2">
        <v>6.5961988619284099E-3</v>
      </c>
      <c r="M7" s="2">
        <v>2.0093213791123201</v>
      </c>
      <c r="N7" s="3">
        <v>2261.52833333333</v>
      </c>
      <c r="O7" s="3">
        <v>633.58861111111105</v>
      </c>
      <c r="P7" s="4">
        <v>3.40686274509804</v>
      </c>
      <c r="Q7" s="4">
        <v>8</v>
      </c>
      <c r="R7" s="16">
        <v>1.01505575077199E-2</v>
      </c>
      <c r="S7" s="16">
        <v>2.4075510731833401E-2</v>
      </c>
      <c r="T7" s="2">
        <v>2.0109485637450399</v>
      </c>
      <c r="U7" s="2">
        <v>4.1792764755419096</v>
      </c>
      <c r="V7" s="2">
        <v>7.2569968219717104E-2</v>
      </c>
      <c r="W7" s="2">
        <v>4.2518464437616297</v>
      </c>
      <c r="X7" s="2">
        <v>2.26152833333333</v>
      </c>
      <c r="Y7" s="2">
        <v>2.1119620370370402</v>
      </c>
      <c r="Z7" s="2">
        <v>1.6955290380691299</v>
      </c>
      <c r="AA7" s="7">
        <v>2.1160609188561099</v>
      </c>
      <c r="AB7" s="15"/>
      <c r="AC7" s="15">
        <v>1150</v>
      </c>
      <c r="AD7" s="12">
        <v>385978.02671262401</v>
      </c>
      <c r="AE7" s="12">
        <v>382131.04189044097</v>
      </c>
      <c r="AF7" s="7">
        <v>202643.17419618001</v>
      </c>
      <c r="AG7" s="7">
        <v>337.51497301636402</v>
      </c>
      <c r="AH7" s="16">
        <v>1.2597504655165299E-2</v>
      </c>
      <c r="AI7" s="7">
        <v>167.83869020886499</v>
      </c>
      <c r="AJ7" s="17">
        <v>1.1916203573271E-2</v>
      </c>
    </row>
    <row r="8" spans="2:36" x14ac:dyDescent="0.25">
      <c r="C8" s="15">
        <v>2000</v>
      </c>
      <c r="D8" s="15">
        <v>300</v>
      </c>
      <c r="E8" s="15">
        <v>2</v>
      </c>
      <c r="F8" s="15">
        <v>0</v>
      </c>
      <c r="G8" s="2">
        <v>6.0708237632462601E-2</v>
      </c>
      <c r="H8" s="2">
        <v>5.4781456020521702E-2</v>
      </c>
      <c r="I8" s="2">
        <v>0.61998406863458499</v>
      </c>
      <c r="J8" s="2">
        <v>0.76988332271575899</v>
      </c>
      <c r="K8" s="2">
        <v>0.84733685811360704</v>
      </c>
      <c r="L8" s="2">
        <v>7.2804040979114696E-3</v>
      </c>
      <c r="M8" s="2">
        <v>2.2369354792963598</v>
      </c>
      <c r="N8" s="3">
        <v>4844.90333333333</v>
      </c>
      <c r="O8" s="3">
        <v>679.72083333333296</v>
      </c>
      <c r="P8" s="4">
        <v>3.5821078431372499</v>
      </c>
      <c r="Q8" s="4">
        <v>7.6666666666666696</v>
      </c>
      <c r="R8" s="16">
        <v>1.9997642191088998E-2</v>
      </c>
      <c r="S8" s="16">
        <v>4.24877165761572E-2</v>
      </c>
      <c r="T8" s="2">
        <v>2.2389026853939602</v>
      </c>
      <c r="U8" s="2">
        <v>4.9486423404358</v>
      </c>
      <c r="V8" s="2">
        <v>0.132705429439339</v>
      </c>
      <c r="W8" s="2">
        <v>5.0813477698751397</v>
      </c>
      <c r="X8" s="2">
        <v>2.42245166666667</v>
      </c>
      <c r="Y8" s="2">
        <v>2.2657361111111101</v>
      </c>
      <c r="Z8" s="2">
        <v>1.6013460720217201</v>
      </c>
      <c r="AA8" s="7">
        <v>2.2715665323854202</v>
      </c>
      <c r="AB8" s="15"/>
      <c r="AC8" s="15">
        <v>2150</v>
      </c>
      <c r="AD8" s="12">
        <v>385121.99534087698</v>
      </c>
      <c r="AE8" s="12">
        <v>387955.26475958602</v>
      </c>
      <c r="AF8" s="7">
        <v>256662.22545212501</v>
      </c>
      <c r="AG8" s="7">
        <v>180.53126463666001</v>
      </c>
      <c r="AH8" s="16">
        <v>2.8146635875519601E-2</v>
      </c>
      <c r="AI8" s="7">
        <v>80.633814865827205</v>
      </c>
      <c r="AJ8" s="17">
        <v>2.48034897434526E-2</v>
      </c>
    </row>
    <row r="9" spans="2:36" x14ac:dyDescent="0.25">
      <c r="C9" s="15">
        <v>3000</v>
      </c>
      <c r="D9" s="15">
        <v>300</v>
      </c>
      <c r="E9" s="15">
        <v>2</v>
      </c>
      <c r="F9" s="15">
        <v>0</v>
      </c>
      <c r="G9" s="2">
        <v>8.9187976034611899E-2</v>
      </c>
      <c r="H9" s="2">
        <v>8.1037995716015901E-2</v>
      </c>
      <c r="I9" s="2">
        <v>0.68898616983040495</v>
      </c>
      <c r="J9" s="2">
        <v>0.89063829183578502</v>
      </c>
      <c r="K9" s="2">
        <v>0.99142997741699201</v>
      </c>
      <c r="L9" s="2">
        <v>8.2483981479026004E-3</v>
      </c>
      <c r="M9" s="2">
        <v>2.55314819235437</v>
      </c>
      <c r="N9" s="3">
        <v>7408.6961111111104</v>
      </c>
      <c r="O9" s="3">
        <v>691.59111111111099</v>
      </c>
      <c r="P9" s="4">
        <v>4.8786764705882399</v>
      </c>
      <c r="Q9" s="4">
        <v>11</v>
      </c>
      <c r="R9" s="16">
        <v>3.9849347419340098E-2</v>
      </c>
      <c r="S9" s="16">
        <v>8.9604344453064394E-2</v>
      </c>
      <c r="T9" s="2">
        <v>2.55555744008679</v>
      </c>
      <c r="U9" s="2">
        <v>5.7045188399947904</v>
      </c>
      <c r="V9" s="2">
        <v>0.20012862790449501</v>
      </c>
      <c r="W9" s="2">
        <v>5.90464746789928</v>
      </c>
      <c r="X9" s="2">
        <v>2.4695653703703702</v>
      </c>
      <c r="Y9" s="2">
        <v>2.3053037037037001</v>
      </c>
      <c r="Z9" s="2">
        <v>1.9108473551194001</v>
      </c>
      <c r="AA9" s="7">
        <v>2.3126928102259301</v>
      </c>
      <c r="AB9" s="15"/>
      <c r="AC9" s="15">
        <v>3150</v>
      </c>
      <c r="AD9" s="12">
        <v>385648.24464087602</v>
      </c>
      <c r="AE9" s="12">
        <v>386700</v>
      </c>
      <c r="AF9" s="7">
        <v>207240.177282074</v>
      </c>
      <c r="AG9" s="7">
        <v>123.219752053593</v>
      </c>
      <c r="AH9" s="16">
        <v>4.7919650620065403E-2</v>
      </c>
      <c r="AI9" s="7">
        <v>48.2163891606398</v>
      </c>
      <c r="AJ9" s="17">
        <v>4.1479671846365598E-2</v>
      </c>
    </row>
    <row r="10" spans="2:36" x14ac:dyDescent="0.25">
      <c r="C10" s="15">
        <v>4000</v>
      </c>
      <c r="D10" s="15">
        <v>300</v>
      </c>
      <c r="E10" s="15">
        <v>2</v>
      </c>
      <c r="F10" s="15">
        <v>0</v>
      </c>
      <c r="G10" s="2">
        <v>0.120179948917643</v>
      </c>
      <c r="H10" s="2">
        <v>0.10961615169576</v>
      </c>
      <c r="I10" s="2">
        <v>0.74510267118587203</v>
      </c>
      <c r="J10" s="2">
        <v>1.01989855766296</v>
      </c>
      <c r="K10" s="2">
        <v>1.2181447839736901</v>
      </c>
      <c r="L10" s="2">
        <v>9.0297684207135392E-3</v>
      </c>
      <c r="M10" s="2">
        <v>2.8195524820219502</v>
      </c>
      <c r="N10" s="3">
        <v>9242.0788888888892</v>
      </c>
      <c r="O10" s="3">
        <v>646.99833333333299</v>
      </c>
      <c r="P10" s="4">
        <v>5.1323529411764701</v>
      </c>
      <c r="Q10" s="4">
        <v>10.6666666666667</v>
      </c>
      <c r="R10" s="16">
        <v>5.5108173991086001E-2</v>
      </c>
      <c r="S10" s="16">
        <v>0.11567106283941</v>
      </c>
      <c r="T10" s="2">
        <v>2.8185466779098198</v>
      </c>
      <c r="U10" s="2">
        <v>5.8422451185876296</v>
      </c>
      <c r="V10" s="2">
        <v>0.25327028036715599</v>
      </c>
      <c r="W10" s="2">
        <v>6.0955153989547801</v>
      </c>
      <c r="X10" s="2">
        <v>2.31051972222222</v>
      </c>
      <c r="Y10" s="2">
        <v>2.1566611111111098</v>
      </c>
      <c r="Z10" s="2">
        <v>1.8202721793268299</v>
      </c>
      <c r="AA10" s="7">
        <v>2.1618733603368101</v>
      </c>
      <c r="AB10" s="15"/>
      <c r="AC10" s="15">
        <v>4150</v>
      </c>
      <c r="AD10" s="12">
        <v>386499.19174109498</v>
      </c>
      <c r="AE10" s="12">
        <v>382694.38855354401</v>
      </c>
      <c r="AF10" s="7">
        <v>218364.02072897201</v>
      </c>
      <c r="AG10" s="7">
        <v>93.528245534655198</v>
      </c>
      <c r="AH10" s="16">
        <v>6.5172989871773099E-2</v>
      </c>
      <c r="AI10" s="7">
        <v>33.183145862964302</v>
      </c>
      <c r="AJ10" s="17">
        <v>6.0271560998446397E-2</v>
      </c>
    </row>
    <row r="11" spans="2:36" x14ac:dyDescent="0.25">
      <c r="C11" s="15">
        <v>5000</v>
      </c>
      <c r="D11" s="15">
        <v>300</v>
      </c>
      <c r="E11" s="15">
        <v>2</v>
      </c>
      <c r="F11" s="15">
        <v>0</v>
      </c>
      <c r="G11" s="2">
        <v>0.15427486259356099</v>
      </c>
      <c r="H11" s="2">
        <v>0.14188560392014299</v>
      </c>
      <c r="I11" s="2">
        <v>0.84892997103396595</v>
      </c>
      <c r="J11" s="2">
        <v>1.34304271539052</v>
      </c>
      <c r="K11" s="2">
        <v>1.5120748329162601</v>
      </c>
      <c r="L11" s="2">
        <v>1.07464120064169E-2</v>
      </c>
      <c r="M11" s="2">
        <v>3.3648584072408001</v>
      </c>
      <c r="N11" s="3">
        <v>12072.1086111111</v>
      </c>
      <c r="O11" s="3">
        <v>673.46</v>
      </c>
      <c r="P11" s="4">
        <v>5.875</v>
      </c>
      <c r="Q11" s="4">
        <v>12.6666666666667</v>
      </c>
      <c r="R11" s="16">
        <v>7.8173154444089496E-2</v>
      </c>
      <c r="S11" s="16">
        <v>0.16894233255753799</v>
      </c>
      <c r="T11" s="2">
        <v>3.36580920584522</v>
      </c>
      <c r="U11" s="2">
        <v>7.2372786298415299</v>
      </c>
      <c r="V11" s="2">
        <v>0.34257168417541101</v>
      </c>
      <c r="W11" s="2">
        <v>7.57985031401694</v>
      </c>
      <c r="X11" s="2">
        <v>2.4144217222222202</v>
      </c>
      <c r="Y11" s="2">
        <v>2.2448666666666699</v>
      </c>
      <c r="Z11" s="2">
        <v>1.7459872865252399</v>
      </c>
      <c r="AA11" s="7">
        <v>2.2526506011979399</v>
      </c>
      <c r="AB11" s="15"/>
      <c r="AC11" s="15">
        <v>5150</v>
      </c>
      <c r="AD11" s="12">
        <v>387041.43660519301</v>
      </c>
      <c r="AE11" s="12">
        <v>386127.81264350202</v>
      </c>
      <c r="AF11" s="7">
        <v>230758.287602567</v>
      </c>
      <c r="AG11" s="7">
        <v>75.367421158994006</v>
      </c>
      <c r="AH11" s="16">
        <v>0.10057197390403699</v>
      </c>
      <c r="AI11" s="7">
        <v>22.392065785579099</v>
      </c>
      <c r="AJ11" s="17">
        <v>8.9317351027435404E-2</v>
      </c>
    </row>
    <row r="12" spans="2:36" x14ac:dyDescent="0.25">
      <c r="C12" s="15">
        <v>6000</v>
      </c>
      <c r="D12" s="15">
        <v>300</v>
      </c>
      <c r="E12" s="15">
        <v>2</v>
      </c>
      <c r="F12" s="15">
        <v>0</v>
      </c>
      <c r="G12" s="2">
        <v>0.18643617367521401</v>
      </c>
      <c r="H12" s="2">
        <v>0.172647181184231</v>
      </c>
      <c r="I12" s="2">
        <v>1.26619539333366</v>
      </c>
      <c r="J12" s="2">
        <v>2.3803513328234298</v>
      </c>
      <c r="K12" s="2">
        <v>2.7856695540746101</v>
      </c>
      <c r="L12" s="2">
        <v>1.3768167139153799E-2</v>
      </c>
      <c r="M12" s="2">
        <v>4.2964526845534996</v>
      </c>
      <c r="N12" s="3">
        <v>16270.848174603199</v>
      </c>
      <c r="O12" s="3">
        <v>751.35365079365101</v>
      </c>
      <c r="P12" s="4">
        <v>8.5368464052287596</v>
      </c>
      <c r="Q12" s="4">
        <v>18</v>
      </c>
      <c r="R12" s="16">
        <v>0.13567259668284201</v>
      </c>
      <c r="S12" s="16">
        <v>0.28603568657874301</v>
      </c>
      <c r="T12" s="2">
        <v>4.3030973229303804</v>
      </c>
      <c r="U12" s="2">
        <v>10.344762644740401</v>
      </c>
      <c r="V12" s="2">
        <v>0.46818601213696998</v>
      </c>
      <c r="W12" s="2">
        <v>10.812948656877399</v>
      </c>
      <c r="X12" s="2">
        <v>2.71180802910053</v>
      </c>
      <c r="Y12" s="2">
        <v>2.5045121693121701</v>
      </c>
      <c r="Z12" s="2">
        <v>1.98695226783719</v>
      </c>
      <c r="AA12" s="7">
        <v>2.5167154047225599</v>
      </c>
      <c r="AB12" s="15"/>
      <c r="AC12" s="15">
        <v>6150</v>
      </c>
      <c r="AD12" s="12">
        <v>386972.80567931099</v>
      </c>
      <c r="AE12" s="12">
        <v>387014.64605370199</v>
      </c>
      <c r="AF12" s="7">
        <v>232241.67282248501</v>
      </c>
      <c r="AG12" s="7">
        <v>63.112555929889297</v>
      </c>
      <c r="AH12" s="16">
        <v>0.17132801068759301</v>
      </c>
      <c r="AI12" s="7">
        <v>14.6667739987136</v>
      </c>
      <c r="AJ12" s="17">
        <v>0.136362638449016</v>
      </c>
    </row>
    <row r="13" spans="2:36" x14ac:dyDescent="0.25">
      <c r="C13" s="15">
        <v>7000</v>
      </c>
      <c r="D13" s="15">
        <v>300</v>
      </c>
      <c r="E13" s="15">
        <v>2</v>
      </c>
      <c r="F13" s="15">
        <v>0</v>
      </c>
      <c r="G13" s="2">
        <v>0.23248837006197501</v>
      </c>
      <c r="H13" s="2">
        <v>0.21039942635422901</v>
      </c>
      <c r="I13" s="2">
        <v>1.39725201494921</v>
      </c>
      <c r="J13" s="2">
        <v>3.0287375291188501</v>
      </c>
      <c r="K13" s="2">
        <v>3.32205493927002</v>
      </c>
      <c r="L13" s="2">
        <v>1.6170001649484001E-2</v>
      </c>
      <c r="M13" s="2">
        <v>4.9579540108612301</v>
      </c>
      <c r="N13" s="3">
        <v>18386.626031746</v>
      </c>
      <c r="O13" s="3">
        <v>703.13619047619</v>
      </c>
      <c r="P13" s="4">
        <v>9.9930555555555607</v>
      </c>
      <c r="Q13" s="4">
        <v>19</v>
      </c>
      <c r="R13" s="16">
        <v>0.18465843461770501</v>
      </c>
      <c r="S13" s="16">
        <v>0.35277993276441699</v>
      </c>
      <c r="T13" s="2">
        <v>5.06139992119944</v>
      </c>
      <c r="U13" s="2">
        <v>11.3697133598119</v>
      </c>
      <c r="V13" s="2">
        <v>0.55264793852415595</v>
      </c>
      <c r="W13" s="2">
        <v>11.922361298336099</v>
      </c>
      <c r="X13" s="2">
        <v>2.6266608616779998</v>
      </c>
      <c r="Y13" s="2">
        <v>2.3437873015872999</v>
      </c>
      <c r="Z13" s="2">
        <v>2.0155603568859499</v>
      </c>
      <c r="AA13" s="7">
        <v>2.40469380559363</v>
      </c>
      <c r="AB13" s="15"/>
      <c r="AC13" s="15">
        <v>7150</v>
      </c>
      <c r="AD13" s="12">
        <v>386932.48629635799</v>
      </c>
      <c r="AE13" s="12">
        <v>385084.26183844003</v>
      </c>
      <c r="AF13" s="7">
        <v>241402.58042737001</v>
      </c>
      <c r="AG13" s="7">
        <v>54.285625030604002</v>
      </c>
      <c r="AH13" s="16">
        <v>0.21962280606725501</v>
      </c>
      <c r="AI13" s="7">
        <v>10.7254170537347</v>
      </c>
      <c r="AJ13" s="17">
        <v>0.18647293526955</v>
      </c>
    </row>
    <row r="14" spans="2:36" x14ac:dyDescent="0.25">
      <c r="C14" s="15">
        <v>8000</v>
      </c>
      <c r="D14" s="15">
        <v>300</v>
      </c>
      <c r="E14" s="15">
        <v>2</v>
      </c>
      <c r="F14" s="15">
        <v>0</v>
      </c>
      <c r="G14" s="2">
        <v>0.28995406362148402</v>
      </c>
      <c r="H14" s="2">
        <v>0.247471040808591</v>
      </c>
      <c r="I14" s="2">
        <v>1.4878297557159501</v>
      </c>
      <c r="J14" s="2">
        <v>2.38486715952555</v>
      </c>
      <c r="K14" s="2">
        <v>2.6166748650868699</v>
      </c>
      <c r="L14" s="2">
        <v>2.0987859075821701E-2</v>
      </c>
      <c r="M14" s="2">
        <v>6.5415801912346998</v>
      </c>
      <c r="N14" s="3">
        <v>21109.800952381</v>
      </c>
      <c r="O14" s="3">
        <v>715.05142857142903</v>
      </c>
      <c r="P14" s="4">
        <v>13.1111111111111</v>
      </c>
      <c r="Q14" s="4">
        <v>27.6666666666667</v>
      </c>
      <c r="R14" s="16">
        <v>0.275617619170761</v>
      </c>
      <c r="S14" s="16">
        <v>0.58376002068787203</v>
      </c>
      <c r="T14" s="2">
        <v>6.5438287635550996</v>
      </c>
      <c r="U14" s="2">
        <v>15.007398614822099</v>
      </c>
      <c r="V14" s="2">
        <v>0.65300805161848796</v>
      </c>
      <c r="W14" s="2">
        <v>15.660406666440601</v>
      </c>
      <c r="X14" s="2">
        <v>2.6387251190476202</v>
      </c>
      <c r="Y14" s="2">
        <v>2.38350476190476</v>
      </c>
      <c r="Z14" s="2">
        <v>2.0042727793322999</v>
      </c>
      <c r="AA14" s="7">
        <v>2.3939791623168598</v>
      </c>
      <c r="AB14" s="15"/>
      <c r="AC14" s="15">
        <v>8150</v>
      </c>
      <c r="AD14" s="12">
        <v>387694.93719976</v>
      </c>
      <c r="AE14" s="12">
        <v>386260.321608931</v>
      </c>
      <c r="AF14" s="7">
        <v>218470.533445351</v>
      </c>
      <c r="AG14" s="7">
        <v>47.624812143413401</v>
      </c>
      <c r="AH14" s="16">
        <v>0.32882873362906301</v>
      </c>
      <c r="AI14" s="7">
        <v>7.2778206557990597</v>
      </c>
      <c r="AJ14" s="17">
        <v>0.27480754123919998</v>
      </c>
    </row>
    <row r="15" spans="2:36" x14ac:dyDescent="0.25">
      <c r="C15" s="15">
        <v>9000</v>
      </c>
      <c r="D15" s="15">
        <v>300</v>
      </c>
      <c r="E15" s="15">
        <v>2</v>
      </c>
      <c r="F15" s="15">
        <v>0</v>
      </c>
      <c r="G15" s="2">
        <v>0.31103301268871297</v>
      </c>
      <c r="H15" s="2">
        <v>0.27097875811431299</v>
      </c>
      <c r="I15" s="2">
        <v>1.44344058315041</v>
      </c>
      <c r="J15" s="2">
        <v>2.1836857676506001</v>
      </c>
      <c r="K15" s="2">
        <v>2.3837302366892499</v>
      </c>
      <c r="L15" s="2">
        <v>2.4980285222803201E-2</v>
      </c>
      <c r="M15" s="2">
        <v>7.8049970651244802</v>
      </c>
      <c r="N15" s="3">
        <v>21954.551111111101</v>
      </c>
      <c r="O15" s="3">
        <v>664.26222222222202</v>
      </c>
      <c r="P15" s="4">
        <v>14.1666666666667</v>
      </c>
      <c r="Q15" s="4">
        <v>25</v>
      </c>
      <c r="R15" s="16">
        <v>0.33464087147659699</v>
      </c>
      <c r="S15" s="16">
        <v>0.59260408585466795</v>
      </c>
      <c r="T15" s="2">
        <v>7.7650643249552598</v>
      </c>
      <c r="U15" s="2">
        <v>16.593459773844199</v>
      </c>
      <c r="V15" s="2">
        <v>0.661024110560677</v>
      </c>
      <c r="W15" s="2">
        <v>17.254483884404799</v>
      </c>
      <c r="X15" s="2">
        <v>2.4393945679012301</v>
      </c>
      <c r="Y15" s="2">
        <v>2.2142074074074101</v>
      </c>
      <c r="Z15" s="2">
        <v>1.8150764886214199</v>
      </c>
      <c r="AA15" s="7">
        <v>2.2106970368386198</v>
      </c>
      <c r="AB15" s="15"/>
      <c r="AC15" s="15">
        <v>9150</v>
      </c>
      <c r="AD15" s="12">
        <v>387355.55351631797</v>
      </c>
      <c r="AE15" s="12">
        <v>386008.13841857202</v>
      </c>
      <c r="AF15" s="7">
        <v>266247.52966083097</v>
      </c>
      <c r="AG15" s="7">
        <v>42.419914641401</v>
      </c>
      <c r="AH15" s="16">
        <v>0.40675432825045799</v>
      </c>
      <c r="AI15" s="7">
        <v>5.46291863997474</v>
      </c>
      <c r="AJ15" s="17">
        <v>0.36610466525440499</v>
      </c>
    </row>
    <row r="16" spans="2:36" x14ac:dyDescent="0.25">
      <c r="C16" s="15">
        <v>10000</v>
      </c>
      <c r="D16" s="15">
        <v>300</v>
      </c>
      <c r="E16" s="15">
        <v>2</v>
      </c>
      <c r="F16" s="15">
        <v>0</v>
      </c>
      <c r="G16" s="2">
        <v>1.3162716745102501</v>
      </c>
      <c r="H16" s="2">
        <v>0.34317679329223799</v>
      </c>
      <c r="I16" s="2">
        <v>2.6800668145139301</v>
      </c>
      <c r="J16" s="2">
        <v>5.5133614261945096</v>
      </c>
      <c r="K16" s="2">
        <v>6.1796992651621503</v>
      </c>
      <c r="L16" s="2">
        <v>4.3304766797038798E-2</v>
      </c>
      <c r="M16" s="2">
        <v>14.0648739007001</v>
      </c>
      <c r="N16" s="3">
        <v>25051.397142857099</v>
      </c>
      <c r="O16" s="3">
        <v>670.70222222222196</v>
      </c>
      <c r="P16" s="4">
        <v>24.093055555555601</v>
      </c>
      <c r="Q16" s="4">
        <v>36.6666666666667</v>
      </c>
      <c r="R16" s="16">
        <v>0.63176008533747097</v>
      </c>
      <c r="S16" s="16">
        <v>0.96374450478407003</v>
      </c>
      <c r="T16" s="2">
        <v>13.3346068324039</v>
      </c>
      <c r="U16" s="2">
        <v>29.044603323589001</v>
      </c>
      <c r="V16" s="2">
        <v>0.85970581389760403</v>
      </c>
      <c r="W16" s="2">
        <v>29.904309137486599</v>
      </c>
      <c r="X16" s="2">
        <v>2.5051397142857099</v>
      </c>
      <c r="Y16" s="2">
        <v>2.2356740740740699</v>
      </c>
      <c r="Z16" s="2">
        <v>1.7129947787414099</v>
      </c>
      <c r="AA16" s="7">
        <v>2.1261697295414899</v>
      </c>
      <c r="AB16" s="15"/>
      <c r="AC16" s="15">
        <v>10150</v>
      </c>
      <c r="AD16" s="12">
        <v>387084.46380916802</v>
      </c>
      <c r="AE16" s="12">
        <v>386167.35537190101</v>
      </c>
      <c r="AF16" s="7">
        <v>314813.50126233097</v>
      </c>
      <c r="AG16" s="7">
        <v>38.2406127062876</v>
      </c>
      <c r="AH16" s="16">
        <v>0.782003922561882</v>
      </c>
      <c r="AI16" s="7">
        <v>2.8677720450940201</v>
      </c>
      <c r="AJ16" s="17">
        <v>0.69740550104791499</v>
      </c>
    </row>
    <row r="17" spans="3:36" x14ac:dyDescent="0.25">
      <c r="C17" s="15">
        <v>11000</v>
      </c>
      <c r="D17" s="15">
        <v>300</v>
      </c>
      <c r="E17" s="15">
        <v>2</v>
      </c>
      <c r="F17" s="15">
        <v>0</v>
      </c>
      <c r="G17" s="2">
        <v>1.7155508230327801</v>
      </c>
      <c r="H17" s="2">
        <v>0.38150473381773797</v>
      </c>
      <c r="I17" s="2">
        <v>3.1402686691967698</v>
      </c>
      <c r="J17" s="2">
        <v>5.7949740290641802</v>
      </c>
      <c r="K17" s="2">
        <v>6.3687061834335301</v>
      </c>
      <c r="L17" s="2">
        <v>4.7299661496975197E-2</v>
      </c>
      <c r="M17" s="2">
        <v>15.0939510999678</v>
      </c>
      <c r="N17" s="3">
        <v>27245.546666666702</v>
      </c>
      <c r="O17" s="3">
        <v>646.85777777777798</v>
      </c>
      <c r="P17" s="4">
        <v>24.9791666666667</v>
      </c>
      <c r="Q17" s="4">
        <v>34</v>
      </c>
      <c r="R17" s="16">
        <v>0.71907486423584199</v>
      </c>
      <c r="S17" s="16">
        <v>0.98143263511766199</v>
      </c>
      <c r="T17" s="2">
        <v>14.5714031829103</v>
      </c>
      <c r="U17" s="2">
        <v>30.596153925574502</v>
      </c>
      <c r="V17" s="2">
        <v>0.94493682079867602</v>
      </c>
      <c r="W17" s="2">
        <v>31.5410907463732</v>
      </c>
      <c r="X17" s="2">
        <v>2.4768678787878802</v>
      </c>
      <c r="Y17" s="2">
        <v>2.15619259259259</v>
      </c>
      <c r="Z17" s="2">
        <v>1.6549123884944901</v>
      </c>
      <c r="AA17" s="7">
        <v>2.08965104878606</v>
      </c>
      <c r="AB17" s="15"/>
      <c r="AC17" s="15">
        <v>11150</v>
      </c>
      <c r="AD17" s="12">
        <v>387327.83217129001</v>
      </c>
      <c r="AE17" s="12">
        <v>386272.054173693</v>
      </c>
      <c r="AF17" s="7">
        <v>358192.104806863</v>
      </c>
      <c r="AG17" s="7">
        <v>34.810961342494998</v>
      </c>
      <c r="AH17" s="16">
        <v>0.90606778813286803</v>
      </c>
      <c r="AI17" s="7">
        <v>2.38899170557041</v>
      </c>
      <c r="AJ17" s="17">
        <v>0.83717327077218495</v>
      </c>
    </row>
    <row r="18" spans="3:36" x14ac:dyDescent="0.25">
      <c r="C18" s="15">
        <v>12000</v>
      </c>
      <c r="D18" s="15">
        <v>300</v>
      </c>
      <c r="E18" s="15">
        <v>2</v>
      </c>
      <c r="F18" s="15">
        <v>0</v>
      </c>
      <c r="G18" s="2">
        <v>3.5051964294542102</v>
      </c>
      <c r="H18" s="2">
        <v>0.55509771442608802</v>
      </c>
      <c r="I18" s="2">
        <v>5.0868831865476398</v>
      </c>
      <c r="J18" s="2">
        <v>11.4102446635564</v>
      </c>
      <c r="K18" s="2">
        <v>12.3404813305537</v>
      </c>
      <c r="L18" s="2">
        <v>4.9184309247364402E-2</v>
      </c>
      <c r="M18" s="2">
        <v>18.024079743383901</v>
      </c>
      <c r="N18" s="3">
        <v>27444.9666666667</v>
      </c>
      <c r="O18" s="3">
        <v>617.20000000000005</v>
      </c>
      <c r="P18" s="4">
        <v>24.5490196078431</v>
      </c>
      <c r="Q18" s="4">
        <v>31.6666666666667</v>
      </c>
      <c r="R18" s="16">
        <v>0.77042547042090703</v>
      </c>
      <c r="S18" s="16">
        <v>0.99200930954228095</v>
      </c>
      <c r="T18" s="2">
        <v>15.310390488635401</v>
      </c>
      <c r="U18" s="2">
        <v>30.356555667473302</v>
      </c>
      <c r="V18" s="2">
        <v>1.26955318909724</v>
      </c>
      <c r="W18" s="2">
        <v>31.6261088565706</v>
      </c>
      <c r="X18" s="2">
        <v>2.2870805555555598</v>
      </c>
      <c r="Y18" s="2">
        <v>2.0573333333333301</v>
      </c>
      <c r="Z18" s="2">
        <v>1.3620123721908399</v>
      </c>
      <c r="AA18" s="7">
        <v>1.7546587291470199</v>
      </c>
      <c r="AB18" s="15"/>
      <c r="AC18" s="15">
        <v>12150</v>
      </c>
      <c r="AD18" s="12">
        <v>387150.476829822</v>
      </c>
      <c r="AE18" s="12">
        <v>387849.18276374397</v>
      </c>
      <c r="AF18" s="7">
        <v>387160.46909497102</v>
      </c>
      <c r="AG18" s="7">
        <v>31.9458616435242</v>
      </c>
      <c r="AH18" s="16">
        <v>0.98999079159229897</v>
      </c>
      <c r="AI18" s="7">
        <v>2.0865478034173499</v>
      </c>
      <c r="AJ18" s="17">
        <v>0.95852105411838395</v>
      </c>
    </row>
    <row r="19" spans="3:36" x14ac:dyDescent="0.25">
      <c r="C19" s="15">
        <v>13000</v>
      </c>
      <c r="D19" s="15">
        <v>300</v>
      </c>
      <c r="E19" s="15">
        <v>2</v>
      </c>
      <c r="F19" s="15">
        <v>0</v>
      </c>
      <c r="G19" s="2">
        <v>9.1159876795979198</v>
      </c>
      <c r="H19" s="2">
        <v>0.65528987854474097</v>
      </c>
      <c r="I19" s="2">
        <v>10.954635734701</v>
      </c>
      <c r="J19" s="2">
        <v>19.046502681573202</v>
      </c>
      <c r="K19" s="2">
        <v>19.7753710349401</v>
      </c>
      <c r="L19" s="2">
        <v>5.4880265473210399E-2</v>
      </c>
      <c r="M19" s="2">
        <v>24.2800043031793</v>
      </c>
      <c r="N19" s="3">
        <v>28724.251960784299</v>
      </c>
      <c r="O19" s="3">
        <v>573.862745098039</v>
      </c>
      <c r="P19" s="4">
        <v>25.1165577342048</v>
      </c>
      <c r="Q19" s="4">
        <v>29</v>
      </c>
      <c r="R19" s="16">
        <v>0.853004051374881</v>
      </c>
      <c r="S19" s="16">
        <v>0.98924230669769897</v>
      </c>
      <c r="T19" s="2">
        <v>17.119369520507899</v>
      </c>
      <c r="U19" s="2">
        <v>31.493739796165698</v>
      </c>
      <c r="V19" s="2">
        <v>1.4479008906669899</v>
      </c>
      <c r="W19" s="2">
        <v>32.941640686832699</v>
      </c>
      <c r="X19" s="2">
        <v>2.2095578431372598</v>
      </c>
      <c r="Y19" s="2">
        <v>1.9128758169934601</v>
      </c>
      <c r="Z19" s="2">
        <v>1.0344544185651501</v>
      </c>
      <c r="AA19" s="7">
        <v>1.35673949129075</v>
      </c>
      <c r="AB19" s="15"/>
      <c r="AC19" s="15">
        <v>13150</v>
      </c>
      <c r="AD19" s="12">
        <v>387199.49063833797</v>
      </c>
      <c r="AE19" s="12">
        <v>385497.05913107097</v>
      </c>
      <c r="AF19" s="7">
        <v>437673.74986577302</v>
      </c>
      <c r="AG19" s="7">
        <v>29.516518552761902</v>
      </c>
      <c r="AH19" s="16">
        <v>1.11604085786568</v>
      </c>
      <c r="AI19" s="7">
        <v>1.7241592055947501</v>
      </c>
      <c r="AJ19" s="17">
        <v>1.15998568665246</v>
      </c>
    </row>
    <row r="20" spans="3:36" x14ac:dyDescent="0.25">
      <c r="C20" s="15">
        <v>14000</v>
      </c>
      <c r="D20" s="15">
        <v>300</v>
      </c>
      <c r="E20" s="15">
        <v>2</v>
      </c>
      <c r="F20" s="15">
        <v>0</v>
      </c>
      <c r="G20" s="2">
        <v>11.6442189975528</v>
      </c>
      <c r="H20" s="2">
        <v>0.60584197872183498</v>
      </c>
      <c r="I20" s="2">
        <v>12.454836155189399</v>
      </c>
      <c r="J20" s="2">
        <v>22.9439738432566</v>
      </c>
      <c r="K20" s="2">
        <v>23.639374065399199</v>
      </c>
      <c r="L20" s="2">
        <v>5.4148147401154499E-2</v>
      </c>
      <c r="M20" s="2">
        <v>27.865864387883999</v>
      </c>
      <c r="N20" s="3">
        <v>27878.763123494999</v>
      </c>
      <c r="O20" s="3">
        <v>541.92778351106494</v>
      </c>
      <c r="P20" s="4">
        <v>23.9465886939571</v>
      </c>
      <c r="Q20" s="4">
        <v>27</v>
      </c>
      <c r="R20" s="16">
        <v>0.87529748645382999</v>
      </c>
      <c r="S20" s="16">
        <v>0.99237134729764698</v>
      </c>
      <c r="T20" s="2">
        <v>16.850286199068201</v>
      </c>
      <c r="U20" s="2">
        <v>29.344385502338099</v>
      </c>
      <c r="V20" s="2">
        <v>1.2064375010754</v>
      </c>
      <c r="W20" s="2">
        <v>30.550823003413502</v>
      </c>
      <c r="X20" s="2">
        <v>1.99134022310679</v>
      </c>
      <c r="Y20" s="2">
        <v>1.80642594503688</v>
      </c>
      <c r="Z20" s="2">
        <v>0.85935208614483105</v>
      </c>
      <c r="AA20" s="7">
        <v>1.0963529635454901</v>
      </c>
      <c r="AB20" s="15"/>
      <c r="AC20" s="15">
        <v>14150</v>
      </c>
      <c r="AD20" s="12">
        <v>387118.934149215</v>
      </c>
      <c r="AE20" s="12">
        <v>384986.93159609102</v>
      </c>
      <c r="AF20" s="7">
        <v>435434.96197249001</v>
      </c>
      <c r="AG20" s="7">
        <v>27.430545510163899</v>
      </c>
      <c r="AH20" s="16">
        <v>1.1137519300187999</v>
      </c>
      <c r="AI20" s="7">
        <v>1.6278978995431399</v>
      </c>
      <c r="AJ20" s="17">
        <v>1.22857827911768</v>
      </c>
    </row>
    <row r="21" spans="3:36" x14ac:dyDescent="0.25">
      <c r="C21" s="15">
        <v>15000</v>
      </c>
      <c r="D21" s="15">
        <v>300</v>
      </c>
      <c r="E21" s="15">
        <v>2</v>
      </c>
      <c r="F21" s="15">
        <v>0</v>
      </c>
      <c r="G21" s="2">
        <v>13.6280866776283</v>
      </c>
      <c r="H21" s="2">
        <v>0.66836240618394505</v>
      </c>
      <c r="I21" s="2">
        <v>13.5788930350445</v>
      </c>
      <c r="J21" s="2">
        <v>27.903930230935401</v>
      </c>
      <c r="K21" s="2">
        <v>28.690085995992</v>
      </c>
      <c r="L21" s="2">
        <v>5.6033775199364803E-2</v>
      </c>
      <c r="M21" s="2">
        <v>29.740709199202701</v>
      </c>
      <c r="N21" s="3">
        <v>27945.355204678399</v>
      </c>
      <c r="O21" s="3">
        <v>504.75730994152099</v>
      </c>
      <c r="P21" s="4">
        <v>22.2593984962406</v>
      </c>
      <c r="Q21" s="4">
        <v>25.3333333333333</v>
      </c>
      <c r="R21" s="16">
        <v>0.87014661362483003</v>
      </c>
      <c r="S21" s="16">
        <v>0.98259632790276696</v>
      </c>
      <c r="T21" s="2">
        <v>17.478494965993399</v>
      </c>
      <c r="U21" s="2">
        <v>28.2834576354993</v>
      </c>
      <c r="V21" s="2">
        <v>1.2451749897509199</v>
      </c>
      <c r="W21" s="2">
        <v>29.5286326252502</v>
      </c>
      <c r="X21" s="2">
        <v>1.86302368031189</v>
      </c>
      <c r="Y21" s="2">
        <v>1.68252436647174</v>
      </c>
      <c r="Z21" s="2">
        <v>0.74844881294348398</v>
      </c>
      <c r="AA21" s="7">
        <v>0.99286914873038201</v>
      </c>
      <c r="AB21" s="15"/>
      <c r="AC21" s="15">
        <v>15150</v>
      </c>
      <c r="AD21" s="12">
        <v>387555.24866461701</v>
      </c>
      <c r="AE21" s="12">
        <v>390597.83667131601</v>
      </c>
      <c r="AF21" s="7">
        <v>455092.28492489102</v>
      </c>
      <c r="AG21" s="7">
        <v>25.619948446786701</v>
      </c>
      <c r="AH21" s="16">
        <v>1.1525640922573199</v>
      </c>
      <c r="AI21" s="7">
        <v>1.46579831367824</v>
      </c>
      <c r="AJ21" s="17">
        <v>1.36444419490513</v>
      </c>
    </row>
    <row r="22" spans="3:36" x14ac:dyDescent="0.25"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O22" s="15"/>
      <c r="P22" s="15"/>
      <c r="Q22" s="15"/>
      <c r="R22" s="16"/>
      <c r="S22" s="16"/>
      <c r="T22" s="2">
        <v>0</v>
      </c>
      <c r="U22" s="2"/>
      <c r="V22" s="2"/>
      <c r="W22" s="2"/>
      <c r="X22" s="2"/>
      <c r="Y22" s="2"/>
      <c r="Z22" s="2"/>
      <c r="AA22" s="7"/>
      <c r="AB22" s="15"/>
      <c r="AC22" s="15"/>
      <c r="AD22" s="12"/>
      <c r="AE22" s="12"/>
      <c r="AF22" s="7"/>
      <c r="AG22" s="7"/>
      <c r="AH22" s="16"/>
      <c r="AI22" s="7" t="e">
        <v>#DIV/0!</v>
      </c>
      <c r="AJ22" s="17" t="e">
        <v>#DIV/0!</v>
      </c>
    </row>
    <row r="23" spans="3:36" x14ac:dyDescent="0.25"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O23" s="15"/>
      <c r="P23" s="15"/>
      <c r="Q23" s="15"/>
      <c r="R23" s="16"/>
      <c r="S23" s="16"/>
      <c r="T23" s="2">
        <v>0</v>
      </c>
      <c r="U23" s="2"/>
      <c r="V23" s="2"/>
      <c r="W23" s="2"/>
      <c r="X23" s="2"/>
      <c r="Y23" s="2"/>
      <c r="Z23" s="2"/>
      <c r="AA23" s="7"/>
      <c r="AB23" s="15"/>
      <c r="AC23" s="15"/>
      <c r="AD23" s="12"/>
      <c r="AE23" s="12"/>
      <c r="AF23" s="7"/>
      <c r="AG23" s="7"/>
      <c r="AH23" s="16"/>
      <c r="AI23" s="7" t="e">
        <v>#DIV/0!</v>
      </c>
      <c r="AJ23" s="17" t="e">
        <v>#DIV/0!</v>
      </c>
    </row>
    <row r="24" spans="3:36" x14ac:dyDescent="0.25">
      <c r="C24" s="15">
        <v>5000</v>
      </c>
      <c r="D24" s="15">
        <v>100</v>
      </c>
      <c r="E24" s="15">
        <v>2</v>
      </c>
      <c r="F24" s="15">
        <v>0</v>
      </c>
      <c r="G24" s="2">
        <v>0.15310316644821001</v>
      </c>
      <c r="H24" s="2">
        <v>0.14001906340436099</v>
      </c>
      <c r="I24" s="2">
        <v>1.1558934795849101</v>
      </c>
      <c r="J24" s="2">
        <v>2.3622004191080701</v>
      </c>
      <c r="K24" s="2">
        <v>2.7759022140502898</v>
      </c>
      <c r="L24" s="2">
        <v>9.6372250619072009E-3</v>
      </c>
      <c r="M24" s="2">
        <v>1.10502210299121</v>
      </c>
      <c r="N24" s="3">
        <v>13843.5810897436</v>
      </c>
      <c r="O24" s="3">
        <v>258.153205128205</v>
      </c>
      <c r="P24" s="4">
        <v>2.11904761904762</v>
      </c>
      <c r="Q24" s="4">
        <v>6.3333333333333304</v>
      </c>
      <c r="R24" s="16">
        <v>2.7674917911307301E-2</v>
      </c>
      <c r="S24" s="16">
        <v>8.2699767261443E-2</v>
      </c>
      <c r="T24" s="2">
        <v>1.1037415695950801</v>
      </c>
      <c r="U24" s="2">
        <v>2.4878805382732101</v>
      </c>
      <c r="V24" s="2">
        <v>0.387673051669643</v>
      </c>
      <c r="W24" s="2">
        <v>2.8755535899428502</v>
      </c>
      <c r="X24" s="2">
        <v>2.7687162179487199</v>
      </c>
      <c r="Y24" s="2">
        <v>2.5815320512820499</v>
      </c>
      <c r="Z24" s="2">
        <v>1.9176517947573399</v>
      </c>
      <c r="AA24" s="7">
        <v>2.6022588889027198</v>
      </c>
      <c r="AB24" s="15"/>
      <c r="AC24" s="15">
        <v>5050</v>
      </c>
      <c r="AD24" s="12">
        <v>386674.69621719199</v>
      </c>
      <c r="AE24" s="12">
        <v>386740.30644152599</v>
      </c>
      <c r="AF24" s="7">
        <v>175359.16311325901</v>
      </c>
      <c r="AG24" s="7">
        <v>76.859845340360195</v>
      </c>
      <c r="AH24" s="16">
        <v>3.7412950510230303E-2</v>
      </c>
      <c r="AI24" s="7">
        <v>69.635725841654207</v>
      </c>
      <c r="AJ24" s="17">
        <v>2.87208896845253E-2</v>
      </c>
    </row>
    <row r="25" spans="3:36" x14ac:dyDescent="0.25">
      <c r="C25" s="15">
        <v>5000</v>
      </c>
      <c r="D25" s="15">
        <v>200</v>
      </c>
      <c r="E25" s="15">
        <v>2</v>
      </c>
      <c r="F25" s="15">
        <v>0</v>
      </c>
      <c r="G25" s="2">
        <v>0.15337052458484801</v>
      </c>
      <c r="H25" s="2">
        <v>0.14131639997156401</v>
      </c>
      <c r="I25" s="2">
        <v>1.0886227086385301</v>
      </c>
      <c r="J25" s="2">
        <v>2.1854217251141899</v>
      </c>
      <c r="K25" s="2">
        <v>2.5071182203292799</v>
      </c>
      <c r="L25" s="2">
        <v>1.04600844841789E-2</v>
      </c>
      <c r="M25" s="2">
        <v>2.21300169078844</v>
      </c>
      <c r="N25" s="3">
        <v>12979.142261904801</v>
      </c>
      <c r="O25" s="3">
        <v>482.27559523809498</v>
      </c>
      <c r="P25" s="4">
        <v>4.7281045751633997</v>
      </c>
      <c r="Q25" s="4">
        <v>10</v>
      </c>
      <c r="R25" s="16">
        <v>6.2301221497132603E-2</v>
      </c>
      <c r="S25" s="16">
        <v>0.131574864235842</v>
      </c>
      <c r="T25" s="2">
        <v>2.2333332968073401</v>
      </c>
      <c r="U25" s="2">
        <v>5.04464347084813</v>
      </c>
      <c r="V25" s="2">
        <v>0.366833131834232</v>
      </c>
      <c r="W25" s="2">
        <v>5.4114766026823702</v>
      </c>
      <c r="X25" s="2">
        <v>2.5958284523809501</v>
      </c>
      <c r="Y25" s="2">
        <v>2.4113779761904799</v>
      </c>
      <c r="Z25" s="2">
        <v>2.13651195787333</v>
      </c>
      <c r="AA25" s="7">
        <v>2.4453106498777202</v>
      </c>
      <c r="AB25" s="15"/>
      <c r="AC25" s="15">
        <v>5100</v>
      </c>
      <c r="AD25" s="12">
        <v>387044.31075148599</v>
      </c>
      <c r="AE25" s="12">
        <v>387612.02830188698</v>
      </c>
      <c r="AF25" s="7">
        <v>209476.54037547301</v>
      </c>
      <c r="AG25" s="7">
        <v>76.106317444866406</v>
      </c>
      <c r="AH25" s="16">
        <v>7.1104170906739705E-2</v>
      </c>
      <c r="AI25" s="7">
        <v>34.077456129662401</v>
      </c>
      <c r="AJ25" s="17">
        <v>5.8689826857677901E-2</v>
      </c>
    </row>
    <row r="26" spans="3:36" x14ac:dyDescent="0.25">
      <c r="C26" s="15">
        <v>5000</v>
      </c>
      <c r="D26" s="15">
        <v>300</v>
      </c>
      <c r="E26" s="15">
        <v>2</v>
      </c>
      <c r="F26" s="15">
        <v>0</v>
      </c>
      <c r="G26" s="2">
        <v>0.16116826119435401</v>
      </c>
      <c r="H26" s="2">
        <v>0.144551321959379</v>
      </c>
      <c r="I26" s="2">
        <v>0.79212661878774704</v>
      </c>
      <c r="J26" s="2">
        <v>1.0923022747039799</v>
      </c>
      <c r="K26" s="2">
        <v>1.25332887013753</v>
      </c>
      <c r="L26" s="2">
        <v>1.1342318018871899E-2</v>
      </c>
      <c r="M26" s="2">
        <v>3.5331056238159402</v>
      </c>
      <c r="N26" s="3">
        <v>12742.9708333333</v>
      </c>
      <c r="O26" s="3">
        <v>714.52499999999998</v>
      </c>
      <c r="P26" s="4">
        <v>7.1372549019607803</v>
      </c>
      <c r="Q26" s="4">
        <v>16.3333333333333</v>
      </c>
      <c r="R26" s="16">
        <v>9.50714187924976E-2</v>
      </c>
      <c r="S26" s="16">
        <v>0.21825704680631</v>
      </c>
      <c r="T26" s="2">
        <v>3.5472467276209398</v>
      </c>
      <c r="U26" s="2">
        <v>8.1043697824344196</v>
      </c>
      <c r="V26" s="2">
        <v>0.36840265592962901</v>
      </c>
      <c r="W26" s="2">
        <v>8.4727724383640499</v>
      </c>
      <c r="X26" s="2">
        <v>2.5485941666666698</v>
      </c>
      <c r="Y26" s="2">
        <v>2.3817499999999998</v>
      </c>
      <c r="Z26" s="2">
        <v>2.0201079905027499</v>
      </c>
      <c r="AA26" s="7">
        <v>2.3981090124367701</v>
      </c>
      <c r="AB26" s="15"/>
      <c r="AC26" s="15">
        <v>5150</v>
      </c>
      <c r="AD26" s="12">
        <v>386623.68997904001</v>
      </c>
      <c r="AE26" s="12">
        <v>385401.83649289102</v>
      </c>
      <c r="AF26" s="7">
        <v>199670.60993847199</v>
      </c>
      <c r="AG26" s="7">
        <v>75.367421158994006</v>
      </c>
      <c r="AH26" s="16">
        <v>0.11241956150377</v>
      </c>
      <c r="AI26" s="7">
        <v>21.246737807138999</v>
      </c>
      <c r="AJ26" s="17">
        <v>9.4132097743870602E-2</v>
      </c>
    </row>
    <row r="27" spans="3:36" x14ac:dyDescent="0.25">
      <c r="C27" s="15">
        <v>5000</v>
      </c>
      <c r="D27" s="15">
        <v>400</v>
      </c>
      <c r="E27" s="15">
        <v>2</v>
      </c>
      <c r="F27" s="15">
        <v>0</v>
      </c>
      <c r="G27" s="2">
        <v>0.15893258931756399</v>
      </c>
      <c r="H27" s="2">
        <v>0.14438882254426599</v>
      </c>
      <c r="I27" s="2">
        <v>0.86264109190174798</v>
      </c>
      <c r="J27" s="2">
        <v>1.3129658778508499</v>
      </c>
      <c r="K27" s="2">
        <v>1.5561990388234399</v>
      </c>
      <c r="L27" s="2">
        <v>1.10758336594669E-2</v>
      </c>
      <c r="M27" s="2">
        <v>4.5276417927164196</v>
      </c>
      <c r="N27" s="3">
        <v>11301.0375</v>
      </c>
      <c r="O27" s="3">
        <v>830.43333333333305</v>
      </c>
      <c r="P27" s="4">
        <v>7.9607843137254903</v>
      </c>
      <c r="Q27" s="4">
        <v>17</v>
      </c>
      <c r="R27" s="16">
        <v>0.10698367787766799</v>
      </c>
      <c r="S27" s="16">
        <v>0.228652702353245</v>
      </c>
      <c r="T27" s="2">
        <v>4.5747222863310402</v>
      </c>
      <c r="U27" s="2">
        <v>9.1977414652766498</v>
      </c>
      <c r="V27" s="2">
        <v>0.32634869963072</v>
      </c>
      <c r="W27" s="2">
        <v>9.5240901649073706</v>
      </c>
      <c r="X27" s="2">
        <v>2.2602074999999999</v>
      </c>
      <c r="Y27" s="2">
        <v>2.0760833333333299</v>
      </c>
      <c r="Z27" s="2">
        <v>1.75826283928467</v>
      </c>
      <c r="AA27" s="7">
        <v>2.1035432132084102</v>
      </c>
      <c r="AB27" s="15"/>
      <c r="AC27" s="15">
        <v>5200</v>
      </c>
      <c r="AD27" s="12">
        <v>386938.262476895</v>
      </c>
      <c r="AE27" s="12">
        <v>386612.53110156098</v>
      </c>
      <c r="AF27" s="7">
        <v>216310.58198114601</v>
      </c>
      <c r="AG27" s="7">
        <v>74.642734417080604</v>
      </c>
      <c r="AH27" s="16">
        <v>0.12759567611349401</v>
      </c>
      <c r="AI27" s="7">
        <v>16.316342226960501</v>
      </c>
      <c r="AJ27" s="17">
        <v>0.12257649246258601</v>
      </c>
    </row>
    <row r="28" spans="3:36" x14ac:dyDescent="0.25">
      <c r="C28" s="15">
        <v>5000</v>
      </c>
      <c r="D28" s="15">
        <v>500</v>
      </c>
      <c r="E28" s="15">
        <v>2</v>
      </c>
      <c r="F28" s="15">
        <v>0</v>
      </c>
      <c r="G28" s="2">
        <v>0.50221464618893996</v>
      </c>
      <c r="H28" s="2">
        <v>0.34444617464136201</v>
      </c>
      <c r="I28" s="2">
        <v>3.80244521559773</v>
      </c>
      <c r="J28" s="2">
        <v>8.4403578162193291</v>
      </c>
      <c r="K28" s="2">
        <v>9.3858100938796998</v>
      </c>
      <c r="L28" s="2">
        <v>1.5406034269445101E-2</v>
      </c>
      <c r="M28" s="2">
        <v>7.4567372525505498</v>
      </c>
      <c r="N28" s="3">
        <v>16988.75</v>
      </c>
      <c r="O28" s="3">
        <v>1554.07321428571</v>
      </c>
      <c r="P28" s="4">
        <v>15.6789215686274</v>
      </c>
      <c r="Q28" s="4">
        <v>35</v>
      </c>
      <c r="R28" s="16">
        <v>0.21169130957270399</v>
      </c>
      <c r="S28" s="16">
        <v>0.48582880786139099</v>
      </c>
      <c r="T28" s="2">
        <v>8.0474633093639305</v>
      </c>
      <c r="U28" s="2">
        <v>23.942105196512401</v>
      </c>
      <c r="V28" s="2">
        <v>1.1703419898876899</v>
      </c>
      <c r="W28" s="2">
        <v>25.1124471864001</v>
      </c>
      <c r="X28" s="2">
        <v>3.3977499999999998</v>
      </c>
      <c r="Y28" s="2">
        <v>3.10814642857143</v>
      </c>
      <c r="Z28" s="2">
        <v>2.1026517413181698</v>
      </c>
      <c r="AA28" s="7">
        <v>3.3677527229232198</v>
      </c>
      <c r="AB28" s="15"/>
      <c r="AC28" s="15">
        <v>5250</v>
      </c>
      <c r="AD28" s="12">
        <v>388841.367184342</v>
      </c>
      <c r="AE28" s="12">
        <v>378219.64656411402</v>
      </c>
      <c r="AF28" s="7">
        <v>270769.785781538</v>
      </c>
      <c r="AG28" s="7">
        <v>73.931851232156006</v>
      </c>
      <c r="AH28" s="16">
        <v>0.339670206654824</v>
      </c>
      <c r="AI28" s="7">
        <v>9.1869758692940895</v>
      </c>
      <c r="AJ28" s="17">
        <v>0.21769949420294701</v>
      </c>
    </row>
    <row r="29" spans="3:36" x14ac:dyDescent="0.25">
      <c r="C29" s="15">
        <v>5000</v>
      </c>
      <c r="D29" s="15">
        <v>600</v>
      </c>
      <c r="E29" s="15">
        <v>2</v>
      </c>
      <c r="F29" s="15">
        <v>0</v>
      </c>
      <c r="G29" s="2">
        <v>0.17005826780993499</v>
      </c>
      <c r="H29" s="2">
        <v>0.24551542522963199</v>
      </c>
      <c r="I29" s="2">
        <v>0.85443627847475501</v>
      </c>
      <c r="J29" s="2">
        <v>1.25501197179158</v>
      </c>
      <c r="K29" s="2">
        <v>1.4356961647669499</v>
      </c>
      <c r="L29" s="2">
        <v>1.4934354230035999E-2</v>
      </c>
      <c r="M29" s="2">
        <v>9.7387336150591608</v>
      </c>
      <c r="N29" s="3">
        <v>12520.516666666699</v>
      </c>
      <c r="O29" s="3">
        <v>1383.0625</v>
      </c>
      <c r="P29" s="4">
        <v>17.6666666666667</v>
      </c>
      <c r="Q29" s="4">
        <v>32</v>
      </c>
      <c r="R29" s="16">
        <v>0.24133771429440701</v>
      </c>
      <c r="S29" s="16">
        <v>0.43791052495474497</v>
      </c>
      <c r="T29" s="2">
        <v>9.2061279632512498</v>
      </c>
      <c r="U29" s="2">
        <v>20.655145297279201</v>
      </c>
      <c r="V29" s="2">
        <v>0.61479599470227297</v>
      </c>
      <c r="W29" s="2">
        <v>21.2699412919815</v>
      </c>
      <c r="X29" s="2">
        <v>2.50410333333333</v>
      </c>
      <c r="Y29" s="2">
        <v>2.3051041666666698</v>
      </c>
      <c r="Z29" s="2">
        <v>1.8140620089811701</v>
      </c>
      <c r="AA29" s="7">
        <v>2.18405617534208</v>
      </c>
      <c r="AB29" s="15"/>
      <c r="AC29" s="15">
        <v>5300</v>
      </c>
      <c r="AD29" s="12">
        <v>387976.38241949398</v>
      </c>
      <c r="AE29" s="12">
        <v>387293.72859336197</v>
      </c>
      <c r="AF29" s="7">
        <v>257007.41049948899</v>
      </c>
      <c r="AG29" s="7">
        <v>73.234380937512995</v>
      </c>
      <c r="AH29" s="16">
        <v>0.29043655479425701</v>
      </c>
      <c r="AI29" s="7">
        <v>7.9549601341462797</v>
      </c>
      <c r="AJ29" s="17">
        <v>0.251415464851307</v>
      </c>
    </row>
    <row r="30" spans="3:36" x14ac:dyDescent="0.25">
      <c r="C30" s="15">
        <v>5000</v>
      </c>
      <c r="D30" s="15">
        <v>700</v>
      </c>
      <c r="E30" s="15">
        <v>2</v>
      </c>
      <c r="F30" s="15">
        <v>0</v>
      </c>
      <c r="G30" s="2">
        <v>0.176196579078579</v>
      </c>
      <c r="H30" s="2">
        <v>0.15544193767139</v>
      </c>
      <c r="I30" s="2">
        <v>0.99250126931340699</v>
      </c>
      <c r="J30" s="2">
        <v>2.0728516777356498</v>
      </c>
      <c r="K30" s="2">
        <v>2.4672814178466802</v>
      </c>
      <c r="L30" s="2">
        <v>1.6075060193485001E-2</v>
      </c>
      <c r="M30" s="2">
        <v>11.325994664118999</v>
      </c>
      <c r="N30" s="3">
        <v>12397.2552777778</v>
      </c>
      <c r="O30" s="3">
        <v>1573.9455555555601</v>
      </c>
      <c r="P30" s="4">
        <v>21.506127450980401</v>
      </c>
      <c r="Q30" s="4">
        <v>38.6666666666667</v>
      </c>
      <c r="R30" s="16">
        <v>0.29655056359238802</v>
      </c>
      <c r="S30" s="16">
        <v>0.53491078355314203</v>
      </c>
      <c r="T30" s="2">
        <v>11.407984073110899</v>
      </c>
      <c r="U30" s="2">
        <v>25.301269546823701</v>
      </c>
      <c r="V30" s="2">
        <v>0.385410676436928</v>
      </c>
      <c r="W30" s="2">
        <v>25.686680223260598</v>
      </c>
      <c r="X30" s="2">
        <v>2.4794510555555598</v>
      </c>
      <c r="Y30" s="2">
        <v>2.2484936507936499</v>
      </c>
      <c r="Z30" s="2">
        <v>1.8988290290399199</v>
      </c>
      <c r="AA30" s="7">
        <v>2.2679403429913898</v>
      </c>
      <c r="AB30" s="15"/>
      <c r="AC30" s="15">
        <v>5350</v>
      </c>
      <c r="AD30" s="12">
        <v>387987.06186542002</v>
      </c>
      <c r="AE30" s="12">
        <v>386731.15784384799</v>
      </c>
      <c r="AF30" s="7">
        <v>256657.464532218</v>
      </c>
      <c r="AG30" s="7">
        <v>72.549947470807297</v>
      </c>
      <c r="AH30" s="16">
        <v>0.35405511814597002</v>
      </c>
      <c r="AI30" s="7">
        <v>6.3595765041266903</v>
      </c>
      <c r="AJ30" s="17">
        <v>0.31448634963385003</v>
      </c>
    </row>
    <row r="31" spans="3:36" x14ac:dyDescent="0.25">
      <c r="C31" s="15">
        <v>5000</v>
      </c>
      <c r="D31" s="15">
        <v>800</v>
      </c>
      <c r="E31" s="15">
        <v>2</v>
      </c>
      <c r="F31" s="15">
        <v>0</v>
      </c>
      <c r="G31" s="2">
        <v>0.23137368829244701</v>
      </c>
      <c r="H31" s="2">
        <v>0.15481857555113501</v>
      </c>
      <c r="I31" s="2">
        <v>1.10258211708091</v>
      </c>
      <c r="J31" s="2">
        <v>2.8050277670224499</v>
      </c>
      <c r="K31" s="2">
        <v>3.1549166059494</v>
      </c>
      <c r="L31" s="2">
        <v>1.61499811002495E-2</v>
      </c>
      <c r="M31" s="2">
        <v>12.9253107103199</v>
      </c>
      <c r="N31" s="3">
        <v>11441.094607843101</v>
      </c>
      <c r="O31" s="3">
        <v>1689.06985294118</v>
      </c>
      <c r="P31" s="4">
        <v>22.738562091503301</v>
      </c>
      <c r="Q31" s="4">
        <v>35.3333333333333</v>
      </c>
      <c r="R31" s="16">
        <v>0.31619645703294702</v>
      </c>
      <c r="S31" s="16">
        <v>0.49519006982156699</v>
      </c>
      <c r="T31" s="2">
        <v>13.0748034557507</v>
      </c>
      <c r="U31" s="2">
        <v>27.278446202001199</v>
      </c>
      <c r="V31" s="2">
        <v>0.35425879398640903</v>
      </c>
      <c r="W31" s="2">
        <v>27.632704995987599</v>
      </c>
      <c r="X31" s="2">
        <v>2.2882189215686299</v>
      </c>
      <c r="Y31" s="2">
        <v>2.1113373161764701</v>
      </c>
      <c r="Z31" s="2">
        <v>1.75922750339365</v>
      </c>
      <c r="AA31" s="7">
        <v>2.1378754921477401</v>
      </c>
      <c r="AB31" s="15"/>
      <c r="AC31" s="15">
        <v>5400</v>
      </c>
      <c r="AD31" s="12">
        <v>388328.94095749903</v>
      </c>
      <c r="AE31" s="12">
        <v>385306.59564468102</v>
      </c>
      <c r="AF31" s="7">
        <v>301045.82572597801</v>
      </c>
      <c r="AG31" s="7">
        <v>71.878188697929403</v>
      </c>
      <c r="AH31" s="16">
        <v>0.384437970635501</v>
      </c>
      <c r="AI31" s="7">
        <v>5.4974584467895102</v>
      </c>
      <c r="AJ31" s="17">
        <v>0.363804477897962</v>
      </c>
    </row>
    <row r="32" spans="3:36" x14ac:dyDescent="0.25">
      <c r="C32" s="15">
        <v>5000</v>
      </c>
      <c r="D32" s="15">
        <v>900</v>
      </c>
      <c r="E32" s="15">
        <v>2</v>
      </c>
      <c r="F32" s="15">
        <v>0</v>
      </c>
      <c r="G32" s="2">
        <v>0.174360444004624</v>
      </c>
      <c r="H32" s="2">
        <v>0.19344804233874499</v>
      </c>
      <c r="I32" s="2">
        <v>0.90162968768440099</v>
      </c>
      <c r="J32" s="2">
        <v>1.5425634225209599</v>
      </c>
      <c r="K32" s="2">
        <v>1.7170548375447601</v>
      </c>
      <c r="L32" s="2">
        <v>1.79619321733865E-2</v>
      </c>
      <c r="M32" s="2">
        <v>16.094139975212599</v>
      </c>
      <c r="N32" s="3">
        <v>11075.8431372549</v>
      </c>
      <c r="O32" s="3">
        <v>1852.61176470588</v>
      </c>
      <c r="P32" s="4">
        <v>27.8888888888889</v>
      </c>
      <c r="Q32" s="4">
        <v>42.3333333333333</v>
      </c>
      <c r="R32" s="16">
        <v>0.39154670574375799</v>
      </c>
      <c r="S32" s="16">
        <v>0.59490561158520805</v>
      </c>
      <c r="T32" s="2">
        <v>16.359186998386601</v>
      </c>
      <c r="U32" s="2">
        <v>33.276486861264999</v>
      </c>
      <c r="V32" s="2">
        <v>0.428520034430598</v>
      </c>
      <c r="W32" s="2">
        <v>33.705006895695597</v>
      </c>
      <c r="X32" s="2">
        <v>2.2151686274509799</v>
      </c>
      <c r="Y32" s="2">
        <v>2.0584575163398702</v>
      </c>
      <c r="Z32" s="2">
        <v>1.7328598441322101</v>
      </c>
      <c r="AA32" s="7">
        <v>2.0942409440707199</v>
      </c>
      <c r="AB32" s="15"/>
      <c r="AC32" s="15">
        <v>5450</v>
      </c>
      <c r="AD32" s="12">
        <v>388189.81800836598</v>
      </c>
      <c r="AE32" s="12">
        <v>387820.62595088</v>
      </c>
      <c r="AF32" s="7">
        <v>308451.37445768499</v>
      </c>
      <c r="AG32" s="7">
        <v>71.2187557740952</v>
      </c>
      <c r="AH32" s="16">
        <v>0.47326026029726398</v>
      </c>
      <c r="AI32" s="7">
        <v>4.3534410225348603</v>
      </c>
      <c r="AJ32" s="17">
        <v>0.45940670601653599</v>
      </c>
    </row>
    <row r="33" spans="3:36" x14ac:dyDescent="0.25">
      <c r="C33" s="15">
        <v>5000</v>
      </c>
      <c r="D33" s="15">
        <v>1000</v>
      </c>
      <c r="E33" s="15">
        <v>2</v>
      </c>
      <c r="F33" s="15">
        <v>0</v>
      </c>
      <c r="G33" s="2">
        <v>0.188289233753448</v>
      </c>
      <c r="H33" s="2">
        <v>0.16248296045972299</v>
      </c>
      <c r="I33" s="2">
        <v>1.1704781419399799</v>
      </c>
      <c r="J33" s="2">
        <v>3.2295448025067599</v>
      </c>
      <c r="K33" s="2">
        <v>4.1053449932734196</v>
      </c>
      <c r="L33" s="2">
        <v>2.0872182953329502E-2</v>
      </c>
      <c r="M33" s="2">
        <v>20.6583734287928</v>
      </c>
      <c r="N33" s="3">
        <v>11753.0101851852</v>
      </c>
      <c r="O33" s="3">
        <v>2126.0847222222201</v>
      </c>
      <c r="P33" s="4">
        <v>34.896800825593402</v>
      </c>
      <c r="Q33" s="4">
        <v>54</v>
      </c>
      <c r="R33" s="16">
        <v>0.49386129038198101</v>
      </c>
      <c r="S33" s="16">
        <v>0.76237393328161396</v>
      </c>
      <c r="T33" s="2">
        <v>21.034665913789301</v>
      </c>
      <c r="U33" s="2">
        <v>44.376029296501102</v>
      </c>
      <c r="V33" s="2">
        <v>0.381932777840433</v>
      </c>
      <c r="W33" s="2">
        <v>44.757962074341499</v>
      </c>
      <c r="X33" s="2">
        <v>2.35060203703704</v>
      </c>
      <c r="Y33" s="2">
        <v>2.1260847222222199</v>
      </c>
      <c r="Z33" s="2">
        <v>1.6892327436077601</v>
      </c>
      <c r="AA33" s="7">
        <v>2.1665772587864902</v>
      </c>
      <c r="AB33" s="15"/>
      <c r="AC33" s="15">
        <v>5500</v>
      </c>
      <c r="AD33" s="12">
        <v>388636.25936811499</v>
      </c>
      <c r="AE33" s="12">
        <v>389572.60608527501</v>
      </c>
      <c r="AF33" s="7">
        <v>322647.21323977399</v>
      </c>
      <c r="AG33" s="7">
        <v>70.571312539785296</v>
      </c>
      <c r="AH33" s="16">
        <v>0.63422317742933798</v>
      </c>
      <c r="AI33" s="7">
        <v>3.3550003992942998</v>
      </c>
      <c r="AJ33" s="17">
        <v>0.59612511534147195</v>
      </c>
    </row>
    <row r="34" spans="3:36" x14ac:dyDescent="0.25">
      <c r="C34" s="15">
        <v>5000</v>
      </c>
      <c r="D34" s="15">
        <v>1100</v>
      </c>
      <c r="E34" s="15">
        <v>2</v>
      </c>
      <c r="F34" s="15">
        <v>0</v>
      </c>
      <c r="G34" s="2">
        <v>0.235042102962048</v>
      </c>
      <c r="H34" s="2">
        <v>0.201412869795107</v>
      </c>
      <c r="I34" s="2">
        <v>1.3894296544767499</v>
      </c>
      <c r="J34" s="2">
        <v>3.5152292529741902</v>
      </c>
      <c r="K34" s="2">
        <v>3.6208382987976102</v>
      </c>
      <c r="L34" s="2">
        <v>1.87660423905914E-2</v>
      </c>
      <c r="M34" s="2">
        <v>20.971273956765199</v>
      </c>
      <c r="N34" s="3">
        <v>10473.4808278867</v>
      </c>
      <c r="O34" s="3">
        <v>2125.9195642701502</v>
      </c>
      <c r="P34" s="4">
        <v>30.688961988304101</v>
      </c>
      <c r="Q34" s="4">
        <v>46</v>
      </c>
      <c r="R34" s="16">
        <v>0.43729828190854703</v>
      </c>
      <c r="S34" s="16">
        <v>0.65254719420739604</v>
      </c>
      <c r="T34" s="2">
        <v>20.844059499445699</v>
      </c>
      <c r="U34" s="2">
        <v>39.8950966620814</v>
      </c>
      <c r="V34" s="2">
        <v>0.42189876605773802</v>
      </c>
      <c r="W34" s="2">
        <v>40.316995428139101</v>
      </c>
      <c r="X34" s="2">
        <v>2.0946961655773402</v>
      </c>
      <c r="Y34" s="2">
        <v>1.9326541493364999</v>
      </c>
      <c r="Z34" s="2">
        <v>1.46338091102968</v>
      </c>
      <c r="AA34" s="7">
        <v>1.92248670782983</v>
      </c>
      <c r="AB34" s="15"/>
      <c r="AC34" s="15">
        <v>5550</v>
      </c>
      <c r="AD34" s="12">
        <v>389490.98608786199</v>
      </c>
      <c r="AE34" s="12">
        <v>391236.07038123201</v>
      </c>
      <c r="AF34" s="7">
        <v>342545.76877974899</v>
      </c>
      <c r="AG34" s="7">
        <v>69.935534949336699</v>
      </c>
      <c r="AH34" s="16">
        <v>0.57648798221599196</v>
      </c>
      <c r="AI34" s="7">
        <v>3.35517824400744</v>
      </c>
      <c r="AJ34" s="17">
        <v>0.59609351710959901</v>
      </c>
    </row>
    <row r="35" spans="3:36" x14ac:dyDescent="0.25">
      <c r="C35" s="15">
        <v>5000</v>
      </c>
      <c r="D35" s="15">
        <v>1200</v>
      </c>
      <c r="E35" s="15">
        <v>2</v>
      </c>
      <c r="F35" s="15">
        <v>0</v>
      </c>
      <c r="G35" s="2">
        <v>0.18824029019694399</v>
      </c>
      <c r="H35" s="2">
        <v>0.164324926119371</v>
      </c>
      <c r="I35" s="2">
        <v>1.04800992424897</v>
      </c>
      <c r="J35" s="2">
        <v>2.0461770534515402</v>
      </c>
      <c r="K35" s="2">
        <v>2.38565671920776</v>
      </c>
      <c r="L35" s="2">
        <v>2.0326716039575098E-2</v>
      </c>
      <c r="M35" s="2">
        <v>24.388625301044399</v>
      </c>
      <c r="N35" s="3">
        <v>9556.6426785918993</v>
      </c>
      <c r="O35" s="3">
        <v>2145.7577571379402</v>
      </c>
      <c r="P35" s="4">
        <v>35.480311890838202</v>
      </c>
      <c r="Q35" s="4">
        <v>55</v>
      </c>
      <c r="R35" s="16">
        <v>0.51077284626098496</v>
      </c>
      <c r="S35" s="16">
        <v>0.79175071114559104</v>
      </c>
      <c r="T35" s="2">
        <v>24.556384173609501</v>
      </c>
      <c r="U35" s="2">
        <v>43.616208619058497</v>
      </c>
      <c r="V35" s="2">
        <v>0.31407892042176799</v>
      </c>
      <c r="W35" s="2">
        <v>43.930287539480297</v>
      </c>
      <c r="X35" s="2">
        <v>1.91132853571838</v>
      </c>
      <c r="Y35" s="2">
        <v>1.78813146428162</v>
      </c>
      <c r="Z35" s="2">
        <v>1.45478933121002</v>
      </c>
      <c r="AA35" s="7">
        <v>1.80126132560653</v>
      </c>
      <c r="AB35" s="15"/>
      <c r="AC35" s="15">
        <v>5600</v>
      </c>
      <c r="AD35" s="12">
        <v>388998.25635439402</v>
      </c>
      <c r="AE35" s="12">
        <v>389011.33357285202</v>
      </c>
      <c r="AF35" s="7">
        <v>310477.98177933501</v>
      </c>
      <c r="AG35" s="7">
        <v>69.311110530146195</v>
      </c>
      <c r="AH35" s="16">
        <v>0.63381306695949202</v>
      </c>
      <c r="AI35" s="7">
        <v>2.8225291655370901</v>
      </c>
      <c r="AJ35" s="17">
        <v>0.70858435208389603</v>
      </c>
    </row>
    <row r="36" spans="3:36" x14ac:dyDescent="0.25">
      <c r="C36" s="15">
        <v>5000</v>
      </c>
      <c r="D36" s="15">
        <v>1300</v>
      </c>
      <c r="E36" s="15">
        <v>2</v>
      </c>
      <c r="F36" s="15">
        <v>0</v>
      </c>
      <c r="G36" s="2">
        <v>0.41800318059958003</v>
      </c>
      <c r="H36" s="2">
        <v>0.17561969466664901</v>
      </c>
      <c r="I36" s="2">
        <v>1.91991254140609</v>
      </c>
      <c r="J36" s="2">
        <v>5.2925902485847498</v>
      </c>
      <c r="K36" s="2">
        <v>5.6682829332351696</v>
      </c>
      <c r="L36" s="2">
        <v>2.1851780945371199E-2</v>
      </c>
      <c r="M36" s="2">
        <v>28.635474381773498</v>
      </c>
      <c r="N36" s="3">
        <v>9893.9683430799196</v>
      </c>
      <c r="O36" s="3">
        <v>2384.68245614035</v>
      </c>
      <c r="P36" s="4">
        <v>39.140350877193001</v>
      </c>
      <c r="Q36" s="4">
        <v>63</v>
      </c>
      <c r="R36" s="16">
        <v>0.567262872075456</v>
      </c>
      <c r="S36" s="16">
        <v>0.91130074993535004</v>
      </c>
      <c r="T36" s="2">
        <v>28.582934923649201</v>
      </c>
      <c r="U36" s="2">
        <v>52.109558655848602</v>
      </c>
      <c r="V36" s="2">
        <v>0.34751513989063698</v>
      </c>
      <c r="W36" s="2">
        <v>52.457073795739298</v>
      </c>
      <c r="X36" s="2">
        <v>1.9787936686159799</v>
      </c>
      <c r="Y36" s="2">
        <v>1.83437112010796</v>
      </c>
      <c r="Z36" s="2">
        <v>1.36684834884753</v>
      </c>
      <c r="AA36" s="7">
        <v>1.8318912093570301</v>
      </c>
      <c r="AB36" s="15"/>
      <c r="AC36" s="15">
        <v>5650</v>
      </c>
      <c r="AD36" s="12">
        <v>389842.15844594198</v>
      </c>
      <c r="AE36" s="12">
        <v>390595.53064699197</v>
      </c>
      <c r="AF36" s="7">
        <v>324982.26532350399</v>
      </c>
      <c r="AG36" s="7">
        <v>68.697737870587403</v>
      </c>
      <c r="AH36" s="16">
        <v>0.76359244746250199</v>
      </c>
      <c r="AI36" s="7">
        <v>2.4034529013235701</v>
      </c>
      <c r="AJ36" s="17">
        <v>0.83213613168729395</v>
      </c>
    </row>
    <row r="37" spans="3:36" x14ac:dyDescent="0.25">
      <c r="C37" s="15">
        <v>5000</v>
      </c>
      <c r="D37" s="15">
        <v>1400</v>
      </c>
      <c r="E37" s="15">
        <v>2</v>
      </c>
      <c r="F37" s="15">
        <v>0</v>
      </c>
      <c r="G37" s="2">
        <v>1.82496743722552</v>
      </c>
      <c r="H37" s="2">
        <v>0.193290645337546</v>
      </c>
      <c r="I37" s="2">
        <v>2.2599220545800001</v>
      </c>
      <c r="J37" s="2">
        <v>6.5031854073206601</v>
      </c>
      <c r="K37" s="2">
        <v>7.7864677302042704</v>
      </c>
      <c r="L37" s="2">
        <v>2.46559181084159E-2</v>
      </c>
      <c r="M37" s="2">
        <v>35.467737052007799</v>
      </c>
      <c r="N37" s="3">
        <v>9392.2722590790709</v>
      </c>
      <c r="O37" s="3">
        <v>2441.3438891346</v>
      </c>
      <c r="P37" s="4">
        <v>46.140067340067297</v>
      </c>
      <c r="Q37" s="4">
        <v>69.3333333333333</v>
      </c>
      <c r="R37" s="16">
        <v>0.67386728678039798</v>
      </c>
      <c r="S37" s="16">
        <v>0.99542280837858799</v>
      </c>
      <c r="T37" s="2">
        <v>34.711575997119802</v>
      </c>
      <c r="U37" s="2">
        <v>60.193575004984197</v>
      </c>
      <c r="V37" s="2">
        <v>0.36308767322866498</v>
      </c>
      <c r="W37" s="2">
        <v>60.556662678212902</v>
      </c>
      <c r="X37" s="2">
        <v>1.8784544518158099</v>
      </c>
      <c r="Y37" s="2">
        <v>1.7438170636675701</v>
      </c>
      <c r="Z37" s="2">
        <v>1.3009024870239201</v>
      </c>
      <c r="AA37" s="7">
        <v>1.7073731709868101</v>
      </c>
      <c r="AB37" s="15"/>
      <c r="AC37" s="15">
        <v>5700</v>
      </c>
      <c r="AD37" s="12">
        <v>390282.16534287803</v>
      </c>
      <c r="AE37" s="12">
        <v>397017.22391084098</v>
      </c>
      <c r="AF37" s="7">
        <v>346504.83492173598</v>
      </c>
      <c r="AG37" s="7">
        <v>68.095126134880502</v>
      </c>
      <c r="AH37" s="16">
        <v>0.88929510987709004</v>
      </c>
      <c r="AI37" s="7">
        <v>1.9617411246476</v>
      </c>
      <c r="AJ37" s="17">
        <v>1.01950250972042</v>
      </c>
    </row>
    <row r="38" spans="3:36" x14ac:dyDescent="0.25">
      <c r="C38" s="15">
        <v>5000</v>
      </c>
      <c r="D38" s="15">
        <v>1500</v>
      </c>
      <c r="E38" s="15">
        <v>2</v>
      </c>
      <c r="F38" s="15">
        <v>0</v>
      </c>
      <c r="G38" s="2">
        <v>1.6748234095749299</v>
      </c>
      <c r="H38" s="2">
        <v>0.20547268770167801</v>
      </c>
      <c r="I38" s="2">
        <v>2.2110054026521402</v>
      </c>
      <c r="J38" s="2">
        <v>7.0016373594601902</v>
      </c>
      <c r="K38" s="2">
        <v>8.4012144899368302</v>
      </c>
      <c r="L38" s="2">
        <v>2.5381527339316302E-2</v>
      </c>
      <c r="M38" s="2">
        <v>38.719617624598399</v>
      </c>
      <c r="N38" s="3">
        <v>9991.0628879891992</v>
      </c>
      <c r="O38" s="3">
        <v>2529.55233468286</v>
      </c>
      <c r="P38" s="4">
        <v>48.647619047619102</v>
      </c>
      <c r="Q38" s="4">
        <v>68.6666666666667</v>
      </c>
      <c r="R38" s="16">
        <v>0.715988523156871</v>
      </c>
      <c r="S38" s="16">
        <v>0.99756917507111498</v>
      </c>
      <c r="T38" s="2">
        <v>38.277763696676203</v>
      </c>
      <c r="U38" s="2">
        <v>64.203901738984499</v>
      </c>
      <c r="V38" s="2">
        <v>0.41057810891832602</v>
      </c>
      <c r="W38" s="2">
        <v>64.6144798479028</v>
      </c>
      <c r="X38" s="2">
        <v>1.9982125775978401</v>
      </c>
      <c r="Y38" s="2">
        <v>1.6863682231219099</v>
      </c>
      <c r="Z38" s="2">
        <v>1.2564075275555799</v>
      </c>
      <c r="AA38" s="7">
        <v>1.66877887262124</v>
      </c>
      <c r="AB38" s="15"/>
      <c r="AC38" s="15">
        <v>5750</v>
      </c>
      <c r="AD38" s="12">
        <v>390681.97390996898</v>
      </c>
      <c r="AE38" s="12">
        <v>395795.44276233902</v>
      </c>
      <c r="AF38" s="7">
        <v>372129.90820139198</v>
      </c>
      <c r="AG38" s="7">
        <v>67.502994603272896</v>
      </c>
      <c r="AH38" s="16">
        <v>0.95720908720648101</v>
      </c>
      <c r="AI38" s="7">
        <v>1.76350413619212</v>
      </c>
      <c r="AJ38" s="17">
        <v>1.13410564736102</v>
      </c>
    </row>
    <row r="39" spans="3:36" x14ac:dyDescent="0.25">
      <c r="C39" s="15">
        <v>5000</v>
      </c>
      <c r="D39" s="15">
        <v>1600</v>
      </c>
      <c r="E39" s="15">
        <v>2</v>
      </c>
      <c r="F39" s="15">
        <v>0</v>
      </c>
      <c r="G39" s="2">
        <v>1.36617891280683</v>
      </c>
      <c r="H39" s="2">
        <v>0.18625423975646399</v>
      </c>
      <c r="I39" s="2">
        <v>1.5875425631830999</v>
      </c>
      <c r="J39" s="2">
        <v>5.1241823712984704</v>
      </c>
      <c r="K39" s="2">
        <v>6.0669184684753397</v>
      </c>
      <c r="L39" s="2">
        <v>2.4125358087585098E-2</v>
      </c>
      <c r="M39" s="2">
        <v>39.494148024441699</v>
      </c>
      <c r="N39" s="3">
        <v>8649.2764985994399</v>
      </c>
      <c r="O39" s="3">
        <v>2556.0095611577999</v>
      </c>
      <c r="P39" s="4">
        <v>46.273929773929801</v>
      </c>
      <c r="Q39" s="4">
        <v>66.3333333333333</v>
      </c>
      <c r="R39" s="16">
        <v>0.68742814378966399</v>
      </c>
      <c r="S39" s="16">
        <v>0.98492371347297603</v>
      </c>
      <c r="T39" s="2">
        <v>38.786827179892697</v>
      </c>
      <c r="U39" s="2">
        <v>61.664645938223202</v>
      </c>
      <c r="V39" s="2">
        <v>0.32219288373801902</v>
      </c>
      <c r="W39" s="2">
        <v>61.9868388219612</v>
      </c>
      <c r="X39" s="2">
        <v>1.7298552997198899</v>
      </c>
      <c r="Y39" s="2">
        <v>1.5975059757236201</v>
      </c>
      <c r="Z39" s="2">
        <v>1.17166547675094</v>
      </c>
      <c r="AA39" s="7">
        <v>1.56951958511928</v>
      </c>
      <c r="AB39" s="15"/>
      <c r="AC39" s="15">
        <v>5800</v>
      </c>
      <c r="AD39" s="12">
        <v>390424.50489328901</v>
      </c>
      <c r="AE39" s="12">
        <v>390622.46960905299</v>
      </c>
      <c r="AF39" s="7">
        <v>364765.21576840099</v>
      </c>
      <c r="AG39" s="7">
        <v>66.921072236003297</v>
      </c>
      <c r="AH39" s="16">
        <v>0.92626786676936401</v>
      </c>
      <c r="AI39" s="7">
        <v>1.7253556710278</v>
      </c>
      <c r="AJ39" s="17">
        <v>1.1591812827836201</v>
      </c>
    </row>
    <row r="40" spans="3:36" x14ac:dyDescent="0.25">
      <c r="C40" s="15">
        <v>5000</v>
      </c>
      <c r="D40" s="15">
        <v>1700</v>
      </c>
      <c r="E40" s="15">
        <v>2</v>
      </c>
      <c r="F40" s="15">
        <v>0</v>
      </c>
      <c r="G40" s="2">
        <v>3.2103631128871402</v>
      </c>
      <c r="H40" s="2">
        <v>0.19055890054551</v>
      </c>
      <c r="I40" s="2">
        <v>2.3143201234855599</v>
      </c>
      <c r="J40" s="2">
        <v>7.9766825318336503</v>
      </c>
      <c r="K40" s="2">
        <v>8.8034968773523996</v>
      </c>
      <c r="L40" s="2">
        <v>2.4324583818512598E-2</v>
      </c>
      <c r="M40" s="2">
        <v>44.130213181764702</v>
      </c>
      <c r="N40" s="3">
        <v>7827.5383694083703</v>
      </c>
      <c r="O40" s="3">
        <v>2467.4315440115402</v>
      </c>
      <c r="P40" s="4">
        <v>47.339983687809799</v>
      </c>
      <c r="Q40" s="4">
        <v>67.3333333333333</v>
      </c>
      <c r="R40" s="16">
        <v>0.71036971783084402</v>
      </c>
      <c r="S40" s="16">
        <v>0.99922420480993002</v>
      </c>
      <c r="T40" s="2">
        <v>41.542351392016897</v>
      </c>
      <c r="U40" s="2">
        <v>60.019245408750699</v>
      </c>
      <c r="V40" s="2">
        <v>0.29832142113045002</v>
      </c>
      <c r="W40" s="2">
        <v>60.317566829881201</v>
      </c>
      <c r="X40" s="2">
        <v>1.56550767388167</v>
      </c>
      <c r="Y40" s="2">
        <v>1.45143032000679</v>
      </c>
      <c r="Z40" s="2">
        <v>1.0727340811345001</v>
      </c>
      <c r="AA40" s="7">
        <v>1.3668088704091099</v>
      </c>
      <c r="AB40" s="15"/>
      <c r="AC40" s="15">
        <v>5850</v>
      </c>
      <c r="AD40" s="12">
        <v>389851.787910296</v>
      </c>
      <c r="AE40" s="12">
        <v>394205.82298136601</v>
      </c>
      <c r="AF40" s="7">
        <v>352877.95376605698</v>
      </c>
      <c r="AG40" s="7">
        <v>66.3490972596272</v>
      </c>
      <c r="AH40" s="16">
        <v>0.90909400912955396</v>
      </c>
      <c r="AI40" s="7">
        <v>1.59714351827416</v>
      </c>
      <c r="AJ40" s="17">
        <v>1.2522356175988301</v>
      </c>
    </row>
    <row r="41" spans="3:36" x14ac:dyDescent="0.25">
      <c r="C41" s="15">
        <v>5000</v>
      </c>
      <c r="D41" s="15">
        <v>1800</v>
      </c>
      <c r="E41" s="15">
        <v>2</v>
      </c>
      <c r="F41" s="15">
        <v>0</v>
      </c>
      <c r="G41" s="2">
        <v>3.2667168117106802</v>
      </c>
      <c r="H41" s="2">
        <v>0.19339880353494801</v>
      </c>
      <c r="I41" s="2">
        <v>1.9306123339336401</v>
      </c>
      <c r="J41" s="2">
        <v>6.0410357594489996</v>
      </c>
      <c r="K41" s="2">
        <v>6.8753524398803698</v>
      </c>
      <c r="L41" s="2">
        <v>2.4144724083930501E-2</v>
      </c>
      <c r="M41" s="2">
        <v>46.483889755176897</v>
      </c>
      <c r="N41" s="3">
        <v>7565.4439826839798</v>
      </c>
      <c r="O41" s="3">
        <v>2546.24316017316</v>
      </c>
      <c r="P41" s="4">
        <v>45.810464897421397</v>
      </c>
      <c r="Q41" s="4">
        <v>67</v>
      </c>
      <c r="R41" s="16">
        <v>0.69163114163282802</v>
      </c>
      <c r="S41" s="16">
        <v>0.998241530902508</v>
      </c>
      <c r="T41" s="2">
        <v>43.653902154609902</v>
      </c>
      <c r="U41" s="2">
        <v>61.478338552976197</v>
      </c>
      <c r="V41" s="2">
        <v>0.29262956289234998</v>
      </c>
      <c r="W41" s="2">
        <v>61.770968115868598</v>
      </c>
      <c r="X41" s="2">
        <v>1.5130887965368001</v>
      </c>
      <c r="Y41" s="2">
        <v>1.4145795334295299</v>
      </c>
      <c r="Z41" s="2">
        <v>0.98551272577870896</v>
      </c>
      <c r="AA41" s="7">
        <v>1.3288683120368401</v>
      </c>
      <c r="AB41" s="15"/>
      <c r="AC41" s="15">
        <v>5900</v>
      </c>
      <c r="AD41" s="12">
        <v>390788.85640790401</v>
      </c>
      <c r="AE41" s="12">
        <v>395996.34733951598</v>
      </c>
      <c r="AF41" s="7">
        <v>364826.88207508501</v>
      </c>
      <c r="AG41" s="7">
        <v>65.786816774376106</v>
      </c>
      <c r="AH41" s="16">
        <v>0.93895663515259697</v>
      </c>
      <c r="AI41" s="7">
        <v>1.5070088474880801</v>
      </c>
      <c r="AJ41" s="17">
        <v>1.32713222177405</v>
      </c>
    </row>
    <row r="42" spans="3:36" x14ac:dyDescent="0.25"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6"/>
      <c r="S42" s="16"/>
      <c r="T42" s="2">
        <v>0</v>
      </c>
      <c r="U42" s="2"/>
      <c r="V42" s="2"/>
      <c r="W42" s="2"/>
      <c r="X42" s="2"/>
      <c r="Y42" s="2"/>
      <c r="Z42" s="2"/>
      <c r="AA42" s="7"/>
      <c r="AB42" s="15"/>
      <c r="AC42" s="15"/>
      <c r="AD42" s="12"/>
      <c r="AE42" s="12"/>
      <c r="AF42" s="7"/>
      <c r="AG42" s="7"/>
      <c r="AH42" s="16"/>
      <c r="AI42" s="7" t="e">
        <v>#DIV/0!</v>
      </c>
      <c r="AJ42" s="17" t="e">
        <v>#DIV/0!</v>
      </c>
    </row>
    <row r="43" spans="3:36" x14ac:dyDescent="0.25"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6"/>
      <c r="S43" s="16"/>
      <c r="T43" s="2">
        <v>0</v>
      </c>
      <c r="U43" s="2"/>
      <c r="V43" s="2"/>
      <c r="W43" s="2"/>
      <c r="X43" s="2"/>
      <c r="Y43" s="2"/>
      <c r="Z43" s="2"/>
      <c r="AA43" s="7"/>
      <c r="AB43" s="15"/>
      <c r="AC43" s="15"/>
      <c r="AD43" s="12"/>
      <c r="AE43" s="12"/>
      <c r="AF43" s="7"/>
      <c r="AG43" s="7"/>
      <c r="AH43" s="16"/>
      <c r="AI43" s="7" t="e">
        <v>#DIV/0!</v>
      </c>
      <c r="AJ43" s="17" t="e">
        <v>#DIV/0!</v>
      </c>
    </row>
    <row r="44" spans="3:36" x14ac:dyDescent="0.25">
      <c r="C44" s="15">
        <v>5000</v>
      </c>
      <c r="D44" s="15">
        <v>300</v>
      </c>
      <c r="E44" s="15">
        <v>2</v>
      </c>
      <c r="F44" s="15">
        <v>0</v>
      </c>
      <c r="G44" s="2">
        <v>0.15797126601105899</v>
      </c>
      <c r="H44" s="2">
        <v>0.145322171163177</v>
      </c>
      <c r="I44" s="2">
        <v>0.84658706088967794</v>
      </c>
      <c r="J44" s="2">
        <v>1.2881464004516601</v>
      </c>
      <c r="K44" s="2">
        <v>1.43992893854777</v>
      </c>
      <c r="L44" s="2">
        <v>1.1154069304209299E-2</v>
      </c>
      <c r="M44" s="2">
        <v>3.4883015090697298</v>
      </c>
      <c r="N44" s="3">
        <v>12196.995555555601</v>
      </c>
      <c r="O44" s="3">
        <v>672.84888888888895</v>
      </c>
      <c r="P44" s="4">
        <v>6.3333333333333304</v>
      </c>
      <c r="Q44" s="4">
        <v>16</v>
      </c>
      <c r="R44" s="16">
        <v>8.4433992759244902E-2</v>
      </c>
      <c r="S44" s="16">
        <v>0.215334884923713</v>
      </c>
      <c r="T44" s="2">
        <v>3.4915429624259602</v>
      </c>
      <c r="U44" s="2">
        <v>7.5050031379268596</v>
      </c>
      <c r="V44" s="2">
        <v>0.35449877516019201</v>
      </c>
      <c r="W44" s="2">
        <v>7.8595019130870503</v>
      </c>
      <c r="X44" s="2">
        <v>2.43939911111111</v>
      </c>
      <c r="Y44" s="2">
        <v>2.2428296296296302</v>
      </c>
      <c r="Z44" s="2">
        <v>1.8155922923710599</v>
      </c>
      <c r="AA44" s="7">
        <v>2.2531028045173298</v>
      </c>
      <c r="AB44" s="15"/>
      <c r="AC44" s="15">
        <v>5150</v>
      </c>
      <c r="AD44" s="12">
        <v>386297.812063322</v>
      </c>
      <c r="AE44" s="12">
        <v>382659.78143388999</v>
      </c>
      <c r="AF44" s="7">
        <v>187722.765173163</v>
      </c>
      <c r="AG44" s="7">
        <v>75.367421158994006</v>
      </c>
      <c r="AH44" s="16">
        <v>0.10428248429127999</v>
      </c>
      <c r="AI44" s="7">
        <v>21.585706368232099</v>
      </c>
      <c r="AJ44" s="17">
        <v>9.2653905592981603E-2</v>
      </c>
    </row>
    <row r="45" spans="3:36" x14ac:dyDescent="0.25">
      <c r="C45" s="15">
        <v>5000</v>
      </c>
      <c r="D45" s="15">
        <v>300</v>
      </c>
      <c r="E45" s="15">
        <v>3</v>
      </c>
      <c r="F45" s="15">
        <v>0</v>
      </c>
      <c r="G45" s="2">
        <v>0.331207723370056</v>
      </c>
      <c r="H45" s="2">
        <v>0.26971127856781402</v>
      </c>
      <c r="I45" s="2">
        <v>2.0491161676162402</v>
      </c>
      <c r="J45" s="2">
        <v>5.6007031043370601</v>
      </c>
      <c r="K45" s="2">
        <v>6.4501546065012603</v>
      </c>
      <c r="L45" s="2">
        <v>1.9149387940522199E-2</v>
      </c>
      <c r="M45" s="2">
        <v>6.0779019709939899</v>
      </c>
      <c r="N45" s="3">
        <v>22495.554285714301</v>
      </c>
      <c r="O45" s="3">
        <v>1241.35142857143</v>
      </c>
      <c r="P45" s="4">
        <v>17.313368983957201</v>
      </c>
      <c r="Q45" s="4">
        <v>38.3333333333333</v>
      </c>
      <c r="R45" s="16">
        <v>0.22876618141438099</v>
      </c>
      <c r="S45" s="16">
        <v>0.506801137832945</v>
      </c>
      <c r="T45" s="2">
        <v>6.0145276607244602</v>
      </c>
      <c r="U45" s="2">
        <v>23.7711200762357</v>
      </c>
      <c r="V45" s="2">
        <v>1.21346094169833</v>
      </c>
      <c r="W45" s="2">
        <v>24.984581017934001</v>
      </c>
      <c r="X45" s="2">
        <v>4.4991108571428597</v>
      </c>
      <c r="Y45" s="2">
        <v>4.1378380952381004</v>
      </c>
      <c r="Z45" s="2">
        <v>2.8485765427910898</v>
      </c>
      <c r="AA45" s="7">
        <v>4.11072457850912</v>
      </c>
      <c r="AB45" s="15"/>
      <c r="AC45" s="15">
        <v>5150</v>
      </c>
      <c r="AD45" s="12">
        <v>389759.752582794</v>
      </c>
      <c r="AE45" s="12">
        <v>389534.77395652601</v>
      </c>
      <c r="AF45" s="7">
        <v>253528.580560248</v>
      </c>
      <c r="AG45" s="7">
        <v>75.367421158994006</v>
      </c>
      <c r="AH45" s="16">
        <v>0.33150372712404402</v>
      </c>
      <c r="AI45" s="7">
        <v>12.530896091999301</v>
      </c>
      <c r="AJ45" s="17">
        <v>0.23940825763573501</v>
      </c>
    </row>
    <row r="46" spans="3:36" x14ac:dyDescent="0.25">
      <c r="C46" s="15">
        <v>5000</v>
      </c>
      <c r="D46" s="15">
        <v>300</v>
      </c>
      <c r="E46" s="15">
        <v>4</v>
      </c>
      <c r="F46" s="15">
        <v>0</v>
      </c>
      <c r="G46" s="2">
        <v>0.57532700991569496</v>
      </c>
      <c r="H46" s="2">
        <v>0.24776598173587699</v>
      </c>
      <c r="I46" s="2">
        <v>2.4551695264825901</v>
      </c>
      <c r="J46" s="2">
        <v>8.0907527367273993</v>
      </c>
      <c r="K46" s="2">
        <v>9.3781185261408506</v>
      </c>
      <c r="L46" s="2">
        <v>2.40754933652917E-2</v>
      </c>
      <c r="M46" s="2">
        <v>7.1516629555313003</v>
      </c>
      <c r="N46" s="3">
        <v>25250.193727106202</v>
      </c>
      <c r="O46" s="3">
        <v>1383.6219780219801</v>
      </c>
      <c r="P46" s="4">
        <v>25.670308123249299</v>
      </c>
      <c r="Q46" s="4">
        <v>57.6666666666667</v>
      </c>
      <c r="R46" s="16">
        <v>0.33997760986991099</v>
      </c>
      <c r="S46" s="16">
        <v>0.76560641324023804</v>
      </c>
      <c r="T46" s="2">
        <v>7.4704139913233796</v>
      </c>
      <c r="U46" s="2">
        <v>33.311381751939898</v>
      </c>
      <c r="V46" s="2">
        <v>1.2512278075635099</v>
      </c>
      <c r="W46" s="2">
        <v>34.5626095595034</v>
      </c>
      <c r="X46" s="2">
        <v>5.0500387454212401</v>
      </c>
      <c r="Y46" s="2">
        <v>4.6120732600732604</v>
      </c>
      <c r="Z46" s="2">
        <v>3.5894180532368498</v>
      </c>
      <c r="AA46" s="7">
        <v>4.8328073868150696</v>
      </c>
      <c r="AB46" s="15"/>
      <c r="AC46" s="15">
        <v>5150</v>
      </c>
      <c r="AD46" s="12">
        <v>388855.27457328601</v>
      </c>
      <c r="AE46" s="12">
        <v>387906.01567249902</v>
      </c>
      <c r="AF46" s="7">
        <v>232246.95089448401</v>
      </c>
      <c r="AG46" s="7">
        <v>75.367421158994006</v>
      </c>
      <c r="AH46" s="16">
        <v>0.45858819404992801</v>
      </c>
      <c r="AI46" s="7">
        <v>10.0887877494514</v>
      </c>
      <c r="AJ46" s="17">
        <v>0.39647974556878701</v>
      </c>
    </row>
    <row r="47" spans="3:36" x14ac:dyDescent="0.25">
      <c r="C47" s="15">
        <v>5000</v>
      </c>
      <c r="D47" s="15">
        <v>300</v>
      </c>
      <c r="E47" s="15">
        <v>5</v>
      </c>
      <c r="F47" s="15">
        <v>0</v>
      </c>
      <c r="G47" s="2">
        <v>2.0035749013798498</v>
      </c>
      <c r="H47" s="2">
        <v>0.94486020957379502</v>
      </c>
      <c r="I47" s="2">
        <v>5.4556400209684304</v>
      </c>
      <c r="J47" s="2">
        <v>12.1036649386088</v>
      </c>
      <c r="K47" s="2">
        <v>13.9973399305344</v>
      </c>
      <c r="L47" s="2">
        <v>3.6757737575602897E-2</v>
      </c>
      <c r="M47" s="2">
        <v>13.114092820746301</v>
      </c>
      <c r="N47" s="3">
        <v>39891.479004328998</v>
      </c>
      <c r="O47" s="3">
        <v>2204.7870129870098</v>
      </c>
      <c r="P47" s="4">
        <v>35.057407407407403</v>
      </c>
      <c r="Q47" s="4">
        <v>73.3333333333333</v>
      </c>
      <c r="R47" s="16">
        <v>0.46147243053759701</v>
      </c>
      <c r="S47" s="16">
        <v>0.96276183087664802</v>
      </c>
      <c r="T47" s="2">
        <v>11.972181482254699</v>
      </c>
      <c r="U47" s="2">
        <v>81.042982433473995</v>
      </c>
      <c r="V47" s="2">
        <v>7.53837424244779</v>
      </c>
      <c r="W47" s="2">
        <v>88.581356675921796</v>
      </c>
      <c r="X47" s="2">
        <v>7.9782958008657996</v>
      </c>
      <c r="Y47" s="2">
        <v>7.3492900432900399</v>
      </c>
      <c r="Z47" s="2">
        <v>2.67326210715447</v>
      </c>
      <c r="AA47" s="7">
        <v>6.7546690332851398</v>
      </c>
      <c r="AB47" s="15"/>
      <c r="AC47" s="15">
        <v>5150</v>
      </c>
      <c r="AD47" s="12">
        <v>391238.21099739301</v>
      </c>
      <c r="AE47" s="12">
        <v>392274.24120333098</v>
      </c>
      <c r="AF47" s="7">
        <v>472664.38713120698</v>
      </c>
      <c r="AG47" s="7">
        <v>75.367421158994006</v>
      </c>
      <c r="AH47" s="16">
        <v>1.1753268894400899</v>
      </c>
      <c r="AI47" s="7">
        <v>6.2952120522650503</v>
      </c>
      <c r="AJ47" s="17">
        <v>0.79425442042114802</v>
      </c>
    </row>
    <row r="48" spans="3:36" x14ac:dyDescent="0.25">
      <c r="C48" s="15">
        <v>5000</v>
      </c>
      <c r="D48" s="15">
        <v>300</v>
      </c>
      <c r="E48" s="15">
        <v>6</v>
      </c>
      <c r="F48" s="15">
        <v>0</v>
      </c>
      <c r="G48" s="2">
        <v>3.5241948201112301</v>
      </c>
      <c r="H48" s="2">
        <v>1.00335202297882</v>
      </c>
      <c r="I48" s="2">
        <v>11.071278691786301</v>
      </c>
      <c r="J48" s="2">
        <v>24.911963017781598</v>
      </c>
      <c r="K48" s="2">
        <v>26.627600100835199</v>
      </c>
      <c r="L48" s="2">
        <v>3.9154183738759597E-2</v>
      </c>
      <c r="M48" s="2">
        <v>15.280825112491099</v>
      </c>
      <c r="N48" s="3">
        <v>50632.435930735897</v>
      </c>
      <c r="O48" s="3">
        <v>2758.0151515151501</v>
      </c>
      <c r="P48" s="4">
        <v>39.884259259259302</v>
      </c>
      <c r="Q48" s="4">
        <v>74.6666666666667</v>
      </c>
      <c r="R48" s="16">
        <v>0.52409993391374299</v>
      </c>
      <c r="S48" s="16">
        <v>0.98458753555727896</v>
      </c>
      <c r="T48" s="2">
        <v>12.749607144606699</v>
      </c>
      <c r="U48" s="2">
        <v>107.987831996707</v>
      </c>
      <c r="V48" s="2">
        <v>10.160431403889801</v>
      </c>
      <c r="W48" s="2">
        <v>118.148263400597</v>
      </c>
      <c r="X48" s="2">
        <v>10.1264871861472</v>
      </c>
      <c r="Y48" s="2">
        <v>9.1933838383838395</v>
      </c>
      <c r="Z48" s="2">
        <v>2.6100854479812399</v>
      </c>
      <c r="AA48" s="7">
        <v>7.7317986778095102</v>
      </c>
      <c r="AB48" s="15"/>
      <c r="AC48" s="15">
        <v>5150</v>
      </c>
      <c r="AD48" s="12">
        <v>391917.49873219902</v>
      </c>
      <c r="AE48" s="12">
        <v>390552.71313757403</v>
      </c>
      <c r="AF48" s="7">
        <v>616440.35688402294</v>
      </c>
      <c r="AG48" s="7">
        <v>75.367421158994006</v>
      </c>
      <c r="AH48" s="16">
        <v>1.5676304374452901</v>
      </c>
      <c r="AI48" s="7">
        <v>5.9113524286805799</v>
      </c>
      <c r="AJ48" s="17">
        <v>1.01499615737497</v>
      </c>
    </row>
    <row r="49" spans="3:36" x14ac:dyDescent="0.25">
      <c r="C49" s="15">
        <v>5000</v>
      </c>
      <c r="D49" s="15">
        <v>300</v>
      </c>
      <c r="E49" s="15">
        <v>7</v>
      </c>
      <c r="F49" s="15">
        <v>0</v>
      </c>
      <c r="G49" s="2">
        <v>6.3528541746707301</v>
      </c>
      <c r="H49" s="2">
        <v>0.95899900142358896</v>
      </c>
      <c r="I49" s="2">
        <v>10.1134534656368</v>
      </c>
      <c r="J49" s="2">
        <v>18.2739693085353</v>
      </c>
      <c r="K49" s="2">
        <v>19.245490632057201</v>
      </c>
      <c r="L49" s="2">
        <v>4.9975882181106601E-2</v>
      </c>
      <c r="M49" s="2">
        <v>20.948593228629399</v>
      </c>
      <c r="N49" s="3">
        <v>41305.058741258697</v>
      </c>
      <c r="O49" s="3">
        <v>2247.8736596736599</v>
      </c>
      <c r="P49" s="4">
        <v>57.210317460317498</v>
      </c>
      <c r="Q49" s="4">
        <v>75.6666666666667</v>
      </c>
      <c r="R49" s="16">
        <v>0.757031413548093</v>
      </c>
      <c r="S49" s="16">
        <v>0.99689681923972095</v>
      </c>
      <c r="T49" s="2">
        <v>15.951763655755601</v>
      </c>
      <c r="U49" s="2">
        <v>112.339469173864</v>
      </c>
      <c r="V49" s="2">
        <v>7.92230201732196</v>
      </c>
      <c r="W49" s="2">
        <v>120.261771191186</v>
      </c>
      <c r="X49" s="2">
        <v>8.2610117482517502</v>
      </c>
      <c r="Y49" s="2">
        <v>7.4929121989122001</v>
      </c>
      <c r="Z49" s="2">
        <v>2.7309861256998902</v>
      </c>
      <c r="AA49" s="7">
        <v>5.7408041618198098</v>
      </c>
      <c r="AB49" s="15"/>
      <c r="AC49" s="15">
        <v>5150</v>
      </c>
      <c r="AD49" s="12">
        <v>389195.38825969398</v>
      </c>
      <c r="AE49" s="12">
        <v>390896.35538262001</v>
      </c>
      <c r="AF49" s="7">
        <v>620084.00909880002</v>
      </c>
      <c r="AG49" s="7">
        <v>75.367421158994006</v>
      </c>
      <c r="AH49" s="16">
        <v>1.59567316145106</v>
      </c>
      <c r="AI49" s="7">
        <v>4.72470773673985</v>
      </c>
      <c r="AJ49" s="17">
        <v>1.4815731236806899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B93D0-9AA5-46EA-B6F2-948C13E9B250}">
  <dimension ref="B2:D85"/>
  <sheetViews>
    <sheetView showGridLines="0" workbookViewId="0"/>
  </sheetViews>
  <sheetFormatPr defaultRowHeight="15" x14ac:dyDescent="0.25"/>
  <cols>
    <col min="2" max="2" width="3.85546875" customWidth="1"/>
    <col min="3" max="4" width="12" bestFit="1" customWidth="1"/>
  </cols>
  <sheetData>
    <row r="2" spans="2:4" x14ac:dyDescent="0.25">
      <c r="B2" s="18" t="s">
        <v>41</v>
      </c>
    </row>
    <row r="4" spans="2:4" x14ac:dyDescent="0.25">
      <c r="C4" s="19" t="s">
        <v>9</v>
      </c>
      <c r="D4" s="19" t="s">
        <v>15</v>
      </c>
    </row>
    <row r="5" spans="2:4" x14ac:dyDescent="0.25">
      <c r="C5">
        <v>6.5961988619284099E-3</v>
      </c>
      <c r="D5">
        <v>1.01505575077199E-2</v>
      </c>
    </row>
    <row r="6" spans="2:4" x14ac:dyDescent="0.25">
      <c r="C6" t="s">
        <v>44</v>
      </c>
    </row>
    <row r="7" spans="2:4" x14ac:dyDescent="0.25">
      <c r="C7">
        <v>7.2804040979114696E-3</v>
      </c>
      <c r="D7">
        <v>1.9997642191088998E-2</v>
      </c>
    </row>
    <row r="8" spans="2:4" x14ac:dyDescent="0.25">
      <c r="C8" t="s">
        <v>45</v>
      </c>
    </row>
    <row r="9" spans="2:4" x14ac:dyDescent="0.25">
      <c r="C9">
        <v>8.2483981479026004E-3</v>
      </c>
      <c r="D9">
        <v>3.9849347419340098E-2</v>
      </c>
    </row>
    <row r="10" spans="2:4" x14ac:dyDescent="0.25">
      <c r="C10" t="s">
        <v>46</v>
      </c>
    </row>
    <row r="11" spans="2:4" x14ac:dyDescent="0.25">
      <c r="C11">
        <v>9.0297684207135392E-3</v>
      </c>
      <c r="D11">
        <v>5.5108173991086001E-2</v>
      </c>
    </row>
    <row r="12" spans="2:4" x14ac:dyDescent="0.25">
      <c r="C12" t="s">
        <v>47</v>
      </c>
    </row>
    <row r="13" spans="2:4" x14ac:dyDescent="0.25">
      <c r="C13">
        <v>9.6372250619072009E-3</v>
      </c>
      <c r="D13">
        <v>2.7674917911307301E-2</v>
      </c>
    </row>
    <row r="14" spans="2:4" x14ac:dyDescent="0.25">
      <c r="C14" t="s">
        <v>48</v>
      </c>
    </row>
    <row r="15" spans="2:4" x14ac:dyDescent="0.25">
      <c r="C15">
        <v>1.04600844841789E-2</v>
      </c>
      <c r="D15">
        <v>6.2301221497132603E-2</v>
      </c>
    </row>
    <row r="16" spans="2:4" x14ac:dyDescent="0.25">
      <c r="C16" t="s">
        <v>49</v>
      </c>
    </row>
    <row r="17" spans="3:4" x14ac:dyDescent="0.25">
      <c r="C17">
        <v>1.07464120064169E-2</v>
      </c>
      <c r="D17">
        <v>7.8173154444089496E-2</v>
      </c>
    </row>
    <row r="18" spans="3:4" x14ac:dyDescent="0.25">
      <c r="C18" t="s">
        <v>50</v>
      </c>
    </row>
    <row r="19" spans="3:4" x14ac:dyDescent="0.25">
      <c r="C19">
        <v>1.10758336594669E-2</v>
      </c>
      <c r="D19">
        <v>0.10698367787766799</v>
      </c>
    </row>
    <row r="20" spans="3:4" x14ac:dyDescent="0.25">
      <c r="C20" t="s">
        <v>51</v>
      </c>
    </row>
    <row r="21" spans="3:4" x14ac:dyDescent="0.25">
      <c r="C21">
        <v>1.1154069304209299E-2</v>
      </c>
      <c r="D21">
        <v>8.4433992759244902E-2</v>
      </c>
    </row>
    <row r="22" spans="3:4" x14ac:dyDescent="0.25">
      <c r="C22" t="s">
        <v>52</v>
      </c>
    </row>
    <row r="23" spans="3:4" x14ac:dyDescent="0.25">
      <c r="C23">
        <v>1.1342318018871899E-2</v>
      </c>
      <c r="D23">
        <v>9.50714187924976E-2</v>
      </c>
    </row>
    <row r="24" spans="3:4" x14ac:dyDescent="0.25">
      <c r="C24" t="s">
        <v>53</v>
      </c>
    </row>
    <row r="25" spans="3:4" x14ac:dyDescent="0.25">
      <c r="C25">
        <v>1.3768167139153799E-2</v>
      </c>
      <c r="D25">
        <v>0.13567259668284201</v>
      </c>
    </row>
    <row r="26" spans="3:4" x14ac:dyDescent="0.25">
      <c r="C26" t="s">
        <v>54</v>
      </c>
    </row>
    <row r="27" spans="3:4" x14ac:dyDescent="0.25">
      <c r="C27">
        <v>1.4934354230035999E-2</v>
      </c>
      <c r="D27">
        <v>0.24133771429440701</v>
      </c>
    </row>
    <row r="28" spans="3:4" x14ac:dyDescent="0.25">
      <c r="C28" t="s">
        <v>55</v>
      </c>
    </row>
    <row r="29" spans="3:4" x14ac:dyDescent="0.25">
      <c r="C29">
        <v>1.5406034269445101E-2</v>
      </c>
      <c r="D29">
        <v>0.21169130957270399</v>
      </c>
    </row>
    <row r="30" spans="3:4" x14ac:dyDescent="0.25">
      <c r="C30" t="s">
        <v>56</v>
      </c>
    </row>
    <row r="31" spans="3:4" x14ac:dyDescent="0.25">
      <c r="C31">
        <v>1.6075060193485001E-2</v>
      </c>
      <c r="D31">
        <v>0.29655056359238802</v>
      </c>
    </row>
    <row r="32" spans="3:4" x14ac:dyDescent="0.25">
      <c r="C32" t="s">
        <v>57</v>
      </c>
    </row>
    <row r="33" spans="3:4" x14ac:dyDescent="0.25">
      <c r="C33">
        <v>1.61499811002495E-2</v>
      </c>
      <c r="D33">
        <v>0.31619645703294702</v>
      </c>
    </row>
    <row r="34" spans="3:4" x14ac:dyDescent="0.25">
      <c r="C34" t="s">
        <v>58</v>
      </c>
    </row>
    <row r="35" spans="3:4" x14ac:dyDescent="0.25">
      <c r="C35">
        <v>1.6170001649484001E-2</v>
      </c>
      <c r="D35">
        <v>0.18465843461770501</v>
      </c>
    </row>
    <row r="36" spans="3:4" x14ac:dyDescent="0.25">
      <c r="C36" t="s">
        <v>59</v>
      </c>
    </row>
    <row r="37" spans="3:4" x14ac:dyDescent="0.25">
      <c r="C37">
        <v>1.79619321733865E-2</v>
      </c>
      <c r="D37">
        <v>0.39154670574375799</v>
      </c>
    </row>
    <row r="38" spans="3:4" x14ac:dyDescent="0.25">
      <c r="C38" t="s">
        <v>60</v>
      </c>
    </row>
    <row r="39" spans="3:4" x14ac:dyDescent="0.25">
      <c r="C39">
        <v>1.87660423905914E-2</v>
      </c>
      <c r="D39">
        <v>0.43729828190854703</v>
      </c>
    </row>
    <row r="40" spans="3:4" x14ac:dyDescent="0.25">
      <c r="C40" t="s">
        <v>61</v>
      </c>
    </row>
    <row r="41" spans="3:4" x14ac:dyDescent="0.25">
      <c r="C41">
        <v>1.9149387940522199E-2</v>
      </c>
      <c r="D41">
        <v>0.22876618141438099</v>
      </c>
    </row>
    <row r="42" spans="3:4" x14ac:dyDescent="0.25">
      <c r="C42" t="s">
        <v>62</v>
      </c>
    </row>
    <row r="43" spans="3:4" x14ac:dyDescent="0.25">
      <c r="C43">
        <v>2.0326716039575098E-2</v>
      </c>
      <c r="D43">
        <v>0.51077284626098496</v>
      </c>
    </row>
    <row r="44" spans="3:4" x14ac:dyDescent="0.25">
      <c r="C44" t="s">
        <v>63</v>
      </c>
    </row>
    <row r="45" spans="3:4" x14ac:dyDescent="0.25">
      <c r="C45">
        <v>2.0872182953329502E-2</v>
      </c>
      <c r="D45">
        <v>0.49386129038198101</v>
      </c>
    </row>
    <row r="46" spans="3:4" x14ac:dyDescent="0.25">
      <c r="C46" t="s">
        <v>64</v>
      </c>
    </row>
    <row r="47" spans="3:4" x14ac:dyDescent="0.25">
      <c r="C47">
        <v>2.0987859075821701E-2</v>
      </c>
      <c r="D47">
        <v>0.275617619170761</v>
      </c>
    </row>
    <row r="48" spans="3:4" x14ac:dyDescent="0.25">
      <c r="C48" t="s">
        <v>65</v>
      </c>
    </row>
    <row r="49" spans="3:4" x14ac:dyDescent="0.25">
      <c r="C49">
        <v>2.1851780945371199E-2</v>
      </c>
      <c r="D49">
        <v>0.567262872075456</v>
      </c>
    </row>
    <row r="50" spans="3:4" x14ac:dyDescent="0.25">
      <c r="C50" t="s">
        <v>66</v>
      </c>
    </row>
    <row r="51" spans="3:4" x14ac:dyDescent="0.25">
      <c r="C51">
        <v>2.40754933652917E-2</v>
      </c>
      <c r="D51">
        <v>0.33997760986991099</v>
      </c>
    </row>
    <row r="52" spans="3:4" x14ac:dyDescent="0.25">
      <c r="C52" t="s">
        <v>67</v>
      </c>
    </row>
    <row r="53" spans="3:4" x14ac:dyDescent="0.25">
      <c r="C53">
        <v>2.4125358087585098E-2</v>
      </c>
      <c r="D53">
        <v>0.68742814378966399</v>
      </c>
    </row>
    <row r="54" spans="3:4" x14ac:dyDescent="0.25">
      <c r="C54" t="s">
        <v>68</v>
      </c>
    </row>
    <row r="55" spans="3:4" x14ac:dyDescent="0.25">
      <c r="C55">
        <v>2.4144724083930501E-2</v>
      </c>
      <c r="D55">
        <v>0.69163114163282802</v>
      </c>
    </row>
    <row r="56" spans="3:4" x14ac:dyDescent="0.25">
      <c r="C56" t="s">
        <v>69</v>
      </c>
    </row>
    <row r="57" spans="3:4" x14ac:dyDescent="0.25">
      <c r="C57">
        <v>2.4324583818512598E-2</v>
      </c>
      <c r="D57">
        <v>0.71036971783084402</v>
      </c>
    </row>
    <row r="58" spans="3:4" x14ac:dyDescent="0.25">
      <c r="C58" t="s">
        <v>70</v>
      </c>
    </row>
    <row r="59" spans="3:4" x14ac:dyDescent="0.25">
      <c r="C59">
        <v>2.46559181084159E-2</v>
      </c>
      <c r="D59">
        <v>0.67386728678039798</v>
      </c>
    </row>
    <row r="60" spans="3:4" x14ac:dyDescent="0.25">
      <c r="C60" t="s">
        <v>71</v>
      </c>
    </row>
    <row r="61" spans="3:4" x14ac:dyDescent="0.25">
      <c r="C61">
        <v>2.4980285222803201E-2</v>
      </c>
      <c r="D61">
        <v>0.33464087147659699</v>
      </c>
    </row>
    <row r="62" spans="3:4" x14ac:dyDescent="0.25">
      <c r="C62" t="s">
        <v>72</v>
      </c>
    </row>
    <row r="63" spans="3:4" x14ac:dyDescent="0.25">
      <c r="C63">
        <v>2.5381527339316302E-2</v>
      </c>
      <c r="D63">
        <v>0.715988523156871</v>
      </c>
    </row>
    <row r="64" spans="3:4" x14ac:dyDescent="0.25">
      <c r="C64" t="s">
        <v>73</v>
      </c>
    </row>
    <row r="65" spans="3:4" x14ac:dyDescent="0.25">
      <c r="C65">
        <v>3.6757737575602897E-2</v>
      </c>
      <c r="D65">
        <v>0.46147243053759701</v>
      </c>
    </row>
    <row r="66" spans="3:4" x14ac:dyDescent="0.25">
      <c r="C66" t="s">
        <v>74</v>
      </c>
    </row>
    <row r="67" spans="3:4" x14ac:dyDescent="0.25">
      <c r="C67">
        <v>3.9154183738759597E-2</v>
      </c>
      <c r="D67">
        <v>0.52409993391374299</v>
      </c>
    </row>
    <row r="68" spans="3:4" x14ac:dyDescent="0.25">
      <c r="C68" t="s">
        <v>75</v>
      </c>
    </row>
    <row r="69" spans="3:4" x14ac:dyDescent="0.25">
      <c r="C69">
        <v>4.3304766797038798E-2</v>
      </c>
      <c r="D69">
        <v>0.63176008533747097</v>
      </c>
    </row>
    <row r="70" spans="3:4" x14ac:dyDescent="0.25">
      <c r="C70" t="s">
        <v>76</v>
      </c>
    </row>
    <row r="71" spans="3:4" x14ac:dyDescent="0.25">
      <c r="C71">
        <v>4.7299661496975197E-2</v>
      </c>
      <c r="D71">
        <v>0.71907486423584199</v>
      </c>
    </row>
    <row r="72" spans="3:4" x14ac:dyDescent="0.25">
      <c r="C72" t="s">
        <v>77</v>
      </c>
    </row>
    <row r="73" spans="3:4" x14ac:dyDescent="0.25">
      <c r="C73">
        <v>4.9184309247364402E-2</v>
      </c>
      <c r="D73">
        <v>0.77042547042090703</v>
      </c>
    </row>
    <row r="74" spans="3:4" x14ac:dyDescent="0.25">
      <c r="C74" t="s">
        <v>78</v>
      </c>
    </row>
    <row r="75" spans="3:4" x14ac:dyDescent="0.25">
      <c r="C75">
        <v>4.9975882181106601E-2</v>
      </c>
      <c r="D75">
        <v>0.757031413548093</v>
      </c>
    </row>
    <row r="76" spans="3:4" x14ac:dyDescent="0.25">
      <c r="C76" t="s">
        <v>79</v>
      </c>
    </row>
    <row r="77" spans="3:4" x14ac:dyDescent="0.25">
      <c r="C77">
        <v>5.4148147401154499E-2</v>
      </c>
      <c r="D77">
        <v>0.87529748645382999</v>
      </c>
    </row>
    <row r="78" spans="3:4" x14ac:dyDescent="0.25">
      <c r="C78" t="s">
        <v>80</v>
      </c>
    </row>
    <row r="79" spans="3:4" x14ac:dyDescent="0.25">
      <c r="C79">
        <v>5.4880265473210399E-2</v>
      </c>
      <c r="D79">
        <v>0.853004051374881</v>
      </c>
    </row>
    <row r="80" spans="3:4" x14ac:dyDescent="0.25">
      <c r="C80" t="s">
        <v>81</v>
      </c>
    </row>
    <row r="81" spans="3:4" x14ac:dyDescent="0.25">
      <c r="C81">
        <v>5.6033775199364803E-2</v>
      </c>
      <c r="D81">
        <v>0.87014661362483003</v>
      </c>
    </row>
    <row r="82" spans="3:4" x14ac:dyDescent="0.25">
      <c r="C82" t="s">
        <v>82</v>
      </c>
    </row>
    <row r="83" spans="3:4" x14ac:dyDescent="0.25">
      <c r="C83" t="s">
        <v>42</v>
      </c>
      <c r="D83" t="s">
        <v>42</v>
      </c>
    </row>
    <row r="84" spans="3:4" x14ac:dyDescent="0.25">
      <c r="C84" t="s">
        <v>83</v>
      </c>
    </row>
    <row r="85" spans="3:4" x14ac:dyDescent="0.25">
      <c r="C85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DTA-AVG-H100_BS-65000__summary_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DEAN LORENZ</cp:lastModifiedBy>
  <dcterms:created xsi:type="dcterms:W3CDTF">2026-03-06T15:55:01Z</dcterms:created>
  <dcterms:modified xsi:type="dcterms:W3CDTF">2026-03-10T14:22:43Z</dcterms:modified>
</cp:coreProperties>
</file>