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iran\LLMD\as\vllm-p-a\results\"/>
    </mc:Choice>
  </mc:AlternateContent>
  <xr:revisionPtr revIDLastSave="0" documentId="13_ncr:1_{81AA385F-369A-42F4-8745-1F40BA9C5B60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Exp DTAI-H100_BS-65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7" i="1" l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</calcChain>
</file>

<file path=xl/sharedStrings.xml><?xml version="1.0" encoding="utf-8"?>
<sst xmlns="http://schemas.openxmlformats.org/spreadsheetml/2006/main" count="21" uniqueCount="21">
  <si>
    <t>In-Tok</t>
  </si>
  <si>
    <t>Out-Tok</t>
  </si>
  <si>
    <t>RPS</t>
  </si>
  <si>
    <t>PHR</t>
  </si>
  <si>
    <t>TTFT</t>
  </si>
  <si>
    <t>Prefill</t>
  </si>
  <si>
    <t>L_TTFT</t>
  </si>
  <si>
    <t>L_P95_TTFT</t>
  </si>
  <si>
    <t>L_P98_TTFT</t>
  </si>
  <si>
    <t>ITL</t>
  </si>
  <si>
    <t>E2E</t>
  </si>
  <si>
    <t>PPS</t>
  </si>
  <si>
    <t>GPS</t>
  </si>
  <si>
    <t>Run</t>
  </si>
  <si>
    <t>MaxRun</t>
  </si>
  <si>
    <t>Kvcache</t>
  </si>
  <si>
    <t>MaxKvcache</t>
  </si>
  <si>
    <t>DTAI</t>
  </si>
  <si>
    <t>DTAI1</t>
  </si>
  <si>
    <t>DTAI2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</si>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</sst>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workbookViewId="0">
      <pane ySplit="1" topLeftCell="A47" activePane="bottomLeft" state="frozen"/>
      <selection pane="bottomLeft" activeCell="S62" sqref="S62"/>
    </sheetView>
  </sheetViews>
  <sheetFormatPr defaultRowHeight="14.6" x14ac:dyDescent="0.4"/>
  <cols>
    <col min="5" max="11" width="9.3046875" bestFit="1" customWidth="1"/>
    <col min="12" max="12" width="9.3828125" bestFit="1" customWidth="1"/>
  </cols>
  <sheetData>
    <row r="1" spans="1:1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 x14ac:dyDescent="0.4">
      <c r="A2">
        <v>1000</v>
      </c>
      <c r="B2">
        <v>300</v>
      </c>
      <c r="C2">
        <v>2</v>
      </c>
      <c r="D2">
        <v>0</v>
      </c>
      <c r="E2" s="2">
        <v>3.6225489850314159E-2</v>
      </c>
      <c r="F2" s="2">
        <v>3.1710340981166693E-2</v>
      </c>
      <c r="G2" s="2">
        <v>0.58478925662970394</v>
      </c>
      <c r="H2" s="2">
        <v>0.68585042953491215</v>
      </c>
      <c r="I2" s="2">
        <v>0.79700984001159692</v>
      </c>
      <c r="J2" s="2">
        <v>6.5347782479436246E-3</v>
      </c>
      <c r="K2" s="2">
        <v>1.989714004708536</v>
      </c>
      <c r="L2" s="3">
        <v>2119.6125000000002</v>
      </c>
      <c r="M2" s="3">
        <v>596.25</v>
      </c>
      <c r="N2" s="4">
        <v>2.9411764705882359</v>
      </c>
      <c r="O2">
        <v>7</v>
      </c>
      <c r="P2" s="2">
        <v>8.8121206589695644E-3</v>
      </c>
      <c r="Q2" s="2">
        <v>2.0713731574864221E-2</v>
      </c>
      <c r="S2" s="1" t="s">
        <v>17</v>
      </c>
    </row>
    <row r="3" spans="1:19" x14ac:dyDescent="0.4">
      <c r="A3">
        <v>2000</v>
      </c>
      <c r="B3">
        <v>300</v>
      </c>
      <c r="C3">
        <v>2</v>
      </c>
      <c r="D3">
        <v>0</v>
      </c>
      <c r="E3" s="2">
        <v>6.1723443594845863E-2</v>
      </c>
      <c r="F3" s="2">
        <v>5.5711357923490662E-2</v>
      </c>
      <c r="G3" s="2">
        <v>0.62997800924561242</v>
      </c>
      <c r="H3" s="2">
        <v>0.82008600234985352</v>
      </c>
      <c r="I3" s="2">
        <v>0.85086369514465332</v>
      </c>
      <c r="J3" s="2">
        <v>7.3287301239242314E-3</v>
      </c>
      <c r="K3" s="2">
        <v>2.2545917211260109</v>
      </c>
      <c r="L3" s="3">
        <v>4691.9750000000004</v>
      </c>
      <c r="M3" s="3">
        <v>659.5625</v>
      </c>
      <c r="N3" s="4">
        <v>3.2941176470588229</v>
      </c>
      <c r="O3">
        <v>9</v>
      </c>
      <c r="P3" s="2">
        <v>1.8322456989001961E-2</v>
      </c>
      <c r="Q3" s="2">
        <v>4.8564778898370853E-2</v>
      </c>
    </row>
    <row r="4" spans="1:19" x14ac:dyDescent="0.4">
      <c r="A4">
        <v>3000</v>
      </c>
      <c r="B4">
        <v>300</v>
      </c>
      <c r="C4">
        <v>2</v>
      </c>
      <c r="D4">
        <v>0</v>
      </c>
      <c r="E4" s="2">
        <v>9.1421304865086331E-2</v>
      </c>
      <c r="F4" s="2">
        <v>8.4093892665964273E-2</v>
      </c>
      <c r="G4" s="2">
        <v>0.69746890727509847</v>
      </c>
      <c r="H4" s="2">
        <v>0.87629917860031126</v>
      </c>
      <c r="I4" s="2">
        <v>1.031593599319458</v>
      </c>
      <c r="J4" s="2">
        <v>8.3086007949795572E-3</v>
      </c>
      <c r="K4" s="2">
        <v>2.5720002588140898</v>
      </c>
      <c r="L4" s="3">
        <v>7515.2749999999996</v>
      </c>
      <c r="M4" s="3">
        <v>705</v>
      </c>
      <c r="N4" s="4">
        <v>4.8235294117647056</v>
      </c>
      <c r="O4">
        <v>11</v>
      </c>
      <c r="P4" s="2">
        <v>3.9519919682380313E-2</v>
      </c>
      <c r="Q4" s="2">
        <v>9.0302560124127185E-2</v>
      </c>
    </row>
    <row r="5" spans="1:19" x14ac:dyDescent="0.4">
      <c r="A5">
        <v>4000</v>
      </c>
      <c r="B5">
        <v>300</v>
      </c>
      <c r="C5">
        <v>2</v>
      </c>
      <c r="D5">
        <v>0</v>
      </c>
      <c r="E5" s="2">
        <v>0.11869939551295999</v>
      </c>
      <c r="F5" s="2">
        <v>0.1083669050752839</v>
      </c>
      <c r="G5" s="2">
        <v>0.71966949859297424</v>
      </c>
      <c r="H5" s="2">
        <v>0.91544860601425171</v>
      </c>
      <c r="I5" s="2">
        <v>0.94194180965423568</v>
      </c>
      <c r="J5" s="2">
        <v>8.8446637715061758E-3</v>
      </c>
      <c r="K5" s="2">
        <v>2.7649032610543771</v>
      </c>
      <c r="L5" s="3">
        <v>8849.1375000000007</v>
      </c>
      <c r="M5" s="3">
        <v>616.32500000000005</v>
      </c>
      <c r="N5" s="4">
        <v>4.6470588235294121</v>
      </c>
      <c r="O5">
        <v>9</v>
      </c>
      <c r="P5" s="2">
        <v>5.0139186784100752E-2</v>
      </c>
      <c r="Q5" s="2">
        <v>9.775019394879747E-2</v>
      </c>
    </row>
    <row r="6" spans="1:19" x14ac:dyDescent="0.4">
      <c r="A6">
        <v>5000</v>
      </c>
      <c r="B6">
        <v>300</v>
      </c>
      <c r="C6">
        <v>2</v>
      </c>
      <c r="D6">
        <v>0</v>
      </c>
      <c r="E6" s="2">
        <v>0.15640185096047141</v>
      </c>
      <c r="F6" s="2">
        <v>0.1424409870198497</v>
      </c>
      <c r="G6" s="2">
        <v>0.88387100696563725</v>
      </c>
      <c r="H6" s="2">
        <v>1.5017688870429979</v>
      </c>
      <c r="I6" s="2">
        <v>1.6241446495056151</v>
      </c>
      <c r="J6" s="2">
        <v>1.141305511278084E-2</v>
      </c>
      <c r="K6" s="2">
        <v>3.5605485644391792</v>
      </c>
      <c r="L6" s="3">
        <v>13287.146666666669</v>
      </c>
      <c r="M6" s="3">
        <v>738.86666666666667</v>
      </c>
      <c r="N6" s="4">
        <v>6.375</v>
      </c>
      <c r="O6">
        <v>11</v>
      </c>
      <c r="P6" s="2">
        <v>8.4871993793638467E-2</v>
      </c>
      <c r="Q6" s="2">
        <v>0.14647013188518229</v>
      </c>
    </row>
    <row r="7" spans="1:19" x14ac:dyDescent="0.4">
      <c r="A7">
        <v>6000</v>
      </c>
      <c r="B7">
        <v>300</v>
      </c>
      <c r="C7">
        <v>2</v>
      </c>
      <c r="D7">
        <v>0</v>
      </c>
      <c r="E7" s="2">
        <v>0.19107019372761541</v>
      </c>
      <c r="F7" s="2">
        <v>0.1742071470486658</v>
      </c>
      <c r="G7" s="2">
        <v>1.6122256827354431</v>
      </c>
      <c r="H7" s="2">
        <v>4.1587225079536347</v>
      </c>
      <c r="I7" s="2">
        <v>4.9480080795288091</v>
      </c>
      <c r="J7" s="2">
        <v>1.419772623373159E-2</v>
      </c>
      <c r="K7" s="2">
        <v>4.4206253699402307</v>
      </c>
      <c r="L7" s="3">
        <v>18269.942857142862</v>
      </c>
      <c r="M7" s="3">
        <v>840.31428571428569</v>
      </c>
      <c r="N7" s="4">
        <v>9.5333333333333332</v>
      </c>
      <c r="O7">
        <v>17</v>
      </c>
      <c r="P7" s="2">
        <v>0.15170416343418669</v>
      </c>
      <c r="Q7" s="2">
        <v>0.27114041892940272</v>
      </c>
    </row>
    <row r="8" spans="1:19" x14ac:dyDescent="0.4">
      <c r="A8">
        <v>7000</v>
      </c>
      <c r="B8">
        <v>300</v>
      </c>
      <c r="C8">
        <v>2</v>
      </c>
      <c r="D8">
        <v>0</v>
      </c>
      <c r="E8" s="2">
        <v>0.21982335090637209</v>
      </c>
      <c r="F8" s="2">
        <v>0.20658898646510099</v>
      </c>
      <c r="G8" s="2">
        <v>1.2305035618065441</v>
      </c>
      <c r="H8" s="2">
        <v>1.7380647182464599</v>
      </c>
      <c r="I8" s="2">
        <v>1.8440791511535639</v>
      </c>
      <c r="J8" s="2">
        <v>1.4014757270057351E-2</v>
      </c>
      <c r="K8" s="2">
        <v>4.3785180172254874</v>
      </c>
      <c r="L8" s="3">
        <v>17410.813333333332</v>
      </c>
      <c r="M8" s="3">
        <v>673.86666666666667</v>
      </c>
      <c r="N8" s="4">
        <v>8.5</v>
      </c>
      <c r="O8">
        <v>15</v>
      </c>
      <c r="P8" s="2">
        <v>0.15757370054305661</v>
      </c>
      <c r="Q8" s="2">
        <v>0.27928626842513582</v>
      </c>
    </row>
    <row r="9" spans="1:19" x14ac:dyDescent="0.4">
      <c r="A9">
        <v>8000</v>
      </c>
      <c r="B9">
        <v>300</v>
      </c>
      <c r="C9">
        <v>2</v>
      </c>
      <c r="D9">
        <v>0</v>
      </c>
      <c r="E9" s="2">
        <v>0.33054516136005357</v>
      </c>
      <c r="F9" s="2">
        <v>0.26948689783517371</v>
      </c>
      <c r="G9" s="2">
        <v>1.7836220529344351</v>
      </c>
      <c r="H9" s="2">
        <v>3.0477530956268311</v>
      </c>
      <c r="I9" s="2">
        <v>3.4031386184692392</v>
      </c>
      <c r="J9" s="2">
        <v>2.4704320808458011E-2</v>
      </c>
      <c r="K9" s="2">
        <v>7.6958389551211628</v>
      </c>
      <c r="L9" s="3">
        <v>22403.642857142859</v>
      </c>
      <c r="M9" s="3">
        <v>787.91428571428571</v>
      </c>
      <c r="N9" s="4">
        <v>16.333333333333329</v>
      </c>
      <c r="O9">
        <v>38</v>
      </c>
      <c r="P9" s="2">
        <v>0.34353245409878458</v>
      </c>
      <c r="Q9" s="2">
        <v>0.80449961210240495</v>
      </c>
    </row>
    <row r="10" spans="1:19" x14ac:dyDescent="0.4">
      <c r="A10">
        <v>9000</v>
      </c>
      <c r="B10">
        <v>300</v>
      </c>
      <c r="C10">
        <v>2</v>
      </c>
      <c r="D10">
        <v>0</v>
      </c>
      <c r="E10" s="2">
        <v>0.295954873290243</v>
      </c>
      <c r="F10" s="2">
        <v>0.26410405945032828</v>
      </c>
      <c r="G10" s="2">
        <v>1.380376728531582</v>
      </c>
      <c r="H10" s="2">
        <v>1.988161659240723</v>
      </c>
      <c r="I10" s="2">
        <v>2.2409324741363532</v>
      </c>
      <c r="J10" s="2">
        <v>1.9820387976039681E-2</v>
      </c>
      <c r="K10" s="2">
        <v>6.1776313130060831</v>
      </c>
      <c r="L10" s="3">
        <v>19564.04</v>
      </c>
      <c r="M10" s="3">
        <v>586.91999999999996</v>
      </c>
      <c r="N10" s="4">
        <v>10</v>
      </c>
      <c r="O10">
        <v>19</v>
      </c>
      <c r="P10" s="2">
        <v>0.2361617532971296</v>
      </c>
      <c r="Q10" s="2">
        <v>0.44988363072148951</v>
      </c>
    </row>
    <row r="11" spans="1:19" x14ac:dyDescent="0.4">
      <c r="A11">
        <v>10000</v>
      </c>
      <c r="B11">
        <v>300</v>
      </c>
      <c r="C11">
        <v>2</v>
      </c>
      <c r="D11">
        <v>0</v>
      </c>
      <c r="E11" s="2">
        <v>0.40623907039040008</v>
      </c>
      <c r="F11" s="2">
        <v>0.34409153387551339</v>
      </c>
      <c r="G11" s="2">
        <v>1.894651588721153</v>
      </c>
      <c r="H11" s="2">
        <v>3.9869487881660461</v>
      </c>
      <c r="I11" s="2">
        <v>4.7250926494598406</v>
      </c>
      <c r="J11" s="2">
        <v>2.6659973559010369E-2</v>
      </c>
      <c r="K11" s="2">
        <v>8.4327106106665823</v>
      </c>
      <c r="L11" s="3">
        <v>23147.471428571429</v>
      </c>
      <c r="M11" s="3">
        <v>640</v>
      </c>
      <c r="N11" s="4">
        <v>14.46666666666667</v>
      </c>
      <c r="O11">
        <v>34</v>
      </c>
      <c r="P11" s="2">
        <v>0.37902249806051203</v>
      </c>
      <c r="Q11" s="2">
        <v>0.89371605896043449</v>
      </c>
    </row>
    <row r="12" spans="1:19" x14ac:dyDescent="0.4">
      <c r="A12">
        <v>11000</v>
      </c>
      <c r="B12">
        <v>300</v>
      </c>
      <c r="C12">
        <v>2</v>
      </c>
      <c r="D12">
        <v>0</v>
      </c>
      <c r="E12" s="2">
        <v>0.73353542952701967</v>
      </c>
      <c r="F12" s="2">
        <v>0.35534395152253317</v>
      </c>
      <c r="G12" s="2">
        <v>2.0908374786376949</v>
      </c>
      <c r="H12" s="2">
        <v>3.8267193913459741</v>
      </c>
      <c r="I12" s="2">
        <v>4.7100468826293964</v>
      </c>
      <c r="J12" s="2">
        <v>4.7086289050683822E-2</v>
      </c>
      <c r="K12" s="2">
        <v>14.80947065627438</v>
      </c>
      <c r="L12" s="3">
        <v>26562.813333333339</v>
      </c>
      <c r="M12" s="3">
        <v>673.37333333333333</v>
      </c>
      <c r="N12" s="4">
        <v>24.9375</v>
      </c>
      <c r="O12">
        <v>34</v>
      </c>
      <c r="P12" s="2">
        <v>0.71780934833204024</v>
      </c>
      <c r="Q12" s="2">
        <v>0.97920868890612878</v>
      </c>
    </row>
    <row r="13" spans="1:19" x14ac:dyDescent="0.4">
      <c r="A13">
        <v>12000</v>
      </c>
      <c r="B13">
        <v>300</v>
      </c>
      <c r="C13">
        <v>2</v>
      </c>
      <c r="D13">
        <v>0</v>
      </c>
      <c r="E13" s="2">
        <v>5.4889290024725241</v>
      </c>
      <c r="F13" s="2">
        <v>0.83349544575171808</v>
      </c>
      <c r="G13" s="2">
        <v>7.4625940724705044</v>
      </c>
      <c r="H13" s="2">
        <v>16.038600444793701</v>
      </c>
      <c r="I13" s="2">
        <v>18.020474801063539</v>
      </c>
      <c r="J13" s="2">
        <v>5.2223319724889097E-2</v>
      </c>
      <c r="K13" s="2">
        <v>20.29413113185338</v>
      </c>
      <c r="L13" s="3">
        <v>28456.737499999999</v>
      </c>
      <c r="M13" s="3">
        <v>649.21249999999998</v>
      </c>
      <c r="N13" s="4">
        <v>24.647058823529409</v>
      </c>
      <c r="O13">
        <v>32</v>
      </c>
      <c r="P13" s="2">
        <v>0.77328070095377177</v>
      </c>
      <c r="Q13" s="2">
        <v>0.99860356865787436</v>
      </c>
    </row>
    <row r="14" spans="1:19" x14ac:dyDescent="0.4">
      <c r="A14">
        <v>13000</v>
      </c>
      <c r="B14">
        <v>300</v>
      </c>
      <c r="C14">
        <v>2</v>
      </c>
      <c r="D14">
        <v>0</v>
      </c>
      <c r="E14" s="2">
        <v>10.410324125959161</v>
      </c>
      <c r="F14" s="2">
        <v>0.80501783559279094</v>
      </c>
      <c r="G14" s="2">
        <v>12.219758875885899</v>
      </c>
      <c r="H14" s="2">
        <v>18.239489912986759</v>
      </c>
      <c r="I14" s="2">
        <v>18.950701856613161</v>
      </c>
      <c r="J14" s="2">
        <v>5.6645557592981149E-2</v>
      </c>
      <c r="K14" s="2">
        <v>26.50696720307873</v>
      </c>
      <c r="L14" s="3">
        <v>29615.25</v>
      </c>
      <c r="M14" s="3">
        <v>580.4</v>
      </c>
      <c r="N14" s="4">
        <v>26.294117647058819</v>
      </c>
      <c r="O14">
        <v>29</v>
      </c>
      <c r="P14" s="2">
        <v>0.89255236617532963</v>
      </c>
      <c r="Q14" s="2">
        <v>0.99030256012412721</v>
      </c>
    </row>
    <row r="15" spans="1:19" x14ac:dyDescent="0.4">
      <c r="A15">
        <v>14000</v>
      </c>
      <c r="B15">
        <v>300</v>
      </c>
      <c r="C15">
        <v>2</v>
      </c>
      <c r="D15">
        <v>0</v>
      </c>
      <c r="E15" s="2">
        <v>7.4851744190143172</v>
      </c>
      <c r="F15" s="2">
        <v>0.52480691846278382</v>
      </c>
      <c r="G15" s="2">
        <v>9.1532800896152562</v>
      </c>
      <c r="H15" s="2">
        <v>16.370237731933589</v>
      </c>
      <c r="I15" s="2">
        <v>16.73508463859558</v>
      </c>
      <c r="J15" s="2">
        <v>5.3561857512100269E-2</v>
      </c>
      <c r="K15" s="2">
        <v>24.390593399361869</v>
      </c>
      <c r="L15" s="3">
        <v>27564.28235294118</v>
      </c>
      <c r="M15" s="3">
        <v>535.75294117647059</v>
      </c>
      <c r="N15" s="4">
        <v>24.055555555555561</v>
      </c>
      <c r="O15">
        <v>27</v>
      </c>
      <c r="P15" s="2">
        <v>0.87938108783725544</v>
      </c>
      <c r="Q15" s="2">
        <v>0.98968192397207133</v>
      </c>
    </row>
    <row r="16" spans="1:19" x14ac:dyDescent="0.4">
      <c r="A16">
        <v>15000</v>
      </c>
      <c r="B16">
        <v>300</v>
      </c>
      <c r="C16">
        <v>2</v>
      </c>
      <c r="D16">
        <v>0</v>
      </c>
      <c r="E16" s="2">
        <v>14.980581347332439</v>
      </c>
      <c r="F16" s="2">
        <v>0.52691363529619117</v>
      </c>
      <c r="G16" s="2">
        <v>14.19276330430629</v>
      </c>
      <c r="H16" s="2">
        <v>29.107276046276091</v>
      </c>
      <c r="I16" s="2">
        <v>29.931841402053831</v>
      </c>
      <c r="J16" s="2">
        <v>5.5451967233174367E-2</v>
      </c>
      <c r="K16" s="2">
        <v>31.139567707221541</v>
      </c>
      <c r="L16" s="3">
        <v>27499.62</v>
      </c>
      <c r="M16" s="3">
        <v>516</v>
      </c>
      <c r="N16" s="4">
        <v>21.857142857142861</v>
      </c>
      <c r="O16">
        <v>25</v>
      </c>
      <c r="P16" s="2">
        <v>0.85482655436107724</v>
      </c>
      <c r="Q16" s="2">
        <v>0.98277734678044992</v>
      </c>
    </row>
    <row r="17" spans="1:19" x14ac:dyDescent="0.4">
      <c r="E17" s="2"/>
      <c r="F17" s="2"/>
      <c r="G17" s="2"/>
      <c r="H17" s="2"/>
      <c r="I17" s="2"/>
      <c r="J17" s="2"/>
      <c r="K17" s="2"/>
      <c r="L17" s="3"/>
      <c r="M17" s="3"/>
      <c r="P17" s="2"/>
      <c r="Q17" s="2"/>
    </row>
    <row r="18" spans="1:19" x14ac:dyDescent="0.4">
      <c r="E18" s="2"/>
      <c r="F18" s="2"/>
      <c r="G18" s="2"/>
      <c r="H18" s="2"/>
      <c r="I18" s="2"/>
      <c r="J18" s="2"/>
      <c r="K18" s="2"/>
      <c r="L18" s="3"/>
      <c r="M18" s="3"/>
      <c r="P18" s="2"/>
      <c r="Q18" s="2"/>
    </row>
    <row r="19" spans="1:19" x14ac:dyDescent="0.4">
      <c r="A19">
        <v>1000</v>
      </c>
      <c r="B19">
        <v>300</v>
      </c>
      <c r="C19">
        <v>2</v>
      </c>
      <c r="D19">
        <v>0</v>
      </c>
      <c r="E19" s="2">
        <v>3.8075350826571437E-2</v>
      </c>
      <c r="F19" s="2">
        <v>3.2906008468437123E-2</v>
      </c>
      <c r="G19" s="2">
        <v>0.63883007003600334</v>
      </c>
      <c r="H19" s="2">
        <v>0.82755076885223389</v>
      </c>
      <c r="I19" s="2">
        <v>1.3752556800842251</v>
      </c>
      <c r="J19" s="2">
        <v>6.6126379053228776E-3</v>
      </c>
      <c r="K19" s="2">
        <v>2.0152594683305272</v>
      </c>
      <c r="L19" s="3">
        <v>2289.96</v>
      </c>
      <c r="M19" s="3">
        <v>638.85333333333335</v>
      </c>
      <c r="N19" s="4">
        <v>3.75</v>
      </c>
      <c r="O19">
        <v>9</v>
      </c>
      <c r="P19" s="2">
        <v>1.108417377812258E-2</v>
      </c>
      <c r="Q19" s="2">
        <v>2.7695888285492631E-2</v>
      </c>
      <c r="S19" s="1" t="s">
        <v>18</v>
      </c>
    </row>
    <row r="20" spans="1:19" x14ac:dyDescent="0.4">
      <c r="A20">
        <v>2000</v>
      </c>
      <c r="B20">
        <v>300</v>
      </c>
      <c r="C20">
        <v>2</v>
      </c>
      <c r="D20">
        <v>0</v>
      </c>
      <c r="E20" s="2">
        <v>6.0699972425188327E-2</v>
      </c>
      <c r="F20" s="2">
        <v>5.4750953084988403E-2</v>
      </c>
      <c r="G20" s="2">
        <v>0.64068669622594665</v>
      </c>
      <c r="H20" s="2">
        <v>0.81572258472442627</v>
      </c>
      <c r="I20" s="2">
        <v>0.92130255699157715</v>
      </c>
      <c r="J20" s="2">
        <v>7.2487927465107946E-3</v>
      </c>
      <c r="K20" s="2">
        <v>2.2276645009917329</v>
      </c>
      <c r="L20" s="3">
        <v>4833.76</v>
      </c>
      <c r="M20" s="3">
        <v>674.6</v>
      </c>
      <c r="N20" s="4">
        <v>3.6875</v>
      </c>
      <c r="O20">
        <v>7</v>
      </c>
      <c r="P20" s="2">
        <v>2.0733126454615981E-2</v>
      </c>
      <c r="Q20" s="2">
        <v>3.9798293250581818E-2</v>
      </c>
    </row>
    <row r="21" spans="1:19" x14ac:dyDescent="0.4">
      <c r="A21">
        <v>3000</v>
      </c>
      <c r="B21">
        <v>300</v>
      </c>
      <c r="C21">
        <v>2</v>
      </c>
      <c r="D21">
        <v>0</v>
      </c>
      <c r="E21" s="2">
        <v>8.6703273383053864E-2</v>
      </c>
      <c r="F21" s="2">
        <v>7.8570188541132749E-2</v>
      </c>
      <c r="G21" s="2">
        <v>0.71121753887696704</v>
      </c>
      <c r="H21" s="2">
        <v>0.95334500074386597</v>
      </c>
      <c r="I21" s="2">
        <v>1.053927421569824</v>
      </c>
      <c r="J21" s="2">
        <v>8.2466422293508528E-3</v>
      </c>
      <c r="K21" s="2">
        <v>2.54643128829056</v>
      </c>
      <c r="L21" s="3">
        <v>7249.2800000000007</v>
      </c>
      <c r="M21" s="3">
        <v>673.06666666666672</v>
      </c>
      <c r="N21" s="4">
        <v>4.875</v>
      </c>
      <c r="O21">
        <v>11</v>
      </c>
      <c r="P21" s="2">
        <v>3.9803141970519783E-2</v>
      </c>
      <c r="Q21" s="2">
        <v>8.8673390224980553E-2</v>
      </c>
    </row>
    <row r="22" spans="1:19" x14ac:dyDescent="0.4">
      <c r="A22">
        <v>4000</v>
      </c>
      <c r="B22">
        <v>300</v>
      </c>
      <c r="C22">
        <v>2</v>
      </c>
      <c r="D22">
        <v>0</v>
      </c>
      <c r="E22" s="2">
        <v>0.1200595088511206</v>
      </c>
      <c r="F22" s="2">
        <v>0.10983264952054179</v>
      </c>
      <c r="G22" s="2">
        <v>0.76366572573005809</v>
      </c>
      <c r="H22" s="2">
        <v>1.1023334503173829</v>
      </c>
      <c r="I22" s="2">
        <v>1.2657673740386961</v>
      </c>
      <c r="J22" s="2">
        <v>8.9929569321657056E-3</v>
      </c>
      <c r="K22" s="2">
        <v>2.807387666807649</v>
      </c>
      <c r="L22" s="3">
        <v>9215.7124999999996</v>
      </c>
      <c r="M22" s="3">
        <v>648.75</v>
      </c>
      <c r="N22" s="4">
        <v>5</v>
      </c>
      <c r="O22">
        <v>11</v>
      </c>
      <c r="P22" s="2">
        <v>5.3543558618171873E-2</v>
      </c>
      <c r="Q22" s="2">
        <v>0.1191621411947246</v>
      </c>
    </row>
    <row r="23" spans="1:19" x14ac:dyDescent="0.4">
      <c r="A23">
        <v>5000</v>
      </c>
      <c r="B23">
        <v>300</v>
      </c>
      <c r="C23">
        <v>2</v>
      </c>
      <c r="D23">
        <v>0</v>
      </c>
      <c r="E23" s="2">
        <v>0.15775806079676119</v>
      </c>
      <c r="F23" s="2">
        <v>0.14653765184252901</v>
      </c>
      <c r="G23" s="2">
        <v>0.81241132300577046</v>
      </c>
      <c r="H23" s="2">
        <v>1.2742134451866149</v>
      </c>
      <c r="I23" s="2">
        <v>1.40071252822876</v>
      </c>
      <c r="J23" s="2">
        <v>1.0281273354068841E-2</v>
      </c>
      <c r="K23" s="2">
        <v>3.2315328533266801</v>
      </c>
      <c r="L23" s="3">
        <v>10785.512500000001</v>
      </c>
      <c r="M23" s="3">
        <v>607.5</v>
      </c>
      <c r="N23" s="4">
        <v>5</v>
      </c>
      <c r="O23">
        <v>15</v>
      </c>
      <c r="P23" s="2">
        <v>6.6462830283393434E-2</v>
      </c>
      <c r="Q23" s="2">
        <v>0.1998448409619861</v>
      </c>
    </row>
    <row r="24" spans="1:19" x14ac:dyDescent="0.4">
      <c r="A24">
        <v>6000</v>
      </c>
      <c r="B24">
        <v>300</v>
      </c>
      <c r="C24">
        <v>2</v>
      </c>
      <c r="D24">
        <v>0</v>
      </c>
      <c r="E24" s="2">
        <v>0.18674691074390701</v>
      </c>
      <c r="F24" s="2">
        <v>0.17317311072791799</v>
      </c>
      <c r="G24" s="2">
        <v>1.135608524235372</v>
      </c>
      <c r="H24" s="2">
        <v>1.601693105697632</v>
      </c>
      <c r="I24" s="2">
        <v>1.8919228935241701</v>
      </c>
      <c r="J24" s="2">
        <v>1.3476324573263729E-2</v>
      </c>
      <c r="K24" s="2">
        <v>4.2120079726458872</v>
      </c>
      <c r="L24" s="3">
        <v>16798.226666666669</v>
      </c>
      <c r="M24" s="3">
        <v>768.74666666666667</v>
      </c>
      <c r="N24" s="4">
        <v>9.3125</v>
      </c>
      <c r="O24">
        <v>19</v>
      </c>
      <c r="P24" s="2">
        <v>0.14777928626842521</v>
      </c>
      <c r="Q24" s="2">
        <v>0.3008533747090768</v>
      </c>
    </row>
    <row r="25" spans="1:19" x14ac:dyDescent="0.4">
      <c r="A25">
        <v>7000</v>
      </c>
      <c r="B25">
        <v>300</v>
      </c>
      <c r="C25">
        <v>2</v>
      </c>
      <c r="D25">
        <v>0</v>
      </c>
      <c r="E25" s="2">
        <v>0.25395586515994778</v>
      </c>
      <c r="F25" s="2">
        <v>0.21742811462826139</v>
      </c>
      <c r="G25" s="2">
        <v>1.8072209086442861</v>
      </c>
      <c r="H25" s="2">
        <v>5.7626833915710396</v>
      </c>
      <c r="I25" s="2">
        <v>6.4890938282012938</v>
      </c>
      <c r="J25" s="2">
        <v>1.8073028033696179E-2</v>
      </c>
      <c r="K25" s="2">
        <v>5.4827227929217663</v>
      </c>
      <c r="L25" s="3">
        <v>20041.571428571431</v>
      </c>
      <c r="M25" s="3">
        <v>765.32857142857142</v>
      </c>
      <c r="N25" s="4">
        <v>11.66666666666667</v>
      </c>
      <c r="O25">
        <v>23</v>
      </c>
      <c r="P25" s="2">
        <v>0.21550555986552891</v>
      </c>
      <c r="Q25" s="2">
        <v>0.42800620636152048</v>
      </c>
    </row>
    <row r="26" spans="1:19" x14ac:dyDescent="0.4">
      <c r="A26">
        <v>8000</v>
      </c>
      <c r="B26">
        <v>300</v>
      </c>
      <c r="C26">
        <v>2</v>
      </c>
      <c r="D26">
        <v>0</v>
      </c>
      <c r="E26" s="2">
        <v>0.27790532667170131</v>
      </c>
      <c r="F26" s="2">
        <v>0.24074777900264949</v>
      </c>
      <c r="G26" s="2">
        <v>1.373569473060402</v>
      </c>
      <c r="H26" s="2">
        <v>2.0792659759521479</v>
      </c>
      <c r="I26" s="2">
        <v>2.2250746822357179</v>
      </c>
      <c r="J26" s="2">
        <v>2.0255568864731531E-2</v>
      </c>
      <c r="K26" s="2">
        <v>6.3964449076483092</v>
      </c>
      <c r="L26" s="3">
        <v>20917.973333333339</v>
      </c>
      <c r="M26" s="3">
        <v>705.65333333333342</v>
      </c>
      <c r="N26" s="4">
        <v>12.3125</v>
      </c>
      <c r="O26">
        <v>24</v>
      </c>
      <c r="P26" s="2">
        <v>0.25876163692785098</v>
      </c>
      <c r="Q26" s="2">
        <v>0.50628394103956553</v>
      </c>
    </row>
    <row r="27" spans="1:19" x14ac:dyDescent="0.4">
      <c r="A27">
        <v>9000</v>
      </c>
      <c r="B27">
        <v>300</v>
      </c>
      <c r="C27">
        <v>2</v>
      </c>
      <c r="D27">
        <v>0</v>
      </c>
      <c r="E27" s="2">
        <v>0.33532268057266867</v>
      </c>
      <c r="F27" s="2">
        <v>0.28189433832676752</v>
      </c>
      <c r="G27" s="2">
        <v>1.519507358471553</v>
      </c>
      <c r="H27" s="2">
        <v>2.376338350772857</v>
      </c>
      <c r="I27" s="2">
        <v>2.600882186889649</v>
      </c>
      <c r="J27" s="2">
        <v>3.322652181633514E-2</v>
      </c>
      <c r="K27" s="2">
        <v>10.239970319699021</v>
      </c>
      <c r="L27" s="3">
        <v>24433.08</v>
      </c>
      <c r="M27" s="3">
        <v>739.70666666666671</v>
      </c>
      <c r="N27" s="4">
        <v>19.8125</v>
      </c>
      <c r="O27">
        <v>32</v>
      </c>
      <c r="P27" s="2">
        <v>0.4681826997672614</v>
      </c>
      <c r="Q27" s="2">
        <v>0.75927075252133436</v>
      </c>
    </row>
    <row r="28" spans="1:19" x14ac:dyDescent="0.4">
      <c r="A28">
        <v>10000</v>
      </c>
      <c r="B28">
        <v>300</v>
      </c>
      <c r="C28">
        <v>2</v>
      </c>
      <c r="D28">
        <v>0</v>
      </c>
      <c r="E28" s="2">
        <v>1.278003763878482</v>
      </c>
      <c r="F28" s="2">
        <v>0.33542258566784028</v>
      </c>
      <c r="G28" s="2">
        <v>2.527632102800931</v>
      </c>
      <c r="H28" s="2">
        <v>4.6438574790954599</v>
      </c>
      <c r="I28" s="2">
        <v>5.1027704811096193</v>
      </c>
      <c r="J28" s="2">
        <v>4.9105912415332853E-2</v>
      </c>
      <c r="K28" s="2">
        <v>16.070337809712051</v>
      </c>
      <c r="L28" s="3">
        <v>24584.58666666667</v>
      </c>
      <c r="M28" s="3">
        <v>663.92</v>
      </c>
      <c r="N28" s="4">
        <v>27.125</v>
      </c>
      <c r="O28">
        <v>38</v>
      </c>
      <c r="P28" s="2">
        <v>0.71161268425135771</v>
      </c>
      <c r="Q28" s="2">
        <v>0.999922420480993</v>
      </c>
    </row>
    <row r="29" spans="1:19" x14ac:dyDescent="0.4">
      <c r="A29">
        <v>11000</v>
      </c>
      <c r="B29">
        <v>300</v>
      </c>
      <c r="C29">
        <v>2</v>
      </c>
      <c r="D29">
        <v>0</v>
      </c>
      <c r="E29" s="2">
        <v>3.9231404299458501</v>
      </c>
      <c r="F29" s="2">
        <v>0.43131625288348091</v>
      </c>
      <c r="G29" s="2">
        <v>5.5793376370480194</v>
      </c>
      <c r="H29" s="2">
        <v>10.75665905475616</v>
      </c>
      <c r="I29" s="2">
        <v>11.405922951698299</v>
      </c>
      <c r="J29" s="2">
        <v>5.5396285713081937E-2</v>
      </c>
      <c r="K29" s="2">
        <v>18.603423809183059</v>
      </c>
      <c r="L29" s="3">
        <v>29541.32</v>
      </c>
      <c r="M29" s="3">
        <v>677.5333333333333</v>
      </c>
      <c r="N29" s="4">
        <v>29.75</v>
      </c>
      <c r="O29">
        <v>34</v>
      </c>
      <c r="P29" s="2">
        <v>0.85659910783553139</v>
      </c>
      <c r="Q29" s="2">
        <v>0.98432893716058956</v>
      </c>
    </row>
    <row r="30" spans="1:19" x14ac:dyDescent="0.4">
      <c r="A30">
        <v>12000</v>
      </c>
      <c r="B30">
        <v>300</v>
      </c>
      <c r="C30">
        <v>2</v>
      </c>
      <c r="D30">
        <v>0</v>
      </c>
      <c r="E30" s="2">
        <v>3.7625254392623901</v>
      </c>
      <c r="F30" s="2">
        <v>0.39876025406022869</v>
      </c>
      <c r="G30" s="2">
        <v>5.1260959186122914</v>
      </c>
      <c r="H30" s="2">
        <v>11.7648898601532</v>
      </c>
      <c r="I30" s="2">
        <v>12.372450132369989</v>
      </c>
      <c r="J30" s="2">
        <v>5.1367978377408453E-2</v>
      </c>
      <c r="K30" s="2">
        <v>19.1549516359965</v>
      </c>
      <c r="L30" s="3">
        <v>28297.8125</v>
      </c>
      <c r="M30" s="3">
        <v>603.70000000000005</v>
      </c>
      <c r="N30" s="4">
        <v>26.17647058823529</v>
      </c>
      <c r="O30">
        <v>31</v>
      </c>
      <c r="P30" s="2">
        <v>0.82165381280518424</v>
      </c>
      <c r="Q30" s="2">
        <v>0.97773467804499614</v>
      </c>
    </row>
    <row r="31" spans="1:19" x14ac:dyDescent="0.4">
      <c r="A31">
        <v>13000</v>
      </c>
      <c r="B31">
        <v>300</v>
      </c>
      <c r="C31">
        <v>2</v>
      </c>
      <c r="D31">
        <v>0</v>
      </c>
      <c r="E31" s="2">
        <v>7.9320594044618824</v>
      </c>
      <c r="F31" s="2">
        <v>0.56850187666193897</v>
      </c>
      <c r="G31" s="2">
        <v>9.6260248173114871</v>
      </c>
      <c r="H31" s="2">
        <v>18.294793784618381</v>
      </c>
      <c r="I31" s="2">
        <v>19.39776237010955</v>
      </c>
      <c r="J31" s="2">
        <v>5.2780985393944907E-2</v>
      </c>
      <c r="K31" s="2">
        <v>23.099741324366139</v>
      </c>
      <c r="L31" s="3">
        <v>28032.51764705883</v>
      </c>
      <c r="M31" s="3">
        <v>569.90588235294115</v>
      </c>
      <c r="N31" s="4">
        <v>25.111111111111111</v>
      </c>
      <c r="O31">
        <v>29</v>
      </c>
      <c r="P31" s="2">
        <v>0.85299974140160328</v>
      </c>
      <c r="Q31" s="2">
        <v>0.98782001551590382</v>
      </c>
    </row>
    <row r="32" spans="1:19" x14ac:dyDescent="0.4">
      <c r="A32">
        <v>14000</v>
      </c>
      <c r="B32">
        <v>300</v>
      </c>
      <c r="C32">
        <v>2</v>
      </c>
      <c r="D32">
        <v>0</v>
      </c>
      <c r="E32" s="2">
        <v>15.32997438456561</v>
      </c>
      <c r="F32" s="2">
        <v>0.59368560130787185</v>
      </c>
      <c r="G32" s="2">
        <v>14.605097735021999</v>
      </c>
      <c r="H32" s="2">
        <v>27.356684279441829</v>
      </c>
      <c r="I32" s="2">
        <v>28.251662273406978</v>
      </c>
      <c r="J32" s="2">
        <v>5.6017276415509458E-2</v>
      </c>
      <c r="K32" s="2">
        <v>30.519077477302961</v>
      </c>
      <c r="L32" s="3">
        <v>29053.47368421053</v>
      </c>
      <c r="M32" s="3">
        <v>547.05263157894728</v>
      </c>
      <c r="N32" s="4">
        <v>24.1</v>
      </c>
      <c r="O32">
        <v>27</v>
      </c>
      <c r="P32" s="2">
        <v>0.88106283941039565</v>
      </c>
      <c r="Q32" s="2">
        <v>0.99262994569433671</v>
      </c>
    </row>
    <row r="33" spans="1:19" x14ac:dyDescent="0.4">
      <c r="A33">
        <v>15000</v>
      </c>
      <c r="B33">
        <v>300</v>
      </c>
      <c r="C33">
        <v>2</v>
      </c>
      <c r="D33">
        <v>0</v>
      </c>
      <c r="E33" s="2">
        <v>12.41248564931411</v>
      </c>
      <c r="F33" s="2">
        <v>0.90644565166364754</v>
      </c>
      <c r="G33" s="2">
        <v>14.128209758626999</v>
      </c>
      <c r="H33" s="2">
        <v>27.98107995986938</v>
      </c>
      <c r="I33" s="2">
        <v>29.20375825881958</v>
      </c>
      <c r="J33" s="2">
        <v>5.3865227512232099E-2</v>
      </c>
      <c r="K33" s="2">
        <v>29.027977463506879</v>
      </c>
      <c r="L33" s="3">
        <v>28063.666666666672</v>
      </c>
      <c r="M33" s="3">
        <v>500.56666666666672</v>
      </c>
      <c r="N33" s="4">
        <v>22.421052631578949</v>
      </c>
      <c r="O33">
        <v>26</v>
      </c>
      <c r="P33" s="2">
        <v>0.87518272018292442</v>
      </c>
      <c r="Q33" s="2">
        <v>0.98231186966640804</v>
      </c>
    </row>
    <row r="34" spans="1:19" x14ac:dyDescent="0.4">
      <c r="E34" s="2"/>
      <c r="F34" s="2"/>
      <c r="G34" s="2"/>
      <c r="H34" s="2"/>
      <c r="I34" s="2"/>
      <c r="J34" s="2"/>
      <c r="K34" s="2"/>
      <c r="L34" s="3"/>
      <c r="M34" s="3"/>
      <c r="N34" s="4"/>
      <c r="P34" s="2"/>
      <c r="Q34" s="2"/>
    </row>
    <row r="35" spans="1:19" x14ac:dyDescent="0.4">
      <c r="E35" s="2"/>
      <c r="F35" s="2"/>
      <c r="G35" s="2"/>
      <c r="H35" s="2"/>
      <c r="I35" s="2"/>
      <c r="J35" s="2"/>
      <c r="K35" s="2"/>
      <c r="L35" s="3"/>
      <c r="M35" s="3"/>
      <c r="N35" s="4"/>
      <c r="P35" s="2"/>
      <c r="Q35" s="2"/>
    </row>
    <row r="36" spans="1:19" x14ac:dyDescent="0.4">
      <c r="A36">
        <v>1000</v>
      </c>
      <c r="B36">
        <v>300</v>
      </c>
      <c r="C36">
        <v>2</v>
      </c>
      <c r="D36">
        <v>0</v>
      </c>
      <c r="E36" s="2">
        <v>3.6777273992474158E-2</v>
      </c>
      <c r="F36" s="2">
        <v>3.1650366049937227E-2</v>
      </c>
      <c r="G36" s="2">
        <v>0.56279081842872536</v>
      </c>
      <c r="H36" s="2">
        <v>0.67810149192810065</v>
      </c>
      <c r="I36" s="2">
        <v>0.75618626594543459</v>
      </c>
      <c r="J36" s="2">
        <v>6.6411804325187257E-3</v>
      </c>
      <c r="K36" s="2">
        <v>2.0229906642978839</v>
      </c>
      <c r="L36" s="3">
        <v>2375.0124999999998</v>
      </c>
      <c r="M36" s="3">
        <v>665.66250000000002</v>
      </c>
      <c r="N36" s="4">
        <v>3.5294117647058818</v>
      </c>
      <c r="O36">
        <v>8</v>
      </c>
      <c r="P36" s="2">
        <v>1.055537808606764E-2</v>
      </c>
      <c r="Q36" s="2">
        <v>2.3816912335143488E-2</v>
      </c>
      <c r="S36" s="1" t="s">
        <v>19</v>
      </c>
    </row>
    <row r="37" spans="1:19" x14ac:dyDescent="0.4">
      <c r="A37">
        <v>2000</v>
      </c>
      <c r="B37">
        <v>300</v>
      </c>
      <c r="C37">
        <v>2</v>
      </c>
      <c r="D37">
        <v>0</v>
      </c>
      <c r="E37" s="2">
        <v>5.9701296877353753E-2</v>
      </c>
      <c r="F37" s="2">
        <v>5.3882057053085998E-2</v>
      </c>
      <c r="G37" s="2">
        <v>0.58928750043219713</v>
      </c>
      <c r="H37" s="2">
        <v>0.67384138107299807</v>
      </c>
      <c r="I37" s="2">
        <v>0.76984432220458987</v>
      </c>
      <c r="J37" s="2">
        <v>7.2636894232993758E-3</v>
      </c>
      <c r="K37" s="2">
        <v>2.2285502157713242</v>
      </c>
      <c r="L37" s="3">
        <v>5008.9750000000004</v>
      </c>
      <c r="M37" s="3">
        <v>705</v>
      </c>
      <c r="N37" s="4">
        <v>3.7647058823529411</v>
      </c>
      <c r="O37">
        <v>7</v>
      </c>
      <c r="P37" s="2">
        <v>2.093734312964908E-2</v>
      </c>
      <c r="Q37" s="2">
        <v>3.9100077579519048E-2</v>
      </c>
    </row>
    <row r="38" spans="1:19" x14ac:dyDescent="0.4">
      <c r="A38">
        <v>3000</v>
      </c>
      <c r="B38">
        <v>300</v>
      </c>
      <c r="C38">
        <v>2</v>
      </c>
      <c r="D38">
        <v>0</v>
      </c>
      <c r="E38" s="2">
        <v>8.9439349855695446E-2</v>
      </c>
      <c r="F38" s="2">
        <v>8.0449905940950611E-2</v>
      </c>
      <c r="G38" s="2">
        <v>0.65827206333914956</v>
      </c>
      <c r="H38" s="2">
        <v>0.8422706961631774</v>
      </c>
      <c r="I38" s="2">
        <v>0.88876891136169422</v>
      </c>
      <c r="J38" s="2">
        <v>8.1899514193773757E-3</v>
      </c>
      <c r="K38" s="2">
        <v>2.5410130299584708</v>
      </c>
      <c r="L38" s="3">
        <v>7461.5333333333328</v>
      </c>
      <c r="M38" s="3">
        <v>696.70666666666671</v>
      </c>
      <c r="N38" s="4">
        <v>4.9375</v>
      </c>
      <c r="O38">
        <v>11</v>
      </c>
      <c r="P38" s="2">
        <v>4.0224980605120253E-2</v>
      </c>
      <c r="Q38" s="2">
        <v>8.9837083010085306E-2</v>
      </c>
    </row>
    <row r="39" spans="1:19" x14ac:dyDescent="0.4">
      <c r="A39">
        <v>4000</v>
      </c>
      <c r="B39">
        <v>300</v>
      </c>
      <c r="C39">
        <v>2</v>
      </c>
      <c r="D39">
        <v>0</v>
      </c>
      <c r="E39" s="2">
        <v>0.1217809423888471</v>
      </c>
      <c r="F39" s="2">
        <v>0.1106489004914538</v>
      </c>
      <c r="G39" s="2">
        <v>0.75197278923458521</v>
      </c>
      <c r="H39" s="2">
        <v>1.0419136166572569</v>
      </c>
      <c r="I39" s="2">
        <v>1.4467251682281479</v>
      </c>
      <c r="J39" s="2">
        <v>9.2516845584687483E-3</v>
      </c>
      <c r="K39" s="2">
        <v>2.886366518203821</v>
      </c>
      <c r="L39" s="3">
        <v>9661.3866666666672</v>
      </c>
      <c r="M39" s="3">
        <v>675.92</v>
      </c>
      <c r="N39" s="4">
        <v>5.75</v>
      </c>
      <c r="O39">
        <v>12</v>
      </c>
      <c r="P39" s="2">
        <v>6.1641776570985261E-2</v>
      </c>
      <c r="Q39" s="2">
        <v>0.13010085337470911</v>
      </c>
    </row>
    <row r="40" spans="1:19" x14ac:dyDescent="0.4">
      <c r="A40">
        <v>5000</v>
      </c>
      <c r="B40">
        <v>300</v>
      </c>
      <c r="C40">
        <v>2</v>
      </c>
      <c r="D40">
        <v>0</v>
      </c>
      <c r="E40" s="2">
        <v>0.14866467602345171</v>
      </c>
      <c r="F40" s="2">
        <v>0.13667817289804979</v>
      </c>
      <c r="G40" s="2">
        <v>0.85050758313048969</v>
      </c>
      <c r="H40" s="2">
        <v>1.253145813941956</v>
      </c>
      <c r="I40" s="2">
        <v>1.5113673210144041</v>
      </c>
      <c r="J40" s="2">
        <v>1.0544907552401041E-2</v>
      </c>
      <c r="K40" s="2">
        <v>3.3024938039565348</v>
      </c>
      <c r="L40" s="3">
        <v>12143.66666666667</v>
      </c>
      <c r="M40" s="3">
        <v>674.01333333333332</v>
      </c>
      <c r="N40" s="4">
        <v>6.25</v>
      </c>
      <c r="O40">
        <v>12</v>
      </c>
      <c r="P40" s="2">
        <v>8.3184639255236614E-2</v>
      </c>
      <c r="Q40" s="2">
        <v>0.1605120248254461</v>
      </c>
    </row>
    <row r="41" spans="1:19" x14ac:dyDescent="0.4">
      <c r="A41">
        <v>6000</v>
      </c>
      <c r="B41">
        <v>300</v>
      </c>
      <c r="C41">
        <v>2</v>
      </c>
      <c r="D41">
        <v>0</v>
      </c>
      <c r="E41" s="2">
        <v>0.1814914165541183</v>
      </c>
      <c r="F41" s="2">
        <v>0.1705612857761078</v>
      </c>
      <c r="G41" s="2">
        <v>1.0507519730301791</v>
      </c>
      <c r="H41" s="2">
        <v>1.3806383848190309</v>
      </c>
      <c r="I41" s="2">
        <v>1.5170776891708371</v>
      </c>
      <c r="J41" s="2">
        <v>1.3630450610466201E-2</v>
      </c>
      <c r="K41" s="2">
        <v>4.2567247110743853</v>
      </c>
      <c r="L41" s="3">
        <v>13744.375</v>
      </c>
      <c r="M41" s="3">
        <v>645</v>
      </c>
      <c r="N41" s="4">
        <v>6.7647058823529411</v>
      </c>
      <c r="O41">
        <v>18</v>
      </c>
      <c r="P41" s="2">
        <v>0.1075343403459134</v>
      </c>
      <c r="Q41" s="2">
        <v>0.28611326609775017</v>
      </c>
    </row>
    <row r="42" spans="1:19" x14ac:dyDescent="0.4">
      <c r="A42">
        <v>7000</v>
      </c>
      <c r="B42">
        <v>300</v>
      </c>
      <c r="C42">
        <v>2</v>
      </c>
      <c r="D42">
        <v>0</v>
      </c>
      <c r="E42" s="2">
        <v>0.2236858941196056</v>
      </c>
      <c r="F42" s="2">
        <v>0.2071811779693235</v>
      </c>
      <c r="G42" s="2">
        <v>1.154031574396797</v>
      </c>
      <c r="H42" s="2">
        <v>1.5854644775390621</v>
      </c>
      <c r="I42" s="2">
        <v>1.6329918384552</v>
      </c>
      <c r="J42" s="2">
        <v>1.642221964469855E-2</v>
      </c>
      <c r="K42" s="2">
        <v>5.0126212224364277</v>
      </c>
      <c r="L42" s="3">
        <v>17707.493333333328</v>
      </c>
      <c r="M42" s="3">
        <v>670.21333333333337</v>
      </c>
      <c r="N42" s="4">
        <v>9.8125</v>
      </c>
      <c r="O42">
        <v>19</v>
      </c>
      <c r="P42" s="2">
        <v>0.18089604344453061</v>
      </c>
      <c r="Q42" s="2">
        <v>0.35104732350659429</v>
      </c>
    </row>
    <row r="43" spans="1:19" x14ac:dyDescent="0.4">
      <c r="A43">
        <v>8000</v>
      </c>
      <c r="B43">
        <v>300</v>
      </c>
      <c r="C43">
        <v>2</v>
      </c>
      <c r="D43">
        <v>0</v>
      </c>
      <c r="E43" s="2">
        <v>0.26141170283269621</v>
      </c>
      <c r="F43" s="2">
        <v>0.2321784455879507</v>
      </c>
      <c r="G43" s="2">
        <v>1.306297741153023</v>
      </c>
      <c r="H43" s="2">
        <v>2.0275824069976811</v>
      </c>
      <c r="I43" s="2">
        <v>2.2218112945556641</v>
      </c>
      <c r="J43" s="2">
        <v>1.800368755427555E-2</v>
      </c>
      <c r="K43" s="2">
        <v>5.532456710934639</v>
      </c>
      <c r="L43" s="3">
        <v>20007.78666666667</v>
      </c>
      <c r="M43" s="3">
        <v>651.5866666666667</v>
      </c>
      <c r="N43" s="4">
        <v>10.6875</v>
      </c>
      <c r="O43">
        <v>21</v>
      </c>
      <c r="P43" s="2">
        <v>0.22455876648564779</v>
      </c>
      <c r="Q43" s="2">
        <v>0.44049650892164471</v>
      </c>
    </row>
    <row r="44" spans="1:19" x14ac:dyDescent="0.4">
      <c r="A44">
        <v>9000</v>
      </c>
      <c r="B44">
        <v>300</v>
      </c>
      <c r="C44">
        <v>2</v>
      </c>
      <c r="D44">
        <v>0</v>
      </c>
      <c r="E44" s="2">
        <v>0.30182148420322708</v>
      </c>
      <c r="F44" s="2">
        <v>0.26693787656584261</v>
      </c>
      <c r="G44" s="2">
        <v>1.4304376624481021</v>
      </c>
      <c r="H44" s="2">
        <v>2.186557292938232</v>
      </c>
      <c r="I44" s="2">
        <v>2.3093760490417479</v>
      </c>
      <c r="J44" s="2">
        <v>2.1893945876034639E-2</v>
      </c>
      <c r="K44" s="2">
        <v>6.9973895626683387</v>
      </c>
      <c r="L44" s="3">
        <v>21866.533333333329</v>
      </c>
      <c r="M44" s="3">
        <v>666.16000000000008</v>
      </c>
      <c r="N44" s="4">
        <v>12.6875</v>
      </c>
      <c r="O44">
        <v>24</v>
      </c>
      <c r="P44" s="2">
        <v>0.2995781613653995</v>
      </c>
      <c r="Q44" s="2">
        <v>0.5686578743211792</v>
      </c>
    </row>
    <row r="45" spans="1:19" x14ac:dyDescent="0.4">
      <c r="A45">
        <v>10000</v>
      </c>
      <c r="B45">
        <v>300</v>
      </c>
      <c r="C45">
        <v>2</v>
      </c>
      <c r="D45">
        <v>0</v>
      </c>
      <c r="E45" s="2">
        <v>2.2645721892618762</v>
      </c>
      <c r="F45" s="2">
        <v>0.35001626033335931</v>
      </c>
      <c r="G45" s="2">
        <v>3.6179167520196951</v>
      </c>
      <c r="H45" s="2">
        <v>7.9092780113220167</v>
      </c>
      <c r="I45" s="2">
        <v>8.7112346649169918</v>
      </c>
      <c r="J45" s="2">
        <v>5.4148414416773198E-2</v>
      </c>
      <c r="K45" s="2">
        <v>17.691573281721631</v>
      </c>
      <c r="L45" s="3">
        <v>27422.133333333331</v>
      </c>
      <c r="M45" s="3">
        <v>708.18666666666672</v>
      </c>
      <c r="N45" s="4">
        <v>30.6875</v>
      </c>
      <c r="O45">
        <v>38</v>
      </c>
      <c r="P45" s="2">
        <v>0.80464507370054306</v>
      </c>
      <c r="Q45" s="2">
        <v>0.99759503491078361</v>
      </c>
    </row>
    <row r="46" spans="1:19" x14ac:dyDescent="0.4">
      <c r="A46">
        <v>11000</v>
      </c>
      <c r="B46">
        <v>300</v>
      </c>
      <c r="C46">
        <v>2</v>
      </c>
      <c r="D46">
        <v>0</v>
      </c>
      <c r="E46" s="2">
        <v>0.48997660962546752</v>
      </c>
      <c r="F46" s="2">
        <v>0.35785399704720028</v>
      </c>
      <c r="G46" s="2">
        <v>1.7506308919045981</v>
      </c>
      <c r="H46" s="2">
        <v>2.8015436410903929</v>
      </c>
      <c r="I46" s="2">
        <v>2.990148715972901</v>
      </c>
      <c r="J46" s="2">
        <v>3.9416409727159839E-2</v>
      </c>
      <c r="K46" s="2">
        <v>11.86895883444584</v>
      </c>
      <c r="L46" s="3">
        <v>25632.506666666672</v>
      </c>
      <c r="M46" s="3">
        <v>589.66666666666674</v>
      </c>
      <c r="N46" s="4">
        <v>20.25</v>
      </c>
      <c r="O46">
        <v>34</v>
      </c>
      <c r="P46" s="2">
        <v>0.58281613653995357</v>
      </c>
      <c r="Q46" s="2">
        <v>0.98076027928626841</v>
      </c>
    </row>
    <row r="47" spans="1:19" x14ac:dyDescent="0.4">
      <c r="A47">
        <v>12000</v>
      </c>
      <c r="B47">
        <v>300</v>
      </c>
      <c r="C47">
        <v>2</v>
      </c>
      <c r="D47">
        <v>0</v>
      </c>
      <c r="E47" s="2">
        <v>1.264134846627712</v>
      </c>
      <c r="F47" s="2">
        <v>0.43303744346631812</v>
      </c>
      <c r="G47" s="2">
        <v>2.6719595685601241</v>
      </c>
      <c r="H47" s="2">
        <v>6.4272436857223507</v>
      </c>
      <c r="I47" s="2">
        <v>6.6285190582275391</v>
      </c>
      <c r="J47" s="2">
        <v>4.3961629639795781E-2</v>
      </c>
      <c r="K47" s="2">
        <v>14.623156462301759</v>
      </c>
      <c r="L47" s="3">
        <v>25580.35</v>
      </c>
      <c r="M47" s="3">
        <v>598.6875</v>
      </c>
      <c r="N47" s="4">
        <v>22.82352941176471</v>
      </c>
      <c r="O47">
        <v>32</v>
      </c>
      <c r="P47" s="2">
        <v>0.71634189750376498</v>
      </c>
      <c r="Q47" s="2">
        <v>0.99968968192397212</v>
      </c>
    </row>
    <row r="48" spans="1:19" x14ac:dyDescent="0.4">
      <c r="A48">
        <v>13000</v>
      </c>
      <c r="B48">
        <v>300</v>
      </c>
      <c r="C48">
        <v>2</v>
      </c>
      <c r="D48">
        <v>0</v>
      </c>
      <c r="E48" s="2">
        <v>9.0055795083727155</v>
      </c>
      <c r="F48" s="2">
        <v>0.59234992337949344</v>
      </c>
      <c r="G48" s="2">
        <v>11.018123510905671</v>
      </c>
      <c r="H48" s="2">
        <v>20.605224347114561</v>
      </c>
      <c r="I48" s="2">
        <v>20.97764887809754</v>
      </c>
      <c r="J48" s="2">
        <v>5.5214253432705147E-2</v>
      </c>
      <c r="K48" s="2">
        <v>23.233304382093021</v>
      </c>
      <c r="L48" s="3">
        <v>28524.98823529412</v>
      </c>
      <c r="M48" s="3">
        <v>571.28235294117644</v>
      </c>
      <c r="N48" s="4">
        <v>23.944444444444439</v>
      </c>
      <c r="O48">
        <v>29</v>
      </c>
      <c r="P48" s="2">
        <v>0.81346004654771131</v>
      </c>
      <c r="Q48" s="2">
        <v>0.98960434445306444</v>
      </c>
    </row>
    <row r="49" spans="1:19" x14ac:dyDescent="0.4">
      <c r="A49">
        <v>14000</v>
      </c>
      <c r="B49">
        <v>300</v>
      </c>
      <c r="C49">
        <v>2</v>
      </c>
      <c r="D49">
        <v>0</v>
      </c>
      <c r="E49" s="2">
        <v>12.117508189078491</v>
      </c>
      <c r="F49" s="2">
        <v>0.69903341639484906</v>
      </c>
      <c r="G49" s="2">
        <v>13.606130640930919</v>
      </c>
      <c r="H49" s="2">
        <v>25.104999518394472</v>
      </c>
      <c r="I49" s="2">
        <v>25.931375284194949</v>
      </c>
      <c r="J49" s="2">
        <v>5.2865308275853812E-2</v>
      </c>
      <c r="K49" s="2">
        <v>28.687922286987309</v>
      </c>
      <c r="L49" s="3">
        <v>27018.533333333329</v>
      </c>
      <c r="M49" s="3">
        <v>542.97777777777776</v>
      </c>
      <c r="N49" s="4">
        <v>23.684210526315791</v>
      </c>
      <c r="O49">
        <v>27</v>
      </c>
      <c r="P49" s="2">
        <v>0.86544853211383777</v>
      </c>
      <c r="Q49" s="2">
        <v>0.99480217222653222</v>
      </c>
    </row>
    <row r="50" spans="1:19" x14ac:dyDescent="0.4">
      <c r="A50">
        <v>15000</v>
      </c>
      <c r="B50">
        <v>300</v>
      </c>
      <c r="C50">
        <v>2</v>
      </c>
      <c r="D50">
        <v>0</v>
      </c>
      <c r="E50" s="2">
        <v>13.49119303623835</v>
      </c>
      <c r="F50" s="2">
        <v>0.57172793159199664</v>
      </c>
      <c r="G50" s="2">
        <v>12.41570604220033</v>
      </c>
      <c r="H50" s="2">
        <v>26.623434686660769</v>
      </c>
      <c r="I50" s="2">
        <v>26.93465832710266</v>
      </c>
      <c r="J50" s="2">
        <v>5.8784130852687973E-2</v>
      </c>
      <c r="K50" s="2">
        <v>29.05458242687958</v>
      </c>
      <c r="L50" s="3">
        <v>28272.778947368421</v>
      </c>
      <c r="M50" s="3">
        <v>497.70526315789482</v>
      </c>
      <c r="N50" s="4">
        <v>22.5</v>
      </c>
      <c r="O50">
        <v>25</v>
      </c>
      <c r="P50" s="2">
        <v>0.88043056633048877</v>
      </c>
      <c r="Q50" s="2">
        <v>0.98269976726144304</v>
      </c>
    </row>
    <row r="51" spans="1:19" x14ac:dyDescent="0.4">
      <c r="E51" s="2"/>
      <c r="F51" s="2"/>
      <c r="G51" s="2"/>
      <c r="H51" s="2"/>
      <c r="I51" s="2"/>
      <c r="J51" s="2"/>
      <c r="K51" s="2"/>
      <c r="L51" s="3"/>
      <c r="M51" s="3"/>
      <c r="N51" s="4"/>
      <c r="P51" s="2"/>
      <c r="Q51" s="2"/>
    </row>
    <row r="52" spans="1:19" x14ac:dyDescent="0.4">
      <c r="E52" s="2"/>
      <c r="F52" s="2"/>
      <c r="G52" s="2"/>
      <c r="H52" s="2"/>
      <c r="I52" s="2"/>
      <c r="J52" s="2"/>
      <c r="K52" s="2"/>
      <c r="L52" s="3"/>
      <c r="M52" s="3"/>
      <c r="N52" s="4"/>
      <c r="P52" s="2"/>
      <c r="Q52" s="2"/>
    </row>
    <row r="53" spans="1:19" x14ac:dyDescent="0.4">
      <c r="A53">
        <f>(A2+A19+A36)/3</f>
        <v>1000</v>
      </c>
      <c r="B53">
        <f t="shared" ref="B53:Q53" si="0">(B2+B19+B36)/3</f>
        <v>300</v>
      </c>
      <c r="C53">
        <f t="shared" si="0"/>
        <v>2</v>
      </c>
      <c r="D53">
        <f t="shared" si="0"/>
        <v>0</v>
      </c>
      <c r="E53" s="2">
        <f t="shared" si="0"/>
        <v>3.7026038223119916E-2</v>
      </c>
      <c r="F53" s="2">
        <f t="shared" si="0"/>
        <v>3.2088905166513686E-2</v>
      </c>
      <c r="G53" s="2">
        <f t="shared" si="0"/>
        <v>0.59547004836481088</v>
      </c>
      <c r="H53" s="2">
        <f t="shared" si="0"/>
        <v>0.7305008967717489</v>
      </c>
      <c r="I53" s="2">
        <f t="shared" si="0"/>
        <v>0.97615059534708548</v>
      </c>
      <c r="J53" s="2">
        <f t="shared" si="0"/>
        <v>6.596198861928409E-3</v>
      </c>
      <c r="K53" s="2">
        <f t="shared" si="0"/>
        <v>2.0093213791123161</v>
      </c>
      <c r="L53" s="3">
        <f t="shared" si="0"/>
        <v>2261.5283333333332</v>
      </c>
      <c r="M53" s="3">
        <f t="shared" si="0"/>
        <v>633.58861111111116</v>
      </c>
      <c r="N53" s="4">
        <f t="shared" si="0"/>
        <v>3.4068627450980391</v>
      </c>
      <c r="O53" s="4">
        <f t="shared" si="0"/>
        <v>8</v>
      </c>
      <c r="P53" s="2">
        <f t="shared" si="0"/>
        <v>1.0150557507719928E-2</v>
      </c>
      <c r="Q53" s="2">
        <f t="shared" si="0"/>
        <v>2.4075510731833449E-2</v>
      </c>
      <c r="S53" s="1" t="s">
        <v>20</v>
      </c>
    </row>
    <row r="54" spans="1:19" x14ac:dyDescent="0.4">
      <c r="A54">
        <f t="shared" ref="A54:P67" si="1">(A3+A20+A37)/3</f>
        <v>2000</v>
      </c>
      <c r="B54">
        <f t="shared" si="1"/>
        <v>300</v>
      </c>
      <c r="C54">
        <f t="shared" si="1"/>
        <v>2</v>
      </c>
      <c r="D54">
        <f t="shared" si="1"/>
        <v>0</v>
      </c>
      <c r="E54" s="2">
        <f t="shared" si="1"/>
        <v>6.0708237632462643E-2</v>
      </c>
      <c r="F54" s="2">
        <f t="shared" si="1"/>
        <v>5.4781456020521681E-2</v>
      </c>
      <c r="G54" s="2">
        <f t="shared" si="1"/>
        <v>0.61998406863458533</v>
      </c>
      <c r="H54" s="2">
        <f t="shared" si="1"/>
        <v>0.76988332271575921</v>
      </c>
      <c r="I54" s="2">
        <f t="shared" si="1"/>
        <v>0.84733685811360682</v>
      </c>
      <c r="J54" s="2">
        <f t="shared" si="1"/>
        <v>7.280404097911467E-3</v>
      </c>
      <c r="K54" s="2">
        <f t="shared" si="1"/>
        <v>2.2369354792963563</v>
      </c>
      <c r="L54" s="3">
        <f t="shared" si="1"/>
        <v>4844.9033333333336</v>
      </c>
      <c r="M54" s="3">
        <f t="shared" si="1"/>
        <v>679.7208333333333</v>
      </c>
      <c r="N54" s="4">
        <f t="shared" si="1"/>
        <v>3.5821078431372548</v>
      </c>
      <c r="O54" s="4">
        <f t="shared" si="1"/>
        <v>7.666666666666667</v>
      </c>
      <c r="P54" s="2">
        <f t="shared" si="1"/>
        <v>1.9997642191089005E-2</v>
      </c>
      <c r="Q54" s="2">
        <f t="shared" ref="Q54:Q67" si="2">(Q3+Q20+Q37)/3</f>
        <v>4.2487716576157242E-2</v>
      </c>
    </row>
    <row r="55" spans="1:19" x14ac:dyDescent="0.4">
      <c r="A55">
        <f t="shared" si="1"/>
        <v>3000</v>
      </c>
      <c r="B55">
        <f t="shared" si="1"/>
        <v>300</v>
      </c>
      <c r="C55">
        <f t="shared" si="1"/>
        <v>2</v>
      </c>
      <c r="D55">
        <f t="shared" si="1"/>
        <v>0</v>
      </c>
      <c r="E55" s="2">
        <f t="shared" si="1"/>
        <v>8.9187976034611885E-2</v>
      </c>
      <c r="F55" s="2">
        <f t="shared" si="1"/>
        <v>8.1037995716015873E-2</v>
      </c>
      <c r="G55" s="2">
        <f t="shared" si="1"/>
        <v>0.68898616983040506</v>
      </c>
      <c r="H55" s="2">
        <f t="shared" si="1"/>
        <v>0.89063829183578491</v>
      </c>
      <c r="I55" s="2">
        <f t="shared" si="1"/>
        <v>0.99142997741699224</v>
      </c>
      <c r="J55" s="2">
        <f t="shared" si="1"/>
        <v>8.2483981479025952E-3</v>
      </c>
      <c r="K55" s="2">
        <f t="shared" si="1"/>
        <v>2.5531481923543735</v>
      </c>
      <c r="L55" s="3">
        <f t="shared" si="1"/>
        <v>7408.6961111111113</v>
      </c>
      <c r="M55" s="3">
        <f t="shared" si="1"/>
        <v>691.59111111111122</v>
      </c>
      <c r="N55" s="4">
        <f t="shared" si="1"/>
        <v>4.8786764705882355</v>
      </c>
      <c r="O55" s="4">
        <f t="shared" si="1"/>
        <v>11</v>
      </c>
      <c r="P55" s="2">
        <f t="shared" si="1"/>
        <v>3.9849347419340118E-2</v>
      </c>
      <c r="Q55" s="2">
        <f t="shared" si="2"/>
        <v>8.9604344453064352E-2</v>
      </c>
    </row>
    <row r="56" spans="1:19" x14ac:dyDescent="0.4">
      <c r="A56">
        <f t="shared" si="1"/>
        <v>4000</v>
      </c>
      <c r="B56">
        <f t="shared" si="1"/>
        <v>300</v>
      </c>
      <c r="C56">
        <f t="shared" si="1"/>
        <v>2</v>
      </c>
      <c r="D56">
        <f t="shared" si="1"/>
        <v>0</v>
      </c>
      <c r="E56" s="2">
        <f t="shared" si="1"/>
        <v>0.12017994891764257</v>
      </c>
      <c r="F56" s="2">
        <f t="shared" si="1"/>
        <v>0.10961615169575983</v>
      </c>
      <c r="G56" s="2">
        <f t="shared" si="1"/>
        <v>0.74510267118587248</v>
      </c>
      <c r="H56" s="2">
        <f t="shared" si="1"/>
        <v>1.019898557662964</v>
      </c>
      <c r="I56" s="2">
        <f t="shared" si="1"/>
        <v>1.2181447839736934</v>
      </c>
      <c r="J56" s="2">
        <f t="shared" si="1"/>
        <v>9.0297684207135426E-3</v>
      </c>
      <c r="K56" s="2">
        <f t="shared" si="1"/>
        <v>2.8195524820219489</v>
      </c>
      <c r="L56" s="3">
        <f t="shared" si="1"/>
        <v>9242.0788888888874</v>
      </c>
      <c r="M56" s="3">
        <f t="shared" si="1"/>
        <v>646.99833333333333</v>
      </c>
      <c r="N56" s="4">
        <f t="shared" si="1"/>
        <v>5.132352941176471</v>
      </c>
      <c r="O56" s="4">
        <f t="shared" si="1"/>
        <v>10.666666666666666</v>
      </c>
      <c r="P56" s="2">
        <f t="shared" si="1"/>
        <v>5.5108173991085967E-2</v>
      </c>
      <c r="Q56" s="2">
        <f t="shared" si="2"/>
        <v>0.11567106283941038</v>
      </c>
    </row>
    <row r="57" spans="1:19" x14ac:dyDescent="0.4">
      <c r="A57">
        <f t="shared" si="1"/>
        <v>5000</v>
      </c>
      <c r="B57">
        <f t="shared" si="1"/>
        <v>300</v>
      </c>
      <c r="C57">
        <f t="shared" si="1"/>
        <v>2</v>
      </c>
      <c r="D57">
        <f t="shared" si="1"/>
        <v>0</v>
      </c>
      <c r="E57" s="2">
        <f t="shared" si="1"/>
        <v>0.15427486259356141</v>
      </c>
      <c r="F57" s="2">
        <f t="shared" si="1"/>
        <v>0.14188560392014285</v>
      </c>
      <c r="G57" s="2">
        <f t="shared" si="1"/>
        <v>0.84892997103396572</v>
      </c>
      <c r="H57" s="2">
        <f t="shared" si="1"/>
        <v>1.3430427153905231</v>
      </c>
      <c r="I57" s="2">
        <f t="shared" si="1"/>
        <v>1.5120748329162597</v>
      </c>
      <c r="J57" s="2">
        <f t="shared" si="1"/>
        <v>1.0746412006416907E-2</v>
      </c>
      <c r="K57" s="2">
        <f t="shared" si="1"/>
        <v>3.3648584072407979</v>
      </c>
      <c r="L57" s="3">
        <f t="shared" si="1"/>
        <v>12072.108611111114</v>
      </c>
      <c r="M57" s="3">
        <f t="shared" si="1"/>
        <v>673.46</v>
      </c>
      <c r="N57" s="4">
        <f t="shared" si="1"/>
        <v>5.875</v>
      </c>
      <c r="O57" s="4">
        <f t="shared" si="1"/>
        <v>12.666666666666666</v>
      </c>
      <c r="P57" s="2">
        <f t="shared" si="1"/>
        <v>7.817315444408951E-2</v>
      </c>
      <c r="Q57" s="2">
        <f t="shared" si="2"/>
        <v>0.16894233255753818</v>
      </c>
    </row>
    <row r="58" spans="1:19" x14ac:dyDescent="0.4">
      <c r="A58">
        <f t="shared" si="1"/>
        <v>6000</v>
      </c>
      <c r="B58">
        <f t="shared" si="1"/>
        <v>300</v>
      </c>
      <c r="C58">
        <f t="shared" si="1"/>
        <v>2</v>
      </c>
      <c r="D58">
        <f t="shared" si="1"/>
        <v>0</v>
      </c>
      <c r="E58" s="2">
        <f t="shared" si="1"/>
        <v>0.18643617367521356</v>
      </c>
      <c r="F58" s="2">
        <f t="shared" si="1"/>
        <v>0.1726471811842305</v>
      </c>
      <c r="G58" s="2">
        <f t="shared" si="1"/>
        <v>1.2661953933336647</v>
      </c>
      <c r="H58" s="2">
        <f t="shared" si="1"/>
        <v>2.3803513328234325</v>
      </c>
      <c r="I58" s="2">
        <f t="shared" si="1"/>
        <v>2.7856695540746053</v>
      </c>
      <c r="J58" s="2">
        <f t="shared" si="1"/>
        <v>1.3768167139153839E-2</v>
      </c>
      <c r="K58" s="2">
        <f t="shared" si="1"/>
        <v>4.2964526845535014</v>
      </c>
      <c r="L58" s="3">
        <f t="shared" si="1"/>
        <v>16270.848174603176</v>
      </c>
      <c r="M58" s="3">
        <f t="shared" si="1"/>
        <v>751.3536507936509</v>
      </c>
      <c r="N58" s="4">
        <f t="shared" si="1"/>
        <v>8.5368464052287578</v>
      </c>
      <c r="O58" s="4">
        <f t="shared" si="1"/>
        <v>18</v>
      </c>
      <c r="P58" s="2">
        <f t="shared" si="1"/>
        <v>0.13567259668284176</v>
      </c>
      <c r="Q58" s="2">
        <f t="shared" si="2"/>
        <v>0.28603568657874323</v>
      </c>
    </row>
    <row r="59" spans="1:19" x14ac:dyDescent="0.4">
      <c r="A59">
        <f t="shared" si="1"/>
        <v>7000</v>
      </c>
      <c r="B59">
        <f t="shared" si="1"/>
        <v>300</v>
      </c>
      <c r="C59">
        <f t="shared" si="1"/>
        <v>2</v>
      </c>
      <c r="D59">
        <f t="shared" si="1"/>
        <v>0</v>
      </c>
      <c r="E59" s="2">
        <f t="shared" si="1"/>
        <v>0.23248837006197517</v>
      </c>
      <c r="F59" s="2">
        <f t="shared" si="1"/>
        <v>0.21039942635422862</v>
      </c>
      <c r="G59" s="2">
        <f t="shared" si="1"/>
        <v>1.3972520149492091</v>
      </c>
      <c r="H59" s="2">
        <f t="shared" si="1"/>
        <v>3.0287375291188536</v>
      </c>
      <c r="I59" s="2">
        <f t="shared" si="1"/>
        <v>3.3220549392700192</v>
      </c>
      <c r="J59" s="2">
        <f t="shared" si="1"/>
        <v>1.6170001649484025E-2</v>
      </c>
      <c r="K59" s="2">
        <f t="shared" si="1"/>
        <v>4.9579540108612274</v>
      </c>
      <c r="L59" s="3">
        <f t="shared" si="1"/>
        <v>18386.626031746029</v>
      </c>
      <c r="M59" s="3">
        <f t="shared" si="1"/>
        <v>703.13619047619034</v>
      </c>
      <c r="N59" s="4">
        <f t="shared" si="1"/>
        <v>9.9930555555555571</v>
      </c>
      <c r="O59" s="4">
        <f t="shared" si="1"/>
        <v>19</v>
      </c>
      <c r="P59" s="2">
        <f t="shared" si="1"/>
        <v>0.18465843461770537</v>
      </c>
      <c r="Q59" s="2">
        <f t="shared" si="2"/>
        <v>0.35277993276441683</v>
      </c>
    </row>
    <row r="60" spans="1:19" x14ac:dyDescent="0.4">
      <c r="A60">
        <f t="shared" si="1"/>
        <v>8000</v>
      </c>
      <c r="B60">
        <f t="shared" si="1"/>
        <v>300</v>
      </c>
      <c r="C60">
        <f t="shared" si="1"/>
        <v>2</v>
      </c>
      <c r="D60">
        <f t="shared" si="1"/>
        <v>0</v>
      </c>
      <c r="E60" s="2">
        <f t="shared" si="1"/>
        <v>0.28995406362148374</v>
      </c>
      <c r="F60" s="2">
        <f t="shared" si="1"/>
        <v>0.24747104080859131</v>
      </c>
      <c r="G60" s="2">
        <f t="shared" si="1"/>
        <v>1.4878297557159534</v>
      </c>
      <c r="H60" s="2">
        <f t="shared" si="1"/>
        <v>2.3848671595255535</v>
      </c>
      <c r="I60" s="2">
        <f t="shared" si="1"/>
        <v>2.6166748650868734</v>
      </c>
      <c r="J60" s="2">
        <f t="shared" si="1"/>
        <v>2.0987859075821697E-2</v>
      </c>
      <c r="K60" s="2">
        <f t="shared" si="1"/>
        <v>6.5415801912347034</v>
      </c>
      <c r="L60" s="3">
        <f t="shared" si="1"/>
        <v>21109.800952380956</v>
      </c>
      <c r="M60" s="3">
        <f t="shared" si="1"/>
        <v>715.05142857142857</v>
      </c>
      <c r="N60" s="4">
        <f t="shared" si="1"/>
        <v>13.111111111111109</v>
      </c>
      <c r="O60" s="4">
        <f t="shared" si="1"/>
        <v>27.666666666666668</v>
      </c>
      <c r="P60" s="2">
        <f t="shared" si="1"/>
        <v>0.27561761917076111</v>
      </c>
      <c r="Q60" s="2">
        <f t="shared" si="2"/>
        <v>0.58376002068787169</v>
      </c>
    </row>
    <row r="61" spans="1:19" x14ac:dyDescent="0.4">
      <c r="A61">
        <f t="shared" si="1"/>
        <v>9000</v>
      </c>
      <c r="B61">
        <f t="shared" si="1"/>
        <v>300</v>
      </c>
      <c r="C61">
        <f t="shared" si="1"/>
        <v>2</v>
      </c>
      <c r="D61">
        <f t="shared" si="1"/>
        <v>0</v>
      </c>
      <c r="E61" s="2">
        <f t="shared" si="1"/>
        <v>0.31103301268871292</v>
      </c>
      <c r="F61" s="2">
        <f t="shared" si="1"/>
        <v>0.27097875811431282</v>
      </c>
      <c r="G61" s="2">
        <f t="shared" si="1"/>
        <v>1.4434405831504122</v>
      </c>
      <c r="H61" s="2">
        <f t="shared" si="1"/>
        <v>2.1836857676506036</v>
      </c>
      <c r="I61" s="2">
        <f t="shared" si="1"/>
        <v>2.3837302366892499</v>
      </c>
      <c r="J61" s="2">
        <f t="shared" si="1"/>
        <v>2.4980285222803156E-2</v>
      </c>
      <c r="K61" s="2">
        <f t="shared" si="1"/>
        <v>7.8049970651244811</v>
      </c>
      <c r="L61" s="3">
        <f t="shared" si="1"/>
        <v>21954.551111111112</v>
      </c>
      <c r="M61" s="3">
        <f t="shared" si="1"/>
        <v>664.26222222222225</v>
      </c>
      <c r="N61" s="4">
        <f t="shared" si="1"/>
        <v>14.166666666666666</v>
      </c>
      <c r="O61" s="4">
        <f t="shared" si="1"/>
        <v>25</v>
      </c>
      <c r="P61" s="2">
        <f t="shared" si="1"/>
        <v>0.33464087147659677</v>
      </c>
      <c r="Q61" s="2">
        <f t="shared" si="2"/>
        <v>0.59260408585466773</v>
      </c>
    </row>
    <row r="62" spans="1:19" x14ac:dyDescent="0.4">
      <c r="A62">
        <f t="shared" si="1"/>
        <v>10000</v>
      </c>
      <c r="B62">
        <f t="shared" si="1"/>
        <v>300</v>
      </c>
      <c r="C62">
        <f t="shared" si="1"/>
        <v>2</v>
      </c>
      <c r="D62">
        <f t="shared" si="1"/>
        <v>0</v>
      </c>
      <c r="E62" s="2">
        <f t="shared" si="1"/>
        <v>1.3162716745102527</v>
      </c>
      <c r="F62" s="2">
        <f t="shared" si="1"/>
        <v>0.34317679329223766</v>
      </c>
      <c r="G62" s="2">
        <f t="shared" si="1"/>
        <v>2.6800668145139266</v>
      </c>
      <c r="H62" s="2">
        <f t="shared" si="1"/>
        <v>5.513361426194507</v>
      </c>
      <c r="I62" s="2">
        <f t="shared" si="1"/>
        <v>6.1796992651621503</v>
      </c>
      <c r="J62" s="2">
        <f t="shared" si="1"/>
        <v>4.3304766797038811E-2</v>
      </c>
      <c r="K62" s="2">
        <f t="shared" si="1"/>
        <v>14.064873900700087</v>
      </c>
      <c r="L62" s="3">
        <f t="shared" si="1"/>
        <v>25051.397142857142</v>
      </c>
      <c r="M62" s="3">
        <f t="shared" si="1"/>
        <v>670.7022222222223</v>
      </c>
      <c r="N62" s="4">
        <f t="shared" si="1"/>
        <v>24.093055555555555</v>
      </c>
      <c r="O62" s="4">
        <f t="shared" si="1"/>
        <v>36.666666666666664</v>
      </c>
      <c r="P62" s="2">
        <f t="shared" si="1"/>
        <v>0.63176008533747097</v>
      </c>
      <c r="Q62" s="2">
        <f t="shared" si="2"/>
        <v>0.96374450478407037</v>
      </c>
    </row>
    <row r="63" spans="1:19" x14ac:dyDescent="0.4">
      <c r="A63">
        <f t="shared" si="1"/>
        <v>11000</v>
      </c>
      <c r="B63">
        <f t="shared" si="1"/>
        <v>300</v>
      </c>
      <c r="C63">
        <f t="shared" si="1"/>
        <v>2</v>
      </c>
      <c r="D63">
        <f t="shared" si="1"/>
        <v>0</v>
      </c>
      <c r="E63" s="2">
        <f t="shared" si="1"/>
        <v>1.7155508230327792</v>
      </c>
      <c r="F63" s="2">
        <f t="shared" si="1"/>
        <v>0.38150473381773814</v>
      </c>
      <c r="G63" s="2">
        <f t="shared" si="1"/>
        <v>3.1402686691967703</v>
      </c>
      <c r="H63" s="2">
        <f t="shared" si="1"/>
        <v>5.7949740290641758</v>
      </c>
      <c r="I63" s="2">
        <f t="shared" si="1"/>
        <v>6.3687061834335319</v>
      </c>
      <c r="J63" s="2">
        <f t="shared" si="1"/>
        <v>4.7299661496975204E-2</v>
      </c>
      <c r="K63" s="2">
        <f t="shared" si="1"/>
        <v>15.093951099967761</v>
      </c>
      <c r="L63" s="3">
        <f t="shared" si="1"/>
        <v>27245.546666666673</v>
      </c>
      <c r="M63" s="3">
        <f t="shared" si="1"/>
        <v>646.85777777777787</v>
      </c>
      <c r="N63" s="4">
        <f t="shared" si="1"/>
        <v>24.979166666666668</v>
      </c>
      <c r="O63" s="4">
        <f t="shared" si="1"/>
        <v>34</v>
      </c>
      <c r="P63" s="2">
        <f t="shared" si="1"/>
        <v>0.71907486423584166</v>
      </c>
      <c r="Q63" s="2">
        <f t="shared" si="2"/>
        <v>0.98143263511766232</v>
      </c>
    </row>
    <row r="64" spans="1:19" x14ac:dyDescent="0.4">
      <c r="A64">
        <f t="shared" si="1"/>
        <v>12000</v>
      </c>
      <c r="B64">
        <f t="shared" si="1"/>
        <v>300</v>
      </c>
      <c r="C64">
        <f t="shared" si="1"/>
        <v>2</v>
      </c>
      <c r="D64">
        <f t="shared" si="1"/>
        <v>0</v>
      </c>
      <c r="E64" s="2">
        <f t="shared" si="1"/>
        <v>3.5051964294542088</v>
      </c>
      <c r="F64" s="2">
        <f t="shared" si="1"/>
        <v>0.55509771442608835</v>
      </c>
      <c r="G64" s="2">
        <f t="shared" si="1"/>
        <v>5.0868831865476398</v>
      </c>
      <c r="H64" s="2">
        <f t="shared" si="1"/>
        <v>11.410244663556417</v>
      </c>
      <c r="I64" s="2">
        <f t="shared" si="1"/>
        <v>12.340481330553688</v>
      </c>
      <c r="J64" s="2">
        <f t="shared" si="1"/>
        <v>4.9184309247364444E-2</v>
      </c>
      <c r="K64" s="2">
        <f t="shared" si="1"/>
        <v>18.024079743383879</v>
      </c>
      <c r="L64" s="3">
        <f t="shared" si="1"/>
        <v>27444.966666666664</v>
      </c>
      <c r="M64" s="3">
        <f t="shared" si="1"/>
        <v>617.19999999999993</v>
      </c>
      <c r="N64" s="4">
        <f t="shared" si="1"/>
        <v>24.549019607843135</v>
      </c>
      <c r="O64" s="4">
        <f t="shared" si="1"/>
        <v>31.666666666666668</v>
      </c>
      <c r="P64" s="2">
        <f t="shared" si="1"/>
        <v>0.77042547042090703</v>
      </c>
      <c r="Q64" s="2">
        <f t="shared" si="2"/>
        <v>0.99200930954228095</v>
      </c>
    </row>
    <row r="65" spans="1:17" x14ac:dyDescent="0.4">
      <c r="A65">
        <f t="shared" si="1"/>
        <v>13000</v>
      </c>
      <c r="B65">
        <f t="shared" si="1"/>
        <v>300</v>
      </c>
      <c r="C65">
        <f t="shared" si="1"/>
        <v>2</v>
      </c>
      <c r="D65">
        <f t="shared" si="1"/>
        <v>0</v>
      </c>
      <c r="E65" s="2">
        <f t="shared" si="1"/>
        <v>9.1159876795979198</v>
      </c>
      <c r="F65" s="2">
        <f t="shared" si="1"/>
        <v>0.65528987854474108</v>
      </c>
      <c r="G65" s="2">
        <f t="shared" si="1"/>
        <v>10.95463573470102</v>
      </c>
      <c r="H65" s="2">
        <f t="shared" si="1"/>
        <v>19.046502681573234</v>
      </c>
      <c r="I65" s="2">
        <f t="shared" si="1"/>
        <v>19.775371034940083</v>
      </c>
      <c r="J65" s="2">
        <f t="shared" si="1"/>
        <v>5.4880265473210399E-2</v>
      </c>
      <c r="K65" s="2">
        <f t="shared" si="1"/>
        <v>24.280004303179297</v>
      </c>
      <c r="L65" s="3">
        <f t="shared" si="1"/>
        <v>28724.251960784317</v>
      </c>
      <c r="M65" s="3">
        <f t="shared" si="1"/>
        <v>573.86274509803923</v>
      </c>
      <c r="N65" s="4">
        <f t="shared" si="1"/>
        <v>25.11655773420479</v>
      </c>
      <c r="O65" s="4">
        <f t="shared" si="1"/>
        <v>29</v>
      </c>
      <c r="P65" s="2">
        <f t="shared" si="1"/>
        <v>0.85300405137488144</v>
      </c>
      <c r="Q65" s="2">
        <f t="shared" si="2"/>
        <v>0.98924230669769864</v>
      </c>
    </row>
    <row r="66" spans="1:17" x14ac:dyDescent="0.4">
      <c r="A66">
        <f t="shared" si="1"/>
        <v>14000</v>
      </c>
      <c r="B66">
        <f t="shared" si="1"/>
        <v>300</v>
      </c>
      <c r="C66">
        <f t="shared" si="1"/>
        <v>2</v>
      </c>
      <c r="D66">
        <f t="shared" si="1"/>
        <v>0</v>
      </c>
      <c r="E66" s="2">
        <f t="shared" si="1"/>
        <v>11.644218997552805</v>
      </c>
      <c r="F66" s="2">
        <f t="shared" si="1"/>
        <v>0.60584197872183487</v>
      </c>
      <c r="G66" s="2">
        <f t="shared" si="1"/>
        <v>12.454836155189392</v>
      </c>
      <c r="H66" s="2">
        <f t="shared" si="1"/>
        <v>22.943973843256629</v>
      </c>
      <c r="I66" s="2">
        <f t="shared" si="1"/>
        <v>23.639374065399171</v>
      </c>
      <c r="J66" s="2">
        <f t="shared" si="1"/>
        <v>5.4148147401154513E-2</v>
      </c>
      <c r="K66" s="2">
        <f t="shared" si="1"/>
        <v>27.865864387884045</v>
      </c>
      <c r="L66" s="3">
        <f t="shared" si="1"/>
        <v>27878.763123495013</v>
      </c>
      <c r="M66" s="3">
        <f t="shared" si="1"/>
        <v>541.92778351106517</v>
      </c>
      <c r="N66" s="4">
        <f t="shared" si="1"/>
        <v>23.946588693957121</v>
      </c>
      <c r="O66" s="4">
        <f t="shared" si="1"/>
        <v>27</v>
      </c>
      <c r="P66" s="2">
        <f t="shared" si="1"/>
        <v>0.87529748645382954</v>
      </c>
      <c r="Q66" s="2">
        <f t="shared" si="2"/>
        <v>0.99237134729764664</v>
      </c>
    </row>
    <row r="67" spans="1:17" x14ac:dyDescent="0.4">
      <c r="A67">
        <f t="shared" si="1"/>
        <v>15000</v>
      </c>
      <c r="B67">
        <f t="shared" si="1"/>
        <v>300</v>
      </c>
      <c r="C67">
        <f t="shared" si="1"/>
        <v>2</v>
      </c>
      <c r="D67">
        <f t="shared" si="1"/>
        <v>0</v>
      </c>
      <c r="E67" s="2">
        <f t="shared" si="1"/>
        <v>13.628086677628298</v>
      </c>
      <c r="F67" s="2">
        <f t="shared" si="1"/>
        <v>0.66836240618394516</v>
      </c>
      <c r="G67" s="2">
        <f t="shared" si="1"/>
        <v>13.578893035044539</v>
      </c>
      <c r="H67" s="2">
        <f t="shared" si="1"/>
        <v>27.903930230935416</v>
      </c>
      <c r="I67" s="2">
        <f t="shared" si="1"/>
        <v>28.690085995992025</v>
      </c>
      <c r="J67" s="2">
        <f t="shared" si="1"/>
        <v>5.603377519936481E-2</v>
      </c>
      <c r="K67" s="2">
        <f t="shared" si="1"/>
        <v>29.740709199202666</v>
      </c>
      <c r="L67" s="3">
        <f t="shared" si="1"/>
        <v>27945.355204678362</v>
      </c>
      <c r="M67" s="3">
        <f t="shared" si="1"/>
        <v>504.75730994152053</v>
      </c>
      <c r="N67" s="4">
        <f t="shared" si="1"/>
        <v>22.259398496240603</v>
      </c>
      <c r="O67" s="4">
        <f t="shared" si="1"/>
        <v>25.333333333333332</v>
      </c>
      <c r="P67" s="2">
        <f t="shared" si="1"/>
        <v>0.87014661362483015</v>
      </c>
      <c r="Q67" s="2">
        <f t="shared" si="2"/>
        <v>0.98259632790276707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 DTAI-H100_BS-65000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OFER BIRAN</cp:lastModifiedBy>
  <dcterms:created xsi:type="dcterms:W3CDTF">2026-03-06T15:55:01Z</dcterms:created>
  <dcterms:modified xsi:type="dcterms:W3CDTF">2026-03-08T09:15:39Z</dcterms:modified>
</cp:coreProperties>
</file>