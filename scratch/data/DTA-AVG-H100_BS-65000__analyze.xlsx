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home\dean\code\llm-d\llm-d-workload-variant-autoscaler\ideas\"/>
    </mc:Choice>
  </mc:AlternateContent>
  <xr:revisionPtr revIDLastSave="0" documentId="13_ncr:1_{EE2ED8BC-E882-483C-8F21-D480697D814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pivot-ITL" sheetId="2" r:id="rId1"/>
    <sheet name="ITL" sheetId="4" r:id="rId2"/>
    <sheet name="pivot-prefill" sheetId="5" r:id="rId3"/>
    <sheet name="ITL-PIVOT" sheetId="8" r:id="rId4"/>
    <sheet name="ITL-PLOT" sheetId="9" r:id="rId5"/>
    <sheet name="data" sheetId="1" r:id="rId6"/>
    <sheet name="scatter" sheetId="13" r:id="rId7"/>
    <sheet name="Sheet2" sheetId="3" r:id="rId8"/>
    <sheet name="Sheet4" sheetId="6" r:id="rId9"/>
    <sheet name="PREFILL-PIVOT" sheetId="10" r:id="rId10"/>
    <sheet name="PREFILL-PLOT" sheetId="11" r:id="rId11"/>
    <sheet name="dynamic" sheetId="12" r:id="rId12"/>
  </sheets>
  <definedNames>
    <definedName name="_xlnm._FilterDatabase" localSheetId="1" hidden="1">ITL!$X$3:$Y$77</definedName>
    <definedName name="AvgOutLoad">data!$V$2</definedName>
    <definedName name="dataheaders">Table1[#Headers]</definedName>
    <definedName name="MaxKVload">data!$S$2</definedName>
    <definedName name="maxNthreshold">data!$BB$2</definedName>
    <definedName name="MaxTok">data!$AC$2</definedName>
    <definedName name="pivotby1">_xlfn.DROP(_xlfn.ANCHORARRAY(scatter!$A$3),1,0)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" i="1" l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O31" i="1"/>
  <c r="AP31" i="1" s="1"/>
  <c r="AO32" i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O51" i="1"/>
  <c r="AO52" i="1"/>
  <c r="AO53" i="1"/>
  <c r="AP53" i="1" s="1"/>
  <c r="AO54" i="1"/>
  <c r="AP54" i="1" s="1"/>
  <c r="AO55" i="1"/>
  <c r="AP55" i="1" s="1"/>
  <c r="AO56" i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O70" i="1"/>
  <c r="AP70" i="1" s="1"/>
  <c r="AO71" i="1"/>
  <c r="AP71" i="1" s="1"/>
  <c r="AO72" i="1"/>
  <c r="AO73" i="1"/>
  <c r="AO74" i="1"/>
  <c r="AP74" i="1" s="1"/>
  <c r="AO75" i="1"/>
  <c r="AP75" i="1" s="1"/>
  <c r="AO76" i="1"/>
  <c r="AP76" i="1" s="1"/>
  <c r="AO77" i="1"/>
  <c r="AP77" i="1" s="1"/>
  <c r="AO78" i="1"/>
  <c r="AP78" i="1" s="1"/>
  <c r="AO79" i="1"/>
  <c r="AP79" i="1" s="1"/>
  <c r="AO80" i="1"/>
  <c r="AP80" i="1" s="1"/>
  <c r="AO81" i="1"/>
  <c r="AP81" i="1" s="1"/>
  <c r="AO82" i="1"/>
  <c r="AP82" i="1" s="1"/>
  <c r="AO83" i="1"/>
  <c r="AP83" i="1" s="1"/>
  <c r="AO84" i="1"/>
  <c r="AP84" i="1" s="1"/>
  <c r="AO85" i="1"/>
  <c r="AP85" i="1" s="1"/>
  <c r="AO86" i="1"/>
  <c r="AP86" i="1" s="1"/>
  <c r="AO87" i="1"/>
  <c r="AP87" i="1" s="1"/>
  <c r="AO88" i="1"/>
  <c r="AP88" i="1" s="1"/>
  <c r="AO89" i="1"/>
  <c r="AP89" i="1" s="1"/>
  <c r="AO90" i="1"/>
  <c r="AP90" i="1" s="1"/>
  <c r="AO91" i="1"/>
  <c r="AP91" i="1" s="1"/>
  <c r="AO92" i="1"/>
  <c r="AP92" i="1" s="1"/>
  <c r="AO93" i="1"/>
  <c r="AP93" i="1" s="1"/>
  <c r="AO94" i="1"/>
  <c r="AO95" i="1"/>
  <c r="AO96" i="1"/>
  <c r="AP96" i="1" s="1"/>
  <c r="AO97" i="1"/>
  <c r="AP97" i="1" s="1"/>
  <c r="AO98" i="1"/>
  <c r="AP98" i="1" s="1"/>
  <c r="AO99" i="1"/>
  <c r="AP99" i="1" s="1"/>
  <c r="AO100" i="1"/>
  <c r="AP100" i="1" s="1"/>
  <c r="AO101" i="1"/>
  <c r="AP101" i="1" s="1"/>
  <c r="AO102" i="1"/>
  <c r="AP102" i="1" s="1"/>
  <c r="AO103" i="1"/>
  <c r="AP103" i="1" s="1"/>
  <c r="AO104" i="1"/>
  <c r="AP104" i="1" s="1"/>
  <c r="AO105" i="1"/>
  <c r="AP105" i="1" s="1"/>
  <c r="AO106" i="1"/>
  <c r="AP106" i="1" s="1"/>
  <c r="AO107" i="1"/>
  <c r="AP107" i="1" s="1"/>
  <c r="AO108" i="1"/>
  <c r="AP108" i="1" s="1"/>
  <c r="AO109" i="1"/>
  <c r="AP109" i="1" s="1"/>
  <c r="AO110" i="1"/>
  <c r="AP110" i="1" s="1"/>
  <c r="AO111" i="1"/>
  <c r="AP111" i="1" s="1"/>
  <c r="AO112" i="1"/>
  <c r="AP112" i="1" s="1"/>
  <c r="AO113" i="1"/>
  <c r="AP113" i="1" s="1"/>
  <c r="AO114" i="1"/>
  <c r="AP114" i="1" s="1"/>
  <c r="AO115" i="1"/>
  <c r="AP115" i="1" s="1"/>
  <c r="AO116" i="1"/>
  <c r="AP116" i="1" s="1"/>
  <c r="AO117" i="1"/>
  <c r="AP117" i="1" s="1"/>
  <c r="AO118" i="1"/>
  <c r="AP118" i="1" s="1"/>
  <c r="AO119" i="1"/>
  <c r="AP119" i="1" s="1"/>
  <c r="AO120" i="1"/>
  <c r="AP120" i="1" s="1"/>
  <c r="AO121" i="1"/>
  <c r="AP121" i="1" s="1"/>
  <c r="AO122" i="1"/>
  <c r="AP122" i="1" s="1"/>
  <c r="AO123" i="1"/>
  <c r="AP123" i="1" s="1"/>
  <c r="AO124" i="1"/>
  <c r="AP124" i="1" s="1"/>
  <c r="AO125" i="1"/>
  <c r="AP125" i="1" s="1"/>
  <c r="AO126" i="1"/>
  <c r="AP126" i="1" s="1"/>
  <c r="AO127" i="1"/>
  <c r="AP127" i="1" s="1"/>
  <c r="AO128" i="1"/>
  <c r="AP128" i="1" s="1"/>
  <c r="AO129" i="1"/>
  <c r="AP129" i="1" s="1"/>
  <c r="AO130" i="1"/>
  <c r="AP130" i="1" s="1"/>
  <c r="AO131" i="1"/>
  <c r="AP131" i="1" s="1"/>
  <c r="AO132" i="1"/>
  <c r="AP132" i="1" s="1"/>
  <c r="AO133" i="1"/>
  <c r="AP133" i="1" s="1"/>
  <c r="AO134" i="1"/>
  <c r="AP134" i="1" s="1"/>
  <c r="AO135" i="1"/>
  <c r="AP135" i="1" s="1"/>
  <c r="AO136" i="1"/>
  <c r="AP136" i="1" s="1"/>
  <c r="AO137" i="1"/>
  <c r="AP137" i="1" s="1"/>
  <c r="AO138" i="1"/>
  <c r="AO139" i="1"/>
  <c r="AP139" i="1" s="1"/>
  <c r="AO140" i="1"/>
  <c r="AP140" i="1" s="1"/>
  <c r="AO141" i="1"/>
  <c r="AP141" i="1" s="1"/>
  <c r="AO142" i="1"/>
  <c r="AP142" i="1" s="1"/>
  <c r="AO143" i="1"/>
  <c r="AP143" i="1" s="1"/>
  <c r="AO144" i="1"/>
  <c r="AP144" i="1" s="1"/>
  <c r="AO145" i="1"/>
  <c r="AP145" i="1" s="1"/>
  <c r="AO146" i="1"/>
  <c r="AP146" i="1" s="1"/>
  <c r="AO147" i="1"/>
  <c r="AP147" i="1" s="1"/>
  <c r="AO148" i="1"/>
  <c r="AP148" i="1" s="1"/>
  <c r="AO149" i="1"/>
  <c r="AP149" i="1" s="1"/>
  <c r="AO150" i="1"/>
  <c r="AP150" i="1" s="1"/>
  <c r="AO151" i="1"/>
  <c r="AP151" i="1" s="1"/>
  <c r="AO152" i="1"/>
  <c r="AP152" i="1" s="1"/>
  <c r="AO153" i="1"/>
  <c r="AP153" i="1" s="1"/>
  <c r="AO154" i="1"/>
  <c r="AP154" i="1" s="1"/>
  <c r="AO155" i="1"/>
  <c r="AP155" i="1" s="1"/>
  <c r="AO156" i="1"/>
  <c r="AP156" i="1" s="1"/>
  <c r="AO157" i="1"/>
  <c r="AP157" i="1" s="1"/>
  <c r="AO158" i="1"/>
  <c r="AP158" i="1" s="1"/>
  <c r="AO159" i="1"/>
  <c r="AP159" i="1" s="1"/>
  <c r="AO160" i="1"/>
  <c r="AO161" i="1"/>
  <c r="AP161" i="1" s="1"/>
  <c r="AO162" i="1"/>
  <c r="AP162" i="1" s="1"/>
  <c r="AO163" i="1"/>
  <c r="AP163" i="1" s="1"/>
  <c r="AO164" i="1"/>
  <c r="AP164" i="1" s="1"/>
  <c r="AO165" i="1"/>
  <c r="AP165" i="1" s="1"/>
  <c r="AO166" i="1"/>
  <c r="AP166" i="1" s="1"/>
  <c r="AO167" i="1"/>
  <c r="AP167" i="1" s="1"/>
  <c r="AO168" i="1"/>
  <c r="AP168" i="1" s="1"/>
  <c r="AO169" i="1"/>
  <c r="AP169" i="1" s="1"/>
  <c r="AO170" i="1"/>
  <c r="AP170" i="1" s="1"/>
  <c r="AO171" i="1"/>
  <c r="AP171" i="1" s="1"/>
  <c r="AO172" i="1"/>
  <c r="AP172" i="1" s="1"/>
  <c r="AO173" i="1"/>
  <c r="AP173" i="1" s="1"/>
  <c r="AO174" i="1"/>
  <c r="AP174" i="1" s="1"/>
  <c r="AO175" i="1"/>
  <c r="AP175" i="1" s="1"/>
  <c r="AO176" i="1"/>
  <c r="AP176" i="1" s="1"/>
  <c r="AO177" i="1"/>
  <c r="AP177" i="1" s="1"/>
  <c r="AO178" i="1"/>
  <c r="AP178" i="1" s="1"/>
  <c r="AO179" i="1"/>
  <c r="AP179" i="1" s="1"/>
  <c r="AO180" i="1"/>
  <c r="AP180" i="1" s="1"/>
  <c r="AO181" i="1"/>
  <c r="AP181" i="1" s="1"/>
  <c r="AO182" i="1"/>
  <c r="AO183" i="1"/>
  <c r="AP183" i="1" s="1"/>
  <c r="AO184" i="1"/>
  <c r="AO185" i="1"/>
  <c r="AP185" i="1" s="1"/>
  <c r="AO186" i="1"/>
  <c r="AO187" i="1"/>
  <c r="AP187" i="1" s="1"/>
  <c r="AO188" i="1"/>
  <c r="AP188" i="1" s="1"/>
  <c r="AO189" i="1"/>
  <c r="AP189" i="1" s="1"/>
  <c r="AO190" i="1"/>
  <c r="AP190" i="1" s="1"/>
  <c r="AO191" i="1"/>
  <c r="AP191" i="1" s="1"/>
  <c r="AO192" i="1"/>
  <c r="AP192" i="1" s="1"/>
  <c r="AO193" i="1"/>
  <c r="AP193" i="1" s="1"/>
  <c r="AO194" i="1"/>
  <c r="AP194" i="1" s="1"/>
  <c r="AO195" i="1"/>
  <c r="AP195" i="1" s="1"/>
  <c r="AO196" i="1"/>
  <c r="AP196" i="1" s="1"/>
  <c r="AO197" i="1"/>
  <c r="AP197" i="1" s="1"/>
  <c r="AO198" i="1"/>
  <c r="AP198" i="1" s="1"/>
  <c r="AO199" i="1"/>
  <c r="AP199" i="1" s="1"/>
  <c r="AO200" i="1"/>
  <c r="AP200" i="1" s="1"/>
  <c r="AO201" i="1"/>
  <c r="AP201" i="1" s="1"/>
  <c r="AO202" i="1"/>
  <c r="AP202" i="1" s="1"/>
  <c r="AO203" i="1"/>
  <c r="AP203" i="1" s="1"/>
  <c r="AO204" i="1"/>
  <c r="AO205" i="1"/>
  <c r="AO206" i="1"/>
  <c r="AP206" i="1" s="1"/>
  <c r="AO207" i="1"/>
  <c r="AP207" i="1" s="1"/>
  <c r="AO208" i="1"/>
  <c r="AP208" i="1" s="1"/>
  <c r="AO209" i="1"/>
  <c r="AP209" i="1" s="1"/>
  <c r="AO210" i="1"/>
  <c r="AP210" i="1" s="1"/>
  <c r="AO211" i="1"/>
  <c r="AP211" i="1" s="1"/>
  <c r="AO212" i="1"/>
  <c r="AP212" i="1" s="1"/>
  <c r="AO213" i="1"/>
  <c r="AP213" i="1" s="1"/>
  <c r="AO214" i="1"/>
  <c r="AP214" i="1" s="1"/>
  <c r="AO215" i="1"/>
  <c r="AP215" i="1" s="1"/>
  <c r="AO216" i="1"/>
  <c r="AP216" i="1" s="1"/>
  <c r="AO217" i="1"/>
  <c r="AP217" i="1" s="1"/>
  <c r="AO218" i="1"/>
  <c r="AP218" i="1" s="1"/>
  <c r="AO219" i="1"/>
  <c r="AP219" i="1" s="1"/>
  <c r="AO220" i="1"/>
  <c r="AP220" i="1" s="1"/>
  <c r="AP6" i="1"/>
  <c r="AP30" i="1"/>
  <c r="AP32" i="1"/>
  <c r="AP50" i="1"/>
  <c r="AP51" i="1"/>
  <c r="AP52" i="1"/>
  <c r="AP72" i="1"/>
  <c r="AP73" i="1"/>
  <c r="AP94" i="1"/>
  <c r="AP95" i="1"/>
  <c r="AP138" i="1"/>
  <c r="AP160" i="1"/>
  <c r="AP182" i="1"/>
  <c r="AP184" i="1"/>
  <c r="AP186" i="1"/>
  <c r="AP204" i="1"/>
  <c r="AP20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AI3" i="1" l="1"/>
  <c r="AI2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AV4" i="13" a="1"/>
  <c r="AV4" i="13" s="1"/>
  <c r="C3" i="1"/>
  <c r="A3" i="1"/>
  <c r="B3" i="1"/>
  <c r="AV4" i="12" l="1" a="1"/>
  <c r="AV4" i="12" s="1"/>
  <c r="V185" i="1"/>
  <c r="AB185" i="1" s="1"/>
  <c r="V197" i="1"/>
  <c r="AB197" i="1" s="1"/>
  <c r="B7" i="11"/>
  <c r="C4" i="11"/>
  <c r="B4" i="11"/>
  <c r="A6" i="11"/>
  <c r="B8" i="11"/>
  <c r="M222" i="11"/>
  <c r="C221" i="11"/>
  <c r="E219" i="11"/>
  <c r="G217" i="11"/>
  <c r="I215" i="11"/>
  <c r="K213" i="11"/>
  <c r="M211" i="11"/>
  <c r="C210" i="11"/>
  <c r="E208" i="11"/>
  <c r="G206" i="11"/>
  <c r="I204" i="11"/>
  <c r="K202" i="11"/>
  <c r="M200" i="11"/>
  <c r="C199" i="11"/>
  <c r="E197" i="11"/>
  <c r="G195" i="11"/>
  <c r="I193" i="11"/>
  <c r="K191" i="11"/>
  <c r="M189" i="11"/>
  <c r="C188" i="11"/>
  <c r="E186" i="11"/>
  <c r="G184" i="11"/>
  <c r="I182" i="11"/>
  <c r="K180" i="11"/>
  <c r="M178" i="11"/>
  <c r="C177" i="11"/>
  <c r="E175" i="11"/>
  <c r="G173" i="11"/>
  <c r="I171" i="11"/>
  <c r="K169" i="11"/>
  <c r="M167" i="11"/>
  <c r="C166" i="11"/>
  <c r="E164" i="11"/>
  <c r="G162" i="11"/>
  <c r="I160" i="11"/>
  <c r="K158" i="11"/>
  <c r="M156" i="11"/>
  <c r="C155" i="11"/>
  <c r="E153" i="11"/>
  <c r="G151" i="11"/>
  <c r="I149" i="11"/>
  <c r="K147" i="11"/>
  <c r="M145" i="11"/>
  <c r="C144" i="11"/>
  <c r="E142" i="11"/>
  <c r="G140" i="11"/>
  <c r="I138" i="11"/>
  <c r="K136" i="11"/>
  <c r="M134" i="11"/>
  <c r="C133" i="11"/>
  <c r="E131" i="11"/>
  <c r="G129" i="11"/>
  <c r="I127" i="11"/>
  <c r="K125" i="11"/>
  <c r="M123" i="11"/>
  <c r="C122" i="11"/>
  <c r="E120" i="11"/>
  <c r="G118" i="11"/>
  <c r="I116" i="11"/>
  <c r="K114" i="11"/>
  <c r="M112" i="11"/>
  <c r="C111" i="11"/>
  <c r="E109" i="11"/>
  <c r="G107" i="11"/>
  <c r="I105" i="11"/>
  <c r="K103" i="11"/>
  <c r="M101" i="11"/>
  <c r="C100" i="11"/>
  <c r="E98" i="11"/>
  <c r="G96" i="11"/>
  <c r="I94" i="11"/>
  <c r="K92" i="11"/>
  <c r="M90" i="11"/>
  <c r="C89" i="11"/>
  <c r="E87" i="11"/>
  <c r="G85" i="11"/>
  <c r="I83" i="11"/>
  <c r="K81" i="11"/>
  <c r="M79" i="11"/>
  <c r="C78" i="11"/>
  <c r="E76" i="11"/>
  <c r="G74" i="11"/>
  <c r="I72" i="11"/>
  <c r="K70" i="11"/>
  <c r="M68" i="11"/>
  <c r="C67" i="11"/>
  <c r="E65" i="11"/>
  <c r="G63" i="11"/>
  <c r="I61" i="11"/>
  <c r="K59" i="11"/>
  <c r="M57" i="11"/>
  <c r="C56" i="11"/>
  <c r="E54" i="11"/>
  <c r="G52" i="11"/>
  <c r="I50" i="11"/>
  <c r="K48" i="11"/>
  <c r="M46" i="11"/>
  <c r="C45" i="11"/>
  <c r="E43" i="11"/>
  <c r="G41" i="11"/>
  <c r="I39" i="11"/>
  <c r="K37" i="11"/>
  <c r="M35" i="11"/>
  <c r="C34" i="11"/>
  <c r="E32" i="11"/>
  <c r="G30" i="11"/>
  <c r="I28" i="11"/>
  <c r="K26" i="11"/>
  <c r="M24" i="11"/>
  <c r="C23" i="11"/>
  <c r="E21" i="11"/>
  <c r="G19" i="11"/>
  <c r="I17" i="11"/>
  <c r="K15" i="11"/>
  <c r="M13" i="11"/>
  <c r="C12" i="11"/>
  <c r="E10" i="11"/>
  <c r="G8" i="11"/>
  <c r="H136" i="11"/>
  <c r="B120" i="11"/>
  <c r="J112" i="11"/>
  <c r="L222" i="11"/>
  <c r="B221" i="11"/>
  <c r="D219" i="11"/>
  <c r="F217" i="11"/>
  <c r="H215" i="11"/>
  <c r="J213" i="11"/>
  <c r="L211" i="11"/>
  <c r="B210" i="11"/>
  <c r="D208" i="11"/>
  <c r="F206" i="11"/>
  <c r="H204" i="11"/>
  <c r="J202" i="11"/>
  <c r="L200" i="11"/>
  <c r="B199" i="11"/>
  <c r="D197" i="11"/>
  <c r="F195" i="11"/>
  <c r="H193" i="11"/>
  <c r="J191" i="11"/>
  <c r="L189" i="11"/>
  <c r="B188" i="11"/>
  <c r="D186" i="11"/>
  <c r="F184" i="11"/>
  <c r="H182" i="11"/>
  <c r="J180" i="11"/>
  <c r="L178" i="11"/>
  <c r="B177" i="11"/>
  <c r="D175" i="11"/>
  <c r="F173" i="11"/>
  <c r="H171" i="11"/>
  <c r="J169" i="11"/>
  <c r="L167" i="11"/>
  <c r="B166" i="11"/>
  <c r="D164" i="11"/>
  <c r="F162" i="11"/>
  <c r="H160" i="11"/>
  <c r="J158" i="11"/>
  <c r="L156" i="11"/>
  <c r="B155" i="11"/>
  <c r="D153" i="11"/>
  <c r="F151" i="11"/>
  <c r="H149" i="11"/>
  <c r="J147" i="11"/>
  <c r="L145" i="11"/>
  <c r="B144" i="11"/>
  <c r="D142" i="11"/>
  <c r="F140" i="11"/>
  <c r="H138" i="11"/>
  <c r="J136" i="11"/>
  <c r="L134" i="11"/>
  <c r="B133" i="11"/>
  <c r="D131" i="11"/>
  <c r="F129" i="11"/>
  <c r="H127" i="11"/>
  <c r="J125" i="11"/>
  <c r="L123" i="11"/>
  <c r="B122" i="11"/>
  <c r="D120" i="11"/>
  <c r="F118" i="11"/>
  <c r="H116" i="11"/>
  <c r="J114" i="11"/>
  <c r="L112" i="11"/>
  <c r="B111" i="11"/>
  <c r="D109" i="11"/>
  <c r="F107" i="11"/>
  <c r="H105" i="11"/>
  <c r="J103" i="11"/>
  <c r="L101" i="11"/>
  <c r="B100" i="11"/>
  <c r="D98" i="11"/>
  <c r="F96" i="11"/>
  <c r="H94" i="11"/>
  <c r="J92" i="11"/>
  <c r="L90" i="11"/>
  <c r="B89" i="11"/>
  <c r="D87" i="11"/>
  <c r="F85" i="11"/>
  <c r="H83" i="11"/>
  <c r="J81" i="11"/>
  <c r="L79" i="11"/>
  <c r="B78" i="11"/>
  <c r="D76" i="11"/>
  <c r="F74" i="11"/>
  <c r="H72" i="11"/>
  <c r="J70" i="11"/>
  <c r="L68" i="11"/>
  <c r="B67" i="11"/>
  <c r="D65" i="11"/>
  <c r="F63" i="11"/>
  <c r="H61" i="11"/>
  <c r="J59" i="11"/>
  <c r="L57" i="11"/>
  <c r="B56" i="11"/>
  <c r="D54" i="11"/>
  <c r="F52" i="11"/>
  <c r="H50" i="11"/>
  <c r="J48" i="11"/>
  <c r="L46" i="11"/>
  <c r="B45" i="11"/>
  <c r="D43" i="11"/>
  <c r="F41" i="11"/>
  <c r="H39" i="11"/>
  <c r="J37" i="11"/>
  <c r="L35" i="11"/>
  <c r="B34" i="11"/>
  <c r="D32" i="11"/>
  <c r="F30" i="11"/>
  <c r="H28" i="11"/>
  <c r="J26" i="11"/>
  <c r="L24" i="11"/>
  <c r="B23" i="11"/>
  <c r="D21" i="11"/>
  <c r="F19" i="11"/>
  <c r="H17" i="11"/>
  <c r="J15" i="11"/>
  <c r="L13" i="11"/>
  <c r="B12" i="11"/>
  <c r="D10" i="11"/>
  <c r="F8" i="11"/>
  <c r="L132" i="11"/>
  <c r="L121" i="11"/>
  <c r="F116" i="11"/>
  <c r="K222" i="11"/>
  <c r="M220" i="11"/>
  <c r="C219" i="11"/>
  <c r="E217" i="11"/>
  <c r="G215" i="11"/>
  <c r="I213" i="11"/>
  <c r="K211" i="11"/>
  <c r="M209" i="11"/>
  <c r="C208" i="11"/>
  <c r="E206" i="11"/>
  <c r="G204" i="11"/>
  <c r="I202" i="11"/>
  <c r="K200" i="11"/>
  <c r="M198" i="11"/>
  <c r="C197" i="11"/>
  <c r="E195" i="11"/>
  <c r="G193" i="11"/>
  <c r="I191" i="11"/>
  <c r="K189" i="11"/>
  <c r="M187" i="11"/>
  <c r="C186" i="11"/>
  <c r="E184" i="11"/>
  <c r="G182" i="11"/>
  <c r="I180" i="11"/>
  <c r="K178" i="11"/>
  <c r="M176" i="11"/>
  <c r="C175" i="11"/>
  <c r="E173" i="11"/>
  <c r="G171" i="11"/>
  <c r="I169" i="11"/>
  <c r="K167" i="11"/>
  <c r="M165" i="11"/>
  <c r="C164" i="11"/>
  <c r="E162" i="11"/>
  <c r="G160" i="11"/>
  <c r="I158" i="11"/>
  <c r="K156" i="11"/>
  <c r="M154" i="11"/>
  <c r="C153" i="11"/>
  <c r="E151" i="11"/>
  <c r="G149" i="11"/>
  <c r="I147" i="11"/>
  <c r="K145" i="11"/>
  <c r="M143" i="11"/>
  <c r="C142" i="11"/>
  <c r="E140" i="11"/>
  <c r="G138" i="11"/>
  <c r="I136" i="11"/>
  <c r="K134" i="11"/>
  <c r="M132" i="11"/>
  <c r="C131" i="11"/>
  <c r="E129" i="11"/>
  <c r="G127" i="11"/>
  <c r="I125" i="11"/>
  <c r="K123" i="11"/>
  <c r="M121" i="11"/>
  <c r="C120" i="11"/>
  <c r="E118" i="11"/>
  <c r="G116" i="11"/>
  <c r="I114" i="11"/>
  <c r="K112" i="11"/>
  <c r="M110" i="11"/>
  <c r="C109" i="11"/>
  <c r="E107" i="11"/>
  <c r="G105" i="11"/>
  <c r="I103" i="11"/>
  <c r="K101" i="11"/>
  <c r="M99" i="11"/>
  <c r="C98" i="11"/>
  <c r="E96" i="11"/>
  <c r="G94" i="11"/>
  <c r="I92" i="11"/>
  <c r="K90" i="11"/>
  <c r="M88" i="11"/>
  <c r="C87" i="11"/>
  <c r="E85" i="11"/>
  <c r="G83" i="11"/>
  <c r="I81" i="11"/>
  <c r="K79" i="11"/>
  <c r="M77" i="11"/>
  <c r="C76" i="11"/>
  <c r="E74" i="11"/>
  <c r="G72" i="11"/>
  <c r="I70" i="11"/>
  <c r="K68" i="11"/>
  <c r="M66" i="11"/>
  <c r="C65" i="11"/>
  <c r="E63" i="11"/>
  <c r="G61" i="11"/>
  <c r="I59" i="11"/>
  <c r="K57" i="11"/>
  <c r="M55" i="11"/>
  <c r="C54" i="11"/>
  <c r="E52" i="11"/>
  <c r="G50" i="11"/>
  <c r="I48" i="11"/>
  <c r="K46" i="11"/>
  <c r="M44" i="11"/>
  <c r="C43" i="11"/>
  <c r="E41" i="11"/>
  <c r="G39" i="11"/>
  <c r="I37" i="11"/>
  <c r="K35" i="11"/>
  <c r="M33" i="11"/>
  <c r="C32" i="11"/>
  <c r="E30" i="11"/>
  <c r="G28" i="11"/>
  <c r="I26" i="11"/>
  <c r="K24" i="11"/>
  <c r="M22" i="11"/>
  <c r="C21" i="11"/>
  <c r="E19" i="11"/>
  <c r="G17" i="11"/>
  <c r="I15" i="11"/>
  <c r="K13" i="11"/>
  <c r="M11" i="11"/>
  <c r="C10" i="11"/>
  <c r="E8" i="11"/>
  <c r="H147" i="11"/>
  <c r="B142" i="11"/>
  <c r="F138" i="11"/>
  <c r="J134" i="11"/>
  <c r="B131" i="11"/>
  <c r="D129" i="11"/>
  <c r="H125" i="11"/>
  <c r="J123" i="11"/>
  <c r="D118" i="11"/>
  <c r="J222" i="11"/>
  <c r="L220" i="11"/>
  <c r="B219" i="11"/>
  <c r="D217" i="11"/>
  <c r="F215" i="11"/>
  <c r="H213" i="11"/>
  <c r="J211" i="11"/>
  <c r="L209" i="11"/>
  <c r="B208" i="11"/>
  <c r="D206" i="11"/>
  <c r="F204" i="11"/>
  <c r="H202" i="11"/>
  <c r="J200" i="11"/>
  <c r="L198" i="11"/>
  <c r="B197" i="11"/>
  <c r="D195" i="11"/>
  <c r="F193" i="11"/>
  <c r="H191" i="11"/>
  <c r="J189" i="11"/>
  <c r="L187" i="11"/>
  <c r="B186" i="11"/>
  <c r="D184" i="11"/>
  <c r="F182" i="11"/>
  <c r="H180" i="11"/>
  <c r="J178" i="11"/>
  <c r="L176" i="11"/>
  <c r="B175" i="11"/>
  <c r="D173" i="11"/>
  <c r="F171" i="11"/>
  <c r="H169" i="11"/>
  <c r="J167" i="11"/>
  <c r="L165" i="11"/>
  <c r="B164" i="11"/>
  <c r="D162" i="11"/>
  <c r="F160" i="11"/>
  <c r="H158" i="11"/>
  <c r="J156" i="11"/>
  <c r="L154" i="11"/>
  <c r="B153" i="11"/>
  <c r="D151" i="11"/>
  <c r="F149" i="11"/>
  <c r="J145" i="11"/>
  <c r="L143" i="11"/>
  <c r="D140" i="11"/>
  <c r="F127" i="11"/>
  <c r="H114" i="11"/>
  <c r="I222" i="11"/>
  <c r="K220" i="11"/>
  <c r="M218" i="11"/>
  <c r="C217" i="11"/>
  <c r="E215" i="11"/>
  <c r="G213" i="11"/>
  <c r="I211" i="11"/>
  <c r="K209" i="11"/>
  <c r="M207" i="11"/>
  <c r="C206" i="11"/>
  <c r="E204" i="11"/>
  <c r="G202" i="11"/>
  <c r="I200" i="11"/>
  <c r="K198" i="11"/>
  <c r="M196" i="11"/>
  <c r="C195" i="11"/>
  <c r="E193" i="11"/>
  <c r="G191" i="11"/>
  <c r="I189" i="11"/>
  <c r="K187" i="11"/>
  <c r="M185" i="11"/>
  <c r="C184" i="11"/>
  <c r="E182" i="11"/>
  <c r="G180" i="11"/>
  <c r="I178" i="11"/>
  <c r="K176" i="11"/>
  <c r="M174" i="11"/>
  <c r="C173" i="11"/>
  <c r="E171" i="11"/>
  <c r="G169" i="11"/>
  <c r="I167" i="11"/>
  <c r="K165" i="11"/>
  <c r="M163" i="11"/>
  <c r="C162" i="11"/>
  <c r="E160" i="11"/>
  <c r="G158" i="11"/>
  <c r="I156" i="11"/>
  <c r="K154" i="11"/>
  <c r="M152" i="11"/>
  <c r="C151" i="11"/>
  <c r="E149" i="11"/>
  <c r="G147" i="11"/>
  <c r="I145" i="11"/>
  <c r="K143" i="11"/>
  <c r="M141" i="11"/>
  <c r="C140" i="11"/>
  <c r="E138" i="11"/>
  <c r="G136" i="11"/>
  <c r="I134" i="11"/>
  <c r="K132" i="11"/>
  <c r="M130" i="11"/>
  <c r="C129" i="11"/>
  <c r="E127" i="11"/>
  <c r="G125" i="11"/>
  <c r="I123" i="11"/>
  <c r="K121" i="11"/>
  <c r="M119" i="11"/>
  <c r="C118" i="11"/>
  <c r="E116" i="11"/>
  <c r="G114" i="11"/>
  <c r="I112" i="11"/>
  <c r="K110" i="11"/>
  <c r="M108" i="11"/>
  <c r="C107" i="11"/>
  <c r="E105" i="11"/>
  <c r="G103" i="11"/>
  <c r="I101" i="11"/>
  <c r="K99" i="11"/>
  <c r="M97" i="11"/>
  <c r="C96" i="11"/>
  <c r="E94" i="11"/>
  <c r="G92" i="11"/>
  <c r="I90" i="11"/>
  <c r="K88" i="11"/>
  <c r="M86" i="11"/>
  <c r="C85" i="11"/>
  <c r="E83" i="11"/>
  <c r="G81" i="11"/>
  <c r="I79" i="11"/>
  <c r="K77" i="11"/>
  <c r="M75" i="11"/>
  <c r="C74" i="11"/>
  <c r="E72" i="11"/>
  <c r="G70" i="11"/>
  <c r="I68" i="11"/>
  <c r="K66" i="11"/>
  <c r="M64" i="11"/>
  <c r="C63" i="11"/>
  <c r="E61" i="11"/>
  <c r="G59" i="11"/>
  <c r="I57" i="11"/>
  <c r="K55" i="11"/>
  <c r="M53" i="11"/>
  <c r="C52" i="11"/>
  <c r="E50" i="11"/>
  <c r="G48" i="11"/>
  <c r="I46" i="11"/>
  <c r="K44" i="11"/>
  <c r="M42" i="11"/>
  <c r="C41" i="11"/>
  <c r="E39" i="11"/>
  <c r="G37" i="11"/>
  <c r="I35" i="11"/>
  <c r="K33" i="11"/>
  <c r="M31" i="11"/>
  <c r="C30" i="11"/>
  <c r="E28" i="11"/>
  <c r="G26" i="11"/>
  <c r="I24" i="11"/>
  <c r="K22" i="11"/>
  <c r="M20" i="11"/>
  <c r="C19" i="11"/>
  <c r="E17" i="11"/>
  <c r="G15" i="11"/>
  <c r="I13" i="11"/>
  <c r="K11" i="11"/>
  <c r="M9" i="11"/>
  <c r="C8" i="11"/>
  <c r="G134" i="11"/>
  <c r="G123" i="11"/>
  <c r="K119" i="11"/>
  <c r="G112" i="11"/>
  <c r="K108" i="11"/>
  <c r="C105" i="11"/>
  <c r="I99" i="11"/>
  <c r="H222" i="11"/>
  <c r="J220" i="11"/>
  <c r="L218" i="11"/>
  <c r="B217" i="11"/>
  <c r="D215" i="11"/>
  <c r="F213" i="11"/>
  <c r="H211" i="11"/>
  <c r="J209" i="11"/>
  <c r="L207" i="11"/>
  <c r="B206" i="11"/>
  <c r="D204" i="11"/>
  <c r="F202" i="11"/>
  <c r="H200" i="11"/>
  <c r="J198" i="11"/>
  <c r="L196" i="11"/>
  <c r="B195" i="11"/>
  <c r="D193" i="11"/>
  <c r="F191" i="11"/>
  <c r="H189" i="11"/>
  <c r="J187" i="11"/>
  <c r="L185" i="11"/>
  <c r="B184" i="11"/>
  <c r="D182" i="11"/>
  <c r="F180" i="11"/>
  <c r="H178" i="11"/>
  <c r="J176" i="11"/>
  <c r="L174" i="11"/>
  <c r="B173" i="11"/>
  <c r="D171" i="11"/>
  <c r="F169" i="11"/>
  <c r="H167" i="11"/>
  <c r="J165" i="11"/>
  <c r="L163" i="11"/>
  <c r="B162" i="11"/>
  <c r="D160" i="11"/>
  <c r="F158" i="11"/>
  <c r="H156" i="11"/>
  <c r="J154" i="11"/>
  <c r="L152" i="11"/>
  <c r="B151" i="11"/>
  <c r="D149" i="11"/>
  <c r="F147" i="11"/>
  <c r="H145" i="11"/>
  <c r="J143" i="11"/>
  <c r="L141" i="11"/>
  <c r="B140" i="11"/>
  <c r="D138" i="11"/>
  <c r="F136" i="11"/>
  <c r="H134" i="11"/>
  <c r="J132" i="11"/>
  <c r="L130" i="11"/>
  <c r="B129" i="11"/>
  <c r="D127" i="11"/>
  <c r="F125" i="11"/>
  <c r="H123" i="11"/>
  <c r="J121" i="11"/>
  <c r="L119" i="11"/>
  <c r="B118" i="11"/>
  <c r="D116" i="11"/>
  <c r="F114" i="11"/>
  <c r="H112" i="11"/>
  <c r="J110" i="11"/>
  <c r="L108" i="11"/>
  <c r="B107" i="11"/>
  <c r="D105" i="11"/>
  <c r="F103" i="11"/>
  <c r="H101" i="11"/>
  <c r="J99" i="11"/>
  <c r="L97" i="11"/>
  <c r="B96" i="11"/>
  <c r="D94" i="11"/>
  <c r="F92" i="11"/>
  <c r="H90" i="11"/>
  <c r="J88" i="11"/>
  <c r="L86" i="11"/>
  <c r="B85" i="11"/>
  <c r="D83" i="11"/>
  <c r="F81" i="11"/>
  <c r="H79" i="11"/>
  <c r="J77" i="11"/>
  <c r="L75" i="11"/>
  <c r="B74" i="11"/>
  <c r="D72" i="11"/>
  <c r="F70" i="11"/>
  <c r="H68" i="11"/>
  <c r="J66" i="11"/>
  <c r="L64" i="11"/>
  <c r="B63" i="11"/>
  <c r="D61" i="11"/>
  <c r="F59" i="11"/>
  <c r="H57" i="11"/>
  <c r="J55" i="11"/>
  <c r="L53" i="11"/>
  <c r="B52" i="11"/>
  <c r="D50" i="11"/>
  <c r="F48" i="11"/>
  <c r="H46" i="11"/>
  <c r="J44" i="11"/>
  <c r="L42" i="11"/>
  <c r="B41" i="11"/>
  <c r="D39" i="11"/>
  <c r="F37" i="11"/>
  <c r="H35" i="11"/>
  <c r="J33" i="11"/>
  <c r="L31" i="11"/>
  <c r="B30" i="11"/>
  <c r="D28" i="11"/>
  <c r="F26" i="11"/>
  <c r="H24" i="11"/>
  <c r="J22" i="11"/>
  <c r="L20" i="11"/>
  <c r="B19" i="11"/>
  <c r="D17" i="11"/>
  <c r="F15" i="11"/>
  <c r="H13" i="11"/>
  <c r="J11" i="11"/>
  <c r="L9" i="11"/>
  <c r="C138" i="11"/>
  <c r="K130" i="11"/>
  <c r="M128" i="11"/>
  <c r="E125" i="11"/>
  <c r="I121" i="11"/>
  <c r="M117" i="11"/>
  <c r="E114" i="11"/>
  <c r="I110" i="11"/>
  <c r="M106" i="11"/>
  <c r="E103" i="11"/>
  <c r="G222" i="11"/>
  <c r="I220" i="11"/>
  <c r="K218" i="11"/>
  <c r="M216" i="11"/>
  <c r="C215" i="11"/>
  <c r="E213" i="11"/>
  <c r="G211" i="11"/>
  <c r="I209" i="11"/>
  <c r="K207" i="11"/>
  <c r="M205" i="11"/>
  <c r="C204" i="11"/>
  <c r="E202" i="11"/>
  <c r="G200" i="11"/>
  <c r="I198" i="11"/>
  <c r="K196" i="11"/>
  <c r="M194" i="11"/>
  <c r="C193" i="11"/>
  <c r="E191" i="11"/>
  <c r="G189" i="11"/>
  <c r="I187" i="11"/>
  <c r="K185" i="11"/>
  <c r="M183" i="11"/>
  <c r="C182" i="11"/>
  <c r="E180" i="11"/>
  <c r="G178" i="11"/>
  <c r="I176" i="11"/>
  <c r="K174" i="11"/>
  <c r="M172" i="11"/>
  <c r="C171" i="11"/>
  <c r="E169" i="11"/>
  <c r="G167" i="11"/>
  <c r="I165" i="11"/>
  <c r="K163" i="11"/>
  <c r="M161" i="11"/>
  <c r="C160" i="11"/>
  <c r="E158" i="11"/>
  <c r="G156" i="11"/>
  <c r="I154" i="11"/>
  <c r="K152" i="11"/>
  <c r="M150" i="11"/>
  <c r="C149" i="11"/>
  <c r="E147" i="11"/>
  <c r="G145" i="11"/>
  <c r="I143" i="11"/>
  <c r="K141" i="11"/>
  <c r="M139" i="11"/>
  <c r="E136" i="11"/>
  <c r="I132" i="11"/>
  <c r="C127" i="11"/>
  <c r="C116" i="11"/>
  <c r="F222" i="11"/>
  <c r="H220" i="11"/>
  <c r="J218" i="11"/>
  <c r="L216" i="11"/>
  <c r="B215" i="11"/>
  <c r="D213" i="11"/>
  <c r="F211" i="11"/>
  <c r="H209" i="11"/>
  <c r="J207" i="11"/>
  <c r="L205" i="11"/>
  <c r="B204" i="11"/>
  <c r="D202" i="11"/>
  <c r="F200" i="11"/>
  <c r="H198" i="11"/>
  <c r="J196" i="11"/>
  <c r="L194" i="11"/>
  <c r="B193" i="11"/>
  <c r="D191" i="11"/>
  <c r="F189" i="11"/>
  <c r="H187" i="11"/>
  <c r="J185" i="11"/>
  <c r="L183" i="11"/>
  <c r="B182" i="11"/>
  <c r="D180" i="11"/>
  <c r="F178" i="11"/>
  <c r="H176" i="11"/>
  <c r="J174" i="11"/>
  <c r="L172" i="11"/>
  <c r="B171" i="11"/>
  <c r="D169" i="11"/>
  <c r="F167" i="11"/>
  <c r="H165" i="11"/>
  <c r="J163" i="11"/>
  <c r="L161" i="11"/>
  <c r="B160" i="11"/>
  <c r="D158" i="11"/>
  <c r="F156" i="11"/>
  <c r="H154" i="11"/>
  <c r="J152" i="11"/>
  <c r="L150" i="11"/>
  <c r="B149" i="11"/>
  <c r="D147" i="11"/>
  <c r="F145" i="11"/>
  <c r="H143" i="11"/>
  <c r="J141" i="11"/>
  <c r="L139" i="11"/>
  <c r="B138" i="11"/>
  <c r="D136" i="11"/>
  <c r="F134" i="11"/>
  <c r="H132" i="11"/>
  <c r="J130" i="11"/>
  <c r="L128" i="11"/>
  <c r="B127" i="11"/>
  <c r="D125" i="11"/>
  <c r="F123" i="11"/>
  <c r="H121" i="11"/>
  <c r="J119" i="11"/>
  <c r="L117" i="11"/>
  <c r="B116" i="11"/>
  <c r="D114" i="11"/>
  <c r="F112" i="11"/>
  <c r="H110" i="11"/>
  <c r="J108" i="11"/>
  <c r="L106" i="11"/>
  <c r="B105" i="11"/>
  <c r="D103" i="11"/>
  <c r="F101" i="11"/>
  <c r="H99" i="11"/>
  <c r="J97" i="11"/>
  <c r="L95" i="11"/>
  <c r="B94" i="11"/>
  <c r="D92" i="11"/>
  <c r="F90" i="11"/>
  <c r="H88" i="11"/>
  <c r="J86" i="11"/>
  <c r="L84" i="11"/>
  <c r="B83" i="11"/>
  <c r="D81" i="11"/>
  <c r="F79" i="11"/>
  <c r="H77" i="11"/>
  <c r="J75" i="11"/>
  <c r="L73" i="11"/>
  <c r="B72" i="11"/>
  <c r="D70" i="11"/>
  <c r="F68" i="11"/>
  <c r="H66" i="11"/>
  <c r="J64" i="11"/>
  <c r="L62" i="11"/>
  <c r="B61" i="11"/>
  <c r="D59" i="11"/>
  <c r="F57" i="11"/>
  <c r="H55" i="11"/>
  <c r="J53" i="11"/>
  <c r="L51" i="11"/>
  <c r="B50" i="11"/>
  <c r="D48" i="11"/>
  <c r="F46" i="11"/>
  <c r="H44" i="11"/>
  <c r="J42" i="11"/>
  <c r="E222" i="11"/>
  <c r="G220" i="11"/>
  <c r="I218" i="11"/>
  <c r="K216" i="11"/>
  <c r="M214" i="11"/>
  <c r="C213" i="11"/>
  <c r="E211" i="11"/>
  <c r="G209" i="11"/>
  <c r="I207" i="11"/>
  <c r="K205" i="11"/>
  <c r="M203" i="11"/>
  <c r="C202" i="11"/>
  <c r="E200" i="11"/>
  <c r="G198" i="11"/>
  <c r="I196" i="11"/>
  <c r="K194" i="11"/>
  <c r="M192" i="11"/>
  <c r="C191" i="11"/>
  <c r="E189" i="11"/>
  <c r="G187" i="11"/>
  <c r="I185" i="11"/>
  <c r="K183" i="11"/>
  <c r="M181" i="11"/>
  <c r="C180" i="11"/>
  <c r="E178" i="11"/>
  <c r="G176" i="11"/>
  <c r="I174" i="11"/>
  <c r="K172" i="11"/>
  <c r="M170" i="11"/>
  <c r="C169" i="11"/>
  <c r="E167" i="11"/>
  <c r="G165" i="11"/>
  <c r="I163" i="11"/>
  <c r="K161" i="11"/>
  <c r="M159" i="11"/>
  <c r="C158" i="11"/>
  <c r="E156" i="11"/>
  <c r="G154" i="11"/>
  <c r="I152" i="11"/>
  <c r="K150" i="11"/>
  <c r="M148" i="11"/>
  <c r="C147" i="11"/>
  <c r="E145" i="11"/>
  <c r="G143" i="11"/>
  <c r="I141" i="11"/>
  <c r="K139" i="11"/>
  <c r="M137" i="11"/>
  <c r="C136" i="11"/>
  <c r="E134" i="11"/>
  <c r="G132" i="11"/>
  <c r="I130" i="11"/>
  <c r="K128" i="11"/>
  <c r="M126" i="11"/>
  <c r="C125" i="11"/>
  <c r="E123" i="11"/>
  <c r="G121" i="11"/>
  <c r="I119" i="11"/>
  <c r="K117" i="11"/>
  <c r="M115" i="11"/>
  <c r="D222" i="11"/>
  <c r="F220" i="11"/>
  <c r="H218" i="11"/>
  <c r="J216" i="11"/>
  <c r="L214" i="11"/>
  <c r="B213" i="11"/>
  <c r="D211" i="11"/>
  <c r="F209" i="11"/>
  <c r="H207" i="11"/>
  <c r="J205" i="11"/>
  <c r="L203" i="11"/>
  <c r="B202" i="11"/>
  <c r="D200" i="11"/>
  <c r="F198" i="11"/>
  <c r="H196" i="11"/>
  <c r="J194" i="11"/>
  <c r="L192" i="11"/>
  <c r="B191" i="11"/>
  <c r="D189" i="11"/>
  <c r="F187" i="11"/>
  <c r="H185" i="11"/>
  <c r="J183" i="11"/>
  <c r="L181" i="11"/>
  <c r="B180" i="11"/>
  <c r="D178" i="11"/>
  <c r="F176" i="11"/>
  <c r="H174" i="11"/>
  <c r="J172" i="11"/>
  <c r="L170" i="11"/>
  <c r="B169" i="11"/>
  <c r="D167" i="11"/>
  <c r="F165" i="11"/>
  <c r="H163" i="11"/>
  <c r="J161" i="11"/>
  <c r="L159" i="11"/>
  <c r="B158" i="11"/>
  <c r="D156" i="11"/>
  <c r="F154" i="11"/>
  <c r="H152" i="11"/>
  <c r="J150" i="11"/>
  <c r="L148" i="11"/>
  <c r="B147" i="11"/>
  <c r="D145" i="11"/>
  <c r="F143" i="11"/>
  <c r="H141" i="11"/>
  <c r="J139" i="11"/>
  <c r="L137" i="11"/>
  <c r="B136" i="11"/>
  <c r="D134" i="11"/>
  <c r="F132" i="11"/>
  <c r="I221" i="11"/>
  <c r="C222" i="11"/>
  <c r="F219" i="11"/>
  <c r="L215" i="11"/>
  <c r="F212" i="11"/>
  <c r="L208" i="11"/>
  <c r="F205" i="11"/>
  <c r="L201" i="11"/>
  <c r="D199" i="11"/>
  <c r="J195" i="11"/>
  <c r="D192" i="11"/>
  <c r="J188" i="11"/>
  <c r="D185" i="11"/>
  <c r="J181" i="11"/>
  <c r="B179" i="11"/>
  <c r="H175" i="11"/>
  <c r="B172" i="11"/>
  <c r="H168" i="11"/>
  <c r="B165" i="11"/>
  <c r="H161" i="11"/>
  <c r="L158" i="11"/>
  <c r="F155" i="11"/>
  <c r="L151" i="11"/>
  <c r="F148" i="11"/>
  <c r="L144" i="11"/>
  <c r="F141" i="11"/>
  <c r="J138" i="11"/>
  <c r="D135" i="11"/>
  <c r="J131" i="11"/>
  <c r="F128" i="11"/>
  <c r="B125" i="11"/>
  <c r="G122" i="11"/>
  <c r="C119" i="11"/>
  <c r="K115" i="11"/>
  <c r="E113" i="11"/>
  <c r="D110" i="11"/>
  <c r="K107" i="11"/>
  <c r="K104" i="11"/>
  <c r="F102" i="11"/>
  <c r="G99" i="11"/>
  <c r="C97" i="11"/>
  <c r="K94" i="11"/>
  <c r="M91" i="11"/>
  <c r="I89" i="11"/>
  <c r="B87" i="11"/>
  <c r="G84" i="11"/>
  <c r="C82" i="11"/>
  <c r="E79" i="11"/>
  <c r="M76" i="11"/>
  <c r="I74" i="11"/>
  <c r="K71" i="11"/>
  <c r="G69" i="11"/>
  <c r="L66" i="11"/>
  <c r="E64" i="11"/>
  <c r="M61" i="11"/>
  <c r="C59" i="11"/>
  <c r="K56" i="11"/>
  <c r="G54" i="11"/>
  <c r="I51" i="11"/>
  <c r="E49" i="11"/>
  <c r="J46" i="11"/>
  <c r="C44" i="11"/>
  <c r="K41" i="11"/>
  <c r="C39" i="11"/>
  <c r="L36" i="11"/>
  <c r="I34" i="11"/>
  <c r="F32" i="11"/>
  <c r="J29" i="11"/>
  <c r="G27" i="11"/>
  <c r="D25" i="11"/>
  <c r="H22" i="11"/>
  <c r="E20" i="11"/>
  <c r="B18" i="11"/>
  <c r="H15" i="11"/>
  <c r="C13" i="11"/>
  <c r="L10" i="11"/>
  <c r="I8" i="11"/>
  <c r="K36" i="11"/>
  <c r="I29" i="11"/>
  <c r="G22" i="11"/>
  <c r="M17" i="11"/>
  <c r="B13" i="11"/>
  <c r="H8" i="11"/>
  <c r="B54" i="11"/>
  <c r="M43" i="11"/>
  <c r="I41" i="11"/>
  <c r="G34" i="11"/>
  <c r="E27" i="11"/>
  <c r="C20" i="11"/>
  <c r="D15" i="11"/>
  <c r="D99" i="11"/>
  <c r="D84" i="11"/>
  <c r="H71" i="11"/>
  <c r="H56" i="11"/>
  <c r="B49" i="11"/>
  <c r="L38" i="11"/>
  <c r="J24" i="11"/>
  <c r="C15" i="11"/>
  <c r="G24" i="11"/>
  <c r="J17" i="11"/>
  <c r="G137" i="11"/>
  <c r="K106" i="11"/>
  <c r="D89" i="11"/>
  <c r="H76" i="11"/>
  <c r="J58" i="11"/>
  <c r="M40" i="11"/>
  <c r="B27" i="11"/>
  <c r="M14" i="11"/>
  <c r="J109" i="11"/>
  <c r="I96" i="11"/>
  <c r="K78" i="11"/>
  <c r="I58" i="11"/>
  <c r="L40" i="11"/>
  <c r="D29" i="11"/>
  <c r="F10" i="11"/>
  <c r="G12" i="11"/>
  <c r="F12" i="11"/>
  <c r="M103" i="11"/>
  <c r="C68" i="11"/>
  <c r="I45" i="11"/>
  <c r="J21" i="11"/>
  <c r="E220" i="11"/>
  <c r="C150" i="11"/>
  <c r="J111" i="11"/>
  <c r="D88" i="11"/>
  <c r="H60" i="11"/>
  <c r="D38" i="11"/>
  <c r="M18" i="11"/>
  <c r="B222" i="11"/>
  <c r="G218" i="11"/>
  <c r="K215" i="11"/>
  <c r="E212" i="11"/>
  <c r="K208" i="11"/>
  <c r="E205" i="11"/>
  <c r="K201" i="11"/>
  <c r="E198" i="11"/>
  <c r="I195" i="11"/>
  <c r="C192" i="11"/>
  <c r="I188" i="11"/>
  <c r="C185" i="11"/>
  <c r="I181" i="11"/>
  <c r="C178" i="11"/>
  <c r="G175" i="11"/>
  <c r="M171" i="11"/>
  <c r="G168" i="11"/>
  <c r="M164" i="11"/>
  <c r="G161" i="11"/>
  <c r="M157" i="11"/>
  <c r="E155" i="11"/>
  <c r="K151" i="11"/>
  <c r="E148" i="11"/>
  <c r="K144" i="11"/>
  <c r="E141" i="11"/>
  <c r="K137" i="11"/>
  <c r="C135" i="11"/>
  <c r="I131" i="11"/>
  <c r="E128" i="11"/>
  <c r="M124" i="11"/>
  <c r="F122" i="11"/>
  <c r="B119" i="11"/>
  <c r="J115" i="11"/>
  <c r="D113" i="11"/>
  <c r="C110" i="11"/>
  <c r="J107" i="11"/>
  <c r="J104" i="11"/>
  <c r="E102" i="11"/>
  <c r="F99" i="11"/>
  <c r="B97" i="11"/>
  <c r="J94" i="11"/>
  <c r="L91" i="11"/>
  <c r="H89" i="11"/>
  <c r="K86" i="11"/>
  <c r="F84" i="11"/>
  <c r="B82" i="11"/>
  <c r="D79" i="11"/>
  <c r="L76" i="11"/>
  <c r="H74" i="11"/>
  <c r="J71" i="11"/>
  <c r="F69" i="11"/>
  <c r="I66" i="11"/>
  <c r="D64" i="11"/>
  <c r="L61" i="11"/>
  <c r="B59" i="11"/>
  <c r="J56" i="11"/>
  <c r="F54" i="11"/>
  <c r="H51" i="11"/>
  <c r="D49" i="11"/>
  <c r="G46" i="11"/>
  <c r="B44" i="11"/>
  <c r="J41" i="11"/>
  <c r="B39" i="11"/>
  <c r="H34" i="11"/>
  <c r="B32" i="11"/>
  <c r="F27" i="11"/>
  <c r="C25" i="11"/>
  <c r="D20" i="11"/>
  <c r="E15" i="11"/>
  <c r="K10" i="11"/>
  <c r="C49" i="11"/>
  <c r="J36" i="11"/>
  <c r="H29" i="11"/>
  <c r="F22" i="11"/>
  <c r="M12" i="11"/>
  <c r="J10" i="11"/>
  <c r="L96" i="11"/>
  <c r="B79" i="11"/>
  <c r="D69" i="11"/>
  <c r="L58" i="11"/>
  <c r="D46" i="11"/>
  <c r="J31" i="11"/>
  <c r="E22" i="11"/>
  <c r="L12" i="11"/>
  <c r="F29" i="11"/>
  <c r="H10" i="11"/>
  <c r="I124" i="11"/>
  <c r="J118" i="11"/>
  <c r="F104" i="11"/>
  <c r="H91" i="11"/>
  <c r="L78" i="11"/>
  <c r="F71" i="11"/>
  <c r="F56" i="11"/>
  <c r="J43" i="11"/>
  <c r="H31" i="11"/>
  <c r="C22" i="11"/>
  <c r="I118" i="11"/>
  <c r="K93" i="11"/>
  <c r="C81" i="11"/>
  <c r="C66" i="11"/>
  <c r="C51" i="11"/>
  <c r="F36" i="11"/>
  <c r="L14" i="11"/>
  <c r="I19" i="11"/>
  <c r="H19" i="11"/>
  <c r="B101" i="11"/>
  <c r="E73" i="11"/>
  <c r="C53" i="11"/>
  <c r="C31" i="11"/>
  <c r="H14" i="11"/>
  <c r="M193" i="11"/>
  <c r="E177" i="11"/>
  <c r="I146" i="11"/>
  <c r="C124" i="11"/>
  <c r="M100" i="11"/>
  <c r="F78" i="11"/>
  <c r="L47" i="11"/>
  <c r="C26" i="11"/>
  <c r="M221" i="11"/>
  <c r="F218" i="11"/>
  <c r="J215" i="11"/>
  <c r="D212" i="11"/>
  <c r="J208" i="11"/>
  <c r="D205" i="11"/>
  <c r="J201" i="11"/>
  <c r="D198" i="11"/>
  <c r="H195" i="11"/>
  <c r="B192" i="11"/>
  <c r="H188" i="11"/>
  <c r="B185" i="11"/>
  <c r="H181" i="11"/>
  <c r="B178" i="11"/>
  <c r="F175" i="11"/>
  <c r="L171" i="11"/>
  <c r="F168" i="11"/>
  <c r="L164" i="11"/>
  <c r="F161" i="11"/>
  <c r="L157" i="11"/>
  <c r="D155" i="11"/>
  <c r="J151" i="11"/>
  <c r="D148" i="11"/>
  <c r="J144" i="11"/>
  <c r="D141" i="11"/>
  <c r="J137" i="11"/>
  <c r="B135" i="11"/>
  <c r="H131" i="11"/>
  <c r="D128" i="11"/>
  <c r="L124" i="11"/>
  <c r="E122" i="11"/>
  <c r="M118" i="11"/>
  <c r="I115" i="11"/>
  <c r="C113" i="11"/>
  <c r="B110" i="11"/>
  <c r="I107" i="11"/>
  <c r="I104" i="11"/>
  <c r="D102" i="11"/>
  <c r="E99" i="11"/>
  <c r="M96" i="11"/>
  <c r="F94" i="11"/>
  <c r="K91" i="11"/>
  <c r="G89" i="11"/>
  <c r="I86" i="11"/>
  <c r="E84" i="11"/>
  <c r="M81" i="11"/>
  <c r="C79" i="11"/>
  <c r="K76" i="11"/>
  <c r="D74" i="11"/>
  <c r="I71" i="11"/>
  <c r="E69" i="11"/>
  <c r="G66" i="11"/>
  <c r="C64" i="11"/>
  <c r="K61" i="11"/>
  <c r="M58" i="11"/>
  <c r="I56" i="11"/>
  <c r="G51" i="11"/>
  <c r="E46" i="11"/>
  <c r="M38" i="11"/>
  <c r="K31" i="11"/>
  <c r="B25" i="11"/>
  <c r="L17" i="11"/>
  <c r="D8" i="11"/>
  <c r="J91" i="11"/>
  <c r="J76" i="11"/>
  <c r="F66" i="11"/>
  <c r="J61" i="11"/>
  <c r="F51" i="11"/>
  <c r="L43" i="11"/>
  <c r="F34" i="11"/>
  <c r="D27" i="11"/>
  <c r="B20" i="11"/>
  <c r="I31" i="11"/>
  <c r="B15" i="11"/>
  <c r="H130" i="11"/>
  <c r="D112" i="11"/>
  <c r="J96" i="11"/>
  <c r="B84" i="11"/>
  <c r="D66" i="11"/>
  <c r="D51" i="11"/>
  <c r="J38" i="11"/>
  <c r="E29" i="11"/>
  <c r="F17" i="11"/>
  <c r="D121" i="11"/>
  <c r="G101" i="11"/>
  <c r="E86" i="11"/>
  <c r="E71" i="11"/>
  <c r="K63" i="11"/>
  <c r="H48" i="11"/>
  <c r="I38" i="11"/>
  <c r="M26" i="11"/>
  <c r="I12" i="11"/>
  <c r="J14" i="11"/>
  <c r="H117" i="11"/>
  <c r="K80" i="11"/>
  <c r="K50" i="11"/>
  <c r="L28" i="11"/>
  <c r="C214" i="11"/>
  <c r="E163" i="11"/>
  <c r="B130" i="11"/>
  <c r="L103" i="11"/>
  <c r="L85" i="11"/>
  <c r="B68" i="11"/>
  <c r="K42" i="11"/>
  <c r="B31" i="11"/>
  <c r="G14" i="11"/>
  <c r="L221" i="11"/>
  <c r="E218" i="11"/>
  <c r="K214" i="11"/>
  <c r="C212" i="11"/>
  <c r="I208" i="11"/>
  <c r="C205" i="11"/>
  <c r="I201" i="11"/>
  <c r="C198" i="11"/>
  <c r="I194" i="11"/>
  <c r="M191" i="11"/>
  <c r="G188" i="11"/>
  <c r="M184" i="11"/>
  <c r="G181" i="11"/>
  <c r="M177" i="11"/>
  <c r="G174" i="11"/>
  <c r="K171" i="11"/>
  <c r="E168" i="11"/>
  <c r="K164" i="11"/>
  <c r="E161" i="11"/>
  <c r="K157" i="11"/>
  <c r="E154" i="11"/>
  <c r="I151" i="11"/>
  <c r="C148" i="11"/>
  <c r="I144" i="11"/>
  <c r="C141" i="11"/>
  <c r="I137" i="11"/>
  <c r="C134" i="11"/>
  <c r="G131" i="11"/>
  <c r="C128" i="11"/>
  <c r="K124" i="11"/>
  <c r="D122" i="11"/>
  <c r="L118" i="11"/>
  <c r="H115" i="11"/>
  <c r="B113" i="11"/>
  <c r="M109" i="11"/>
  <c r="H107" i="11"/>
  <c r="H104" i="11"/>
  <c r="C102" i="11"/>
  <c r="C94" i="11"/>
  <c r="F89" i="11"/>
  <c r="H86" i="11"/>
  <c r="L81" i="11"/>
  <c r="M73" i="11"/>
  <c r="B64" i="11"/>
  <c r="K53" i="11"/>
  <c r="H41" i="11"/>
  <c r="I36" i="11"/>
  <c r="G29" i="11"/>
  <c r="K17" i="11"/>
  <c r="I10" i="11"/>
  <c r="D22" i="11"/>
  <c r="K12" i="11"/>
  <c r="M133" i="11"/>
  <c r="K109" i="11"/>
  <c r="L93" i="11"/>
  <c r="E81" i="11"/>
  <c r="L63" i="11"/>
  <c r="L48" i="11"/>
  <c r="D34" i="11"/>
  <c r="L19" i="11"/>
  <c r="E115" i="11"/>
  <c r="E104" i="11"/>
  <c r="L88" i="11"/>
  <c r="I73" i="11"/>
  <c r="M60" i="11"/>
  <c r="M45" i="11"/>
  <c r="L33" i="11"/>
  <c r="C17" i="11"/>
  <c r="M16" i="11"/>
  <c r="K111" i="11"/>
  <c r="I75" i="11"/>
  <c r="M47" i="11"/>
  <c r="D26" i="11"/>
  <c r="I210" i="11"/>
  <c r="K159" i="11"/>
  <c r="J126" i="11"/>
  <c r="H98" i="11"/>
  <c r="H75" i="11"/>
  <c r="B53" i="11"/>
  <c r="L23" i="11"/>
  <c r="K221" i="11"/>
  <c r="D218" i="11"/>
  <c r="J214" i="11"/>
  <c r="B212" i="11"/>
  <c r="H208" i="11"/>
  <c r="B205" i="11"/>
  <c r="H201" i="11"/>
  <c r="B198" i="11"/>
  <c r="H194" i="11"/>
  <c r="L191" i="11"/>
  <c r="F188" i="11"/>
  <c r="L184" i="11"/>
  <c r="F181" i="11"/>
  <c r="L177" i="11"/>
  <c r="F174" i="11"/>
  <c r="J171" i="11"/>
  <c r="D168" i="11"/>
  <c r="J164" i="11"/>
  <c r="D161" i="11"/>
  <c r="J157" i="11"/>
  <c r="D154" i="11"/>
  <c r="H151" i="11"/>
  <c r="B148" i="11"/>
  <c r="H144" i="11"/>
  <c r="B141" i="11"/>
  <c r="H137" i="11"/>
  <c r="B134" i="11"/>
  <c r="F131" i="11"/>
  <c r="B128" i="11"/>
  <c r="J124" i="11"/>
  <c r="F121" i="11"/>
  <c r="K118" i="11"/>
  <c r="G115" i="11"/>
  <c r="E112" i="11"/>
  <c r="L109" i="11"/>
  <c r="D107" i="11"/>
  <c r="G104" i="11"/>
  <c r="B102" i="11"/>
  <c r="C99" i="11"/>
  <c r="K96" i="11"/>
  <c r="M93" i="11"/>
  <c r="I91" i="11"/>
  <c r="E89" i="11"/>
  <c r="G86" i="11"/>
  <c r="C84" i="11"/>
  <c r="H81" i="11"/>
  <c r="M78" i="11"/>
  <c r="I76" i="11"/>
  <c r="K73" i="11"/>
  <c r="G71" i="11"/>
  <c r="C69" i="11"/>
  <c r="E66" i="11"/>
  <c r="M63" i="11"/>
  <c r="F61" i="11"/>
  <c r="K58" i="11"/>
  <c r="G56" i="11"/>
  <c r="I53" i="11"/>
  <c r="E51" i="11"/>
  <c r="M48" i="11"/>
  <c r="C46" i="11"/>
  <c r="K43" i="11"/>
  <c r="D41" i="11"/>
  <c r="K38" i="11"/>
  <c r="H36" i="11"/>
  <c r="E34" i="11"/>
  <c r="C27" i="11"/>
  <c r="M19" i="11"/>
  <c r="M127" i="11"/>
  <c r="F115" i="11"/>
  <c r="B99" i="11"/>
  <c r="F86" i="11"/>
  <c r="J73" i="11"/>
  <c r="C61" i="11"/>
  <c r="H53" i="11"/>
  <c r="B46" i="11"/>
  <c r="G36" i="11"/>
  <c r="F24" i="11"/>
  <c r="J12" i="11"/>
  <c r="C112" i="11"/>
  <c r="M98" i="11"/>
  <c r="M83" i="11"/>
  <c r="J68" i="11"/>
  <c r="G53" i="11"/>
  <c r="I43" i="11"/>
  <c r="G31" i="11"/>
  <c r="E24" i="11"/>
  <c r="C24" i="11"/>
  <c r="K9" i="11"/>
  <c r="F109" i="11"/>
  <c r="F83" i="11"/>
  <c r="E58" i="11"/>
  <c r="F33" i="11"/>
  <c r="I9" i="11"/>
  <c r="C200" i="11"/>
  <c r="E170" i="11"/>
  <c r="I139" i="11"/>
  <c r="L114" i="11"/>
  <c r="F93" i="11"/>
  <c r="D73" i="11"/>
  <c r="G40" i="11"/>
  <c r="J16" i="11"/>
  <c r="J221" i="11"/>
  <c r="C218" i="11"/>
  <c r="I214" i="11"/>
  <c r="C211" i="11"/>
  <c r="G208" i="11"/>
  <c r="M204" i="11"/>
  <c r="G201" i="11"/>
  <c r="M197" i="11"/>
  <c r="G194" i="11"/>
  <c r="M190" i="11"/>
  <c r="E188" i="11"/>
  <c r="K184" i="11"/>
  <c r="E181" i="11"/>
  <c r="K177" i="11"/>
  <c r="E174" i="11"/>
  <c r="K170" i="11"/>
  <c r="C168" i="11"/>
  <c r="I164" i="11"/>
  <c r="C161" i="11"/>
  <c r="I157" i="11"/>
  <c r="C154" i="11"/>
  <c r="I150" i="11"/>
  <c r="M147" i="11"/>
  <c r="G144" i="11"/>
  <c r="M140" i="11"/>
  <c r="E121" i="11"/>
  <c r="J101" i="11"/>
  <c r="B69" i="11"/>
  <c r="G10" i="11"/>
  <c r="G76" i="11"/>
  <c r="K19" i="11"/>
  <c r="E88" i="11"/>
  <c r="M186" i="11"/>
  <c r="J65" i="11"/>
  <c r="H221" i="11"/>
  <c r="B218" i="11"/>
  <c r="H214" i="11"/>
  <c r="B211" i="11"/>
  <c r="F208" i="11"/>
  <c r="L204" i="11"/>
  <c r="F201" i="11"/>
  <c r="L197" i="11"/>
  <c r="F194" i="11"/>
  <c r="L190" i="11"/>
  <c r="D188" i="11"/>
  <c r="J184" i="11"/>
  <c r="D181" i="11"/>
  <c r="J177" i="11"/>
  <c r="D174" i="11"/>
  <c r="J170" i="11"/>
  <c r="B168" i="11"/>
  <c r="H164" i="11"/>
  <c r="B161" i="11"/>
  <c r="H157" i="11"/>
  <c r="B154" i="11"/>
  <c r="H150" i="11"/>
  <c r="L147" i="11"/>
  <c r="F144" i="11"/>
  <c r="L140" i="11"/>
  <c r="F137" i="11"/>
  <c r="L133" i="11"/>
  <c r="G130" i="11"/>
  <c r="L127" i="11"/>
  <c r="H124" i="11"/>
  <c r="J106" i="11"/>
  <c r="G91" i="11"/>
  <c r="E56" i="11"/>
  <c r="B22" i="11"/>
  <c r="M85" i="11"/>
  <c r="G190" i="11"/>
  <c r="M62" i="11"/>
  <c r="G221" i="11"/>
  <c r="M217" i="11"/>
  <c r="G214" i="11"/>
  <c r="M210" i="11"/>
  <c r="G207" i="11"/>
  <c r="K204" i="11"/>
  <c r="E201" i="11"/>
  <c r="K197" i="11"/>
  <c r="E194" i="11"/>
  <c r="K190" i="11"/>
  <c r="E187" i="11"/>
  <c r="I184" i="11"/>
  <c r="C181" i="11"/>
  <c r="I177" i="11"/>
  <c r="C174" i="11"/>
  <c r="I170" i="11"/>
  <c r="C167" i="11"/>
  <c r="G164" i="11"/>
  <c r="M160" i="11"/>
  <c r="G157" i="11"/>
  <c r="M153" i="11"/>
  <c r="G150" i="11"/>
  <c r="M146" i="11"/>
  <c r="E144" i="11"/>
  <c r="K140" i="11"/>
  <c r="E137" i="11"/>
  <c r="K133" i="11"/>
  <c r="F130" i="11"/>
  <c r="K127" i="11"/>
  <c r="G124" i="11"/>
  <c r="C121" i="11"/>
  <c r="H118" i="11"/>
  <c r="D115" i="11"/>
  <c r="B112" i="11"/>
  <c r="I109" i="11"/>
  <c r="I106" i="11"/>
  <c r="D104" i="11"/>
  <c r="E101" i="11"/>
  <c r="L98" i="11"/>
  <c r="H96" i="11"/>
  <c r="J93" i="11"/>
  <c r="F91" i="11"/>
  <c r="I88" i="11"/>
  <c r="D86" i="11"/>
  <c r="L83" i="11"/>
  <c r="B81" i="11"/>
  <c r="J78" i="11"/>
  <c r="F76" i="11"/>
  <c r="H73" i="11"/>
  <c r="D71" i="11"/>
  <c r="G68" i="11"/>
  <c r="B66" i="11"/>
  <c r="J63" i="11"/>
  <c r="L60" i="11"/>
  <c r="H58" i="11"/>
  <c r="D56" i="11"/>
  <c r="F53" i="11"/>
  <c r="B51" i="11"/>
  <c r="E48" i="11"/>
  <c r="L45" i="11"/>
  <c r="H43" i="11"/>
  <c r="K40" i="11"/>
  <c r="H38" i="11"/>
  <c r="E36" i="11"/>
  <c r="I33" i="11"/>
  <c r="F31" i="11"/>
  <c r="C29" i="11"/>
  <c r="L26" i="11"/>
  <c r="D24" i="11"/>
  <c r="M21" i="11"/>
  <c r="J19" i="11"/>
  <c r="B17" i="11"/>
  <c r="K14" i="11"/>
  <c r="H12" i="11"/>
  <c r="B10" i="11"/>
  <c r="H26" i="11"/>
  <c r="J9" i="11"/>
  <c r="F106" i="11"/>
  <c r="K65" i="11"/>
  <c r="B43" i="11"/>
  <c r="M23" i="11"/>
  <c r="I217" i="11"/>
  <c r="I153" i="11"/>
  <c r="B109" i="11"/>
  <c r="J80" i="11"/>
  <c r="J50" i="11"/>
  <c r="K28" i="11"/>
  <c r="F197" i="11"/>
  <c r="F221" i="11"/>
  <c r="L217" i="11"/>
  <c r="F214" i="11"/>
  <c r="L210" i="11"/>
  <c r="F207" i="11"/>
  <c r="J204" i="11"/>
  <c r="D201" i="11"/>
  <c r="J197" i="11"/>
  <c r="D194" i="11"/>
  <c r="J190" i="11"/>
  <c r="D187" i="11"/>
  <c r="H184" i="11"/>
  <c r="B181" i="11"/>
  <c r="H177" i="11"/>
  <c r="B174" i="11"/>
  <c r="H170" i="11"/>
  <c r="B167" i="11"/>
  <c r="F164" i="11"/>
  <c r="L160" i="11"/>
  <c r="F157" i="11"/>
  <c r="L153" i="11"/>
  <c r="F150" i="11"/>
  <c r="L146" i="11"/>
  <c r="D144" i="11"/>
  <c r="J140" i="11"/>
  <c r="D137" i="11"/>
  <c r="J133" i="11"/>
  <c r="E130" i="11"/>
  <c r="J127" i="11"/>
  <c r="F124" i="11"/>
  <c r="B121" i="11"/>
  <c r="J117" i="11"/>
  <c r="C115" i="11"/>
  <c r="M111" i="11"/>
  <c r="H109" i="11"/>
  <c r="H106" i="11"/>
  <c r="C104" i="11"/>
  <c r="D101" i="11"/>
  <c r="K98" i="11"/>
  <c r="D96" i="11"/>
  <c r="I93" i="11"/>
  <c r="E91" i="11"/>
  <c r="G88" i="11"/>
  <c r="C86" i="11"/>
  <c r="K83" i="11"/>
  <c r="M80" i="11"/>
  <c r="I78" i="11"/>
  <c r="B76" i="11"/>
  <c r="G73" i="11"/>
  <c r="C71" i="11"/>
  <c r="E68" i="11"/>
  <c r="M65" i="11"/>
  <c r="I63" i="11"/>
  <c r="K60" i="11"/>
  <c r="G58" i="11"/>
  <c r="L55" i="11"/>
  <c r="E53" i="11"/>
  <c r="M50" i="11"/>
  <c r="C48" i="11"/>
  <c r="K45" i="11"/>
  <c r="G43" i="11"/>
  <c r="J40" i="11"/>
  <c r="G38" i="11"/>
  <c r="D36" i="11"/>
  <c r="H33" i="11"/>
  <c r="E31" i="11"/>
  <c r="B29" i="11"/>
  <c r="L21" i="11"/>
  <c r="I14" i="11"/>
  <c r="I98" i="11"/>
  <c r="M70" i="11"/>
  <c r="G55" i="11"/>
  <c r="B36" i="11"/>
  <c r="D19" i="11"/>
  <c r="I203" i="11"/>
  <c r="C157" i="11"/>
  <c r="G133" i="11"/>
  <c r="E106" i="11"/>
  <c r="C83" i="11"/>
  <c r="F55" i="11"/>
  <c r="E33" i="11"/>
  <c r="D12" i="11"/>
  <c r="E221" i="11"/>
  <c r="K217" i="11"/>
  <c r="E214" i="11"/>
  <c r="K210" i="11"/>
  <c r="E207" i="11"/>
  <c r="K203" i="11"/>
  <c r="C201" i="11"/>
  <c r="I197" i="11"/>
  <c r="C194" i="11"/>
  <c r="I190" i="11"/>
  <c r="C187" i="11"/>
  <c r="I183" i="11"/>
  <c r="M180" i="11"/>
  <c r="G177" i="11"/>
  <c r="M173" i="11"/>
  <c r="G170" i="11"/>
  <c r="M166" i="11"/>
  <c r="G163" i="11"/>
  <c r="K160" i="11"/>
  <c r="E157" i="11"/>
  <c r="K153" i="11"/>
  <c r="E150" i="11"/>
  <c r="K146" i="11"/>
  <c r="E143" i="11"/>
  <c r="I140" i="11"/>
  <c r="C137" i="11"/>
  <c r="I133" i="11"/>
  <c r="D130" i="11"/>
  <c r="L126" i="11"/>
  <c r="E124" i="11"/>
  <c r="M120" i="11"/>
  <c r="I117" i="11"/>
  <c r="B115" i="11"/>
  <c r="L111" i="11"/>
  <c r="G109" i="11"/>
  <c r="G106" i="11"/>
  <c r="B104" i="11"/>
  <c r="C101" i="11"/>
  <c r="J98" i="11"/>
  <c r="M95" i="11"/>
  <c r="H93" i="11"/>
  <c r="D91" i="11"/>
  <c r="F88" i="11"/>
  <c r="B86" i="11"/>
  <c r="J83" i="11"/>
  <c r="L80" i="11"/>
  <c r="H78" i="11"/>
  <c r="K75" i="11"/>
  <c r="F73" i="11"/>
  <c r="B71" i="11"/>
  <c r="D68" i="11"/>
  <c r="L65" i="11"/>
  <c r="H63" i="11"/>
  <c r="J60" i="11"/>
  <c r="F58" i="11"/>
  <c r="I55" i="11"/>
  <c r="D53" i="11"/>
  <c r="L50" i="11"/>
  <c r="B48" i="11"/>
  <c r="J45" i="11"/>
  <c r="F43" i="11"/>
  <c r="I40" i="11"/>
  <c r="F38" i="11"/>
  <c r="C36" i="11"/>
  <c r="G33" i="11"/>
  <c r="D31" i="11"/>
  <c r="M28" i="11"/>
  <c r="E26" i="11"/>
  <c r="B24" i="11"/>
  <c r="K21" i="11"/>
  <c r="L16" i="11"/>
  <c r="G93" i="11"/>
  <c r="D63" i="11"/>
  <c r="E38" i="11"/>
  <c r="K16" i="11"/>
  <c r="C207" i="11"/>
  <c r="M179" i="11"/>
  <c r="K166" i="11"/>
  <c r="M136" i="11"/>
  <c r="G117" i="11"/>
  <c r="B91" i="11"/>
  <c r="D58" i="11"/>
  <c r="J35" i="11"/>
  <c r="H9" i="11"/>
  <c r="D221" i="11"/>
  <c r="J217" i="11"/>
  <c r="D214" i="11"/>
  <c r="J210" i="11"/>
  <c r="D207" i="11"/>
  <c r="J203" i="11"/>
  <c r="B201" i="11"/>
  <c r="H197" i="11"/>
  <c r="B194" i="11"/>
  <c r="H190" i="11"/>
  <c r="B187" i="11"/>
  <c r="H183" i="11"/>
  <c r="L180" i="11"/>
  <c r="F177" i="11"/>
  <c r="L173" i="11"/>
  <c r="F170" i="11"/>
  <c r="L166" i="11"/>
  <c r="F163" i="11"/>
  <c r="J160" i="11"/>
  <c r="D157" i="11"/>
  <c r="J153" i="11"/>
  <c r="D150" i="11"/>
  <c r="J146" i="11"/>
  <c r="D143" i="11"/>
  <c r="H140" i="11"/>
  <c r="B137" i="11"/>
  <c r="H133" i="11"/>
  <c r="C130" i="11"/>
  <c r="K126" i="11"/>
  <c r="D124" i="11"/>
  <c r="L120" i="11"/>
  <c r="M114" i="11"/>
  <c r="K95" i="11"/>
  <c r="C91" i="11"/>
  <c r="G78" i="11"/>
  <c r="I60" i="11"/>
  <c r="H40" i="11"/>
  <c r="E12" i="11"/>
  <c r="G197" i="11"/>
  <c r="G183" i="11"/>
  <c r="K173" i="11"/>
  <c r="C143" i="11"/>
  <c r="K120" i="11"/>
  <c r="J95" i="11"/>
  <c r="L70" i="11"/>
  <c r="H45" i="11"/>
  <c r="I21" i="11"/>
  <c r="D220" i="11"/>
  <c r="L213" i="11"/>
  <c r="J206" i="11"/>
  <c r="H199" i="11"/>
  <c r="E192" i="11"/>
  <c r="E183" i="11"/>
  <c r="C176" i="11"/>
  <c r="M168" i="11"/>
  <c r="I162" i="11"/>
  <c r="G155" i="11"/>
  <c r="G146" i="11"/>
  <c r="E139" i="11"/>
  <c r="C132" i="11"/>
  <c r="B126" i="11"/>
  <c r="D119" i="11"/>
  <c r="H111" i="11"/>
  <c r="M105" i="11"/>
  <c r="G100" i="11"/>
  <c r="B95" i="11"/>
  <c r="J89" i="11"/>
  <c r="L82" i="11"/>
  <c r="I77" i="11"/>
  <c r="J72" i="11"/>
  <c r="F67" i="11"/>
  <c r="B62" i="11"/>
  <c r="D55" i="11"/>
  <c r="L49" i="11"/>
  <c r="I44" i="11"/>
  <c r="K39" i="11"/>
  <c r="J34" i="11"/>
  <c r="F28" i="11"/>
  <c r="H23" i="11"/>
  <c r="G18" i="11"/>
  <c r="F13" i="11"/>
  <c r="J8" i="11"/>
  <c r="B11" i="11"/>
  <c r="K186" i="11"/>
  <c r="B16" i="11"/>
  <c r="J102" i="11"/>
  <c r="C156" i="11"/>
  <c r="L15" i="11"/>
  <c r="K113" i="11"/>
  <c r="E135" i="11"/>
  <c r="G95" i="11"/>
  <c r="M162" i="11"/>
  <c r="E95" i="11"/>
  <c r="K162" i="11"/>
  <c r="C220" i="11"/>
  <c r="M212" i="11"/>
  <c r="I206" i="11"/>
  <c r="G199" i="11"/>
  <c r="F190" i="11"/>
  <c r="D183" i="11"/>
  <c r="B176" i="11"/>
  <c r="L168" i="11"/>
  <c r="H162" i="11"/>
  <c r="H153" i="11"/>
  <c r="F146" i="11"/>
  <c r="D139" i="11"/>
  <c r="B132" i="11"/>
  <c r="M125" i="11"/>
  <c r="F117" i="11"/>
  <c r="G111" i="11"/>
  <c r="L105" i="11"/>
  <c r="F100" i="11"/>
  <c r="M94" i="11"/>
  <c r="C88" i="11"/>
  <c r="K82" i="11"/>
  <c r="G77" i="11"/>
  <c r="F72" i="11"/>
  <c r="E67" i="11"/>
  <c r="G60" i="11"/>
  <c r="C55" i="11"/>
  <c r="K49" i="11"/>
  <c r="G44" i="11"/>
  <c r="J39" i="11"/>
  <c r="D33" i="11"/>
  <c r="C28" i="11"/>
  <c r="G23" i="11"/>
  <c r="F18" i="11"/>
  <c r="E13" i="11"/>
  <c r="K175" i="11"/>
  <c r="G152" i="11"/>
  <c r="D123" i="11"/>
  <c r="L99" i="11"/>
  <c r="L87" i="11"/>
  <c r="L71" i="11"/>
  <c r="H49" i="11"/>
  <c r="M32" i="11"/>
  <c r="D23" i="11"/>
  <c r="E152" i="11"/>
  <c r="J87" i="11"/>
  <c r="J54" i="11"/>
  <c r="H16" i="11"/>
  <c r="H27" i="11"/>
  <c r="L179" i="11"/>
  <c r="B143" i="11"/>
  <c r="I97" i="11"/>
  <c r="M69" i="11"/>
  <c r="D37" i="11"/>
  <c r="D11" i="11"/>
  <c r="D166" i="11"/>
  <c r="L102" i="11"/>
  <c r="K52" i="11"/>
  <c r="D210" i="11"/>
  <c r="K102" i="11"/>
  <c r="J52" i="11"/>
  <c r="J186" i="11"/>
  <c r="B157" i="11"/>
  <c r="J120" i="11"/>
  <c r="J90" i="11"/>
  <c r="J57" i="11"/>
  <c r="E179" i="11"/>
  <c r="D57" i="11"/>
  <c r="B163" i="11"/>
  <c r="F133" i="11"/>
  <c r="J79" i="11"/>
  <c r="B220" i="11"/>
  <c r="L212" i="11"/>
  <c r="H206" i="11"/>
  <c r="F199" i="11"/>
  <c r="E190" i="11"/>
  <c r="C183" i="11"/>
  <c r="M175" i="11"/>
  <c r="K168" i="11"/>
  <c r="I161" i="11"/>
  <c r="G153" i="11"/>
  <c r="E146" i="11"/>
  <c r="C139" i="11"/>
  <c r="M131" i="11"/>
  <c r="L125" i="11"/>
  <c r="E117" i="11"/>
  <c r="F111" i="11"/>
  <c r="K105" i="11"/>
  <c r="E100" i="11"/>
  <c r="L94" i="11"/>
  <c r="B88" i="11"/>
  <c r="J82" i="11"/>
  <c r="F77" i="11"/>
  <c r="C72" i="11"/>
  <c r="D67" i="11"/>
  <c r="F60" i="11"/>
  <c r="B55" i="11"/>
  <c r="J49" i="11"/>
  <c r="F44" i="11"/>
  <c r="F39" i="11"/>
  <c r="C33" i="11"/>
  <c r="B28" i="11"/>
  <c r="F23" i="11"/>
  <c r="E18" i="11"/>
  <c r="D13" i="11"/>
  <c r="M182" i="11"/>
  <c r="C146" i="11"/>
  <c r="K131" i="11"/>
  <c r="F105" i="11"/>
  <c r="H82" i="11"/>
  <c r="H65" i="11"/>
  <c r="D44" i="11"/>
  <c r="L27" i="11"/>
  <c r="I11" i="11"/>
  <c r="G159" i="11"/>
  <c r="B77" i="11"/>
  <c r="H42" i="11"/>
  <c r="G11" i="11"/>
  <c r="G21" i="11"/>
  <c r="H173" i="11"/>
  <c r="D159" i="11"/>
  <c r="K122" i="11"/>
  <c r="G87" i="11"/>
  <c r="M52" i="11"/>
  <c r="C203" i="11"/>
  <c r="G108" i="11"/>
  <c r="C42" i="11"/>
  <c r="M158" i="11"/>
  <c r="K142" i="11"/>
  <c r="K149" i="11"/>
  <c r="G90" i="11"/>
  <c r="J62" i="11"/>
  <c r="F35" i="11"/>
  <c r="C209" i="11"/>
  <c r="F179" i="11"/>
  <c r="F135" i="11"/>
  <c r="E90" i="11"/>
  <c r="I62" i="11"/>
  <c r="E35" i="11"/>
  <c r="E9" i="11"/>
  <c r="G186" i="11"/>
  <c r="C172" i="11"/>
  <c r="G120" i="11"/>
  <c r="D90" i="11"/>
  <c r="H62" i="11"/>
  <c r="E40" i="11"/>
  <c r="E14" i="11"/>
  <c r="J192" i="11"/>
  <c r="F142" i="11"/>
  <c r="K84" i="11"/>
  <c r="K51" i="11"/>
  <c r="D14" i="11"/>
  <c r="G185" i="11"/>
  <c r="H119" i="11"/>
  <c r="B90" i="11"/>
  <c r="J51" i="11"/>
  <c r="B9" i="11"/>
  <c r="D177" i="11"/>
  <c r="H148" i="11"/>
  <c r="G113" i="11"/>
  <c r="I67" i="11"/>
  <c r="L29" i="11"/>
  <c r="G192" i="11"/>
  <c r="G139" i="11"/>
  <c r="H84" i="11"/>
  <c r="C50" i="11"/>
  <c r="L8" i="11"/>
  <c r="F183" i="11"/>
  <c r="J162" i="11"/>
  <c r="B106" i="11"/>
  <c r="L77" i="11"/>
  <c r="L39" i="11"/>
  <c r="G13" i="11"/>
  <c r="M219" i="11"/>
  <c r="K212" i="11"/>
  <c r="I205" i="11"/>
  <c r="E199" i="11"/>
  <c r="D190" i="11"/>
  <c r="B183" i="11"/>
  <c r="L175" i="11"/>
  <c r="J168" i="11"/>
  <c r="J159" i="11"/>
  <c r="F153" i="11"/>
  <c r="D146" i="11"/>
  <c r="B139" i="11"/>
  <c r="L131" i="11"/>
  <c r="B124" i="11"/>
  <c r="D117" i="11"/>
  <c r="E111" i="11"/>
  <c r="J105" i="11"/>
  <c r="D100" i="11"/>
  <c r="E93" i="11"/>
  <c r="M87" i="11"/>
  <c r="I82" i="11"/>
  <c r="E77" i="11"/>
  <c r="M71" i="11"/>
  <c r="I65" i="11"/>
  <c r="E60" i="11"/>
  <c r="M54" i="11"/>
  <c r="I49" i="11"/>
  <c r="E44" i="11"/>
  <c r="C38" i="11"/>
  <c r="B33" i="11"/>
  <c r="M27" i="11"/>
  <c r="E23" i="11"/>
  <c r="D18" i="11"/>
  <c r="L11" i="11"/>
  <c r="G196" i="11"/>
  <c r="M138" i="11"/>
  <c r="C117" i="11"/>
  <c r="D93" i="11"/>
  <c r="D77" i="11"/>
  <c r="L54" i="11"/>
  <c r="B38" i="11"/>
  <c r="C18" i="11"/>
  <c r="C145" i="11"/>
  <c r="F98" i="11"/>
  <c r="F65" i="11"/>
  <c r="L37" i="11"/>
  <c r="I32" i="11"/>
  <c r="L188" i="11"/>
  <c r="B152" i="11"/>
  <c r="B103" i="11"/>
  <c r="H59" i="11"/>
  <c r="B26" i="11"/>
  <c r="H172" i="11"/>
  <c r="C114" i="11"/>
  <c r="K69" i="11"/>
  <c r="C16" i="11"/>
  <c r="G172" i="11"/>
  <c r="G179" i="11"/>
  <c r="L113" i="11"/>
  <c r="D80" i="11"/>
  <c r="H52" i="11"/>
  <c r="I25" i="11"/>
  <c r="M201" i="11"/>
  <c r="B156" i="11"/>
  <c r="I95" i="11"/>
  <c r="M67" i="11"/>
  <c r="F40" i="11"/>
  <c r="G20" i="11"/>
  <c r="B209" i="11"/>
  <c r="C163" i="11"/>
  <c r="J113" i="11"/>
  <c r="M84" i="11"/>
  <c r="M51" i="11"/>
  <c r="G25" i="11"/>
  <c r="M208" i="11"/>
  <c r="I113" i="11"/>
  <c r="D40" i="11"/>
  <c r="I192" i="11"/>
  <c r="G141" i="11"/>
  <c r="F95" i="11"/>
  <c r="B57" i="11"/>
  <c r="E25" i="11"/>
  <c r="M215" i="11"/>
  <c r="D106" i="11"/>
  <c r="F50" i="11"/>
  <c r="B14" i="11"/>
  <c r="M169" i="11"/>
  <c r="I155" i="11"/>
  <c r="I100" i="11"/>
  <c r="H67" i="11"/>
  <c r="K29" i="11"/>
  <c r="F192" i="11"/>
  <c r="E119" i="11"/>
  <c r="C62" i="11"/>
  <c r="H18" i="11"/>
  <c r="L219" i="11"/>
  <c r="J212" i="11"/>
  <c r="H205" i="11"/>
  <c r="C190" i="11"/>
  <c r="I168" i="11"/>
  <c r="I159" i="11"/>
  <c r="D111" i="11"/>
  <c r="D60" i="11"/>
  <c r="L129" i="11"/>
  <c r="J27" i="11"/>
  <c r="F166" i="11"/>
  <c r="C58" i="11"/>
  <c r="M149" i="11"/>
  <c r="L30" i="11"/>
  <c r="E108" i="11"/>
  <c r="C165" i="11"/>
  <c r="F9" i="11"/>
  <c r="H120" i="11"/>
  <c r="H126" i="11"/>
  <c r="L100" i="11"/>
  <c r="K155" i="11"/>
  <c r="M89" i="11"/>
  <c r="M8" i="11"/>
  <c r="D126" i="11"/>
  <c r="C95" i="11"/>
  <c r="K219" i="11"/>
  <c r="I212" i="11"/>
  <c r="G205" i="11"/>
  <c r="F196" i="11"/>
  <c r="B190" i="11"/>
  <c r="L182" i="11"/>
  <c r="J175" i="11"/>
  <c r="J166" i="11"/>
  <c r="H159" i="11"/>
  <c r="F152" i="11"/>
  <c r="B146" i="11"/>
  <c r="L138" i="11"/>
  <c r="M129" i="11"/>
  <c r="C123" i="11"/>
  <c r="B117" i="11"/>
  <c r="L110" i="11"/>
  <c r="M104" i="11"/>
  <c r="G98" i="11"/>
  <c r="C93" i="11"/>
  <c r="K87" i="11"/>
  <c r="G82" i="11"/>
  <c r="C77" i="11"/>
  <c r="H70" i="11"/>
  <c r="G65" i="11"/>
  <c r="C60" i="11"/>
  <c r="K54" i="11"/>
  <c r="G49" i="11"/>
  <c r="I42" i="11"/>
  <c r="M37" i="11"/>
  <c r="L32" i="11"/>
  <c r="K27" i="11"/>
  <c r="L22" i="11"/>
  <c r="I16" i="11"/>
  <c r="H11" i="11"/>
  <c r="I166" i="11"/>
  <c r="G110" i="11"/>
  <c r="F82" i="11"/>
  <c r="B60" i="11"/>
  <c r="K32" i="11"/>
  <c r="E11" i="11"/>
  <c r="G210" i="11"/>
  <c r="I108" i="11"/>
  <c r="I64" i="11"/>
  <c r="F21" i="11"/>
  <c r="L195" i="11"/>
  <c r="J128" i="11"/>
  <c r="C75" i="11"/>
  <c r="L25" i="11"/>
  <c r="B203" i="11"/>
  <c r="H122" i="11"/>
  <c r="F80" i="11"/>
  <c r="F47" i="11"/>
  <c r="J20" i="11"/>
  <c r="E209" i="11"/>
  <c r="L149" i="11"/>
  <c r="I85" i="11"/>
  <c r="I52" i="11"/>
  <c r="J25" i="11"/>
  <c r="G9" i="11"/>
  <c r="L202" i="11"/>
  <c r="D170" i="11"/>
  <c r="F120" i="11"/>
  <c r="G62" i="11"/>
  <c r="D30" i="11"/>
  <c r="B216" i="11"/>
  <c r="H113" i="11"/>
  <c r="J67" i="11"/>
  <c r="M29" i="11"/>
  <c r="H192" i="11"/>
  <c r="D133" i="11"/>
  <c r="M72" i="11"/>
  <c r="M34" i="11"/>
  <c r="B214" i="11"/>
  <c r="F113" i="11"/>
  <c r="L56" i="11"/>
  <c r="L169" i="11"/>
  <c r="J219" i="11"/>
  <c r="H212" i="11"/>
  <c r="H203" i="11"/>
  <c r="E196" i="11"/>
  <c r="C189" i="11"/>
  <c r="K182" i="11"/>
  <c r="I175" i="11"/>
  <c r="K138" i="11"/>
  <c r="B123" i="11"/>
  <c r="M116" i="11"/>
  <c r="L104" i="11"/>
  <c r="B93" i="11"/>
  <c r="E70" i="11"/>
  <c r="F49" i="11"/>
  <c r="I22" i="11"/>
  <c r="F16" i="11"/>
  <c r="E203" i="11"/>
  <c r="I129" i="11"/>
  <c r="I80" i="11"/>
  <c r="H32" i="11"/>
  <c r="L186" i="11"/>
  <c r="J135" i="11"/>
  <c r="G80" i="11"/>
  <c r="M30" i="11"/>
  <c r="K195" i="11"/>
  <c r="I128" i="11"/>
  <c r="J85" i="11"/>
  <c r="B58" i="11"/>
  <c r="K25" i="11"/>
  <c r="G216" i="11"/>
  <c r="J142" i="11"/>
  <c r="E80" i="11"/>
  <c r="E47" i="11"/>
  <c r="I20" i="11"/>
  <c r="F216" i="11"/>
  <c r="D179" i="11"/>
  <c r="J148" i="11"/>
  <c r="C73" i="11"/>
  <c r="C35" i="11"/>
  <c r="B207" i="11"/>
  <c r="F126" i="11"/>
  <c r="B73" i="11"/>
  <c r="B35" i="11"/>
  <c r="F185" i="11"/>
  <c r="H139" i="11"/>
  <c r="E78" i="11"/>
  <c r="B40" i="11"/>
  <c r="L206" i="11"/>
  <c r="C106" i="11"/>
  <c r="D45" i="11"/>
  <c r="D176" i="11"/>
  <c r="H155" i="11"/>
  <c r="D132" i="11"/>
  <c r="H100" i="11"/>
  <c r="M82" i="11"/>
  <c r="E55" i="11"/>
  <c r="K34" i="11"/>
  <c r="I219" i="11"/>
  <c r="G212" i="11"/>
  <c r="G203" i="11"/>
  <c r="D196" i="11"/>
  <c r="B189" i="11"/>
  <c r="J182" i="11"/>
  <c r="J173" i="11"/>
  <c r="H166" i="11"/>
  <c r="F159" i="11"/>
  <c r="D152" i="11"/>
  <c r="B145" i="11"/>
  <c r="L136" i="11"/>
  <c r="K129" i="11"/>
  <c r="M122" i="11"/>
  <c r="L116" i="11"/>
  <c r="F110" i="11"/>
  <c r="H103" i="11"/>
  <c r="B98" i="11"/>
  <c r="M92" i="11"/>
  <c r="I87" i="11"/>
  <c r="E82" i="11"/>
  <c r="G75" i="11"/>
  <c r="C70" i="11"/>
  <c r="B65" i="11"/>
  <c r="M59" i="11"/>
  <c r="I54" i="11"/>
  <c r="K47" i="11"/>
  <c r="G42" i="11"/>
  <c r="H37" i="11"/>
  <c r="J32" i="11"/>
  <c r="I27" i="11"/>
  <c r="H21" i="11"/>
  <c r="G16" i="11"/>
  <c r="F11" i="11"/>
  <c r="G219" i="11"/>
  <c r="J116" i="11"/>
  <c r="E75" i="11"/>
  <c r="E42" i="11"/>
  <c r="E16" i="11"/>
  <c r="J179" i="11"/>
  <c r="K85" i="11"/>
  <c r="G47" i="11"/>
  <c r="H216" i="11"/>
  <c r="F97" i="11"/>
  <c r="F64" i="11"/>
  <c r="M10" i="11"/>
  <c r="H179" i="11"/>
  <c r="F172" i="11"/>
  <c r="H128" i="11"/>
  <c r="E97" i="11"/>
  <c r="I69" i="11"/>
  <c r="M41" i="11"/>
  <c r="M15" i="11"/>
  <c r="I186" i="11"/>
  <c r="I142" i="11"/>
  <c r="I120" i="11"/>
  <c r="D97" i="11"/>
  <c r="L74" i="11"/>
  <c r="D47" i="11"/>
  <c r="H20" i="11"/>
  <c r="H186" i="11"/>
  <c r="D172" i="11"/>
  <c r="H142" i="11"/>
  <c r="C108" i="11"/>
  <c r="C80" i="11"/>
  <c r="D52" i="11"/>
  <c r="H25" i="11"/>
  <c r="K192" i="11"/>
  <c r="G142" i="11"/>
  <c r="H95" i="11"/>
  <c r="J74" i="11"/>
  <c r="H30" i="11"/>
  <c r="M199" i="11"/>
  <c r="G126" i="11"/>
  <c r="K67" i="11"/>
  <c r="F25" i="11"/>
  <c r="L199" i="11"/>
  <c r="E133" i="11"/>
  <c r="J84" i="11"/>
  <c r="C40" i="11"/>
  <c r="K199" i="11"/>
  <c r="L162" i="11"/>
  <c r="E126" i="11"/>
  <c r="I84" i="11"/>
  <c r="M56" i="11"/>
  <c r="J18" i="11"/>
  <c r="E185" i="11"/>
  <c r="E132" i="11"/>
  <c r="D95" i="11"/>
  <c r="L72" i="11"/>
  <c r="M39" i="11"/>
  <c r="J13" i="11"/>
  <c r="K206" i="11"/>
  <c r="C126" i="11"/>
  <c r="K72" i="11"/>
  <c r="J28" i="11"/>
  <c r="H219" i="11"/>
  <c r="H210" i="11"/>
  <c r="F203" i="11"/>
  <c r="C196" i="11"/>
  <c r="M188" i="11"/>
  <c r="K181" i="11"/>
  <c r="I173" i="11"/>
  <c r="G166" i="11"/>
  <c r="E159" i="11"/>
  <c r="C152" i="11"/>
  <c r="M144" i="11"/>
  <c r="M135" i="11"/>
  <c r="J129" i="11"/>
  <c r="L122" i="11"/>
  <c r="K116" i="11"/>
  <c r="E110" i="11"/>
  <c r="C103" i="11"/>
  <c r="K97" i="11"/>
  <c r="L92" i="11"/>
  <c r="H87" i="11"/>
  <c r="D82" i="11"/>
  <c r="F75" i="11"/>
  <c r="B70" i="11"/>
  <c r="K64" i="11"/>
  <c r="L59" i="11"/>
  <c r="H54" i="11"/>
  <c r="J47" i="11"/>
  <c r="F42" i="11"/>
  <c r="E37" i="11"/>
  <c r="B196" i="11"/>
  <c r="L135" i="11"/>
  <c r="H92" i="11"/>
  <c r="I47" i="11"/>
  <c r="E210" i="11"/>
  <c r="G97" i="11"/>
  <c r="B37" i="11"/>
  <c r="E165" i="11"/>
  <c r="I135" i="11"/>
  <c r="F108" i="11"/>
  <c r="B92" i="11"/>
  <c r="J69" i="11"/>
  <c r="B42" i="11"/>
  <c r="M202" i="11"/>
  <c r="H135" i="11"/>
  <c r="M74" i="11"/>
  <c r="G35" i="11"/>
  <c r="D209" i="11"/>
  <c r="G135" i="11"/>
  <c r="I102" i="11"/>
  <c r="H69" i="11"/>
  <c r="L41" i="11"/>
  <c r="E216" i="11"/>
  <c r="D163" i="11"/>
  <c r="I126" i="11"/>
  <c r="D85" i="11"/>
  <c r="E57" i="11"/>
  <c r="I30" i="11"/>
  <c r="B200" i="11"/>
  <c r="K148" i="11"/>
  <c r="G102" i="11"/>
  <c r="L67" i="11"/>
  <c r="D35" i="11"/>
  <c r="D9" i="11"/>
  <c r="F186" i="11"/>
  <c r="L155" i="11"/>
  <c r="C90" i="11"/>
  <c r="C57" i="11"/>
  <c r="L18" i="11"/>
  <c r="C179" i="11"/>
  <c r="I148" i="11"/>
  <c r="K100" i="11"/>
  <c r="F62" i="11"/>
  <c r="C14" i="11"/>
  <c r="B170" i="11"/>
  <c r="J155" i="11"/>
  <c r="J100" i="11"/>
  <c r="E62" i="11"/>
  <c r="K23" i="11"/>
  <c r="J199" i="11"/>
  <c r="F119" i="11"/>
  <c r="D78" i="11"/>
  <c r="L34" i="11"/>
  <c r="M213" i="11"/>
  <c r="F139" i="11"/>
  <c r="K89" i="11"/>
  <c r="M49" i="11"/>
  <c r="K8" i="11"/>
  <c r="I18" i="11"/>
  <c r="H146" i="11"/>
  <c r="L44" i="11"/>
  <c r="H217" i="11"/>
  <c r="F210" i="11"/>
  <c r="D203" i="11"/>
  <c r="M195" i="11"/>
  <c r="K188" i="11"/>
  <c r="K179" i="11"/>
  <c r="I172" i="11"/>
  <c r="E166" i="11"/>
  <c r="C159" i="11"/>
  <c r="M151" i="11"/>
  <c r="M142" i="11"/>
  <c r="K135" i="11"/>
  <c r="H129" i="11"/>
  <c r="J122" i="11"/>
  <c r="L115" i="11"/>
  <c r="H108" i="11"/>
  <c r="M102" i="11"/>
  <c r="H97" i="11"/>
  <c r="E92" i="11"/>
  <c r="F87" i="11"/>
  <c r="H80" i="11"/>
  <c r="D75" i="11"/>
  <c r="L69" i="11"/>
  <c r="H64" i="11"/>
  <c r="E59" i="11"/>
  <c r="L52" i="11"/>
  <c r="H47" i="11"/>
  <c r="D42" i="11"/>
  <c r="C37" i="11"/>
  <c r="G32" i="11"/>
  <c r="M25" i="11"/>
  <c r="B21" i="11"/>
  <c r="D16" i="11"/>
  <c r="C11" i="11"/>
  <c r="I216" i="11"/>
  <c r="B159" i="11"/>
  <c r="B150" i="11"/>
  <c r="L142" i="11"/>
  <c r="I122" i="11"/>
  <c r="C92" i="11"/>
  <c r="G64" i="11"/>
  <c r="K20" i="11"/>
  <c r="I179" i="11"/>
  <c r="B114" i="11"/>
  <c r="B75" i="11"/>
  <c r="M36" i="11"/>
  <c r="L193" i="11"/>
  <c r="D165" i="11"/>
  <c r="M113" i="11"/>
  <c r="K62" i="11"/>
  <c r="K30" i="11"/>
  <c r="K193" i="11"/>
  <c r="E172" i="11"/>
  <c r="G128" i="11"/>
  <c r="D108" i="11"/>
  <c r="H85" i="11"/>
  <c r="G57" i="11"/>
  <c r="J30" i="11"/>
  <c r="J193" i="11"/>
  <c r="J149" i="11"/>
  <c r="H102" i="11"/>
  <c r="K74" i="11"/>
  <c r="C47" i="11"/>
  <c r="F14" i="11"/>
  <c r="D216" i="11"/>
  <c r="M155" i="11"/>
  <c r="B108" i="11"/>
  <c r="B80" i="11"/>
  <c r="B47" i="11"/>
  <c r="F20" i="11"/>
  <c r="C216" i="11"/>
  <c r="M107" i="11"/>
  <c r="G45" i="11"/>
  <c r="C9" i="11"/>
  <c r="C170" i="11"/>
  <c r="L107" i="11"/>
  <c r="G79" i="11"/>
  <c r="F45" i="11"/>
  <c r="K18" i="11"/>
  <c r="M206" i="11"/>
  <c r="G119" i="11"/>
  <c r="E45" i="11"/>
  <c r="E176" i="11"/>
  <c r="G148" i="11"/>
  <c r="L89" i="11"/>
  <c r="D62" i="11"/>
  <c r="J23" i="11"/>
  <c r="I199" i="11"/>
  <c r="I111" i="11"/>
  <c r="G67" i="11"/>
  <c r="I23" i="11"/>
  <c r="Q3" i="1"/>
  <c r="L3" i="1"/>
  <c r="H3" i="1"/>
  <c r="M3" i="1"/>
  <c r="N2" i="1"/>
  <c r="J2" i="1"/>
  <c r="R2" i="1"/>
  <c r="Q2" i="1"/>
  <c r="K3" i="1"/>
  <c r="L2" i="1"/>
  <c r="I3" i="1"/>
  <c r="F3" i="1"/>
  <c r="E3" i="1"/>
  <c r="P2" i="1"/>
  <c r="M2" i="1"/>
  <c r="I2" i="1"/>
  <c r="G3" i="1"/>
  <c r="N3" i="1"/>
  <c r="H2" i="1"/>
  <c r="O2" i="1"/>
  <c r="O3" i="1"/>
  <c r="R3" i="1"/>
  <c r="P3" i="1"/>
  <c r="K2" i="1"/>
  <c r="J3" i="1"/>
  <c r="A4" i="11" l="1"/>
  <c r="A8" i="11"/>
  <c r="A5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M6" i="11"/>
  <c r="L6" i="11"/>
  <c r="K6" i="11"/>
  <c r="J6" i="11"/>
  <c r="I6" i="11"/>
  <c r="H6" i="11"/>
  <c r="G6" i="11"/>
  <c r="F6" i="11"/>
  <c r="E6" i="11"/>
  <c r="D6" i="11"/>
  <c r="C6" i="11"/>
  <c r="B6" i="11"/>
  <c r="M5" i="11"/>
  <c r="L5" i="11"/>
  <c r="K5" i="11"/>
  <c r="J5" i="11"/>
  <c r="I5" i="11"/>
  <c r="H5" i="11"/>
  <c r="G5" i="11"/>
  <c r="F5" i="11"/>
  <c r="E5" i="11"/>
  <c r="D5" i="11"/>
  <c r="C5" i="11"/>
  <c r="B5" i="11"/>
  <c r="M7" i="11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B6" i="9"/>
  <c r="M5" i="9"/>
  <c r="L5" i="9"/>
  <c r="K5" i="9"/>
  <c r="J5" i="9"/>
  <c r="I5" i="9"/>
  <c r="H5" i="9"/>
  <c r="G5" i="9"/>
  <c r="F5" i="9"/>
  <c r="E5" i="9"/>
  <c r="D5" i="9"/>
  <c r="C5" i="9"/>
  <c r="B5" i="9"/>
  <c r="M6" i="9"/>
  <c r="L6" i="9"/>
  <c r="K6" i="9"/>
  <c r="J6" i="9"/>
  <c r="I6" i="9"/>
  <c r="I7" i="9" s="1"/>
  <c r="H6" i="9"/>
  <c r="H7" i="9" s="1"/>
  <c r="G6" i="9"/>
  <c r="G7" i="9" s="1"/>
  <c r="F6" i="9"/>
  <c r="F7" i="9" s="1"/>
  <c r="E6" i="9"/>
  <c r="D6" i="9"/>
  <c r="D7" i="9" s="1"/>
  <c r="C6" i="9"/>
  <c r="C7" i="9" s="1"/>
  <c r="A6" i="9"/>
  <c r="A7" i="9" s="1"/>
  <c r="A5" i="9"/>
  <c r="M222" i="9"/>
  <c r="C221" i="9"/>
  <c r="E219" i="9"/>
  <c r="G217" i="9"/>
  <c r="I215" i="9"/>
  <c r="K213" i="9"/>
  <c r="M211" i="9"/>
  <c r="C210" i="9"/>
  <c r="E208" i="9"/>
  <c r="G206" i="9"/>
  <c r="I204" i="9"/>
  <c r="K202" i="9"/>
  <c r="M200" i="9"/>
  <c r="C199" i="9"/>
  <c r="E197" i="9"/>
  <c r="G195" i="9"/>
  <c r="I193" i="9"/>
  <c r="K191" i="9"/>
  <c r="M189" i="9"/>
  <c r="C188" i="9"/>
  <c r="E186" i="9"/>
  <c r="G184" i="9"/>
  <c r="I182" i="9"/>
  <c r="K180" i="9"/>
  <c r="M178" i="9"/>
  <c r="C177" i="9"/>
  <c r="E175" i="9"/>
  <c r="G173" i="9"/>
  <c r="I171" i="9"/>
  <c r="K169" i="9"/>
  <c r="M167" i="9"/>
  <c r="C166" i="9"/>
  <c r="E164" i="9"/>
  <c r="G162" i="9"/>
  <c r="I160" i="9"/>
  <c r="K158" i="9"/>
  <c r="M156" i="9"/>
  <c r="C155" i="9"/>
  <c r="E153" i="9"/>
  <c r="G151" i="9"/>
  <c r="I149" i="9"/>
  <c r="K147" i="9"/>
  <c r="M145" i="9"/>
  <c r="C144" i="9"/>
  <c r="E142" i="9"/>
  <c r="G140" i="9"/>
  <c r="I138" i="9"/>
  <c r="K136" i="9"/>
  <c r="M134" i="9"/>
  <c r="C133" i="9"/>
  <c r="E131" i="9"/>
  <c r="G129" i="9"/>
  <c r="I127" i="9"/>
  <c r="K125" i="9"/>
  <c r="M123" i="9"/>
  <c r="C122" i="9"/>
  <c r="E120" i="9"/>
  <c r="G118" i="9"/>
  <c r="I116" i="9"/>
  <c r="K114" i="9"/>
  <c r="M112" i="9"/>
  <c r="C111" i="9"/>
  <c r="E109" i="9"/>
  <c r="G107" i="9"/>
  <c r="I105" i="9"/>
  <c r="K103" i="9"/>
  <c r="M101" i="9"/>
  <c r="C100" i="9"/>
  <c r="E98" i="9"/>
  <c r="G96" i="9"/>
  <c r="I94" i="9"/>
  <c r="K92" i="9"/>
  <c r="M90" i="9"/>
  <c r="C89" i="9"/>
  <c r="E87" i="9"/>
  <c r="G85" i="9"/>
  <c r="I83" i="9"/>
  <c r="K81" i="9"/>
  <c r="M79" i="9"/>
  <c r="C78" i="9"/>
  <c r="E76" i="9"/>
  <c r="G74" i="9"/>
  <c r="I72" i="9"/>
  <c r="K70" i="9"/>
  <c r="M68" i="9"/>
  <c r="C67" i="9"/>
  <c r="E65" i="9"/>
  <c r="G63" i="9"/>
  <c r="I61" i="9"/>
  <c r="K59" i="9"/>
  <c r="M57" i="9"/>
  <c r="C56" i="9"/>
  <c r="E54" i="9"/>
  <c r="G52" i="9"/>
  <c r="I50" i="9"/>
  <c r="K48" i="9"/>
  <c r="M46" i="9"/>
  <c r="C45" i="9"/>
  <c r="E43" i="9"/>
  <c r="G41" i="9"/>
  <c r="I39" i="9"/>
  <c r="K37" i="9"/>
  <c r="M35" i="9"/>
  <c r="C34" i="9"/>
  <c r="E32" i="9"/>
  <c r="G30" i="9"/>
  <c r="I28" i="9"/>
  <c r="K26" i="9"/>
  <c r="M24" i="9"/>
  <c r="C23" i="9"/>
  <c r="E21" i="9"/>
  <c r="G19" i="9"/>
  <c r="I17" i="9"/>
  <c r="K15" i="9"/>
  <c r="M13" i="9"/>
  <c r="C12" i="9"/>
  <c r="E10" i="9"/>
  <c r="G8" i="9"/>
  <c r="D41" i="9"/>
  <c r="L33" i="9"/>
  <c r="H26" i="9"/>
  <c r="D19" i="9"/>
  <c r="L11" i="9"/>
  <c r="F26" i="9"/>
  <c r="L222" i="9"/>
  <c r="B221" i="9"/>
  <c r="D219" i="9"/>
  <c r="F217" i="9"/>
  <c r="H215" i="9"/>
  <c r="J213" i="9"/>
  <c r="L211" i="9"/>
  <c r="B210" i="9"/>
  <c r="D208" i="9"/>
  <c r="F206" i="9"/>
  <c r="H204" i="9"/>
  <c r="J202" i="9"/>
  <c r="L200" i="9"/>
  <c r="B199" i="9"/>
  <c r="D197" i="9"/>
  <c r="F195" i="9"/>
  <c r="H193" i="9"/>
  <c r="J191" i="9"/>
  <c r="L189" i="9"/>
  <c r="B188" i="9"/>
  <c r="D186" i="9"/>
  <c r="F184" i="9"/>
  <c r="H182" i="9"/>
  <c r="J180" i="9"/>
  <c r="L178" i="9"/>
  <c r="B177" i="9"/>
  <c r="D175" i="9"/>
  <c r="F173" i="9"/>
  <c r="H171" i="9"/>
  <c r="J169" i="9"/>
  <c r="L167" i="9"/>
  <c r="B166" i="9"/>
  <c r="D164" i="9"/>
  <c r="F162" i="9"/>
  <c r="H160" i="9"/>
  <c r="J158" i="9"/>
  <c r="L156" i="9"/>
  <c r="B155" i="9"/>
  <c r="D153" i="9"/>
  <c r="F151" i="9"/>
  <c r="H149" i="9"/>
  <c r="J147" i="9"/>
  <c r="L145" i="9"/>
  <c r="B144" i="9"/>
  <c r="D142" i="9"/>
  <c r="F140" i="9"/>
  <c r="H138" i="9"/>
  <c r="J136" i="9"/>
  <c r="L134" i="9"/>
  <c r="B133" i="9"/>
  <c r="D131" i="9"/>
  <c r="F129" i="9"/>
  <c r="H127" i="9"/>
  <c r="J125" i="9"/>
  <c r="L123" i="9"/>
  <c r="B122" i="9"/>
  <c r="D120" i="9"/>
  <c r="F118" i="9"/>
  <c r="H116" i="9"/>
  <c r="J114" i="9"/>
  <c r="L112" i="9"/>
  <c r="B111" i="9"/>
  <c r="D109" i="9"/>
  <c r="F107" i="9"/>
  <c r="H105" i="9"/>
  <c r="J103" i="9"/>
  <c r="L101" i="9"/>
  <c r="B100" i="9"/>
  <c r="D98" i="9"/>
  <c r="F96" i="9"/>
  <c r="H94" i="9"/>
  <c r="J92" i="9"/>
  <c r="L90" i="9"/>
  <c r="B89" i="9"/>
  <c r="D87" i="9"/>
  <c r="F85" i="9"/>
  <c r="H83" i="9"/>
  <c r="J81" i="9"/>
  <c r="L79" i="9"/>
  <c r="B78" i="9"/>
  <c r="D76" i="9"/>
  <c r="F74" i="9"/>
  <c r="H72" i="9"/>
  <c r="J70" i="9"/>
  <c r="L68" i="9"/>
  <c r="B67" i="9"/>
  <c r="D65" i="9"/>
  <c r="F63" i="9"/>
  <c r="H61" i="9"/>
  <c r="J59" i="9"/>
  <c r="L57" i="9"/>
  <c r="B56" i="9"/>
  <c r="D54" i="9"/>
  <c r="F52" i="9"/>
  <c r="H50" i="9"/>
  <c r="J48" i="9"/>
  <c r="L46" i="9"/>
  <c r="B45" i="9"/>
  <c r="D43" i="9"/>
  <c r="F41" i="9"/>
  <c r="H39" i="9"/>
  <c r="J37" i="9"/>
  <c r="L35" i="9"/>
  <c r="B34" i="9"/>
  <c r="D32" i="9"/>
  <c r="F30" i="9"/>
  <c r="H28" i="9"/>
  <c r="J26" i="9"/>
  <c r="L24" i="9"/>
  <c r="B23" i="9"/>
  <c r="D21" i="9"/>
  <c r="F19" i="9"/>
  <c r="H17" i="9"/>
  <c r="J15" i="9"/>
  <c r="L13" i="9"/>
  <c r="B12" i="9"/>
  <c r="D10" i="9"/>
  <c r="F8" i="9"/>
  <c r="B43" i="9"/>
  <c r="D30" i="9"/>
  <c r="B21" i="9"/>
  <c r="J13" i="9"/>
  <c r="L31" i="9"/>
  <c r="K222" i="9"/>
  <c r="M220" i="9"/>
  <c r="C219" i="9"/>
  <c r="E217" i="9"/>
  <c r="G215" i="9"/>
  <c r="I213" i="9"/>
  <c r="K211" i="9"/>
  <c r="M209" i="9"/>
  <c r="C208" i="9"/>
  <c r="E206" i="9"/>
  <c r="G204" i="9"/>
  <c r="I202" i="9"/>
  <c r="K200" i="9"/>
  <c r="M198" i="9"/>
  <c r="C197" i="9"/>
  <c r="E195" i="9"/>
  <c r="G193" i="9"/>
  <c r="I191" i="9"/>
  <c r="K189" i="9"/>
  <c r="M187" i="9"/>
  <c r="C186" i="9"/>
  <c r="E184" i="9"/>
  <c r="G182" i="9"/>
  <c r="I180" i="9"/>
  <c r="K178" i="9"/>
  <c r="M176" i="9"/>
  <c r="C175" i="9"/>
  <c r="E173" i="9"/>
  <c r="G171" i="9"/>
  <c r="I169" i="9"/>
  <c r="K167" i="9"/>
  <c r="M165" i="9"/>
  <c r="C164" i="9"/>
  <c r="E162" i="9"/>
  <c r="G160" i="9"/>
  <c r="I158" i="9"/>
  <c r="K156" i="9"/>
  <c r="M154" i="9"/>
  <c r="C153" i="9"/>
  <c r="E151" i="9"/>
  <c r="G149" i="9"/>
  <c r="I147" i="9"/>
  <c r="K145" i="9"/>
  <c r="M143" i="9"/>
  <c r="C142" i="9"/>
  <c r="E140" i="9"/>
  <c r="G138" i="9"/>
  <c r="I136" i="9"/>
  <c r="K134" i="9"/>
  <c r="M132" i="9"/>
  <c r="C131" i="9"/>
  <c r="E129" i="9"/>
  <c r="G127" i="9"/>
  <c r="I125" i="9"/>
  <c r="K123" i="9"/>
  <c r="M121" i="9"/>
  <c r="C120" i="9"/>
  <c r="E118" i="9"/>
  <c r="G116" i="9"/>
  <c r="I114" i="9"/>
  <c r="K112" i="9"/>
  <c r="M110" i="9"/>
  <c r="C109" i="9"/>
  <c r="E107" i="9"/>
  <c r="G105" i="9"/>
  <c r="I103" i="9"/>
  <c r="K101" i="9"/>
  <c r="M99" i="9"/>
  <c r="C98" i="9"/>
  <c r="E96" i="9"/>
  <c r="G94" i="9"/>
  <c r="I92" i="9"/>
  <c r="K90" i="9"/>
  <c r="M88" i="9"/>
  <c r="C87" i="9"/>
  <c r="E85" i="9"/>
  <c r="G83" i="9"/>
  <c r="I81" i="9"/>
  <c r="K79" i="9"/>
  <c r="M77" i="9"/>
  <c r="C76" i="9"/>
  <c r="E74" i="9"/>
  <c r="G72" i="9"/>
  <c r="I70" i="9"/>
  <c r="K68" i="9"/>
  <c r="M66" i="9"/>
  <c r="C65" i="9"/>
  <c r="E63" i="9"/>
  <c r="G61" i="9"/>
  <c r="I59" i="9"/>
  <c r="K57" i="9"/>
  <c r="M55" i="9"/>
  <c r="C54" i="9"/>
  <c r="E52" i="9"/>
  <c r="G50" i="9"/>
  <c r="I48" i="9"/>
  <c r="K46" i="9"/>
  <c r="M44" i="9"/>
  <c r="C43" i="9"/>
  <c r="E41" i="9"/>
  <c r="G39" i="9"/>
  <c r="I37" i="9"/>
  <c r="K35" i="9"/>
  <c r="M33" i="9"/>
  <c r="C32" i="9"/>
  <c r="E30" i="9"/>
  <c r="G28" i="9"/>
  <c r="I26" i="9"/>
  <c r="K24" i="9"/>
  <c r="M22" i="9"/>
  <c r="C21" i="9"/>
  <c r="E19" i="9"/>
  <c r="G17" i="9"/>
  <c r="I15" i="9"/>
  <c r="K13" i="9"/>
  <c r="M11" i="9"/>
  <c r="C10" i="9"/>
  <c r="E8" i="9"/>
  <c r="H37" i="9"/>
  <c r="F28" i="9"/>
  <c r="L22" i="9"/>
  <c r="H15" i="9"/>
  <c r="D8" i="9"/>
  <c r="J222" i="9"/>
  <c r="L220" i="9"/>
  <c r="B219" i="9"/>
  <c r="D217" i="9"/>
  <c r="F215" i="9"/>
  <c r="H213" i="9"/>
  <c r="J211" i="9"/>
  <c r="L209" i="9"/>
  <c r="B208" i="9"/>
  <c r="D206" i="9"/>
  <c r="F204" i="9"/>
  <c r="H202" i="9"/>
  <c r="J200" i="9"/>
  <c r="L198" i="9"/>
  <c r="B197" i="9"/>
  <c r="D195" i="9"/>
  <c r="F193" i="9"/>
  <c r="H191" i="9"/>
  <c r="J189" i="9"/>
  <c r="L187" i="9"/>
  <c r="B186" i="9"/>
  <c r="D184" i="9"/>
  <c r="F182" i="9"/>
  <c r="H180" i="9"/>
  <c r="J178" i="9"/>
  <c r="L176" i="9"/>
  <c r="B175" i="9"/>
  <c r="D173" i="9"/>
  <c r="F171" i="9"/>
  <c r="H169" i="9"/>
  <c r="J167" i="9"/>
  <c r="L165" i="9"/>
  <c r="B164" i="9"/>
  <c r="D162" i="9"/>
  <c r="F160" i="9"/>
  <c r="H158" i="9"/>
  <c r="J156" i="9"/>
  <c r="L154" i="9"/>
  <c r="B153" i="9"/>
  <c r="D151" i="9"/>
  <c r="F149" i="9"/>
  <c r="H147" i="9"/>
  <c r="J145" i="9"/>
  <c r="L143" i="9"/>
  <c r="B142" i="9"/>
  <c r="D140" i="9"/>
  <c r="F138" i="9"/>
  <c r="H136" i="9"/>
  <c r="J134" i="9"/>
  <c r="L132" i="9"/>
  <c r="B131" i="9"/>
  <c r="D129" i="9"/>
  <c r="F127" i="9"/>
  <c r="H125" i="9"/>
  <c r="J123" i="9"/>
  <c r="L121" i="9"/>
  <c r="B120" i="9"/>
  <c r="D118" i="9"/>
  <c r="F116" i="9"/>
  <c r="H114" i="9"/>
  <c r="J112" i="9"/>
  <c r="L110" i="9"/>
  <c r="B109" i="9"/>
  <c r="D107" i="9"/>
  <c r="F105" i="9"/>
  <c r="H103" i="9"/>
  <c r="J101" i="9"/>
  <c r="L99" i="9"/>
  <c r="B98" i="9"/>
  <c r="D96" i="9"/>
  <c r="F94" i="9"/>
  <c r="H92" i="9"/>
  <c r="J90" i="9"/>
  <c r="L88" i="9"/>
  <c r="B87" i="9"/>
  <c r="D85" i="9"/>
  <c r="F83" i="9"/>
  <c r="H81" i="9"/>
  <c r="J79" i="9"/>
  <c r="L77" i="9"/>
  <c r="B76" i="9"/>
  <c r="D74" i="9"/>
  <c r="F72" i="9"/>
  <c r="H70" i="9"/>
  <c r="J68" i="9"/>
  <c r="L66" i="9"/>
  <c r="B65" i="9"/>
  <c r="D63" i="9"/>
  <c r="F61" i="9"/>
  <c r="H59" i="9"/>
  <c r="J57" i="9"/>
  <c r="L55" i="9"/>
  <c r="B54" i="9"/>
  <c r="D52" i="9"/>
  <c r="F50" i="9"/>
  <c r="H48" i="9"/>
  <c r="J46" i="9"/>
  <c r="L44" i="9"/>
  <c r="F39" i="9"/>
  <c r="J35" i="9"/>
  <c r="B32" i="9"/>
  <c r="J24" i="9"/>
  <c r="F17" i="9"/>
  <c r="B10" i="9"/>
  <c r="I222" i="9"/>
  <c r="K220" i="9"/>
  <c r="M218" i="9"/>
  <c r="C217" i="9"/>
  <c r="E215" i="9"/>
  <c r="G213" i="9"/>
  <c r="I211" i="9"/>
  <c r="K209" i="9"/>
  <c r="M207" i="9"/>
  <c r="C206" i="9"/>
  <c r="E204" i="9"/>
  <c r="G202" i="9"/>
  <c r="I200" i="9"/>
  <c r="K198" i="9"/>
  <c r="M196" i="9"/>
  <c r="C195" i="9"/>
  <c r="E193" i="9"/>
  <c r="G191" i="9"/>
  <c r="I189" i="9"/>
  <c r="K187" i="9"/>
  <c r="M185" i="9"/>
  <c r="C184" i="9"/>
  <c r="E182" i="9"/>
  <c r="G180" i="9"/>
  <c r="I178" i="9"/>
  <c r="K176" i="9"/>
  <c r="M174" i="9"/>
  <c r="C173" i="9"/>
  <c r="E171" i="9"/>
  <c r="G169" i="9"/>
  <c r="I167" i="9"/>
  <c r="K165" i="9"/>
  <c r="M163" i="9"/>
  <c r="C162" i="9"/>
  <c r="E160" i="9"/>
  <c r="G158" i="9"/>
  <c r="I156" i="9"/>
  <c r="K154" i="9"/>
  <c r="M152" i="9"/>
  <c r="C151" i="9"/>
  <c r="E149" i="9"/>
  <c r="G147" i="9"/>
  <c r="I145" i="9"/>
  <c r="K143" i="9"/>
  <c r="M141" i="9"/>
  <c r="C140" i="9"/>
  <c r="E138" i="9"/>
  <c r="G136" i="9"/>
  <c r="I134" i="9"/>
  <c r="K132" i="9"/>
  <c r="M130" i="9"/>
  <c r="C129" i="9"/>
  <c r="E127" i="9"/>
  <c r="G125" i="9"/>
  <c r="I123" i="9"/>
  <c r="K121" i="9"/>
  <c r="M119" i="9"/>
  <c r="C118" i="9"/>
  <c r="E116" i="9"/>
  <c r="G114" i="9"/>
  <c r="I112" i="9"/>
  <c r="K110" i="9"/>
  <c r="M108" i="9"/>
  <c r="C107" i="9"/>
  <c r="E105" i="9"/>
  <c r="G103" i="9"/>
  <c r="I101" i="9"/>
  <c r="K99" i="9"/>
  <c r="M97" i="9"/>
  <c r="C96" i="9"/>
  <c r="E94" i="9"/>
  <c r="G92" i="9"/>
  <c r="I90" i="9"/>
  <c r="K88" i="9"/>
  <c r="M86" i="9"/>
  <c r="C85" i="9"/>
  <c r="E83" i="9"/>
  <c r="G81" i="9"/>
  <c r="I79" i="9"/>
  <c r="K77" i="9"/>
  <c r="M75" i="9"/>
  <c r="C74" i="9"/>
  <c r="E72" i="9"/>
  <c r="G70" i="9"/>
  <c r="I68" i="9"/>
  <c r="K66" i="9"/>
  <c r="M64" i="9"/>
  <c r="C63" i="9"/>
  <c r="E61" i="9"/>
  <c r="G59" i="9"/>
  <c r="I57" i="9"/>
  <c r="K55" i="9"/>
  <c r="M53" i="9"/>
  <c r="C52" i="9"/>
  <c r="E50" i="9"/>
  <c r="G48" i="9"/>
  <c r="I46" i="9"/>
  <c r="K44" i="9"/>
  <c r="M42" i="9"/>
  <c r="C41" i="9"/>
  <c r="E39" i="9"/>
  <c r="G37" i="9"/>
  <c r="I35" i="9"/>
  <c r="K33" i="9"/>
  <c r="M31" i="9"/>
  <c r="C30" i="9"/>
  <c r="E28" i="9"/>
  <c r="G26" i="9"/>
  <c r="I24" i="9"/>
  <c r="K22" i="9"/>
  <c r="M20" i="9"/>
  <c r="C19" i="9"/>
  <c r="E17" i="9"/>
  <c r="G15" i="9"/>
  <c r="I13" i="9"/>
  <c r="K11" i="9"/>
  <c r="M9" i="9"/>
  <c r="B8" i="9"/>
  <c r="J66" i="9"/>
  <c r="J55" i="9"/>
  <c r="B52" i="9"/>
  <c r="F48" i="9"/>
  <c r="J44" i="9"/>
  <c r="B41" i="9"/>
  <c r="F37" i="9"/>
  <c r="J33" i="9"/>
  <c r="B30" i="9"/>
  <c r="H222" i="9"/>
  <c r="J220" i="9"/>
  <c r="L218" i="9"/>
  <c r="B217" i="9"/>
  <c r="D215" i="9"/>
  <c r="F213" i="9"/>
  <c r="H211" i="9"/>
  <c r="J209" i="9"/>
  <c r="L207" i="9"/>
  <c r="B206" i="9"/>
  <c r="D204" i="9"/>
  <c r="F202" i="9"/>
  <c r="H200" i="9"/>
  <c r="J198" i="9"/>
  <c r="L196" i="9"/>
  <c r="B195" i="9"/>
  <c r="D193" i="9"/>
  <c r="F191" i="9"/>
  <c r="H189" i="9"/>
  <c r="J187" i="9"/>
  <c r="L185" i="9"/>
  <c r="B184" i="9"/>
  <c r="D182" i="9"/>
  <c r="F180" i="9"/>
  <c r="H178" i="9"/>
  <c r="J176" i="9"/>
  <c r="L174" i="9"/>
  <c r="B173" i="9"/>
  <c r="D171" i="9"/>
  <c r="F169" i="9"/>
  <c r="H167" i="9"/>
  <c r="J165" i="9"/>
  <c r="L163" i="9"/>
  <c r="B162" i="9"/>
  <c r="D160" i="9"/>
  <c r="F158" i="9"/>
  <c r="H156" i="9"/>
  <c r="J154" i="9"/>
  <c r="L152" i="9"/>
  <c r="B151" i="9"/>
  <c r="D149" i="9"/>
  <c r="F147" i="9"/>
  <c r="H145" i="9"/>
  <c r="J143" i="9"/>
  <c r="L141" i="9"/>
  <c r="B140" i="9"/>
  <c r="D138" i="9"/>
  <c r="F136" i="9"/>
  <c r="H134" i="9"/>
  <c r="J132" i="9"/>
  <c r="L130" i="9"/>
  <c r="B129" i="9"/>
  <c r="D127" i="9"/>
  <c r="F125" i="9"/>
  <c r="H123" i="9"/>
  <c r="J121" i="9"/>
  <c r="L119" i="9"/>
  <c r="B118" i="9"/>
  <c r="D116" i="9"/>
  <c r="F114" i="9"/>
  <c r="H112" i="9"/>
  <c r="J110" i="9"/>
  <c r="L108" i="9"/>
  <c r="B107" i="9"/>
  <c r="D105" i="9"/>
  <c r="F103" i="9"/>
  <c r="H101" i="9"/>
  <c r="J99" i="9"/>
  <c r="L97" i="9"/>
  <c r="B96" i="9"/>
  <c r="D94" i="9"/>
  <c r="F92" i="9"/>
  <c r="H90" i="9"/>
  <c r="J88" i="9"/>
  <c r="L86" i="9"/>
  <c r="B85" i="9"/>
  <c r="D83" i="9"/>
  <c r="F81" i="9"/>
  <c r="H79" i="9"/>
  <c r="J77" i="9"/>
  <c r="L75" i="9"/>
  <c r="B74" i="9"/>
  <c r="D72" i="9"/>
  <c r="F70" i="9"/>
  <c r="H68" i="9"/>
  <c r="L64" i="9"/>
  <c r="B63" i="9"/>
  <c r="D61" i="9"/>
  <c r="F59" i="9"/>
  <c r="H57" i="9"/>
  <c r="L53" i="9"/>
  <c r="D50" i="9"/>
  <c r="H46" i="9"/>
  <c r="L42" i="9"/>
  <c r="D39" i="9"/>
  <c r="H35" i="9"/>
  <c r="D28" i="9"/>
  <c r="B19" i="9"/>
  <c r="G222" i="9"/>
  <c r="I220" i="9"/>
  <c r="K218" i="9"/>
  <c r="M216" i="9"/>
  <c r="C215" i="9"/>
  <c r="E213" i="9"/>
  <c r="G211" i="9"/>
  <c r="I209" i="9"/>
  <c r="K207" i="9"/>
  <c r="M205" i="9"/>
  <c r="C204" i="9"/>
  <c r="E202" i="9"/>
  <c r="G200" i="9"/>
  <c r="I198" i="9"/>
  <c r="K196" i="9"/>
  <c r="M194" i="9"/>
  <c r="C193" i="9"/>
  <c r="E191" i="9"/>
  <c r="G189" i="9"/>
  <c r="I187" i="9"/>
  <c r="F222" i="9"/>
  <c r="H220" i="9"/>
  <c r="J218" i="9"/>
  <c r="L216" i="9"/>
  <c r="B215" i="9"/>
  <c r="D213" i="9"/>
  <c r="F211" i="9"/>
  <c r="H209" i="9"/>
  <c r="J207" i="9"/>
  <c r="L205" i="9"/>
  <c r="B204" i="9"/>
  <c r="D202" i="9"/>
  <c r="F200" i="9"/>
  <c r="H198" i="9"/>
  <c r="J196" i="9"/>
  <c r="L194" i="9"/>
  <c r="B193" i="9"/>
  <c r="D191" i="9"/>
  <c r="F189" i="9"/>
  <c r="H187" i="9"/>
  <c r="J185" i="9"/>
  <c r="L183" i="9"/>
  <c r="B182" i="9"/>
  <c r="D180" i="9"/>
  <c r="F178" i="9"/>
  <c r="H176" i="9"/>
  <c r="J174" i="9"/>
  <c r="L172" i="9"/>
  <c r="B171" i="9"/>
  <c r="D169" i="9"/>
  <c r="F167" i="9"/>
  <c r="H165" i="9"/>
  <c r="J163" i="9"/>
  <c r="L161" i="9"/>
  <c r="B160" i="9"/>
  <c r="D158" i="9"/>
  <c r="F156" i="9"/>
  <c r="H154" i="9"/>
  <c r="J152" i="9"/>
  <c r="L150" i="9"/>
  <c r="B149" i="9"/>
  <c r="D147" i="9"/>
  <c r="F145" i="9"/>
  <c r="H143" i="9"/>
  <c r="J141" i="9"/>
  <c r="L139" i="9"/>
  <c r="B138" i="9"/>
  <c r="D136" i="9"/>
  <c r="F134" i="9"/>
  <c r="H132" i="9"/>
  <c r="J130" i="9"/>
  <c r="L128" i="9"/>
  <c r="B127" i="9"/>
  <c r="D125" i="9"/>
  <c r="F123" i="9"/>
  <c r="H121" i="9"/>
  <c r="J119" i="9"/>
  <c r="L117" i="9"/>
  <c r="B116" i="9"/>
  <c r="D114" i="9"/>
  <c r="F112" i="9"/>
  <c r="H110" i="9"/>
  <c r="J108" i="9"/>
  <c r="L106" i="9"/>
  <c r="B105" i="9"/>
  <c r="D103" i="9"/>
  <c r="F101" i="9"/>
  <c r="H99" i="9"/>
  <c r="J97" i="9"/>
  <c r="L95" i="9"/>
  <c r="B94" i="9"/>
  <c r="D92" i="9"/>
  <c r="F90" i="9"/>
  <c r="H88" i="9"/>
  <c r="J86" i="9"/>
  <c r="E222" i="9"/>
  <c r="G220" i="9"/>
  <c r="I218" i="9"/>
  <c r="K216" i="9"/>
  <c r="M214" i="9"/>
  <c r="C213" i="9"/>
  <c r="E211" i="9"/>
  <c r="G209" i="9"/>
  <c r="I207" i="9"/>
  <c r="K205" i="9"/>
  <c r="M203" i="9"/>
  <c r="C202" i="9"/>
  <c r="E200" i="9"/>
  <c r="G198" i="9"/>
  <c r="I196" i="9"/>
  <c r="K194" i="9"/>
  <c r="M192" i="9"/>
  <c r="C191" i="9"/>
  <c r="E189" i="9"/>
  <c r="G187" i="9"/>
  <c r="I185" i="9"/>
  <c r="K183" i="9"/>
  <c r="M181" i="9"/>
  <c r="C180" i="9"/>
  <c r="E178" i="9"/>
  <c r="G176" i="9"/>
  <c r="I174" i="9"/>
  <c r="K172" i="9"/>
  <c r="M170" i="9"/>
  <c r="C169" i="9"/>
  <c r="E167" i="9"/>
  <c r="G165" i="9"/>
  <c r="I163" i="9"/>
  <c r="K161" i="9"/>
  <c r="M159" i="9"/>
  <c r="C158" i="9"/>
  <c r="E156" i="9"/>
  <c r="G154" i="9"/>
  <c r="I152" i="9"/>
  <c r="K150" i="9"/>
  <c r="M148" i="9"/>
  <c r="C147" i="9"/>
  <c r="E145" i="9"/>
  <c r="G143" i="9"/>
  <c r="I141" i="9"/>
  <c r="K139" i="9"/>
  <c r="M137" i="9"/>
  <c r="C136" i="9"/>
  <c r="E134" i="9"/>
  <c r="G132" i="9"/>
  <c r="I130" i="9"/>
  <c r="K128" i="9"/>
  <c r="M126" i="9"/>
  <c r="C125" i="9"/>
  <c r="E123" i="9"/>
  <c r="G121" i="9"/>
  <c r="I119" i="9"/>
  <c r="K117" i="9"/>
  <c r="M115" i="9"/>
  <c r="C114" i="9"/>
  <c r="E112" i="9"/>
  <c r="G110" i="9"/>
  <c r="I108" i="9"/>
  <c r="K106" i="9"/>
  <c r="M104" i="9"/>
  <c r="C103" i="9"/>
  <c r="E101" i="9"/>
  <c r="G99" i="9"/>
  <c r="I97" i="9"/>
  <c r="K95" i="9"/>
  <c r="M93" i="9"/>
  <c r="C92" i="9"/>
  <c r="E90" i="9"/>
  <c r="G88" i="9"/>
  <c r="I86" i="9"/>
  <c r="K84" i="9"/>
  <c r="M82" i="9"/>
  <c r="C81" i="9"/>
  <c r="E79" i="9"/>
  <c r="G77" i="9"/>
  <c r="I75" i="9"/>
  <c r="K73" i="9"/>
  <c r="M71" i="9"/>
  <c r="C70" i="9"/>
  <c r="E68" i="9"/>
  <c r="G66" i="9"/>
  <c r="I64" i="9"/>
  <c r="K62" i="9"/>
  <c r="M60" i="9"/>
  <c r="C59" i="9"/>
  <c r="E57" i="9"/>
  <c r="D222" i="9"/>
  <c r="F220" i="9"/>
  <c r="H218" i="9"/>
  <c r="J216" i="9"/>
  <c r="L214" i="9"/>
  <c r="B213" i="9"/>
  <c r="D211" i="9"/>
  <c r="F209" i="9"/>
  <c r="H207" i="9"/>
  <c r="J205" i="9"/>
  <c r="L203" i="9"/>
  <c r="B202" i="9"/>
  <c r="D200" i="9"/>
  <c r="F198" i="9"/>
  <c r="H196" i="9"/>
  <c r="J194" i="9"/>
  <c r="L192" i="9"/>
  <c r="B191" i="9"/>
  <c r="D189" i="9"/>
  <c r="F187" i="9"/>
  <c r="H185" i="9"/>
  <c r="J183" i="9"/>
  <c r="L181" i="9"/>
  <c r="B180" i="9"/>
  <c r="D178" i="9"/>
  <c r="F176" i="9"/>
  <c r="H174" i="9"/>
  <c r="J172" i="9"/>
  <c r="L170" i="9"/>
  <c r="B169" i="9"/>
  <c r="D167" i="9"/>
  <c r="F165" i="9"/>
  <c r="H163" i="9"/>
  <c r="J161" i="9"/>
  <c r="L159" i="9"/>
  <c r="B158" i="9"/>
  <c r="D156" i="9"/>
  <c r="F154" i="9"/>
  <c r="H152" i="9"/>
  <c r="J150" i="9"/>
  <c r="L148" i="9"/>
  <c r="B147" i="9"/>
  <c r="D145" i="9"/>
  <c r="F143" i="9"/>
  <c r="H141" i="9"/>
  <c r="J139" i="9"/>
  <c r="L221" i="9"/>
  <c r="B220" i="9"/>
  <c r="D218" i="9"/>
  <c r="F216" i="9"/>
  <c r="H214" i="9"/>
  <c r="J212" i="9"/>
  <c r="L210" i="9"/>
  <c r="B209" i="9"/>
  <c r="D207" i="9"/>
  <c r="F205" i="9"/>
  <c r="H203" i="9"/>
  <c r="J201" i="9"/>
  <c r="L199" i="9"/>
  <c r="B198" i="9"/>
  <c r="D196" i="9"/>
  <c r="F194" i="9"/>
  <c r="H192" i="9"/>
  <c r="J190" i="9"/>
  <c r="L188" i="9"/>
  <c r="B187" i="9"/>
  <c r="D185" i="9"/>
  <c r="F183" i="9"/>
  <c r="H181" i="9"/>
  <c r="J179" i="9"/>
  <c r="L177" i="9"/>
  <c r="B176" i="9"/>
  <c r="D174" i="9"/>
  <c r="F172" i="9"/>
  <c r="H170" i="9"/>
  <c r="J168" i="9"/>
  <c r="L166" i="9"/>
  <c r="B165" i="9"/>
  <c r="D163" i="9"/>
  <c r="F161" i="9"/>
  <c r="H159" i="9"/>
  <c r="J157" i="9"/>
  <c r="L155" i="9"/>
  <c r="B154" i="9"/>
  <c r="D152" i="9"/>
  <c r="F150" i="9"/>
  <c r="H148" i="9"/>
  <c r="J146" i="9"/>
  <c r="L144" i="9"/>
  <c r="B143" i="9"/>
  <c r="D141" i="9"/>
  <c r="F139" i="9"/>
  <c r="H137" i="9"/>
  <c r="J135" i="9"/>
  <c r="L133" i="9"/>
  <c r="B132" i="9"/>
  <c r="D130" i="9"/>
  <c r="F128" i="9"/>
  <c r="H126" i="9"/>
  <c r="J124" i="9"/>
  <c r="L122" i="9"/>
  <c r="B121" i="9"/>
  <c r="D119" i="9"/>
  <c r="F117" i="9"/>
  <c r="H115" i="9"/>
  <c r="J113" i="9"/>
  <c r="L111" i="9"/>
  <c r="B110" i="9"/>
  <c r="D108" i="9"/>
  <c r="F106" i="9"/>
  <c r="H104" i="9"/>
  <c r="J102" i="9"/>
  <c r="L100" i="9"/>
  <c r="B99" i="9"/>
  <c r="D97" i="9"/>
  <c r="F95" i="9"/>
  <c r="H93" i="9"/>
  <c r="J91" i="9"/>
  <c r="L89" i="9"/>
  <c r="B88" i="9"/>
  <c r="D86" i="9"/>
  <c r="F84" i="9"/>
  <c r="H82" i="9"/>
  <c r="J80" i="9"/>
  <c r="L78" i="9"/>
  <c r="B77" i="9"/>
  <c r="C222" i="9"/>
  <c r="G218" i="9"/>
  <c r="K214" i="9"/>
  <c r="C211" i="9"/>
  <c r="G207" i="9"/>
  <c r="K203" i="9"/>
  <c r="C200" i="9"/>
  <c r="G196" i="9"/>
  <c r="K192" i="9"/>
  <c r="C189" i="9"/>
  <c r="K185" i="9"/>
  <c r="K182" i="9"/>
  <c r="E179" i="9"/>
  <c r="K175" i="9"/>
  <c r="E172" i="9"/>
  <c r="L168" i="9"/>
  <c r="I165" i="9"/>
  <c r="I162" i="9"/>
  <c r="C159" i="9"/>
  <c r="I155" i="9"/>
  <c r="C152" i="9"/>
  <c r="J148" i="9"/>
  <c r="G145" i="9"/>
  <c r="G142" i="9"/>
  <c r="M138" i="9"/>
  <c r="I135" i="9"/>
  <c r="F132" i="9"/>
  <c r="J129" i="9"/>
  <c r="F126" i="9"/>
  <c r="C123" i="9"/>
  <c r="G120" i="9"/>
  <c r="C117" i="9"/>
  <c r="L113" i="9"/>
  <c r="D111" i="9"/>
  <c r="L107" i="9"/>
  <c r="I104" i="9"/>
  <c r="G101" i="9"/>
  <c r="I98" i="9"/>
  <c r="E95" i="9"/>
  <c r="B92" i="9"/>
  <c r="F89" i="9"/>
  <c r="B86" i="9"/>
  <c r="B83" i="9"/>
  <c r="F80" i="9"/>
  <c r="E77" i="9"/>
  <c r="K74" i="9"/>
  <c r="K71" i="9"/>
  <c r="F69" i="9"/>
  <c r="F66" i="9"/>
  <c r="M63" i="9"/>
  <c r="B61" i="9"/>
  <c r="H58" i="9"/>
  <c r="I55" i="9"/>
  <c r="E53" i="9"/>
  <c r="M50" i="9"/>
  <c r="C48" i="9"/>
  <c r="K45" i="9"/>
  <c r="G43" i="9"/>
  <c r="I40" i="9"/>
  <c r="E38" i="9"/>
  <c r="G35" i="9"/>
  <c r="C33" i="9"/>
  <c r="K30" i="9"/>
  <c r="M27" i="9"/>
  <c r="I25" i="9"/>
  <c r="F23" i="9"/>
  <c r="J20" i="9"/>
  <c r="F18" i="9"/>
  <c r="C16" i="9"/>
  <c r="G13" i="9"/>
  <c r="D11" i="9"/>
  <c r="M8" i="9"/>
  <c r="M47" i="9"/>
  <c r="M32" i="9"/>
  <c r="G25" i="9"/>
  <c r="D18" i="9"/>
  <c r="B11" i="9"/>
  <c r="J42" i="9"/>
  <c r="H30" i="9"/>
  <c r="J22" i="9"/>
  <c r="L15" i="9"/>
  <c r="M10" i="9"/>
  <c r="J128" i="9"/>
  <c r="D104" i="9"/>
  <c r="I91" i="9"/>
  <c r="B80" i="9"/>
  <c r="B69" i="9"/>
  <c r="I60" i="9"/>
  <c r="M52" i="9"/>
  <c r="K47" i="9"/>
  <c r="M37" i="9"/>
  <c r="K32" i="9"/>
  <c r="E25" i="9"/>
  <c r="F15" i="9"/>
  <c r="I8" i="9"/>
  <c r="I85" i="9"/>
  <c r="G68" i="9"/>
  <c r="L52" i="9"/>
  <c r="H42" i="9"/>
  <c r="D40" i="9"/>
  <c r="B35" i="9"/>
  <c r="D25" i="9"/>
  <c r="E20" i="9"/>
  <c r="B13" i="9"/>
  <c r="I32" i="9"/>
  <c r="D15" i="9"/>
  <c r="B15" i="9"/>
  <c r="G24" i="9"/>
  <c r="H206" i="9"/>
  <c r="G157" i="9"/>
  <c r="L124" i="9"/>
  <c r="I84" i="9"/>
  <c r="M51" i="9"/>
  <c r="F24" i="9"/>
  <c r="I194" i="9"/>
  <c r="B174" i="9"/>
  <c r="G150" i="9"/>
  <c r="K124" i="9"/>
  <c r="B91" i="9"/>
  <c r="G65" i="9"/>
  <c r="J39" i="9"/>
  <c r="B17" i="9"/>
  <c r="H194" i="9"/>
  <c r="G177" i="9"/>
  <c r="E150" i="9"/>
  <c r="M127" i="9"/>
  <c r="L102" i="9"/>
  <c r="B222" i="9"/>
  <c r="F218" i="9"/>
  <c r="J214" i="9"/>
  <c r="B211" i="9"/>
  <c r="F207" i="9"/>
  <c r="J203" i="9"/>
  <c r="B200" i="9"/>
  <c r="F196" i="9"/>
  <c r="J192" i="9"/>
  <c r="B189" i="9"/>
  <c r="G185" i="9"/>
  <c r="J182" i="9"/>
  <c r="D179" i="9"/>
  <c r="J175" i="9"/>
  <c r="D172" i="9"/>
  <c r="K168" i="9"/>
  <c r="E165" i="9"/>
  <c r="H162" i="9"/>
  <c r="B159" i="9"/>
  <c r="H155" i="9"/>
  <c r="B152" i="9"/>
  <c r="I148" i="9"/>
  <c r="C145" i="9"/>
  <c r="F142" i="9"/>
  <c r="L138" i="9"/>
  <c r="H135" i="9"/>
  <c r="E132" i="9"/>
  <c r="I129" i="9"/>
  <c r="E126" i="9"/>
  <c r="B123" i="9"/>
  <c r="F120" i="9"/>
  <c r="B117" i="9"/>
  <c r="K113" i="9"/>
  <c r="I110" i="9"/>
  <c r="K107" i="9"/>
  <c r="G104" i="9"/>
  <c r="D101" i="9"/>
  <c r="H98" i="9"/>
  <c r="D95" i="9"/>
  <c r="M91" i="9"/>
  <c r="E89" i="9"/>
  <c r="M85" i="9"/>
  <c r="L82" i="9"/>
  <c r="E80" i="9"/>
  <c r="D77" i="9"/>
  <c r="J74" i="9"/>
  <c r="J71" i="9"/>
  <c r="E69" i="9"/>
  <c r="E66" i="9"/>
  <c r="L63" i="9"/>
  <c r="L60" i="9"/>
  <c r="G58" i="9"/>
  <c r="H55" i="9"/>
  <c r="D53" i="9"/>
  <c r="L50" i="9"/>
  <c r="B48" i="9"/>
  <c r="J45" i="9"/>
  <c r="F43" i="9"/>
  <c r="H40" i="9"/>
  <c r="D38" i="9"/>
  <c r="F35" i="9"/>
  <c r="B33" i="9"/>
  <c r="J30" i="9"/>
  <c r="L27" i="9"/>
  <c r="H25" i="9"/>
  <c r="E23" i="9"/>
  <c r="I20" i="9"/>
  <c r="E18" i="9"/>
  <c r="B16" i="9"/>
  <c r="F13" i="9"/>
  <c r="C11" i="9"/>
  <c r="L8" i="9"/>
  <c r="K42" i="9"/>
  <c r="K27" i="9"/>
  <c r="H20" i="9"/>
  <c r="M15" i="9"/>
  <c r="K8" i="9"/>
  <c r="F40" i="9"/>
  <c r="F25" i="9"/>
  <c r="D13" i="9"/>
  <c r="M131" i="9"/>
  <c r="H107" i="9"/>
  <c r="F88" i="9"/>
  <c r="D17" i="9"/>
  <c r="L213" i="9"/>
  <c r="C174" i="9"/>
  <c r="K140" i="9"/>
  <c r="I109" i="9"/>
  <c r="H62" i="9"/>
  <c r="I34" i="9"/>
  <c r="I12" i="9"/>
  <c r="M201" i="9"/>
  <c r="H177" i="9"/>
  <c r="F157" i="9"/>
  <c r="E137" i="9"/>
  <c r="K118" i="9"/>
  <c r="M96" i="9"/>
  <c r="L70" i="9"/>
  <c r="L51" i="9"/>
  <c r="F29" i="9"/>
  <c r="M221" i="9"/>
  <c r="E218" i="9"/>
  <c r="I214" i="9"/>
  <c r="M210" i="9"/>
  <c r="E207" i="9"/>
  <c r="I203" i="9"/>
  <c r="M199" i="9"/>
  <c r="E196" i="9"/>
  <c r="I192" i="9"/>
  <c r="M188" i="9"/>
  <c r="F185" i="9"/>
  <c r="C182" i="9"/>
  <c r="C179" i="9"/>
  <c r="I175" i="9"/>
  <c r="C172" i="9"/>
  <c r="I168" i="9"/>
  <c r="D165" i="9"/>
  <c r="M161" i="9"/>
  <c r="M158" i="9"/>
  <c r="G155" i="9"/>
  <c r="M151" i="9"/>
  <c r="G148" i="9"/>
  <c r="B145" i="9"/>
  <c r="K141" i="9"/>
  <c r="K138" i="9"/>
  <c r="G135" i="9"/>
  <c r="D132" i="9"/>
  <c r="H129" i="9"/>
  <c r="D126" i="9"/>
  <c r="M122" i="9"/>
  <c r="K119" i="9"/>
  <c r="M116" i="9"/>
  <c r="I113" i="9"/>
  <c r="F110" i="9"/>
  <c r="J107" i="9"/>
  <c r="F104" i="9"/>
  <c r="C101" i="9"/>
  <c r="G98" i="9"/>
  <c r="C95" i="9"/>
  <c r="L91" i="9"/>
  <c r="D89" i="9"/>
  <c r="L85" i="9"/>
  <c r="K82" i="9"/>
  <c r="D80" i="9"/>
  <c r="C77" i="9"/>
  <c r="I74" i="9"/>
  <c r="I71" i="9"/>
  <c r="D69" i="9"/>
  <c r="D66" i="9"/>
  <c r="K63" i="9"/>
  <c r="K60" i="9"/>
  <c r="F58" i="9"/>
  <c r="G55" i="9"/>
  <c r="C53" i="9"/>
  <c r="K50" i="9"/>
  <c r="I45" i="9"/>
  <c r="G40" i="9"/>
  <c r="C38" i="9"/>
  <c r="E35" i="9"/>
  <c r="I30" i="9"/>
  <c r="D23" i="9"/>
  <c r="E13" i="9"/>
  <c r="D35" i="9"/>
  <c r="G20" i="9"/>
  <c r="J8" i="9"/>
  <c r="E135" i="9"/>
  <c r="M100" i="9"/>
  <c r="I82" i="9"/>
  <c r="G71" i="9"/>
  <c r="I63" i="9"/>
  <c r="C50" i="9"/>
  <c r="E40" i="9"/>
  <c r="I27" i="9"/>
  <c r="F20" i="9"/>
  <c r="C13" i="9"/>
  <c r="H91" i="9"/>
  <c r="L73" i="9"/>
  <c r="H63" i="9"/>
  <c r="D55" i="9"/>
  <c r="B50" i="9"/>
  <c r="L37" i="9"/>
  <c r="H27" i="9"/>
  <c r="M17" i="9"/>
  <c r="H8" i="9"/>
  <c r="E37" i="9"/>
  <c r="D20" i="9"/>
  <c r="B20" i="9"/>
  <c r="H29" i="9"/>
  <c r="D199" i="9"/>
  <c r="I177" i="9"/>
  <c r="E147" i="9"/>
  <c r="D122" i="9"/>
  <c r="B97" i="9"/>
  <c r="M70" i="9"/>
  <c r="E47" i="9"/>
  <c r="G29" i="9"/>
  <c r="E220" i="9"/>
  <c r="E187" i="9"/>
  <c r="D144" i="9"/>
  <c r="D112" i="9"/>
  <c r="H84" i="9"/>
  <c r="B60" i="9"/>
  <c r="H34" i="9"/>
  <c r="H12" i="9"/>
  <c r="D209" i="9"/>
  <c r="B167" i="9"/>
  <c r="M133" i="9"/>
  <c r="C112" i="9"/>
  <c r="I93" i="9"/>
  <c r="K221" i="9"/>
  <c r="C218" i="9"/>
  <c r="G214" i="9"/>
  <c r="K210" i="9"/>
  <c r="C207" i="9"/>
  <c r="G203" i="9"/>
  <c r="K199" i="9"/>
  <c r="C196" i="9"/>
  <c r="G192" i="9"/>
  <c r="K188" i="9"/>
  <c r="E185" i="9"/>
  <c r="K181" i="9"/>
  <c r="B179" i="9"/>
  <c r="H175" i="9"/>
  <c r="B172" i="9"/>
  <c r="H168" i="9"/>
  <c r="C165" i="9"/>
  <c r="I161" i="9"/>
  <c r="L158" i="9"/>
  <c r="F155" i="9"/>
  <c r="L151" i="9"/>
  <c r="F148" i="9"/>
  <c r="M144" i="9"/>
  <c r="G141" i="9"/>
  <c r="J138" i="9"/>
  <c r="F135" i="9"/>
  <c r="C132" i="9"/>
  <c r="M128" i="9"/>
  <c r="C126" i="9"/>
  <c r="K122" i="9"/>
  <c r="H119" i="9"/>
  <c r="L116" i="9"/>
  <c r="H113" i="9"/>
  <c r="E110" i="9"/>
  <c r="I107" i="9"/>
  <c r="E104" i="9"/>
  <c r="B101" i="9"/>
  <c r="F98" i="9"/>
  <c r="B95" i="9"/>
  <c r="K91" i="9"/>
  <c r="I88" i="9"/>
  <c r="K85" i="9"/>
  <c r="J82" i="9"/>
  <c r="C80" i="9"/>
  <c r="M76" i="9"/>
  <c r="H74" i="9"/>
  <c r="H71" i="9"/>
  <c r="C69" i="9"/>
  <c r="C66" i="9"/>
  <c r="J63" i="9"/>
  <c r="J60" i="9"/>
  <c r="E58" i="9"/>
  <c r="F55" i="9"/>
  <c r="B53" i="9"/>
  <c r="J50" i="9"/>
  <c r="L47" i="9"/>
  <c r="H45" i="9"/>
  <c r="B38" i="9"/>
  <c r="L32" i="9"/>
  <c r="J27" i="9"/>
  <c r="C18" i="9"/>
  <c r="B126" i="9"/>
  <c r="K97" i="9"/>
  <c r="L76" i="9"/>
  <c r="D58" i="9"/>
  <c r="G45" i="9"/>
  <c r="C35" i="9"/>
  <c r="I22" i="9"/>
  <c r="L10" i="9"/>
  <c r="J221" i="9"/>
  <c r="B218" i="9"/>
  <c r="F214" i="9"/>
  <c r="J210" i="9"/>
  <c r="B207" i="9"/>
  <c r="F203" i="9"/>
  <c r="J199" i="9"/>
  <c r="B196" i="9"/>
  <c r="F192" i="9"/>
  <c r="J188" i="9"/>
  <c r="C185" i="9"/>
  <c r="J181" i="9"/>
  <c r="G178" i="9"/>
  <c r="G175" i="9"/>
  <c r="M171" i="9"/>
  <c r="G168" i="9"/>
  <c r="M164" i="9"/>
  <c r="H161" i="9"/>
  <c r="E158" i="9"/>
  <c r="E155" i="9"/>
  <c r="K151" i="9"/>
  <c r="E148" i="9"/>
  <c r="K144" i="9"/>
  <c r="F141" i="9"/>
  <c r="C138" i="9"/>
  <c r="J122" i="9"/>
  <c r="G119" i="9"/>
  <c r="K116" i="9"/>
  <c r="G113" i="9"/>
  <c r="D110" i="9"/>
  <c r="M94" i="9"/>
  <c r="J85" i="9"/>
  <c r="M73" i="9"/>
  <c r="B66" i="9"/>
  <c r="E55" i="9"/>
  <c r="I42" i="9"/>
  <c r="M29" i="9"/>
  <c r="B18" i="9"/>
  <c r="G79" i="9"/>
  <c r="H60" i="9"/>
  <c r="J47" i="9"/>
  <c r="J32" i="9"/>
  <c r="H22" i="9"/>
  <c r="K10" i="9"/>
  <c r="K29" i="9"/>
  <c r="G22" i="9"/>
  <c r="J10" i="9"/>
  <c r="H10" i="9"/>
  <c r="D22" i="9"/>
  <c r="G10" i="9"/>
  <c r="L191" i="9"/>
  <c r="I184" i="9"/>
  <c r="G167" i="9"/>
  <c r="E144" i="9"/>
  <c r="G131" i="9"/>
  <c r="G112" i="9"/>
  <c r="K87" i="9"/>
  <c r="H65" i="9"/>
  <c r="K54" i="9"/>
  <c r="K39" i="9"/>
  <c r="C27" i="9"/>
  <c r="L14" i="9"/>
  <c r="M212" i="9"/>
  <c r="L153" i="9"/>
  <c r="H109" i="9"/>
  <c r="K78" i="9"/>
  <c r="J54" i="9"/>
  <c r="B27" i="9"/>
  <c r="L190" i="9"/>
  <c r="M183" i="9"/>
  <c r="M180" i="9"/>
  <c r="M173" i="9"/>
  <c r="E157" i="9"/>
  <c r="I143" i="9"/>
  <c r="I124" i="9"/>
  <c r="D100" i="9"/>
  <c r="I221" i="9"/>
  <c r="M217" i="9"/>
  <c r="E214" i="9"/>
  <c r="I210" i="9"/>
  <c r="M206" i="9"/>
  <c r="E203" i="9"/>
  <c r="I199" i="9"/>
  <c r="M195" i="9"/>
  <c r="E192" i="9"/>
  <c r="I188" i="9"/>
  <c r="B185" i="9"/>
  <c r="I181" i="9"/>
  <c r="C178" i="9"/>
  <c r="F175" i="9"/>
  <c r="L171" i="9"/>
  <c r="F168" i="9"/>
  <c r="L164" i="9"/>
  <c r="G161" i="9"/>
  <c r="M157" i="9"/>
  <c r="D155" i="9"/>
  <c r="J151" i="9"/>
  <c r="D148" i="9"/>
  <c r="J144" i="9"/>
  <c r="E141" i="9"/>
  <c r="L137" i="9"/>
  <c r="D135" i="9"/>
  <c r="L131" i="9"/>
  <c r="I128" i="9"/>
  <c r="M125" i="9"/>
  <c r="I122" i="9"/>
  <c r="F119" i="9"/>
  <c r="J116" i="9"/>
  <c r="F113" i="9"/>
  <c r="C110" i="9"/>
  <c r="M106" i="9"/>
  <c r="C104" i="9"/>
  <c r="K100" i="9"/>
  <c r="H97" i="9"/>
  <c r="L94" i="9"/>
  <c r="E88" i="9"/>
  <c r="G82" i="9"/>
  <c r="K76" i="9"/>
  <c r="F71" i="9"/>
  <c r="M65" i="9"/>
  <c r="C58" i="9"/>
  <c r="F45" i="9"/>
  <c r="L29" i="9"/>
  <c r="E15" i="9"/>
  <c r="M34" i="9"/>
  <c r="L17" i="9"/>
  <c r="E22" i="9"/>
  <c r="F32" i="9"/>
  <c r="H195" i="9"/>
  <c r="C181" i="9"/>
  <c r="H150" i="9"/>
  <c r="I115" i="9"/>
  <c r="C91" i="9"/>
  <c r="M67" i="9"/>
  <c r="C42" i="9"/>
  <c r="L19" i="9"/>
  <c r="I216" i="9"/>
  <c r="B181" i="9"/>
  <c r="J140" i="9"/>
  <c r="D106" i="9"/>
  <c r="M81" i="9"/>
  <c r="B57" i="9"/>
  <c r="J31" i="9"/>
  <c r="L9" i="9"/>
  <c r="L212" i="9"/>
  <c r="K163" i="9"/>
  <c r="D137" i="9"/>
  <c r="F115" i="9"/>
  <c r="L96" i="9"/>
  <c r="J75" i="9"/>
  <c r="H221" i="9"/>
  <c r="L217" i="9"/>
  <c r="D214" i="9"/>
  <c r="H210" i="9"/>
  <c r="L206" i="9"/>
  <c r="D203" i="9"/>
  <c r="H199" i="9"/>
  <c r="L195" i="9"/>
  <c r="D192" i="9"/>
  <c r="H188" i="9"/>
  <c r="M184" i="9"/>
  <c r="G181" i="9"/>
  <c r="B178" i="9"/>
  <c r="K174" i="9"/>
  <c r="K171" i="9"/>
  <c r="E168" i="9"/>
  <c r="K164" i="9"/>
  <c r="E161" i="9"/>
  <c r="L157" i="9"/>
  <c r="I154" i="9"/>
  <c r="I151" i="9"/>
  <c r="C148" i="9"/>
  <c r="I144" i="9"/>
  <c r="C141" i="9"/>
  <c r="K137" i="9"/>
  <c r="C135" i="9"/>
  <c r="K131" i="9"/>
  <c r="H128" i="9"/>
  <c r="L125" i="9"/>
  <c r="H122" i="9"/>
  <c r="E119" i="9"/>
  <c r="C116" i="9"/>
  <c r="E113" i="9"/>
  <c r="M109" i="9"/>
  <c r="J106" i="9"/>
  <c r="B104" i="9"/>
  <c r="J100" i="9"/>
  <c r="G97" i="9"/>
  <c r="K94" i="9"/>
  <c r="G91" i="9"/>
  <c r="D88" i="9"/>
  <c r="H85" i="9"/>
  <c r="F82" i="9"/>
  <c r="F79" i="9"/>
  <c r="J76" i="9"/>
  <c r="J73" i="9"/>
  <c r="E71" i="9"/>
  <c r="F68" i="9"/>
  <c r="L65" i="9"/>
  <c r="M62" i="9"/>
  <c r="G60" i="9"/>
  <c r="B58" i="9"/>
  <c r="C55" i="9"/>
  <c r="K52" i="9"/>
  <c r="M49" i="9"/>
  <c r="I47" i="9"/>
  <c r="E45" i="9"/>
  <c r="G42" i="9"/>
  <c r="C40" i="9"/>
  <c r="G27" i="9"/>
  <c r="C25" i="9"/>
  <c r="M12" i="9"/>
  <c r="B37" i="9"/>
  <c r="J12" i="9"/>
  <c r="D210" i="9"/>
  <c r="G164" i="9"/>
  <c r="C128" i="9"/>
  <c r="F100" i="9"/>
  <c r="F76" i="9"/>
  <c r="C57" i="9"/>
  <c r="K31" i="9"/>
  <c r="I205" i="9"/>
  <c r="F164" i="9"/>
  <c r="B128" i="9"/>
  <c r="E100" i="9"/>
  <c r="K75" i="9"/>
  <c r="D47" i="9"/>
  <c r="B22" i="9"/>
  <c r="H216" i="9"/>
  <c r="L146" i="9"/>
  <c r="J118" i="9"/>
  <c r="I87" i="9"/>
  <c r="G221" i="9"/>
  <c r="K217" i="9"/>
  <c r="C214" i="9"/>
  <c r="G210" i="9"/>
  <c r="K206" i="9"/>
  <c r="C203" i="9"/>
  <c r="G199" i="9"/>
  <c r="K195" i="9"/>
  <c r="C192" i="9"/>
  <c r="G188" i="9"/>
  <c r="L184" i="9"/>
  <c r="F181" i="9"/>
  <c r="M177" i="9"/>
  <c r="G174" i="9"/>
  <c r="J171" i="9"/>
  <c r="D168" i="9"/>
  <c r="J164" i="9"/>
  <c r="D161" i="9"/>
  <c r="K157" i="9"/>
  <c r="E154" i="9"/>
  <c r="H151" i="9"/>
  <c r="B148" i="9"/>
  <c r="H144" i="9"/>
  <c r="B141" i="9"/>
  <c r="J137" i="9"/>
  <c r="B135" i="9"/>
  <c r="J131" i="9"/>
  <c r="G128" i="9"/>
  <c r="E125" i="9"/>
  <c r="G122" i="9"/>
  <c r="C119" i="9"/>
  <c r="L115" i="9"/>
  <c r="D113" i="9"/>
  <c r="L109" i="9"/>
  <c r="I106" i="9"/>
  <c r="M103" i="9"/>
  <c r="I100" i="9"/>
  <c r="F97" i="9"/>
  <c r="J94" i="9"/>
  <c r="F91" i="9"/>
  <c r="C88" i="9"/>
  <c r="M84" i="9"/>
  <c r="E82" i="9"/>
  <c r="D79" i="9"/>
  <c r="I76" i="9"/>
  <c r="I73" i="9"/>
  <c r="D71" i="9"/>
  <c r="D68" i="9"/>
  <c r="K65" i="9"/>
  <c r="L62" i="9"/>
  <c r="F60" i="9"/>
  <c r="G57" i="9"/>
  <c r="B55" i="9"/>
  <c r="J52" i="9"/>
  <c r="L49" i="9"/>
  <c r="H47" i="9"/>
  <c r="D45" i="9"/>
  <c r="F42" i="9"/>
  <c r="B40" i="9"/>
  <c r="D37" i="9"/>
  <c r="L34" i="9"/>
  <c r="H32" i="9"/>
  <c r="J29" i="9"/>
  <c r="F27" i="9"/>
  <c r="B25" i="9"/>
  <c r="F22" i="9"/>
  <c r="C20" i="9"/>
  <c r="K17" i="9"/>
  <c r="C15" i="9"/>
  <c r="L12" i="9"/>
  <c r="I10" i="9"/>
  <c r="G32" i="9"/>
  <c r="J17" i="9"/>
  <c r="J34" i="9"/>
  <c r="D188" i="9"/>
  <c r="M153" i="9"/>
  <c r="C134" i="9"/>
  <c r="B103" i="9"/>
  <c r="F73" i="9"/>
  <c r="G44" i="9"/>
  <c r="B42" i="9"/>
  <c r="F221" i="9"/>
  <c r="J217" i="9"/>
  <c r="B214" i="9"/>
  <c r="F210" i="9"/>
  <c r="J206" i="9"/>
  <c r="B203" i="9"/>
  <c r="F199" i="9"/>
  <c r="J195" i="9"/>
  <c r="B192" i="9"/>
  <c r="F188" i="9"/>
  <c r="K184" i="9"/>
  <c r="E181" i="9"/>
  <c r="K177" i="9"/>
  <c r="F174" i="9"/>
  <c r="C171" i="9"/>
  <c r="C168" i="9"/>
  <c r="I164" i="9"/>
  <c r="C161" i="9"/>
  <c r="I157" i="9"/>
  <c r="D154" i="9"/>
  <c r="M150" i="9"/>
  <c r="M147" i="9"/>
  <c r="G144" i="9"/>
  <c r="M140" i="9"/>
  <c r="I137" i="9"/>
  <c r="G134" i="9"/>
  <c r="I131" i="9"/>
  <c r="E128" i="9"/>
  <c r="B125" i="9"/>
  <c r="F122" i="9"/>
  <c r="B119" i="9"/>
  <c r="K115" i="9"/>
  <c r="C113" i="9"/>
  <c r="K109" i="9"/>
  <c r="H106" i="9"/>
  <c r="L103" i="9"/>
  <c r="H100" i="9"/>
  <c r="E97" i="9"/>
  <c r="C94" i="9"/>
  <c r="E91" i="9"/>
  <c r="M87" i="9"/>
  <c r="L84" i="9"/>
  <c r="D82" i="9"/>
  <c r="C79" i="9"/>
  <c r="H76" i="9"/>
  <c r="H73" i="9"/>
  <c r="C71" i="9"/>
  <c r="C68" i="9"/>
  <c r="J65" i="9"/>
  <c r="J62" i="9"/>
  <c r="E60" i="9"/>
  <c r="F57" i="9"/>
  <c r="M54" i="9"/>
  <c r="I52" i="9"/>
  <c r="K49" i="9"/>
  <c r="G47" i="9"/>
  <c r="I44" i="9"/>
  <c r="E42" i="9"/>
  <c r="M39" i="9"/>
  <c r="C37" i="9"/>
  <c r="K34" i="9"/>
  <c r="I29" i="9"/>
  <c r="E27" i="9"/>
  <c r="H24" i="9"/>
  <c r="K12" i="9"/>
  <c r="M19" i="9"/>
  <c r="H217" i="9"/>
  <c r="J170" i="9"/>
  <c r="F137" i="9"/>
  <c r="E106" i="9"/>
  <c r="M78" i="9"/>
  <c r="I49" i="9"/>
  <c r="C22" i="9"/>
  <c r="E198" i="9"/>
  <c r="H184" i="9"/>
  <c r="L160" i="9"/>
  <c r="B134" i="9"/>
  <c r="G115" i="9"/>
  <c r="J93" i="9"/>
  <c r="L67" i="9"/>
  <c r="H49" i="9"/>
  <c r="E24" i="9"/>
  <c r="L201" i="9"/>
  <c r="G170" i="9"/>
  <c r="I140" i="9"/>
  <c r="G109" i="9"/>
  <c r="G90" i="9"/>
  <c r="E221" i="9"/>
  <c r="I217" i="9"/>
  <c r="M213" i="9"/>
  <c r="E210" i="9"/>
  <c r="I206" i="9"/>
  <c r="M202" i="9"/>
  <c r="E199" i="9"/>
  <c r="I195" i="9"/>
  <c r="M191" i="9"/>
  <c r="E188" i="9"/>
  <c r="J184" i="9"/>
  <c r="D181" i="9"/>
  <c r="J177" i="9"/>
  <c r="E174" i="9"/>
  <c r="K170" i="9"/>
  <c r="B168" i="9"/>
  <c r="H164" i="9"/>
  <c r="B161" i="9"/>
  <c r="H157" i="9"/>
  <c r="C154" i="9"/>
  <c r="I150" i="9"/>
  <c r="L147" i="9"/>
  <c r="F144" i="9"/>
  <c r="L140" i="9"/>
  <c r="G137" i="9"/>
  <c r="D134" i="9"/>
  <c r="H131" i="9"/>
  <c r="D128" i="9"/>
  <c r="M124" i="9"/>
  <c r="E122" i="9"/>
  <c r="M118" i="9"/>
  <c r="J115" i="9"/>
  <c r="B113" i="9"/>
  <c r="J109" i="9"/>
  <c r="G106" i="9"/>
  <c r="E103" i="9"/>
  <c r="G100" i="9"/>
  <c r="C97" i="9"/>
  <c r="L93" i="9"/>
  <c r="D91" i="9"/>
  <c r="L87" i="9"/>
  <c r="J84" i="9"/>
  <c r="C82" i="9"/>
  <c r="B79" i="9"/>
  <c r="G76" i="9"/>
  <c r="G73" i="9"/>
  <c r="B71" i="9"/>
  <c r="B68" i="9"/>
  <c r="I65" i="9"/>
  <c r="I62" i="9"/>
  <c r="D60" i="9"/>
  <c r="D57" i="9"/>
  <c r="L54" i="9"/>
  <c r="H52" i="9"/>
  <c r="J49" i="9"/>
  <c r="F47" i="9"/>
  <c r="H44" i="9"/>
  <c r="D42" i="9"/>
  <c r="L39" i="9"/>
  <c r="D27" i="9"/>
  <c r="M14" i="9"/>
  <c r="L202" i="9"/>
  <c r="M160" i="9"/>
  <c r="L118" i="9"/>
  <c r="B82" i="9"/>
  <c r="C60" i="9"/>
  <c r="M36" i="9"/>
  <c r="F10" i="9"/>
  <c r="E209" i="9"/>
  <c r="C167" i="9"/>
  <c r="F131" i="9"/>
  <c r="M102" i="9"/>
  <c r="E73" i="9"/>
  <c r="F44" i="9"/>
  <c r="K19" i="9"/>
  <c r="D220" i="9"/>
  <c r="K153" i="9"/>
  <c r="F121" i="9"/>
  <c r="G84" i="9"/>
  <c r="D221" i="9"/>
  <c r="K93" i="9"/>
  <c r="C17" i="9"/>
  <c r="M190" i="9"/>
  <c r="I170" i="9"/>
  <c r="M146" i="9"/>
  <c r="I121" i="9"/>
  <c r="J87" i="9"/>
  <c r="G62" i="9"/>
  <c r="L36" i="9"/>
  <c r="K14" i="9"/>
  <c r="D198" i="9"/>
  <c r="K160" i="9"/>
  <c r="K130" i="9"/>
  <c r="C106" i="9"/>
  <c r="J78" i="9"/>
  <c r="C220" i="9"/>
  <c r="F212" i="9"/>
  <c r="K204" i="9"/>
  <c r="D194" i="9"/>
  <c r="I186" i="9"/>
  <c r="F177" i="9"/>
  <c r="B170" i="9"/>
  <c r="J162" i="9"/>
  <c r="G153" i="9"/>
  <c r="C146" i="9"/>
  <c r="M136" i="9"/>
  <c r="M129" i="9"/>
  <c r="D121" i="9"/>
  <c r="L114" i="9"/>
  <c r="B106" i="9"/>
  <c r="C99" i="9"/>
  <c r="E92" i="9"/>
  <c r="B84" i="9"/>
  <c r="I77" i="9"/>
  <c r="E70" i="9"/>
  <c r="J64" i="9"/>
  <c r="B59" i="9"/>
  <c r="I53" i="9"/>
  <c r="E48" i="9"/>
  <c r="M41" i="9"/>
  <c r="I36" i="9"/>
  <c r="E31" i="9"/>
  <c r="M25" i="9"/>
  <c r="L20" i="9"/>
  <c r="J14" i="9"/>
  <c r="I9" i="9"/>
  <c r="L219" i="9"/>
  <c r="L169" i="9"/>
  <c r="K152" i="9"/>
  <c r="E136" i="9"/>
  <c r="B114" i="9"/>
  <c r="C90" i="9"/>
  <c r="F77" i="9"/>
  <c r="G64" i="9"/>
  <c r="G53" i="9"/>
  <c r="K41" i="9"/>
  <c r="G36" i="9"/>
  <c r="K25" i="9"/>
  <c r="G9" i="9"/>
  <c r="G201" i="9"/>
  <c r="F75" i="9"/>
  <c r="C24" i="9"/>
  <c r="I120" i="9"/>
  <c r="J69" i="9"/>
  <c r="D14" i="9"/>
  <c r="H190" i="9"/>
  <c r="J126" i="9"/>
  <c r="E62" i="9"/>
  <c r="I18" i="9"/>
  <c r="E216" i="9"/>
  <c r="M117" i="9"/>
  <c r="C39" i="9"/>
  <c r="F190" i="9"/>
  <c r="F111" i="9"/>
  <c r="L45" i="9"/>
  <c r="L182" i="9"/>
  <c r="F133" i="9"/>
  <c r="K80" i="9"/>
  <c r="H23" i="9"/>
  <c r="F208" i="9"/>
  <c r="H117" i="9"/>
  <c r="H33" i="9"/>
  <c r="G163" i="9"/>
  <c r="G117" i="9"/>
  <c r="B73" i="9"/>
  <c r="C28" i="9"/>
  <c r="J11" i="9"/>
  <c r="G205" i="9"/>
  <c r="M72" i="9"/>
  <c r="C163" i="9"/>
  <c r="D139" i="9"/>
  <c r="B102" i="9"/>
  <c r="H38" i="9"/>
  <c r="G11" i="9"/>
  <c r="G197" i="9"/>
  <c r="G146" i="9"/>
  <c r="C86" i="9"/>
  <c r="E26" i="9"/>
  <c r="L186" i="9"/>
  <c r="H66" i="9"/>
  <c r="D170" i="9"/>
  <c r="E78" i="9"/>
  <c r="C26" i="9"/>
  <c r="E194" i="9"/>
  <c r="K64" i="9"/>
  <c r="M219" i="9"/>
  <c r="E212" i="9"/>
  <c r="J204" i="9"/>
  <c r="C194" i="9"/>
  <c r="H186" i="9"/>
  <c r="E177" i="9"/>
  <c r="M169" i="9"/>
  <c r="J160" i="9"/>
  <c r="F153" i="9"/>
  <c r="B146" i="9"/>
  <c r="L136" i="9"/>
  <c r="L129" i="9"/>
  <c r="C121" i="9"/>
  <c r="E114" i="9"/>
  <c r="M105" i="9"/>
  <c r="M98" i="9"/>
  <c r="D90" i="9"/>
  <c r="M83" i="9"/>
  <c r="H77" i="9"/>
  <c r="D70" i="9"/>
  <c r="H64" i="9"/>
  <c r="M58" i="9"/>
  <c r="H53" i="9"/>
  <c r="D48" i="9"/>
  <c r="L41" i="9"/>
  <c r="H36" i="9"/>
  <c r="D31" i="9"/>
  <c r="L25" i="9"/>
  <c r="K20" i="9"/>
  <c r="I14" i="9"/>
  <c r="H9" i="9"/>
  <c r="D212" i="9"/>
  <c r="K201" i="9"/>
  <c r="B194" i="9"/>
  <c r="G186" i="9"/>
  <c r="D177" i="9"/>
  <c r="C160" i="9"/>
  <c r="E143" i="9"/>
  <c r="K129" i="9"/>
  <c r="M120" i="9"/>
  <c r="L98" i="9"/>
  <c r="L83" i="9"/>
  <c r="B70" i="9"/>
  <c r="L58" i="9"/>
  <c r="C47" i="9"/>
  <c r="C31" i="9"/>
  <c r="H14" i="9"/>
  <c r="K193" i="9"/>
  <c r="C83" i="9"/>
  <c r="H41" i="9"/>
  <c r="D9" i="9"/>
  <c r="K111" i="9"/>
  <c r="C36" i="9"/>
  <c r="J208" i="9"/>
  <c r="M95" i="9"/>
  <c r="K23" i="9"/>
  <c r="G190" i="9"/>
  <c r="J95" i="9"/>
  <c r="M28" i="9"/>
  <c r="F166" i="9"/>
  <c r="G126" i="9"/>
  <c r="J67" i="9"/>
  <c r="B39" i="9"/>
  <c r="G208" i="9"/>
  <c r="H95" i="9"/>
  <c r="I33" i="9"/>
  <c r="D166" i="9"/>
  <c r="E133" i="9"/>
  <c r="K86" i="9"/>
  <c r="B51" i="9"/>
  <c r="L16" i="9"/>
  <c r="H205" i="9"/>
  <c r="H86" i="9"/>
  <c r="K16" i="9"/>
  <c r="B156" i="9"/>
  <c r="I132" i="9"/>
  <c r="D102" i="9"/>
  <c r="D56" i="9"/>
  <c r="L21" i="9"/>
  <c r="J215" i="9"/>
  <c r="H54" i="9"/>
  <c r="F170" i="9"/>
  <c r="B124" i="9"/>
  <c r="J72" i="9"/>
  <c r="K43" i="9"/>
  <c r="F11" i="9"/>
  <c r="B205" i="9"/>
  <c r="C108" i="9"/>
  <c r="B49" i="9"/>
  <c r="M204" i="9"/>
  <c r="K53" i="9"/>
  <c r="C170" i="9"/>
  <c r="B130" i="9"/>
  <c r="J53" i="9"/>
  <c r="L105" i="9"/>
  <c r="J19" i="9"/>
  <c r="I159" i="9"/>
  <c r="F46" i="9"/>
  <c r="L104" i="9"/>
  <c r="E46" i="9"/>
  <c r="C9" i="9"/>
  <c r="M149" i="9"/>
  <c r="F51" i="9"/>
  <c r="L149" i="9"/>
  <c r="M74" i="9"/>
  <c r="K149" i="9"/>
  <c r="L74" i="9"/>
  <c r="D34" i="9"/>
  <c r="B157" i="9"/>
  <c r="G56" i="9"/>
  <c r="C149" i="9"/>
  <c r="C73" i="9"/>
  <c r="D12" i="9"/>
  <c r="K148" i="9"/>
  <c r="G67" i="9"/>
  <c r="K146" i="9"/>
  <c r="H108" i="9"/>
  <c r="G80" i="9"/>
  <c r="J38" i="9"/>
  <c r="K179" i="9"/>
  <c r="E99" i="9"/>
  <c r="D146" i="9"/>
  <c r="D99" i="9"/>
  <c r="F31" i="9"/>
  <c r="K219" i="9"/>
  <c r="C212" i="9"/>
  <c r="I201" i="9"/>
  <c r="M193" i="9"/>
  <c r="F186" i="9"/>
  <c r="I176" i="9"/>
  <c r="E169" i="9"/>
  <c r="K159" i="9"/>
  <c r="G152" i="9"/>
  <c r="D143" i="9"/>
  <c r="B136" i="9"/>
  <c r="L127" i="9"/>
  <c r="L120" i="9"/>
  <c r="M113" i="9"/>
  <c r="K105" i="9"/>
  <c r="K98" i="9"/>
  <c r="B90" i="9"/>
  <c r="K83" i="9"/>
  <c r="H75" i="9"/>
  <c r="M69" i="9"/>
  <c r="F64" i="9"/>
  <c r="K58" i="9"/>
  <c r="F53" i="9"/>
  <c r="B47" i="9"/>
  <c r="J41" i="9"/>
  <c r="F36" i="9"/>
  <c r="B31" i="9"/>
  <c r="J25" i="9"/>
  <c r="I19" i="9"/>
  <c r="G14" i="9"/>
  <c r="F9" i="9"/>
  <c r="H183" i="9"/>
  <c r="K89" i="9"/>
  <c r="J51" i="9"/>
  <c r="M18" i="9"/>
  <c r="L142" i="9"/>
  <c r="M56" i="9"/>
  <c r="C201" i="9"/>
  <c r="B75" i="9"/>
  <c r="G166" i="9"/>
  <c r="M80" i="9"/>
  <c r="H18" i="9"/>
  <c r="H208" i="9"/>
  <c r="H102" i="9"/>
  <c r="F12" i="9"/>
  <c r="J149" i="9"/>
  <c r="E111" i="9"/>
  <c r="D73" i="9"/>
  <c r="E44" i="9"/>
  <c r="M16" i="9"/>
  <c r="B216" i="9"/>
  <c r="F102" i="9"/>
  <c r="G23" i="9"/>
  <c r="C190" i="9"/>
  <c r="D133" i="9"/>
  <c r="G49" i="9"/>
  <c r="J197" i="9"/>
  <c r="E124" i="9"/>
  <c r="K61" i="9"/>
  <c r="B28" i="9"/>
  <c r="H197" i="9"/>
  <c r="H78" i="9"/>
  <c r="J21" i="9"/>
  <c r="I179" i="9"/>
  <c r="C139" i="9"/>
  <c r="C93" i="9"/>
  <c r="G54" i="9"/>
  <c r="G16" i="9"/>
  <c r="F197" i="9"/>
  <c r="C115" i="9"/>
  <c r="L59" i="9"/>
  <c r="E11" i="9"/>
  <c r="I153" i="9"/>
  <c r="B115" i="9"/>
  <c r="B72" i="9"/>
  <c r="G31" i="9"/>
  <c r="G212" i="9"/>
  <c r="M114" i="9"/>
  <c r="J36" i="9"/>
  <c r="J219" i="9"/>
  <c r="B212" i="9"/>
  <c r="H201" i="9"/>
  <c r="L193" i="9"/>
  <c r="I183" i="9"/>
  <c r="E176" i="9"/>
  <c r="M168" i="9"/>
  <c r="J159" i="9"/>
  <c r="F152" i="9"/>
  <c r="C143" i="9"/>
  <c r="M135" i="9"/>
  <c r="K127" i="9"/>
  <c r="K120" i="9"/>
  <c r="B112" i="9"/>
  <c r="J105" i="9"/>
  <c r="J98" i="9"/>
  <c r="M89" i="9"/>
  <c r="J83" i="9"/>
  <c r="G75" i="9"/>
  <c r="L69" i="9"/>
  <c r="E64" i="9"/>
  <c r="J58" i="9"/>
  <c r="K51" i="9"/>
  <c r="G46" i="9"/>
  <c r="I41" i="9"/>
  <c r="E36" i="9"/>
  <c r="M30" i="9"/>
  <c r="D24" i="9"/>
  <c r="H19" i="9"/>
  <c r="F14" i="9"/>
  <c r="E9" i="9"/>
  <c r="I219" i="9"/>
  <c r="M166" i="9"/>
  <c r="E152" i="9"/>
  <c r="L135" i="9"/>
  <c r="J127" i="9"/>
  <c r="J120" i="9"/>
  <c r="C105" i="9"/>
  <c r="K96" i="9"/>
  <c r="K69" i="9"/>
  <c r="I58" i="9"/>
  <c r="D36" i="9"/>
  <c r="E14" i="9"/>
  <c r="K135" i="9"/>
  <c r="C64" i="9"/>
  <c r="L18" i="9"/>
  <c r="G216" i="9"/>
  <c r="K102" i="9"/>
  <c r="F34" i="9"/>
  <c r="D157" i="9"/>
  <c r="H133" i="9"/>
  <c r="H87" i="9"/>
  <c r="D62" i="9"/>
  <c r="M45" i="9"/>
  <c r="J23" i="9"/>
  <c r="D216" i="9"/>
  <c r="H140" i="9"/>
  <c r="C62" i="9"/>
  <c r="M197" i="9"/>
  <c r="G102" i="9"/>
  <c r="M38" i="9"/>
  <c r="G156" i="9"/>
  <c r="I139" i="9"/>
  <c r="G95" i="9"/>
  <c r="H67" i="9"/>
  <c r="L38" i="9"/>
  <c r="M215" i="9"/>
  <c r="F124" i="9"/>
  <c r="E56" i="9"/>
  <c r="I172" i="9"/>
  <c r="G139" i="9"/>
  <c r="F93" i="9"/>
  <c r="B44" i="9"/>
  <c r="K155" i="9"/>
  <c r="C124" i="9"/>
  <c r="D93" i="9"/>
  <c r="K72" i="9"/>
  <c r="D33" i="9"/>
  <c r="H16" i="9"/>
  <c r="C205" i="9"/>
  <c r="E108" i="9"/>
  <c r="G38" i="9"/>
  <c r="E170" i="9"/>
  <c r="G123" i="9"/>
  <c r="F78" i="9"/>
  <c r="J43" i="9"/>
  <c r="H21" i="9"/>
  <c r="H212" i="9"/>
  <c r="K36" i="9"/>
  <c r="B137" i="9"/>
  <c r="L92" i="9"/>
  <c r="D59" i="9"/>
  <c r="B26" i="9"/>
  <c r="J9" i="9"/>
  <c r="C209" i="9"/>
  <c r="D176" i="9"/>
  <c r="M142" i="9"/>
  <c r="M111" i="9"/>
  <c r="D64" i="9"/>
  <c r="L30" i="9"/>
  <c r="J96" i="9"/>
  <c r="I51" i="9"/>
  <c r="E29" i="9"/>
  <c r="C183" i="9"/>
  <c r="G89" i="9"/>
  <c r="B46" i="9"/>
  <c r="B183" i="9"/>
  <c r="I126" i="9"/>
  <c r="I56" i="9"/>
  <c r="J173" i="9"/>
  <c r="G87" i="9"/>
  <c r="I23" i="9"/>
  <c r="E166" i="9"/>
  <c r="M139" i="9"/>
  <c r="I67" i="9"/>
  <c r="L180" i="9"/>
  <c r="M61" i="9"/>
  <c r="E180" i="9"/>
  <c r="E102" i="9"/>
  <c r="K38" i="9"/>
  <c r="M179" i="9"/>
  <c r="F33" i="9"/>
  <c r="H146" i="9"/>
  <c r="E115" i="9"/>
  <c r="E86" i="9"/>
  <c r="D67" i="9"/>
  <c r="L26" i="9"/>
  <c r="K212" i="9"/>
  <c r="I99" i="9"/>
  <c r="I31" i="9"/>
  <c r="M162" i="9"/>
  <c r="F146" i="9"/>
  <c r="E130" i="9"/>
  <c r="E84" i="9"/>
  <c r="F38" i="9"/>
  <c r="K186" i="9"/>
  <c r="C130" i="9"/>
  <c r="M92" i="9"/>
  <c r="I43" i="9"/>
  <c r="K9" i="9"/>
  <c r="F179" i="9"/>
  <c r="M107" i="9"/>
  <c r="H43" i="9"/>
  <c r="H219" i="9"/>
  <c r="M208" i="9"/>
  <c r="F201" i="9"/>
  <c r="J193" i="9"/>
  <c r="G183" i="9"/>
  <c r="C176" i="9"/>
  <c r="K166" i="9"/>
  <c r="G159" i="9"/>
  <c r="D150" i="9"/>
  <c r="C127" i="9"/>
  <c r="J89" i="9"/>
  <c r="L81" i="9"/>
  <c r="E75" i="9"/>
  <c r="M40" i="9"/>
  <c r="B24" i="9"/>
  <c r="L173" i="9"/>
  <c r="H118" i="9"/>
  <c r="J56" i="9"/>
  <c r="H13" i="9"/>
  <c r="K173" i="9"/>
  <c r="G111" i="9"/>
  <c r="E51" i="9"/>
  <c r="M182" i="9"/>
  <c r="L80" i="9"/>
  <c r="G18" i="9"/>
  <c r="I173" i="9"/>
  <c r="I117" i="9"/>
  <c r="C51" i="9"/>
  <c r="D190" i="9"/>
  <c r="F56" i="9"/>
  <c r="M172" i="9"/>
  <c r="K108" i="9"/>
  <c r="C44" i="9"/>
  <c r="B190" i="9"/>
  <c r="J16" i="9"/>
  <c r="B139" i="9"/>
  <c r="D26" i="9"/>
  <c r="L162" i="9"/>
  <c r="C137" i="9"/>
  <c r="D123" i="9"/>
  <c r="B108" i="9"/>
  <c r="M48" i="9"/>
  <c r="E16" i="9"/>
  <c r="J186" i="9"/>
  <c r="D78" i="9"/>
  <c r="D16" i="9"/>
  <c r="G219" i="9"/>
  <c r="L208" i="9"/>
  <c r="E201" i="9"/>
  <c r="K190" i="9"/>
  <c r="E183" i="9"/>
  <c r="M175" i="9"/>
  <c r="J166" i="9"/>
  <c r="F159" i="9"/>
  <c r="C150" i="9"/>
  <c r="K142" i="9"/>
  <c r="K133" i="9"/>
  <c r="L126" i="9"/>
  <c r="H120" i="9"/>
  <c r="J111" i="9"/>
  <c r="K104" i="9"/>
  <c r="I96" i="9"/>
  <c r="I89" i="9"/>
  <c r="E81" i="9"/>
  <c r="D75" i="9"/>
  <c r="I69" i="9"/>
  <c r="B64" i="9"/>
  <c r="L56" i="9"/>
  <c r="H51" i="9"/>
  <c r="D46" i="9"/>
  <c r="L40" i="9"/>
  <c r="B36" i="9"/>
  <c r="D29" i="9"/>
  <c r="M23" i="9"/>
  <c r="K18" i="9"/>
  <c r="C14" i="9"/>
  <c r="B9" i="9"/>
  <c r="C75" i="9"/>
  <c r="K56" i="9"/>
  <c r="K40" i="9"/>
  <c r="C29" i="9"/>
  <c r="B14" i="9"/>
  <c r="D159" i="9"/>
  <c r="I142" i="9"/>
  <c r="H111" i="9"/>
  <c r="G69" i="9"/>
  <c r="B29" i="9"/>
  <c r="I208" i="9"/>
  <c r="H142" i="9"/>
  <c r="K67" i="9"/>
  <c r="G12" i="9"/>
  <c r="C198" i="9"/>
  <c r="J117" i="9"/>
  <c r="D51" i="9"/>
  <c r="E190" i="9"/>
  <c r="H124" i="9"/>
  <c r="B62" i="9"/>
  <c r="E12" i="9"/>
  <c r="L197" i="9"/>
  <c r="F109" i="9"/>
  <c r="J28" i="9"/>
  <c r="C156" i="9"/>
  <c r="H139" i="9"/>
  <c r="G93" i="9"/>
  <c r="L61" i="9"/>
  <c r="G33" i="9"/>
  <c r="M21" i="9"/>
  <c r="L215" i="9"/>
  <c r="F67" i="9"/>
  <c r="G172" i="9"/>
  <c r="G130" i="9"/>
  <c r="F108" i="9"/>
  <c r="L43" i="9"/>
  <c r="M186" i="9"/>
  <c r="F130" i="9"/>
  <c r="M59" i="9"/>
  <c r="I21" i="9"/>
  <c r="H179" i="9"/>
  <c r="C72" i="9"/>
  <c r="G179" i="9"/>
  <c r="D84" i="9"/>
  <c r="G21" i="9"/>
  <c r="L204" i="9"/>
  <c r="L71" i="9"/>
  <c r="F219" i="9"/>
  <c r="K208" i="9"/>
  <c r="D201" i="9"/>
  <c r="I190" i="9"/>
  <c r="D183" i="9"/>
  <c r="L175" i="9"/>
  <c r="I166" i="9"/>
  <c r="E159" i="9"/>
  <c r="B150" i="9"/>
  <c r="J142" i="9"/>
  <c r="J133" i="9"/>
  <c r="K126" i="9"/>
  <c r="I118" i="9"/>
  <c r="I111" i="9"/>
  <c r="J104" i="9"/>
  <c r="H96" i="9"/>
  <c r="H89" i="9"/>
  <c r="D81" i="9"/>
  <c r="H69" i="9"/>
  <c r="F62" i="9"/>
  <c r="G51" i="9"/>
  <c r="C46" i="9"/>
  <c r="G34" i="9"/>
  <c r="L23" i="9"/>
  <c r="J18" i="9"/>
  <c r="H166" i="9"/>
  <c r="I133" i="9"/>
  <c r="B81" i="9"/>
  <c r="J40" i="9"/>
  <c r="B201" i="9"/>
  <c r="I102" i="9"/>
  <c r="E34" i="9"/>
  <c r="C157" i="9"/>
  <c r="G133" i="9"/>
  <c r="I95" i="9"/>
  <c r="H56" i="9"/>
  <c r="L28" i="9"/>
  <c r="C216" i="9"/>
  <c r="F87" i="9"/>
  <c r="K28" i="9"/>
  <c r="H173" i="9"/>
  <c r="G124" i="9"/>
  <c r="I80" i="9"/>
  <c r="D44" i="9"/>
  <c r="K197" i="9"/>
  <c r="H80" i="9"/>
  <c r="F163" i="9"/>
  <c r="E117" i="9"/>
  <c r="G86" i="9"/>
  <c r="F49" i="9"/>
  <c r="I11" i="9"/>
  <c r="D205" i="9"/>
  <c r="C61" i="9"/>
  <c r="B163" i="9"/>
  <c r="D115" i="9"/>
  <c r="G78" i="9"/>
  <c r="C49" i="9"/>
  <c r="I212" i="9"/>
  <c r="F99" i="9"/>
  <c r="H31" i="9"/>
  <c r="G194" i="9"/>
  <c r="E59" i="9"/>
  <c r="K162" i="9"/>
  <c r="E121" i="9"/>
  <c r="L48" i="9"/>
  <c r="K215" i="9"/>
  <c r="E205" i="9"/>
  <c r="I197" i="9"/>
  <c r="D187" i="9"/>
  <c r="L179" i="9"/>
  <c r="H172" i="9"/>
  <c r="E163" i="9"/>
  <c r="M155" i="9"/>
  <c r="I146" i="9"/>
  <c r="E139" i="9"/>
  <c r="H130" i="9"/>
  <c r="D124" i="9"/>
  <c r="D117" i="9"/>
  <c r="G108" i="9"/>
  <c r="C102" i="9"/>
  <c r="E93" i="9"/>
  <c r="F86" i="9"/>
  <c r="I78" i="9"/>
  <c r="L72" i="9"/>
  <c r="E67" i="9"/>
  <c r="J61" i="9"/>
  <c r="I54" i="9"/>
  <c r="E49" i="9"/>
  <c r="M43" i="9"/>
  <c r="I38" i="9"/>
  <c r="E33" i="9"/>
  <c r="M26" i="9"/>
  <c r="K21" i="9"/>
  <c r="I16" i="9"/>
  <c r="H11" i="9"/>
  <c r="C187" i="9"/>
  <c r="D49" i="9"/>
  <c r="J155" i="9"/>
  <c r="I66" i="9"/>
  <c r="J153" i="9"/>
  <c r="B93" i="9"/>
  <c r="F54" i="9"/>
  <c r="F16" i="9"/>
  <c r="E146" i="9"/>
  <c r="F65" i="9"/>
  <c r="H153" i="9"/>
  <c r="C84" i="9"/>
  <c r="F21" i="9"/>
  <c r="C8" i="9"/>
  <c r="M7" i="9" l="1"/>
  <c r="C7" i="11"/>
  <c r="E7" i="11"/>
  <c r="D7" i="11"/>
  <c r="K7" i="11"/>
  <c r="I7" i="11"/>
  <c r="F7" i="11"/>
  <c r="L7" i="11"/>
  <c r="H7" i="11"/>
  <c r="J7" i="11"/>
  <c r="G7" i="11"/>
  <c r="L7" i="9"/>
  <c r="J7" i="9"/>
  <c r="K7" i="9"/>
  <c r="B7" i="9"/>
  <c r="E7" i="9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V152" i="1"/>
  <c r="AB152" i="1" s="1"/>
  <c r="V153" i="1"/>
  <c r="AB153" i="1" s="1"/>
  <c r="V154" i="1"/>
  <c r="AB154" i="1" s="1"/>
  <c r="V155" i="1"/>
  <c r="AB155" i="1" s="1"/>
  <c r="V156" i="1"/>
  <c r="V157" i="1"/>
  <c r="V158" i="1"/>
  <c r="V159" i="1"/>
  <c r="V160" i="1"/>
  <c r="V161" i="1"/>
  <c r="V162" i="1"/>
  <c r="AB162" i="1" s="1"/>
  <c r="AC162" i="1" s="1"/>
  <c r="V163" i="1"/>
  <c r="V164" i="1"/>
  <c r="V165" i="1"/>
  <c r="V166" i="1"/>
  <c r="V167" i="1"/>
  <c r="V168" i="1"/>
  <c r="AB168" i="1" s="1"/>
  <c r="AC168" i="1" s="1"/>
  <c r="V169" i="1"/>
  <c r="AB169" i="1" s="1"/>
  <c r="AC169" i="1" s="1"/>
  <c r="V170" i="1"/>
  <c r="AB170" i="1" s="1"/>
  <c r="AC170" i="1" s="1"/>
  <c r="V171" i="1"/>
  <c r="V172" i="1"/>
  <c r="V173" i="1"/>
  <c r="AB173" i="1" s="1"/>
  <c r="AC173" i="1" s="1"/>
  <c r="V174" i="1"/>
  <c r="V175" i="1"/>
  <c r="V176" i="1"/>
  <c r="AB176" i="1" s="1"/>
  <c r="V177" i="1"/>
  <c r="AB177" i="1" s="1"/>
  <c r="V178" i="1"/>
  <c r="V179" i="1"/>
  <c r="V180" i="1"/>
  <c r="V181" i="1"/>
  <c r="V182" i="1"/>
  <c r="V183" i="1"/>
  <c r="V184" i="1"/>
  <c r="AB184" i="1" s="1"/>
  <c r="AC184" i="1" s="1"/>
  <c r="V186" i="1"/>
  <c r="V187" i="1"/>
  <c r="V188" i="1"/>
  <c r="V189" i="1"/>
  <c r="AB189" i="1" s="1"/>
  <c r="AC189" i="1" s="1"/>
  <c r="V190" i="1"/>
  <c r="V191" i="1"/>
  <c r="AB191" i="1" s="1"/>
  <c r="AC191" i="1" s="1"/>
  <c r="V192" i="1"/>
  <c r="AB192" i="1" s="1"/>
  <c r="AC192" i="1" s="1"/>
  <c r="V193" i="1"/>
  <c r="AB193" i="1" s="1"/>
  <c r="AC193" i="1" s="1"/>
  <c r="V194" i="1"/>
  <c r="AB194" i="1" s="1"/>
  <c r="AC194" i="1" s="1"/>
  <c r="V195" i="1"/>
  <c r="AB195" i="1" s="1"/>
  <c r="V196" i="1"/>
  <c r="AB196" i="1" s="1"/>
  <c r="V198" i="1"/>
  <c r="AB198" i="1" s="1"/>
  <c r="V199" i="1"/>
  <c r="AB199" i="1" s="1"/>
  <c r="V200" i="1"/>
  <c r="AB200" i="1" s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AB215" i="1" s="1"/>
  <c r="AC215" i="1" s="1"/>
  <c r="V216" i="1"/>
  <c r="AB216" i="1" s="1"/>
  <c r="AC216" i="1" s="1"/>
  <c r="V217" i="1"/>
  <c r="AB217" i="1" s="1"/>
  <c r="AC217" i="1" s="1"/>
  <c r="V218" i="1"/>
  <c r="AB218" i="1" s="1"/>
  <c r="AC218" i="1" s="1"/>
  <c r="V219" i="1"/>
  <c r="AB219" i="1" s="1"/>
  <c r="AC219" i="1" s="1"/>
  <c r="V220" i="1"/>
  <c r="AB220" i="1" s="1"/>
  <c r="AD154" i="1"/>
  <c r="AE154" i="1" s="1"/>
  <c r="AD185" i="1"/>
  <c r="AE185" i="1" s="1"/>
  <c r="AD197" i="1"/>
  <c r="AE197" i="1" s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H169" i="1" s="1"/>
  <c r="Z169" i="1" s="1"/>
  <c r="AA169" i="1" s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H213" i="1" s="1"/>
  <c r="Z213" i="1" s="1"/>
  <c r="AA213" i="1" s="1"/>
  <c r="AG214" i="1"/>
  <c r="AG215" i="1"/>
  <c r="AG216" i="1"/>
  <c r="AG217" i="1"/>
  <c r="AG218" i="1"/>
  <c r="AG219" i="1"/>
  <c r="AG220" i="1"/>
  <c r="AJ152" i="1"/>
  <c r="AK152" i="1" s="1"/>
  <c r="AJ153" i="1"/>
  <c r="AK153" i="1" s="1"/>
  <c r="AJ154" i="1"/>
  <c r="AK154" i="1" s="1"/>
  <c r="AJ155" i="1"/>
  <c r="AK155" i="1" s="1"/>
  <c r="AJ156" i="1"/>
  <c r="AK156" i="1" s="1"/>
  <c r="AJ157" i="1"/>
  <c r="AK157" i="1" s="1"/>
  <c r="AJ158" i="1"/>
  <c r="AK158" i="1" s="1"/>
  <c r="AJ159" i="1"/>
  <c r="AK159" i="1" s="1"/>
  <c r="AJ160" i="1"/>
  <c r="AK160" i="1" s="1"/>
  <c r="AJ161" i="1"/>
  <c r="AK161" i="1" s="1"/>
  <c r="AJ162" i="1"/>
  <c r="AK162" i="1" s="1"/>
  <c r="AJ163" i="1"/>
  <c r="AK163" i="1" s="1"/>
  <c r="AJ164" i="1"/>
  <c r="AK164" i="1" s="1"/>
  <c r="AJ165" i="1"/>
  <c r="AK165" i="1" s="1"/>
  <c r="AJ166" i="1"/>
  <c r="AK166" i="1" s="1"/>
  <c r="AJ167" i="1"/>
  <c r="AK167" i="1" s="1"/>
  <c r="AJ168" i="1"/>
  <c r="AK168" i="1" s="1"/>
  <c r="AJ169" i="1"/>
  <c r="AK169" i="1" s="1"/>
  <c r="AJ170" i="1"/>
  <c r="AK170" i="1" s="1"/>
  <c r="AJ171" i="1"/>
  <c r="AK171" i="1" s="1"/>
  <c r="AJ172" i="1"/>
  <c r="AK172" i="1" s="1"/>
  <c r="AJ173" i="1"/>
  <c r="AK173" i="1" s="1"/>
  <c r="AJ174" i="1"/>
  <c r="AK174" i="1" s="1"/>
  <c r="AJ175" i="1"/>
  <c r="AK175" i="1" s="1"/>
  <c r="AJ176" i="1"/>
  <c r="AK176" i="1" s="1"/>
  <c r="AJ177" i="1"/>
  <c r="AK177" i="1" s="1"/>
  <c r="AJ178" i="1"/>
  <c r="AK178" i="1" s="1"/>
  <c r="AJ179" i="1"/>
  <c r="AK179" i="1" s="1"/>
  <c r="AJ180" i="1"/>
  <c r="AK180" i="1" s="1"/>
  <c r="AJ181" i="1"/>
  <c r="AK181" i="1" s="1"/>
  <c r="AJ182" i="1"/>
  <c r="AK182" i="1" s="1"/>
  <c r="AJ183" i="1"/>
  <c r="AK183" i="1" s="1"/>
  <c r="AJ184" i="1"/>
  <c r="AK184" i="1" s="1"/>
  <c r="AJ185" i="1"/>
  <c r="AK185" i="1" s="1"/>
  <c r="AJ186" i="1"/>
  <c r="AK186" i="1" s="1"/>
  <c r="AJ187" i="1"/>
  <c r="AK187" i="1" s="1"/>
  <c r="AJ188" i="1"/>
  <c r="AK188" i="1" s="1"/>
  <c r="AJ189" i="1"/>
  <c r="AK189" i="1" s="1"/>
  <c r="AJ190" i="1"/>
  <c r="AK190" i="1" s="1"/>
  <c r="AJ191" i="1"/>
  <c r="AK191" i="1" s="1"/>
  <c r="AJ192" i="1"/>
  <c r="AK192" i="1" s="1"/>
  <c r="AJ193" i="1"/>
  <c r="AK193" i="1" s="1"/>
  <c r="AJ194" i="1"/>
  <c r="AK194" i="1" s="1"/>
  <c r="AJ195" i="1"/>
  <c r="AK195" i="1" s="1"/>
  <c r="AJ196" i="1"/>
  <c r="AK196" i="1" s="1"/>
  <c r="AJ197" i="1"/>
  <c r="AK197" i="1" s="1"/>
  <c r="AJ198" i="1"/>
  <c r="AK198" i="1" s="1"/>
  <c r="AJ199" i="1"/>
  <c r="AK199" i="1" s="1"/>
  <c r="AJ200" i="1"/>
  <c r="AK200" i="1" s="1"/>
  <c r="AJ201" i="1"/>
  <c r="AK201" i="1" s="1"/>
  <c r="AJ202" i="1"/>
  <c r="AK202" i="1" s="1"/>
  <c r="AJ203" i="1"/>
  <c r="AK203" i="1" s="1"/>
  <c r="AJ204" i="1"/>
  <c r="AK204" i="1" s="1"/>
  <c r="AJ205" i="1"/>
  <c r="AK205" i="1" s="1"/>
  <c r="AJ206" i="1"/>
  <c r="AK206" i="1" s="1"/>
  <c r="AJ207" i="1"/>
  <c r="AK207" i="1" s="1"/>
  <c r="AJ208" i="1"/>
  <c r="AK208" i="1" s="1"/>
  <c r="AJ209" i="1"/>
  <c r="AK209" i="1" s="1"/>
  <c r="AJ210" i="1"/>
  <c r="AK210" i="1" s="1"/>
  <c r="AJ211" i="1"/>
  <c r="AK211" i="1" s="1"/>
  <c r="AJ212" i="1"/>
  <c r="AK212" i="1" s="1"/>
  <c r="AJ213" i="1"/>
  <c r="AK213" i="1" s="1"/>
  <c r="AJ214" i="1"/>
  <c r="AK214" i="1" s="1"/>
  <c r="AJ215" i="1"/>
  <c r="AK215" i="1" s="1"/>
  <c r="AJ216" i="1"/>
  <c r="AK216" i="1" s="1"/>
  <c r="AJ217" i="1"/>
  <c r="AK217" i="1" s="1"/>
  <c r="AJ218" i="1"/>
  <c r="AK218" i="1" s="1"/>
  <c r="AJ219" i="1"/>
  <c r="AK219" i="1" s="1"/>
  <c r="AJ220" i="1"/>
  <c r="AK220" i="1" s="1"/>
  <c r="AL152" i="1"/>
  <c r="AT152" i="1" s="1"/>
  <c r="AU152" i="1" s="1"/>
  <c r="AL153" i="1"/>
  <c r="AT153" i="1" s="1"/>
  <c r="AU153" i="1" s="1"/>
  <c r="AL154" i="1"/>
  <c r="AT154" i="1" s="1"/>
  <c r="AU154" i="1" s="1"/>
  <c r="AL155" i="1"/>
  <c r="AT155" i="1" s="1"/>
  <c r="AU155" i="1" s="1"/>
  <c r="AL156" i="1"/>
  <c r="AL157" i="1"/>
  <c r="AT157" i="1" s="1"/>
  <c r="AU157" i="1" s="1"/>
  <c r="AL158" i="1"/>
  <c r="AL159" i="1"/>
  <c r="AT159" i="1" s="1"/>
  <c r="AU159" i="1" s="1"/>
  <c r="AL160" i="1"/>
  <c r="AT160" i="1" s="1"/>
  <c r="AU160" i="1" s="1"/>
  <c r="AL161" i="1"/>
  <c r="AL162" i="1"/>
  <c r="AM162" i="1" s="1"/>
  <c r="AL163" i="1"/>
  <c r="AL164" i="1"/>
  <c r="AM164" i="1" s="1"/>
  <c r="AL165" i="1"/>
  <c r="AM165" i="1" s="1"/>
  <c r="AL166" i="1"/>
  <c r="AM166" i="1" s="1"/>
  <c r="AL167" i="1"/>
  <c r="AT167" i="1" s="1"/>
  <c r="AU167" i="1" s="1"/>
  <c r="AL168" i="1"/>
  <c r="AM168" i="1" s="1"/>
  <c r="AL169" i="1"/>
  <c r="AM169" i="1" s="1"/>
  <c r="AL170" i="1"/>
  <c r="AM170" i="1" s="1"/>
  <c r="AL171" i="1"/>
  <c r="AM171" i="1" s="1"/>
  <c r="AL172" i="1"/>
  <c r="AT172" i="1" s="1"/>
  <c r="AU172" i="1" s="1"/>
  <c r="AL173" i="1"/>
  <c r="AM173" i="1" s="1"/>
  <c r="AL174" i="1"/>
  <c r="AM174" i="1" s="1"/>
  <c r="AL175" i="1"/>
  <c r="AT175" i="1" s="1"/>
  <c r="AU175" i="1" s="1"/>
  <c r="AL176" i="1"/>
  <c r="AT176" i="1" s="1"/>
  <c r="AU176" i="1" s="1"/>
  <c r="AL177" i="1"/>
  <c r="AT177" i="1" s="1"/>
  <c r="AU177" i="1" s="1"/>
  <c r="AL178" i="1"/>
  <c r="AL179" i="1"/>
  <c r="AM179" i="1" s="1"/>
  <c r="AL180" i="1"/>
  <c r="AT180" i="1" s="1"/>
  <c r="AL181" i="1"/>
  <c r="AT181" i="1" s="1"/>
  <c r="AL182" i="1"/>
  <c r="AM182" i="1" s="1"/>
  <c r="AL183" i="1"/>
  <c r="AL184" i="1"/>
  <c r="AM184" i="1" s="1"/>
  <c r="AL185" i="1"/>
  <c r="AL186" i="1"/>
  <c r="AM186" i="1" s="1"/>
  <c r="AL187" i="1"/>
  <c r="AT187" i="1" s="1"/>
  <c r="AU187" i="1" s="1"/>
  <c r="AL188" i="1"/>
  <c r="AT188" i="1" s="1"/>
  <c r="AU188" i="1" s="1"/>
  <c r="AL189" i="1"/>
  <c r="AT189" i="1" s="1"/>
  <c r="AU189" i="1" s="1"/>
  <c r="AL190" i="1"/>
  <c r="AM190" i="1" s="1"/>
  <c r="AL191" i="1"/>
  <c r="AT191" i="1" s="1"/>
  <c r="AU191" i="1" s="1"/>
  <c r="AL192" i="1"/>
  <c r="AM192" i="1" s="1"/>
  <c r="AL193" i="1"/>
  <c r="AM193" i="1" s="1"/>
  <c r="AL194" i="1"/>
  <c r="AT194" i="1" s="1"/>
  <c r="AU194" i="1" s="1"/>
  <c r="AL195" i="1"/>
  <c r="AT195" i="1" s="1"/>
  <c r="AU195" i="1" s="1"/>
  <c r="AL196" i="1"/>
  <c r="AT196" i="1" s="1"/>
  <c r="AU196" i="1" s="1"/>
  <c r="AL197" i="1"/>
  <c r="AL198" i="1"/>
  <c r="AT198" i="1" s="1"/>
  <c r="AU198" i="1" s="1"/>
  <c r="AL199" i="1"/>
  <c r="AT199" i="1" s="1"/>
  <c r="AU199" i="1" s="1"/>
  <c r="AL200" i="1"/>
  <c r="AL201" i="1"/>
  <c r="AM201" i="1" s="1"/>
  <c r="AL202" i="1"/>
  <c r="AM202" i="1" s="1"/>
  <c r="AL203" i="1"/>
  <c r="AM203" i="1" s="1"/>
  <c r="AL204" i="1"/>
  <c r="AM204" i="1" s="1"/>
  <c r="AL205" i="1"/>
  <c r="AM205" i="1" s="1"/>
  <c r="AL206" i="1"/>
  <c r="AM206" i="1" s="1"/>
  <c r="AL207" i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T213" i="1" s="1"/>
  <c r="AU213" i="1" s="1"/>
  <c r="AL214" i="1"/>
  <c r="AM214" i="1" s="1"/>
  <c r="AL215" i="1"/>
  <c r="AM215" i="1" s="1"/>
  <c r="AL216" i="1"/>
  <c r="AT216" i="1" s="1"/>
  <c r="AU216" i="1" s="1"/>
  <c r="AL217" i="1"/>
  <c r="AM217" i="1" s="1"/>
  <c r="AL218" i="1"/>
  <c r="AM218" i="1" s="1"/>
  <c r="AL219" i="1"/>
  <c r="AL220" i="1"/>
  <c r="AT220" i="1" s="1"/>
  <c r="AU220" i="1" s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Q152" i="1"/>
  <c r="AR152" i="1" s="1"/>
  <c r="AQ153" i="1"/>
  <c r="AR153" i="1" s="1"/>
  <c r="AQ154" i="1"/>
  <c r="AR154" i="1" s="1"/>
  <c r="AQ155" i="1"/>
  <c r="AR155" i="1" s="1"/>
  <c r="AQ156" i="1"/>
  <c r="AR156" i="1" s="1"/>
  <c r="AQ157" i="1"/>
  <c r="AR157" i="1" s="1"/>
  <c r="AQ158" i="1"/>
  <c r="AR158" i="1" s="1"/>
  <c r="AQ159" i="1"/>
  <c r="AR159" i="1" s="1"/>
  <c r="AQ160" i="1"/>
  <c r="AR160" i="1" s="1"/>
  <c r="AQ161" i="1"/>
  <c r="AR161" i="1" s="1"/>
  <c r="AQ162" i="1"/>
  <c r="AR162" i="1" s="1"/>
  <c r="AQ163" i="1"/>
  <c r="AR163" i="1" s="1"/>
  <c r="AQ164" i="1"/>
  <c r="AR164" i="1" s="1"/>
  <c r="AQ165" i="1"/>
  <c r="AR165" i="1" s="1"/>
  <c r="AQ166" i="1"/>
  <c r="AR166" i="1" s="1"/>
  <c r="AQ167" i="1"/>
  <c r="AR167" i="1" s="1"/>
  <c r="AQ168" i="1"/>
  <c r="AR168" i="1" s="1"/>
  <c r="AQ169" i="1"/>
  <c r="AR169" i="1" s="1"/>
  <c r="AQ170" i="1"/>
  <c r="AR170" i="1" s="1"/>
  <c r="AQ171" i="1"/>
  <c r="AR171" i="1" s="1"/>
  <c r="AQ172" i="1"/>
  <c r="AR172" i="1" s="1"/>
  <c r="AQ173" i="1"/>
  <c r="AR173" i="1" s="1"/>
  <c r="AQ174" i="1"/>
  <c r="AR174" i="1" s="1"/>
  <c r="AQ175" i="1"/>
  <c r="AR175" i="1" s="1"/>
  <c r="AQ176" i="1"/>
  <c r="AR176" i="1" s="1"/>
  <c r="AQ177" i="1"/>
  <c r="AR177" i="1" s="1"/>
  <c r="AQ178" i="1"/>
  <c r="AR178" i="1" s="1"/>
  <c r="AQ179" i="1"/>
  <c r="AR179" i="1" s="1"/>
  <c r="AQ180" i="1"/>
  <c r="AR180" i="1" s="1"/>
  <c r="AQ181" i="1"/>
  <c r="AR181" i="1" s="1"/>
  <c r="AQ182" i="1"/>
  <c r="AR182" i="1" s="1"/>
  <c r="AQ183" i="1"/>
  <c r="AR183" i="1" s="1"/>
  <c r="AQ184" i="1"/>
  <c r="AR184" i="1" s="1"/>
  <c r="AQ185" i="1"/>
  <c r="AR185" i="1" s="1"/>
  <c r="AQ186" i="1"/>
  <c r="AR186" i="1" s="1"/>
  <c r="AQ187" i="1"/>
  <c r="AR187" i="1" s="1"/>
  <c r="AQ188" i="1"/>
  <c r="AR188" i="1" s="1"/>
  <c r="AQ189" i="1"/>
  <c r="AR189" i="1" s="1"/>
  <c r="AQ190" i="1"/>
  <c r="AR190" i="1" s="1"/>
  <c r="AQ191" i="1"/>
  <c r="AR191" i="1" s="1"/>
  <c r="AQ192" i="1"/>
  <c r="AR192" i="1" s="1"/>
  <c r="AQ193" i="1"/>
  <c r="AR193" i="1" s="1"/>
  <c r="AQ194" i="1"/>
  <c r="AR194" i="1" s="1"/>
  <c r="AQ195" i="1"/>
  <c r="AR195" i="1" s="1"/>
  <c r="AQ196" i="1"/>
  <c r="AR196" i="1" s="1"/>
  <c r="AQ197" i="1"/>
  <c r="AR197" i="1" s="1"/>
  <c r="AQ198" i="1"/>
  <c r="AR198" i="1" s="1"/>
  <c r="AQ199" i="1"/>
  <c r="AR199" i="1" s="1"/>
  <c r="AQ200" i="1"/>
  <c r="AR200" i="1" s="1"/>
  <c r="AQ201" i="1"/>
  <c r="AR201" i="1" s="1"/>
  <c r="AQ202" i="1"/>
  <c r="AR202" i="1" s="1"/>
  <c r="AQ203" i="1"/>
  <c r="AR203" i="1" s="1"/>
  <c r="AQ204" i="1"/>
  <c r="AR204" i="1" s="1"/>
  <c r="AQ205" i="1"/>
  <c r="AR205" i="1" s="1"/>
  <c r="AQ206" i="1"/>
  <c r="AR206" i="1" s="1"/>
  <c r="AQ207" i="1"/>
  <c r="AR207" i="1" s="1"/>
  <c r="AQ208" i="1"/>
  <c r="AR208" i="1" s="1"/>
  <c r="AQ209" i="1"/>
  <c r="AR209" i="1" s="1"/>
  <c r="AQ210" i="1"/>
  <c r="AR210" i="1" s="1"/>
  <c r="AQ211" i="1"/>
  <c r="AR211" i="1" s="1"/>
  <c r="AQ212" i="1"/>
  <c r="AR212" i="1" s="1"/>
  <c r="AQ213" i="1"/>
  <c r="AR213" i="1" s="1"/>
  <c r="AQ214" i="1"/>
  <c r="AR214" i="1" s="1"/>
  <c r="AQ215" i="1"/>
  <c r="AR215" i="1" s="1"/>
  <c r="AQ216" i="1"/>
  <c r="AR216" i="1" s="1"/>
  <c r="AQ217" i="1"/>
  <c r="AR217" i="1" s="1"/>
  <c r="AQ218" i="1"/>
  <c r="AR218" i="1" s="1"/>
  <c r="AQ219" i="1"/>
  <c r="AR219" i="1" s="1"/>
  <c r="AQ220" i="1"/>
  <c r="AR220" i="1" s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W152" i="1"/>
  <c r="AX152" i="1" s="1"/>
  <c r="AW153" i="1"/>
  <c r="AX153" i="1" s="1"/>
  <c r="AW154" i="1"/>
  <c r="AX154" i="1" s="1"/>
  <c r="AW155" i="1"/>
  <c r="AX155" i="1" s="1"/>
  <c r="AW156" i="1"/>
  <c r="AX156" i="1" s="1"/>
  <c r="AW157" i="1"/>
  <c r="AX157" i="1" s="1"/>
  <c r="AW158" i="1"/>
  <c r="AX158" i="1" s="1"/>
  <c r="AW159" i="1"/>
  <c r="AX159" i="1" s="1"/>
  <c r="AW160" i="1"/>
  <c r="AX160" i="1" s="1"/>
  <c r="AW161" i="1"/>
  <c r="AX161" i="1" s="1"/>
  <c r="AW162" i="1"/>
  <c r="AX162" i="1" s="1"/>
  <c r="AW163" i="1"/>
  <c r="AX163" i="1" s="1"/>
  <c r="AW164" i="1"/>
  <c r="AX164" i="1" s="1"/>
  <c r="AW165" i="1"/>
  <c r="AX165" i="1" s="1"/>
  <c r="AW166" i="1"/>
  <c r="AX166" i="1" s="1"/>
  <c r="AW167" i="1"/>
  <c r="AX167" i="1" s="1"/>
  <c r="AW168" i="1"/>
  <c r="AX168" i="1" s="1"/>
  <c r="AW169" i="1"/>
  <c r="AX169" i="1" s="1"/>
  <c r="AW170" i="1"/>
  <c r="AX170" i="1" s="1"/>
  <c r="AW171" i="1"/>
  <c r="AX171" i="1" s="1"/>
  <c r="AW172" i="1"/>
  <c r="AX172" i="1" s="1"/>
  <c r="AW173" i="1"/>
  <c r="AX173" i="1" s="1"/>
  <c r="AW174" i="1"/>
  <c r="AX174" i="1" s="1"/>
  <c r="AW175" i="1"/>
  <c r="AX175" i="1" s="1"/>
  <c r="AW176" i="1"/>
  <c r="AX176" i="1" s="1"/>
  <c r="AW177" i="1"/>
  <c r="AX177" i="1" s="1"/>
  <c r="AW178" i="1"/>
  <c r="AX178" i="1" s="1"/>
  <c r="AW179" i="1"/>
  <c r="AX179" i="1" s="1"/>
  <c r="AW180" i="1"/>
  <c r="AX180" i="1" s="1"/>
  <c r="AW181" i="1"/>
  <c r="AX181" i="1" s="1"/>
  <c r="AW182" i="1"/>
  <c r="AX182" i="1" s="1"/>
  <c r="AW183" i="1"/>
  <c r="AX183" i="1" s="1"/>
  <c r="AW184" i="1"/>
  <c r="AX184" i="1" s="1"/>
  <c r="AW185" i="1"/>
  <c r="AX185" i="1" s="1"/>
  <c r="AW186" i="1"/>
  <c r="AX186" i="1" s="1"/>
  <c r="AW187" i="1"/>
  <c r="AX187" i="1" s="1"/>
  <c r="AW188" i="1"/>
  <c r="AX188" i="1" s="1"/>
  <c r="AW189" i="1"/>
  <c r="AX189" i="1" s="1"/>
  <c r="AW190" i="1"/>
  <c r="AX190" i="1" s="1"/>
  <c r="AW191" i="1"/>
  <c r="AX191" i="1" s="1"/>
  <c r="AW192" i="1"/>
  <c r="AX192" i="1" s="1"/>
  <c r="AW193" i="1"/>
  <c r="AX193" i="1" s="1"/>
  <c r="AW194" i="1"/>
  <c r="AX194" i="1" s="1"/>
  <c r="AW195" i="1"/>
  <c r="AX195" i="1" s="1"/>
  <c r="AW196" i="1"/>
  <c r="AX196" i="1" s="1"/>
  <c r="AW197" i="1"/>
  <c r="AX197" i="1" s="1"/>
  <c r="AW198" i="1"/>
  <c r="AX198" i="1" s="1"/>
  <c r="AW199" i="1"/>
  <c r="AX199" i="1" s="1"/>
  <c r="AW200" i="1"/>
  <c r="AX200" i="1" s="1"/>
  <c r="AW201" i="1"/>
  <c r="AX201" i="1" s="1"/>
  <c r="AW202" i="1"/>
  <c r="AX202" i="1" s="1"/>
  <c r="AW203" i="1"/>
  <c r="AX203" i="1" s="1"/>
  <c r="AW204" i="1"/>
  <c r="AX204" i="1" s="1"/>
  <c r="AW205" i="1"/>
  <c r="AX205" i="1" s="1"/>
  <c r="AW206" i="1"/>
  <c r="AX206" i="1" s="1"/>
  <c r="AW207" i="1"/>
  <c r="AX207" i="1" s="1"/>
  <c r="AW208" i="1"/>
  <c r="AX208" i="1" s="1"/>
  <c r="AW209" i="1"/>
  <c r="AX209" i="1" s="1"/>
  <c r="AW210" i="1"/>
  <c r="AX210" i="1" s="1"/>
  <c r="AW211" i="1"/>
  <c r="AX211" i="1" s="1"/>
  <c r="AW212" i="1"/>
  <c r="AX212" i="1" s="1"/>
  <c r="AW213" i="1"/>
  <c r="AX213" i="1" s="1"/>
  <c r="AW214" i="1"/>
  <c r="AX214" i="1" s="1"/>
  <c r="AW215" i="1"/>
  <c r="AX215" i="1" s="1"/>
  <c r="AW216" i="1"/>
  <c r="AX216" i="1" s="1"/>
  <c r="AW217" i="1"/>
  <c r="AX217" i="1" s="1"/>
  <c r="AW218" i="1"/>
  <c r="AX218" i="1" s="1"/>
  <c r="AW219" i="1"/>
  <c r="AX219" i="1" s="1"/>
  <c r="AW220" i="1"/>
  <c r="AX220" i="1" s="1"/>
  <c r="AY152" i="1"/>
  <c r="AZ152" i="1" s="1"/>
  <c r="AY153" i="1"/>
  <c r="AZ153" i="1" s="1"/>
  <c r="AY154" i="1"/>
  <c r="AZ154" i="1" s="1"/>
  <c r="AY155" i="1"/>
  <c r="AZ155" i="1" s="1"/>
  <c r="AY156" i="1"/>
  <c r="AZ156" i="1" s="1"/>
  <c r="AY157" i="1"/>
  <c r="AZ157" i="1" s="1"/>
  <c r="AY158" i="1"/>
  <c r="AZ158" i="1" s="1"/>
  <c r="AY159" i="1"/>
  <c r="AZ159" i="1" s="1"/>
  <c r="AY160" i="1"/>
  <c r="AZ160" i="1" s="1"/>
  <c r="AY161" i="1"/>
  <c r="AZ161" i="1" s="1"/>
  <c r="AY162" i="1"/>
  <c r="AZ162" i="1" s="1"/>
  <c r="AY163" i="1"/>
  <c r="AZ163" i="1" s="1"/>
  <c r="AY164" i="1"/>
  <c r="AZ164" i="1" s="1"/>
  <c r="AY165" i="1"/>
  <c r="AZ165" i="1" s="1"/>
  <c r="AY166" i="1"/>
  <c r="AZ166" i="1" s="1"/>
  <c r="AY167" i="1"/>
  <c r="AZ167" i="1" s="1"/>
  <c r="AY168" i="1"/>
  <c r="AZ168" i="1" s="1"/>
  <c r="AY169" i="1"/>
  <c r="AZ169" i="1" s="1"/>
  <c r="AY170" i="1"/>
  <c r="AZ170" i="1" s="1"/>
  <c r="AY171" i="1"/>
  <c r="AZ171" i="1" s="1"/>
  <c r="AY172" i="1"/>
  <c r="AZ172" i="1" s="1"/>
  <c r="AY173" i="1"/>
  <c r="AZ173" i="1" s="1"/>
  <c r="AY174" i="1"/>
  <c r="AZ174" i="1" s="1"/>
  <c r="AY175" i="1"/>
  <c r="AZ175" i="1" s="1"/>
  <c r="AY176" i="1"/>
  <c r="AZ176" i="1" s="1"/>
  <c r="AY177" i="1"/>
  <c r="AZ177" i="1" s="1"/>
  <c r="AY178" i="1"/>
  <c r="AZ178" i="1" s="1"/>
  <c r="AY179" i="1"/>
  <c r="AZ179" i="1" s="1"/>
  <c r="AY180" i="1"/>
  <c r="AZ180" i="1" s="1"/>
  <c r="AY181" i="1"/>
  <c r="AZ181" i="1" s="1"/>
  <c r="AY182" i="1"/>
  <c r="AZ182" i="1" s="1"/>
  <c r="AY183" i="1"/>
  <c r="AZ183" i="1" s="1"/>
  <c r="AY184" i="1"/>
  <c r="AZ184" i="1" s="1"/>
  <c r="AY185" i="1"/>
  <c r="AZ185" i="1" s="1"/>
  <c r="AY186" i="1"/>
  <c r="AZ186" i="1" s="1"/>
  <c r="AY187" i="1"/>
  <c r="AZ187" i="1" s="1"/>
  <c r="AY188" i="1"/>
  <c r="AZ188" i="1" s="1"/>
  <c r="AY189" i="1"/>
  <c r="AZ189" i="1" s="1"/>
  <c r="AY190" i="1"/>
  <c r="AZ190" i="1" s="1"/>
  <c r="AY191" i="1"/>
  <c r="AZ191" i="1" s="1"/>
  <c r="AY192" i="1"/>
  <c r="AZ192" i="1" s="1"/>
  <c r="AY193" i="1"/>
  <c r="AZ193" i="1" s="1"/>
  <c r="AY194" i="1"/>
  <c r="AZ194" i="1" s="1"/>
  <c r="AY195" i="1"/>
  <c r="AZ195" i="1" s="1"/>
  <c r="AY196" i="1"/>
  <c r="AZ196" i="1" s="1"/>
  <c r="AY197" i="1"/>
  <c r="AZ197" i="1" s="1"/>
  <c r="AY198" i="1"/>
  <c r="AZ198" i="1" s="1"/>
  <c r="AY199" i="1"/>
  <c r="AZ199" i="1" s="1"/>
  <c r="AY200" i="1"/>
  <c r="AZ200" i="1" s="1"/>
  <c r="AY201" i="1"/>
  <c r="AZ201" i="1" s="1"/>
  <c r="AY202" i="1"/>
  <c r="AZ202" i="1" s="1"/>
  <c r="AY203" i="1"/>
  <c r="AZ203" i="1" s="1"/>
  <c r="AY204" i="1"/>
  <c r="AZ204" i="1" s="1"/>
  <c r="AY205" i="1"/>
  <c r="AZ205" i="1" s="1"/>
  <c r="AY206" i="1"/>
  <c r="AZ206" i="1" s="1"/>
  <c r="AY207" i="1"/>
  <c r="AZ207" i="1" s="1"/>
  <c r="AY208" i="1"/>
  <c r="AZ208" i="1" s="1"/>
  <c r="AY209" i="1"/>
  <c r="AZ209" i="1" s="1"/>
  <c r="AY210" i="1"/>
  <c r="AZ210" i="1" s="1"/>
  <c r="AY211" i="1"/>
  <c r="AZ211" i="1" s="1"/>
  <c r="AY212" i="1"/>
  <c r="AZ212" i="1" s="1"/>
  <c r="AY213" i="1"/>
  <c r="AZ213" i="1" s="1"/>
  <c r="AY214" i="1"/>
  <c r="AZ214" i="1" s="1"/>
  <c r="AY215" i="1"/>
  <c r="AZ215" i="1" s="1"/>
  <c r="AY216" i="1"/>
  <c r="AZ216" i="1" s="1"/>
  <c r="AY217" i="1"/>
  <c r="AZ217" i="1" s="1"/>
  <c r="AY218" i="1"/>
  <c r="AZ218" i="1" s="1"/>
  <c r="AY219" i="1"/>
  <c r="AZ219" i="1" s="1"/>
  <c r="AY220" i="1"/>
  <c r="AZ220" i="1" s="1"/>
  <c r="BC152" i="1"/>
  <c r="BD152" i="1" s="1"/>
  <c r="BC153" i="1"/>
  <c r="BD153" i="1" s="1"/>
  <c r="BC154" i="1"/>
  <c r="BD154" i="1" s="1"/>
  <c r="BC155" i="1"/>
  <c r="BC156" i="1"/>
  <c r="BC157" i="1"/>
  <c r="BF157" i="1" s="1"/>
  <c r="BG157" i="1" s="1"/>
  <c r="BC158" i="1"/>
  <c r="BF158" i="1" s="1"/>
  <c r="BG158" i="1" s="1"/>
  <c r="BC159" i="1"/>
  <c r="BF159" i="1" s="1"/>
  <c r="BG159" i="1" s="1"/>
  <c r="BC160" i="1"/>
  <c r="BF160" i="1" s="1"/>
  <c r="BG160" i="1" s="1"/>
  <c r="BC161" i="1"/>
  <c r="BC162" i="1"/>
  <c r="BC163" i="1"/>
  <c r="BC164" i="1"/>
  <c r="BF164" i="1" s="1"/>
  <c r="BG164" i="1" s="1"/>
  <c r="BC165" i="1"/>
  <c r="BF165" i="1" s="1"/>
  <c r="BC166" i="1"/>
  <c r="BF166" i="1" s="1"/>
  <c r="BC167" i="1"/>
  <c r="BF167" i="1" s="1"/>
  <c r="BC168" i="1"/>
  <c r="BD168" i="1" s="1"/>
  <c r="BC169" i="1"/>
  <c r="BF169" i="1" s="1"/>
  <c r="BC170" i="1"/>
  <c r="BD170" i="1" s="1"/>
  <c r="BE170" i="1" s="1"/>
  <c r="BC171" i="1"/>
  <c r="BD171" i="1" s="1"/>
  <c r="BE171" i="1" s="1"/>
  <c r="BC172" i="1"/>
  <c r="BD172" i="1" s="1"/>
  <c r="BE172" i="1" s="1"/>
  <c r="BC173" i="1"/>
  <c r="BF173" i="1" s="1"/>
  <c r="BG173" i="1" s="1"/>
  <c r="BC174" i="1"/>
  <c r="BF174" i="1" s="1"/>
  <c r="BG174" i="1" s="1"/>
  <c r="BC175" i="1"/>
  <c r="BF175" i="1" s="1"/>
  <c r="BG175" i="1" s="1"/>
  <c r="BC176" i="1"/>
  <c r="BF176" i="1" s="1"/>
  <c r="BG176" i="1" s="1"/>
  <c r="BC177" i="1"/>
  <c r="BC178" i="1"/>
  <c r="BC179" i="1"/>
  <c r="BC180" i="1"/>
  <c r="BF180" i="1" s="1"/>
  <c r="BG180" i="1" s="1"/>
  <c r="BC181" i="1"/>
  <c r="BC182" i="1"/>
  <c r="BC183" i="1"/>
  <c r="BC184" i="1"/>
  <c r="BC185" i="1"/>
  <c r="BC186" i="1"/>
  <c r="BF186" i="1" s="1"/>
  <c r="BG186" i="1" s="1"/>
  <c r="BC187" i="1"/>
  <c r="BF187" i="1" s="1"/>
  <c r="BG187" i="1" s="1"/>
  <c r="BC188" i="1"/>
  <c r="BF188" i="1" s="1"/>
  <c r="BG188" i="1" s="1"/>
  <c r="BC189" i="1"/>
  <c r="BD189" i="1" s="1"/>
  <c r="BC190" i="1"/>
  <c r="BD190" i="1" s="1"/>
  <c r="BC191" i="1"/>
  <c r="BF191" i="1" s="1"/>
  <c r="BG191" i="1" s="1"/>
  <c r="BC192" i="1"/>
  <c r="BF192" i="1" s="1"/>
  <c r="BC193" i="1"/>
  <c r="BF193" i="1" s="1"/>
  <c r="BG193" i="1" s="1"/>
  <c r="BC194" i="1"/>
  <c r="BF194" i="1" s="1"/>
  <c r="BG194" i="1" s="1"/>
  <c r="BC195" i="1"/>
  <c r="BD195" i="1" s="1"/>
  <c r="BE195" i="1" s="1"/>
  <c r="BC196" i="1"/>
  <c r="BD196" i="1" s="1"/>
  <c r="BE196" i="1" s="1"/>
  <c r="BC197" i="1"/>
  <c r="BD197" i="1" s="1"/>
  <c r="BC198" i="1"/>
  <c r="BD198" i="1" s="1"/>
  <c r="BC199" i="1"/>
  <c r="BC200" i="1"/>
  <c r="BC201" i="1"/>
  <c r="BC202" i="1"/>
  <c r="BF202" i="1" s="1"/>
  <c r="BG202" i="1" s="1"/>
  <c r="BC203" i="1"/>
  <c r="BC204" i="1"/>
  <c r="BC205" i="1"/>
  <c r="BC206" i="1"/>
  <c r="BC207" i="1"/>
  <c r="BC208" i="1"/>
  <c r="BD208" i="1" s="1"/>
  <c r="BC209" i="1"/>
  <c r="BD209" i="1" s="1"/>
  <c r="BE209" i="1" s="1"/>
  <c r="BC210" i="1"/>
  <c r="BD210" i="1" s="1"/>
  <c r="BE210" i="1" s="1"/>
  <c r="BC211" i="1"/>
  <c r="BD211" i="1" s="1"/>
  <c r="BE211" i="1" s="1"/>
  <c r="BC212" i="1"/>
  <c r="BD212" i="1" s="1"/>
  <c r="BE212" i="1" s="1"/>
  <c r="BC213" i="1"/>
  <c r="BD213" i="1" s="1"/>
  <c r="BC214" i="1"/>
  <c r="BF214" i="1" s="1"/>
  <c r="BG214" i="1" s="1"/>
  <c r="BC215" i="1"/>
  <c r="BF215" i="1" s="1"/>
  <c r="BG215" i="1" s="1"/>
  <c r="BC216" i="1"/>
  <c r="BD216" i="1" s="1"/>
  <c r="BC217" i="1"/>
  <c r="BD217" i="1" s="1"/>
  <c r="BE217" i="1" s="1"/>
  <c r="BC218" i="1"/>
  <c r="BF218" i="1" s="1"/>
  <c r="BG218" i="1" s="1"/>
  <c r="BC219" i="1"/>
  <c r="BC220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AC176" i="1"/>
  <c r="AC152" i="1"/>
  <c r="AC185" i="1"/>
  <c r="X75" i="6"/>
  <c r="W75" i="6"/>
  <c r="U75" i="6"/>
  <c r="Y75" i="6" s="1"/>
  <c r="T75" i="6"/>
  <c r="X74" i="6"/>
  <c r="W74" i="6"/>
  <c r="U74" i="6"/>
  <c r="Y74" i="6" s="1"/>
  <c r="T74" i="6"/>
  <c r="X73" i="6"/>
  <c r="W73" i="6"/>
  <c r="V73" i="6"/>
  <c r="U73" i="6"/>
  <c r="T73" i="6"/>
  <c r="Y73" i="6" s="1"/>
  <c r="Y72" i="6"/>
  <c r="X72" i="6"/>
  <c r="W72" i="6"/>
  <c r="V72" i="6"/>
  <c r="U72" i="6"/>
  <c r="T72" i="6"/>
  <c r="X71" i="6"/>
  <c r="W71" i="6"/>
  <c r="U71" i="6"/>
  <c r="Y71" i="6" s="1"/>
  <c r="T71" i="6"/>
  <c r="X70" i="6"/>
  <c r="W70" i="6"/>
  <c r="U70" i="6"/>
  <c r="Y70" i="6" s="1"/>
  <c r="T70" i="6"/>
  <c r="X69" i="6"/>
  <c r="W69" i="6"/>
  <c r="U69" i="6"/>
  <c r="Y69" i="6" s="1"/>
  <c r="T69" i="6"/>
  <c r="Y68" i="6"/>
  <c r="X68" i="6"/>
  <c r="W68" i="6"/>
  <c r="U68" i="6"/>
  <c r="V68" i="6" s="1"/>
  <c r="T68" i="6"/>
  <c r="X67" i="6"/>
  <c r="W67" i="6"/>
  <c r="U67" i="6"/>
  <c r="Y67" i="6" s="1"/>
  <c r="T67" i="6"/>
  <c r="X66" i="6"/>
  <c r="W66" i="6"/>
  <c r="U66" i="6"/>
  <c r="Y66" i="6" s="1"/>
  <c r="T66" i="6"/>
  <c r="X65" i="6"/>
  <c r="W65" i="6"/>
  <c r="U65" i="6"/>
  <c r="V65" i="6" s="1"/>
  <c r="T65" i="6"/>
  <c r="X64" i="6"/>
  <c r="W64" i="6"/>
  <c r="U64" i="6"/>
  <c r="Y64" i="6" s="1"/>
  <c r="T64" i="6"/>
  <c r="X63" i="6"/>
  <c r="W63" i="6"/>
  <c r="U63" i="6"/>
  <c r="Y63" i="6" s="1"/>
  <c r="T63" i="6"/>
  <c r="X62" i="6"/>
  <c r="W62" i="6"/>
  <c r="V62" i="6"/>
  <c r="U62" i="6"/>
  <c r="T62" i="6"/>
  <c r="Y62" i="6" s="1"/>
  <c r="Y61" i="6"/>
  <c r="X61" i="6"/>
  <c r="W61" i="6"/>
  <c r="V61" i="6"/>
  <c r="U61" i="6"/>
  <c r="T61" i="6"/>
  <c r="X60" i="6"/>
  <c r="W60" i="6"/>
  <c r="U60" i="6"/>
  <c r="Y60" i="6" s="1"/>
  <c r="T60" i="6"/>
  <c r="X59" i="6"/>
  <c r="W59" i="6"/>
  <c r="U59" i="6"/>
  <c r="V59" i="6" s="1"/>
  <c r="T59" i="6"/>
  <c r="X58" i="6"/>
  <c r="W58" i="6"/>
  <c r="U58" i="6"/>
  <c r="Y58" i="6" s="1"/>
  <c r="T58" i="6"/>
  <c r="Y57" i="6"/>
  <c r="X57" i="6"/>
  <c r="W57" i="6"/>
  <c r="U57" i="6"/>
  <c r="V57" i="6" s="1"/>
  <c r="T57" i="6"/>
  <c r="X56" i="6"/>
  <c r="W56" i="6"/>
  <c r="U56" i="6"/>
  <c r="Y56" i="6" s="1"/>
  <c r="T56" i="6"/>
  <c r="X55" i="6"/>
  <c r="W55" i="6"/>
  <c r="U55" i="6"/>
  <c r="V55" i="6" s="1"/>
  <c r="T55" i="6"/>
  <c r="X54" i="6"/>
  <c r="W54" i="6"/>
  <c r="U54" i="6"/>
  <c r="Y54" i="6" s="1"/>
  <c r="T54" i="6"/>
  <c r="X53" i="6"/>
  <c r="W53" i="6"/>
  <c r="U53" i="6"/>
  <c r="Y53" i="6" s="1"/>
  <c r="T53" i="6"/>
  <c r="X52" i="6"/>
  <c r="W52" i="6"/>
  <c r="U52" i="6"/>
  <c r="Y52" i="6" s="1"/>
  <c r="T52" i="6"/>
  <c r="X49" i="6"/>
  <c r="W49" i="6"/>
  <c r="V49" i="6"/>
  <c r="U49" i="6"/>
  <c r="T49" i="6"/>
  <c r="Y49" i="6" s="1"/>
  <c r="Y48" i="6"/>
  <c r="X48" i="6"/>
  <c r="W48" i="6"/>
  <c r="V48" i="6"/>
  <c r="U48" i="6"/>
  <c r="T48" i="6"/>
  <c r="X47" i="6"/>
  <c r="W47" i="6"/>
  <c r="U47" i="6"/>
  <c r="Y47" i="6" s="1"/>
  <c r="T47" i="6"/>
  <c r="X46" i="6"/>
  <c r="W46" i="6"/>
  <c r="U46" i="6"/>
  <c r="Y46" i="6" s="1"/>
  <c r="T46" i="6"/>
  <c r="X45" i="6"/>
  <c r="W45" i="6"/>
  <c r="U45" i="6"/>
  <c r="Y45" i="6" s="1"/>
  <c r="T45" i="6"/>
  <c r="Y44" i="6"/>
  <c r="X44" i="6"/>
  <c r="W44" i="6"/>
  <c r="U44" i="6"/>
  <c r="V44" i="6" s="1"/>
  <c r="T44" i="6"/>
  <c r="X43" i="6"/>
  <c r="W43" i="6"/>
  <c r="U43" i="6"/>
  <c r="Y43" i="6" s="1"/>
  <c r="T43" i="6"/>
  <c r="X42" i="6"/>
  <c r="W42" i="6"/>
  <c r="U42" i="6"/>
  <c r="V42" i="6" s="1"/>
  <c r="T42" i="6"/>
  <c r="X41" i="6"/>
  <c r="W41" i="6"/>
  <c r="U41" i="6"/>
  <c r="V41" i="6" s="1"/>
  <c r="T41" i="6"/>
  <c r="X40" i="6"/>
  <c r="W40" i="6"/>
  <c r="U40" i="6"/>
  <c r="Y40" i="6" s="1"/>
  <c r="T40" i="6"/>
  <c r="X39" i="6"/>
  <c r="W39" i="6"/>
  <c r="U39" i="6"/>
  <c r="Y39" i="6" s="1"/>
  <c r="T39" i="6"/>
  <c r="X38" i="6"/>
  <c r="W38" i="6"/>
  <c r="V38" i="6"/>
  <c r="U38" i="6"/>
  <c r="T38" i="6"/>
  <c r="Y38" i="6" s="1"/>
  <c r="Y35" i="6"/>
  <c r="X35" i="6"/>
  <c r="W35" i="6"/>
  <c r="V35" i="6"/>
  <c r="U35" i="6"/>
  <c r="T35" i="6"/>
  <c r="X34" i="6"/>
  <c r="W34" i="6"/>
  <c r="U34" i="6"/>
  <c r="Y34" i="6" s="1"/>
  <c r="T34" i="6"/>
  <c r="X33" i="6"/>
  <c r="W33" i="6"/>
  <c r="U33" i="6"/>
  <c r="V33" i="6" s="1"/>
  <c r="T33" i="6"/>
  <c r="X32" i="6"/>
  <c r="W32" i="6"/>
  <c r="U32" i="6"/>
  <c r="Y32" i="6" s="1"/>
  <c r="T32" i="6"/>
  <c r="Y31" i="6"/>
  <c r="X31" i="6"/>
  <c r="W31" i="6"/>
  <c r="U31" i="6"/>
  <c r="V31" i="6" s="1"/>
  <c r="T31" i="6"/>
  <c r="X30" i="6"/>
  <c r="W30" i="6"/>
  <c r="U30" i="6"/>
  <c r="Y30" i="6" s="1"/>
  <c r="T30" i="6"/>
  <c r="X29" i="6"/>
  <c r="W29" i="6"/>
  <c r="U29" i="6"/>
  <c r="V29" i="6" s="1"/>
  <c r="T29" i="6"/>
  <c r="X28" i="6"/>
  <c r="W28" i="6"/>
  <c r="U28" i="6"/>
  <c r="V28" i="6" s="1"/>
  <c r="T28" i="6"/>
  <c r="X27" i="6"/>
  <c r="W27" i="6"/>
  <c r="U27" i="6"/>
  <c r="Y27" i="6" s="1"/>
  <c r="T27" i="6"/>
  <c r="X26" i="6"/>
  <c r="W26" i="6"/>
  <c r="U26" i="6"/>
  <c r="Y26" i="6" s="1"/>
  <c r="T26" i="6"/>
  <c r="X25" i="6"/>
  <c r="W25" i="6"/>
  <c r="V25" i="6"/>
  <c r="U25" i="6"/>
  <c r="T25" i="6"/>
  <c r="Y25" i="6" s="1"/>
  <c r="Y24" i="6"/>
  <c r="X24" i="6"/>
  <c r="W24" i="6"/>
  <c r="V24" i="6"/>
  <c r="U24" i="6"/>
  <c r="T24" i="6"/>
  <c r="X23" i="6"/>
  <c r="W23" i="6"/>
  <c r="U23" i="6"/>
  <c r="Y23" i="6" s="1"/>
  <c r="T23" i="6"/>
  <c r="X22" i="6"/>
  <c r="W22" i="6"/>
  <c r="U22" i="6"/>
  <c r="V22" i="6" s="1"/>
  <c r="T22" i="6"/>
  <c r="X21" i="6"/>
  <c r="W21" i="6"/>
  <c r="U21" i="6"/>
  <c r="Y21" i="6" s="1"/>
  <c r="T21" i="6"/>
  <c r="Y20" i="6"/>
  <c r="X20" i="6"/>
  <c r="W20" i="6"/>
  <c r="U20" i="6"/>
  <c r="V20" i="6" s="1"/>
  <c r="T20" i="6"/>
  <c r="X19" i="6"/>
  <c r="W19" i="6"/>
  <c r="U19" i="6"/>
  <c r="Y19" i="6" s="1"/>
  <c r="T19" i="6"/>
  <c r="X18" i="6"/>
  <c r="W18" i="6"/>
  <c r="U18" i="6"/>
  <c r="Y18" i="6" s="1"/>
  <c r="T18" i="6"/>
  <c r="X15" i="6"/>
  <c r="W15" i="6"/>
  <c r="U15" i="6"/>
  <c r="V15" i="6" s="1"/>
  <c r="T15" i="6"/>
  <c r="X14" i="6"/>
  <c r="W14" i="6"/>
  <c r="U14" i="6"/>
  <c r="Y14" i="6" s="1"/>
  <c r="T14" i="6"/>
  <c r="X13" i="6"/>
  <c r="W13" i="6"/>
  <c r="U13" i="6"/>
  <c r="Y13" i="6" s="1"/>
  <c r="T13" i="6"/>
  <c r="X12" i="6"/>
  <c r="W12" i="6"/>
  <c r="V12" i="6"/>
  <c r="U12" i="6"/>
  <c r="T12" i="6"/>
  <c r="Y12" i="6" s="1"/>
  <c r="Y11" i="6"/>
  <c r="X11" i="6"/>
  <c r="W11" i="6"/>
  <c r="V11" i="6"/>
  <c r="U11" i="6"/>
  <c r="T11" i="6"/>
  <c r="X10" i="6"/>
  <c r="W10" i="6"/>
  <c r="U10" i="6"/>
  <c r="Y10" i="6" s="1"/>
  <c r="T10" i="6"/>
  <c r="X9" i="6"/>
  <c r="W9" i="6"/>
  <c r="U9" i="6"/>
  <c r="V9" i="6" s="1"/>
  <c r="T9" i="6"/>
  <c r="X8" i="6"/>
  <c r="W8" i="6"/>
  <c r="U8" i="6"/>
  <c r="Y8" i="6" s="1"/>
  <c r="T8" i="6"/>
  <c r="Y7" i="6"/>
  <c r="X7" i="6"/>
  <c r="W7" i="6"/>
  <c r="U7" i="6"/>
  <c r="V7" i="6" s="1"/>
  <c r="T7" i="6"/>
  <c r="X6" i="6"/>
  <c r="W6" i="6"/>
  <c r="U6" i="6"/>
  <c r="Y6" i="6" s="1"/>
  <c r="T6" i="6"/>
  <c r="X5" i="6"/>
  <c r="W5" i="6"/>
  <c r="U5" i="6"/>
  <c r="V5" i="6" s="1"/>
  <c r="T5" i="6"/>
  <c r="X4" i="6"/>
  <c r="W4" i="6"/>
  <c r="U4" i="6"/>
  <c r="V4" i="6" s="1"/>
  <c r="T4" i="6"/>
  <c r="X3" i="6"/>
  <c r="W3" i="6"/>
  <c r="U3" i="6"/>
  <c r="Y3" i="6" s="1"/>
  <c r="T3" i="6"/>
  <c r="X2" i="6"/>
  <c r="W2" i="6"/>
  <c r="U2" i="6"/>
  <c r="Y2" i="6" s="1"/>
  <c r="T2" i="6"/>
  <c r="X1" i="6"/>
  <c r="W1" i="6"/>
  <c r="V1" i="6"/>
  <c r="U1" i="6"/>
  <c r="T1" i="6"/>
  <c r="Y1" i="6" s="1"/>
  <c r="BR213" i="1" a="1"/>
  <c r="BS191" i="1" a="1"/>
  <c r="BQ172" i="1" a="1"/>
  <c r="BP181" i="1" a="1"/>
  <c r="BQ166" i="1" a="1"/>
  <c r="BS193" i="1" a="1"/>
  <c r="BP183" i="1" a="1"/>
  <c r="BV167" i="1" a="1"/>
  <c r="BV184" i="1" a="1"/>
  <c r="BS176" i="1" a="1"/>
  <c r="BR196" i="1" a="1"/>
  <c r="BR165" i="1" a="1"/>
  <c r="BP175" i="1" a="1"/>
  <c r="BQ178" i="1" a="1"/>
  <c r="BV214" i="1" a="1"/>
  <c r="BQ200" i="1" a="1"/>
  <c r="BU174" i="1" a="1"/>
  <c r="BQ211" i="1" a="1"/>
  <c r="BP204" i="1" a="1"/>
  <c r="BV183" i="1" a="1"/>
  <c r="BS205" i="1" a="1"/>
  <c r="BT200" i="1" a="1"/>
  <c r="BU153" i="1" a="1"/>
  <c r="BP210" i="1" a="1"/>
  <c r="BP212" i="1" a="1"/>
  <c r="BS186" i="1" a="1"/>
  <c r="BR171" i="1" a="1"/>
  <c r="BV212" i="1" a="1"/>
  <c r="BS152" i="1" a="1"/>
  <c r="BP154" i="1" a="1"/>
  <c r="BT191" i="1" a="1"/>
  <c r="BT218" i="1" a="1"/>
  <c r="BR158" i="1" a="1"/>
  <c r="BT208" i="1" a="1"/>
  <c r="BU205" i="1" a="1"/>
  <c r="BQ184" i="1" a="1"/>
  <c r="BT167" i="1" a="1"/>
  <c r="BV185" i="1" a="1"/>
  <c r="BP206" i="1" a="1"/>
  <c r="BV218" i="1" a="1"/>
  <c r="BR180" i="1" a="1"/>
  <c r="BP182" i="1" a="1"/>
  <c r="BQ201" i="1" a="1"/>
  <c r="BT209" i="1" a="1"/>
  <c r="BQ192" i="1" a="1"/>
  <c r="BP174" i="1" a="1"/>
  <c r="BR178" i="1" a="1"/>
  <c r="BT212" i="1" a="1"/>
  <c r="BV205" i="1" a="1"/>
  <c r="BQ160" i="1" a="1"/>
  <c r="BS194" i="1" a="1"/>
  <c r="BU166" i="1" a="1"/>
  <c r="BU187" i="1" a="1"/>
  <c r="BS214" i="1" a="1"/>
  <c r="BQ163" i="1" a="1"/>
  <c r="BU216" i="1" a="1"/>
  <c r="BQ182" i="1" a="1"/>
  <c r="BS190" i="1" a="1"/>
  <c r="BV217" i="1" a="1"/>
  <c r="BP205" i="1" a="1"/>
  <c r="BT175" i="1" a="1"/>
  <c r="BT196" i="1" a="1"/>
  <c r="BS196" i="1" a="1"/>
  <c r="BV216" i="1" a="1"/>
  <c r="BT156" i="1" a="1"/>
  <c r="BU152" i="1" a="1"/>
  <c r="BS219" i="1" a="1"/>
  <c r="BV174" i="1" a="1"/>
  <c r="BS188" i="1" a="1"/>
  <c r="BU179" i="1" a="1"/>
  <c r="BR186" i="1" a="1"/>
  <c r="BT182" i="1" a="1"/>
  <c r="BS155" i="1" a="1"/>
  <c r="BU171" i="1" a="1"/>
  <c r="BR169" i="1" a="1"/>
  <c r="BS167" i="1" a="1"/>
  <c r="BS212" i="1" a="1"/>
  <c r="BP187" i="1" a="1"/>
  <c r="BQ158" i="1" a="1"/>
  <c r="BU196" i="1" a="1"/>
  <c r="BU212" i="1" a="1"/>
  <c r="BP166" i="1" a="1"/>
  <c r="BU172" i="1" a="1"/>
  <c r="BP196" i="1" a="1"/>
  <c r="BQ190" i="1" a="1"/>
  <c r="BT189" i="1" a="1"/>
  <c r="BP169" i="1" a="1"/>
  <c r="BR219" i="1" a="1"/>
  <c r="BV163" i="1" a="1"/>
  <c r="BT164" i="1" a="1"/>
  <c r="BP170" i="1" a="1"/>
  <c r="BS164" i="1" a="1"/>
  <c r="BS170" i="1" a="1"/>
  <c r="BR206" i="1" a="1"/>
  <c r="BQ161" i="1" a="1"/>
  <c r="BV189" i="1" a="1"/>
  <c r="BP160" i="1" a="1"/>
  <c r="BT163" i="1" a="1"/>
  <c r="BV213" i="1" a="1"/>
  <c r="BV173" i="1" a="1"/>
  <c r="BV186" i="1" a="1"/>
  <c r="BT170" i="1" a="1"/>
  <c r="BP198" i="1" a="1"/>
  <c r="BV181" i="1" a="1"/>
  <c r="BR185" i="1" a="1"/>
  <c r="BR181" i="1" a="1"/>
  <c r="BQ167" i="1" a="1"/>
  <c r="BV178" i="1" a="1"/>
  <c r="BU184" i="1" a="1"/>
  <c r="BP197" i="1" a="1"/>
  <c r="BV201" i="1" a="1"/>
  <c r="BT192" i="1" a="1"/>
  <c r="BP173" i="1" a="1"/>
  <c r="BP202" i="1" a="1"/>
  <c r="BU194" i="1" a="1"/>
  <c r="BV193" i="1" a="1"/>
  <c r="BV191" i="1" a="1"/>
  <c r="BR215" i="1" a="1"/>
  <c r="BP156" i="1" a="1"/>
  <c r="BU170" i="1" a="1"/>
  <c r="BV210" i="1" a="1"/>
  <c r="BU215" i="1" a="1"/>
  <c r="BV155" i="1" a="1"/>
  <c r="BU197" i="1" a="1"/>
  <c r="BU168" i="1" a="1"/>
  <c r="BQ216" i="1" a="1"/>
  <c r="BQ202" i="1" a="1"/>
  <c r="BT186" i="1" a="1"/>
  <c r="BU217" i="1" a="1"/>
  <c r="BR216" i="1" a="1"/>
  <c r="BT201" i="1" a="1"/>
  <c r="BS217" i="1" a="1"/>
  <c r="BP213" i="1" a="1"/>
  <c r="BQ213" i="1" a="1"/>
  <c r="BQ168" i="1" a="1"/>
  <c r="BS206" i="1" a="1"/>
  <c r="BT166" i="1" a="1"/>
  <c r="BV192" i="1" a="1"/>
  <c r="BQ218" i="1" a="1"/>
  <c r="BR205" i="1" a="1"/>
  <c r="BT207" i="1" a="1"/>
  <c r="BQ199" i="1" a="1"/>
  <c r="BP163" i="1" a="1"/>
  <c r="BV180" i="1" a="1"/>
  <c r="BP203" i="1" a="1"/>
  <c r="BQ153" i="1" a="1"/>
  <c r="BU188" i="1" a="1"/>
  <c r="BS216" i="1" a="1"/>
  <c r="BP218" i="1" a="1"/>
  <c r="BQ185" i="1" a="1"/>
  <c r="BT177" i="1" a="1"/>
  <c r="BQ188" i="1" a="1"/>
  <c r="BP189" i="1" a="1"/>
  <c r="BT210" i="1" a="1"/>
  <c r="BS208" i="1" a="1"/>
  <c r="BV165" i="1" a="1"/>
  <c r="BQ197" i="1" a="1"/>
  <c r="BQ170" i="1" a="1"/>
  <c r="BR189" i="1" a="1"/>
  <c r="BQ180" i="1" a="1"/>
  <c r="BV188" i="1" a="1"/>
  <c r="BS175" i="1" a="1"/>
  <c r="BQ175" i="1" a="1"/>
  <c r="BU195" i="1" a="1"/>
  <c r="BR182" i="1" a="1"/>
  <c r="BQ215" i="1" a="1"/>
  <c r="BU210" i="1" a="1"/>
  <c r="BS153" i="1" a="1"/>
  <c r="BP195" i="1" a="1"/>
  <c r="BU162" i="1" a="1"/>
  <c r="BS169" i="1" a="1"/>
  <c r="BR173" i="1" a="1"/>
  <c r="BS215" i="1" a="1"/>
  <c r="BR163" i="1" a="1"/>
  <c r="BS178" i="1" a="1"/>
  <c r="BQ171" i="1" a="1"/>
  <c r="BS207" i="1" a="1"/>
  <c r="BV179" i="1" a="1"/>
  <c r="BU220" i="1" a="1"/>
  <c r="BS168" i="1" a="1"/>
  <c r="BS160" i="1" a="1"/>
  <c r="BR220" i="1" a="1"/>
  <c r="BS174" i="1" a="1"/>
  <c r="BQ191" i="1" a="1"/>
  <c r="BP184" i="1" a="1"/>
  <c r="BP167" i="1" a="1"/>
  <c r="BQ189" i="1" a="1"/>
  <c r="BT219" i="1" a="1"/>
  <c r="BU183" i="1" a="1"/>
  <c r="BV159" i="1" a="1"/>
  <c r="BP190" i="1" a="1"/>
  <c r="BR155" i="1" a="1"/>
  <c r="BR172" i="1" a="1"/>
  <c r="BU165" i="1" a="1"/>
  <c r="BU189" i="1" a="1"/>
  <c r="BV154" i="1" a="1"/>
  <c r="BT181" i="1" a="1"/>
  <c r="BU186" i="1" a="1"/>
  <c r="BR194" i="1" a="1"/>
  <c r="BR164" i="1" a="1"/>
  <c r="BT202" i="1" a="1"/>
  <c r="BQ208" i="1" a="1"/>
  <c r="BT173" i="1" a="1"/>
  <c r="BV172" i="1" a="1"/>
  <c r="BP186" i="1" a="1"/>
  <c r="BV168" i="1" a="1"/>
  <c r="BV207" i="1" a="1"/>
  <c r="BT198" i="1" a="1"/>
  <c r="BP168" i="1" a="1"/>
  <c r="BP209" i="1" a="1"/>
  <c r="BV204" i="1" a="1"/>
  <c r="BT183" i="1" a="1"/>
  <c r="BR191" i="1" a="1"/>
  <c r="BP176" i="1" a="1"/>
  <c r="BT172" i="1" a="1"/>
  <c r="BR203" i="1" a="1"/>
  <c r="BU175" i="1" a="1"/>
  <c r="BS189" i="1" a="1"/>
  <c r="BV199" i="1" a="1"/>
  <c r="BR160" i="1" a="1"/>
  <c r="BR193" i="1" a="1"/>
  <c r="BS180" i="1" a="1"/>
  <c r="BV197" i="1" a="1"/>
  <c r="BT199" i="1" a="1"/>
  <c r="BT195" i="1" a="1"/>
  <c r="BP217" i="1" a="1"/>
  <c r="BT215" i="1" a="1"/>
  <c r="BP164" i="1" a="1"/>
  <c r="BT171" i="1" a="1"/>
  <c r="BU213" i="1" a="1"/>
  <c r="BS202" i="1" a="1"/>
  <c r="BT184" i="1" a="1"/>
  <c r="BU206" i="1" a="1"/>
  <c r="BP179" i="1" a="1"/>
  <c r="BS184" i="1" a="1"/>
  <c r="BP216" i="1" a="1"/>
  <c r="BV187" i="1" a="1"/>
  <c r="BV206" i="1" a="1"/>
  <c r="BT204" i="1" a="1"/>
  <c r="BU198" i="1" a="1"/>
  <c r="BU209" i="1" a="1"/>
  <c r="BT205" i="1" a="1"/>
  <c r="BQ159" i="1" a="1"/>
  <c r="BR154" i="1" a="1"/>
  <c r="BT153" i="1" a="1"/>
  <c r="BV176" i="1" a="1"/>
  <c r="BV162" i="1" a="1"/>
  <c r="BR195" i="1" a="1"/>
  <c r="BR177" i="1" a="1"/>
  <c r="BR188" i="1" a="1"/>
  <c r="BT152" i="1" a="1"/>
  <c r="BQ217" i="1" a="1"/>
  <c r="BV170" i="1" a="1"/>
  <c r="BS179" i="1" a="1"/>
  <c r="BP178" i="1" a="1"/>
  <c r="BP159" i="1" a="1"/>
  <c r="BR156" i="1" a="1"/>
  <c r="BT203" i="1" a="1"/>
  <c r="BS209" i="1" a="1"/>
  <c r="BP155" i="1" a="1"/>
  <c r="BR204" i="1" a="1"/>
  <c r="BQ207" i="1" a="1"/>
  <c r="BS220" i="1" a="1"/>
  <c r="BU176" i="1" a="1"/>
  <c r="BV156" i="1" a="1"/>
  <c r="BV200" i="1" a="1"/>
  <c r="BR183" i="1" a="1"/>
  <c r="BQ219" i="1" a="1"/>
  <c r="BR190" i="1" a="1"/>
  <c r="BS171" i="1" a="1"/>
  <c r="BS162" i="1" a="1"/>
  <c r="BP153" i="1" a="1"/>
  <c r="BQ177" i="1" a="1"/>
  <c r="BR200" i="1" a="1"/>
  <c r="BS199" i="1" a="1"/>
  <c r="BT159" i="1" a="1"/>
  <c r="BS181" i="1" a="1"/>
  <c r="BP171" i="1" a="1"/>
  <c r="BP192" i="1" a="1"/>
  <c r="BU159" i="1" a="1"/>
  <c r="BQ154" i="1" a="1"/>
  <c r="BP219" i="1" a="1"/>
  <c r="BT190" i="1" a="1"/>
  <c r="BT178" i="1" a="1"/>
  <c r="BR214" i="1" a="1"/>
  <c r="BV220" i="1" a="1"/>
  <c r="BS192" i="1" a="1"/>
  <c r="BQ176" i="1" a="1"/>
  <c r="BS157" i="1" a="1"/>
  <c r="BR198" i="1" a="1"/>
  <c r="BQ212" i="1" a="1"/>
  <c r="BP193" i="1" a="1"/>
  <c r="BV157" i="1" a="1"/>
  <c r="BV152" i="1" a="1"/>
  <c r="BS183" i="1" a="1"/>
  <c r="BT155" i="1" a="1"/>
  <c r="BU185" i="1" a="1"/>
  <c r="BP177" i="1" a="1"/>
  <c r="BS187" i="1" a="1"/>
  <c r="BQ210" i="1" a="1"/>
  <c r="BR209" i="1" a="1"/>
  <c r="BP194" i="1" a="1"/>
  <c r="BQ193" i="1" a="1"/>
  <c r="BV182" i="1" a="1"/>
  <c r="BS159" i="1" a="1"/>
  <c r="BQ204" i="1" a="1"/>
  <c r="BR210" i="1" a="1"/>
  <c r="BR161" i="1" a="1"/>
  <c r="BR159" i="1" a="1"/>
  <c r="BV202" i="1" a="1"/>
  <c r="BQ155" i="1" a="1"/>
  <c r="BR170" i="1" a="1"/>
  <c r="BS161" i="1" a="1"/>
  <c r="BS165" i="1" a="1"/>
  <c r="BS156" i="1" a="1"/>
  <c r="BU181" i="1" a="1"/>
  <c r="BQ183" i="1" a="1"/>
  <c r="BU219" i="1" a="1"/>
  <c r="BU190" i="1" a="1"/>
  <c r="BT157" i="1" a="1"/>
  <c r="BQ157" i="1" a="1"/>
  <c r="BP157" i="1" a="1"/>
  <c r="BT162" i="1" a="1"/>
  <c r="BU191" i="1" a="1"/>
  <c r="BT194" i="1" a="1"/>
  <c r="BQ169" i="1" a="1"/>
  <c r="BR187" i="1" a="1"/>
  <c r="BS203" i="1" a="1"/>
  <c r="BU169" i="1" a="1"/>
  <c r="BT174" i="1" a="1"/>
  <c r="BT158" i="1" a="1"/>
  <c r="BV211" i="1" a="1"/>
  <c r="BT193" i="1" a="1"/>
  <c r="BU163" i="1" a="1"/>
  <c r="BR175" i="1" a="1"/>
  <c r="BU208" i="1" a="1"/>
  <c r="BV158" i="1" a="1"/>
  <c r="BT220" i="1" a="1"/>
  <c r="BV175" i="1" a="1"/>
  <c r="BR166" i="1" a="1"/>
  <c r="BS201" i="1" a="1"/>
  <c r="BQ165" i="1" a="1"/>
  <c r="BU193" i="1" a="1"/>
  <c r="BP158" i="1" a="1"/>
  <c r="BR157" i="1" a="1"/>
  <c r="BR202" i="1" a="1"/>
  <c r="BS213" i="1" a="1"/>
  <c r="BQ174" i="1" a="1"/>
  <c r="BT185" i="1" a="1"/>
  <c r="BR211" i="1" a="1"/>
  <c r="BT216" i="1" a="1"/>
  <c r="BS163" i="1" a="1"/>
  <c r="BS182" i="1" a="1"/>
  <c r="BR167" i="1" a="1"/>
  <c r="BR176" i="1" a="1"/>
  <c r="BR218" i="1" a="1"/>
  <c r="BQ214" i="1" a="1"/>
  <c r="BT188" i="1" a="1"/>
  <c r="BT206" i="1" a="1"/>
  <c r="BP214" i="1" a="1"/>
  <c r="BS211" i="1" a="1"/>
  <c r="BS166" i="1" a="1"/>
  <c r="BP220" i="1" a="1"/>
  <c r="BQ152" i="1" a="1"/>
  <c r="BT168" i="1" a="1"/>
  <c r="BU164" i="1" a="1"/>
  <c r="BR197" i="1" a="1"/>
  <c r="BQ194" i="1" a="1"/>
  <c r="BQ181" i="1" a="1"/>
  <c r="BV209" i="1" a="1"/>
  <c r="BP207" i="1" a="1"/>
  <c r="BR192" i="1" a="1"/>
  <c r="BP162" i="1" a="1"/>
  <c r="BT217" i="1" a="1"/>
  <c r="BV164" i="1" a="1"/>
  <c r="BV215" i="1" a="1"/>
  <c r="BS204" i="1" a="1"/>
  <c r="BQ209" i="1" a="1"/>
  <c r="BU161" i="1" a="1"/>
  <c r="BS185" i="1" a="1"/>
  <c r="BV219" i="1" a="1"/>
  <c r="BR212" i="1" a="1"/>
  <c r="BT165" i="1" a="1"/>
  <c r="BP201" i="1" a="1"/>
  <c r="BQ198" i="1" a="1"/>
  <c r="BS210" i="1" a="1"/>
  <c r="BT176" i="1" a="1"/>
  <c r="BV203" i="1" a="1"/>
  <c r="BP215" i="1" a="1"/>
  <c r="BQ162" i="1" a="1"/>
  <c r="BR162" i="1" a="1"/>
  <c r="BP180" i="1" a="1"/>
  <c r="BU211" i="1" a="1"/>
  <c r="BP199" i="1" a="1"/>
  <c r="BP191" i="1" a="1"/>
  <c r="BR199" i="1" a="1"/>
  <c r="BQ205" i="1" a="1"/>
  <c r="BV194" i="1" a="1"/>
  <c r="BU192" i="1" a="1"/>
  <c r="BP185" i="1" a="1"/>
  <c r="BQ187" i="1" a="1"/>
  <c r="BR153" i="1" a="1"/>
  <c r="BT160" i="1" a="1"/>
  <c r="BT187" i="1" a="1"/>
  <c r="BP152" i="1" a="1"/>
  <c r="BT214" i="1" a="1"/>
  <c r="BV177" i="1" a="1"/>
  <c r="BQ206" i="1" a="1"/>
  <c r="BP165" i="1" a="1"/>
  <c r="BP211" i="1" a="1"/>
  <c r="BU173" i="1" a="1"/>
  <c r="BT211" i="1" a="1"/>
  <c r="BV169" i="1" a="1"/>
  <c r="BS198" i="1" a="1"/>
  <c r="BU218" i="1" a="1"/>
  <c r="BR201" i="1" a="1"/>
  <c r="BT179" i="1" a="1"/>
  <c r="BQ173" i="1" a="1"/>
  <c r="BT154" i="1" a="1"/>
  <c r="BS172" i="1" a="1"/>
  <c r="BQ164" i="1" a="1"/>
  <c r="BT161" i="1" a="1"/>
  <c r="BS197" i="1" a="1"/>
  <c r="BU207" i="1" a="1"/>
  <c r="BV190" i="1" a="1"/>
  <c r="BS195" i="1" a="1"/>
  <c r="BU167" i="1" a="1"/>
  <c r="BV161" i="1" a="1"/>
  <c r="BR208" i="1" a="1"/>
  <c r="BP161" i="1" a="1"/>
  <c r="BU182" i="1" a="1"/>
  <c r="BQ179" i="1" a="1"/>
  <c r="BR168" i="1" a="1"/>
  <c r="BQ196" i="1" a="1"/>
  <c r="BQ220" i="1" a="1"/>
  <c r="BR217" i="1" a="1"/>
  <c r="BR207" i="1" a="1"/>
  <c r="BT169" i="1" a="1"/>
  <c r="BV198" i="1" a="1"/>
  <c r="BR184" i="1" a="1"/>
  <c r="BV171" i="1" a="1"/>
  <c r="BS173" i="1" a="1"/>
  <c r="BS154" i="1" a="1"/>
  <c r="BV153" i="1" a="1"/>
  <c r="BT213" i="1" a="1"/>
  <c r="BQ186" i="1" a="1"/>
  <c r="BV166" i="1" a="1"/>
  <c r="BP208" i="1" a="1"/>
  <c r="BV208" i="1" a="1"/>
  <c r="BQ195" i="1" a="1"/>
  <c r="BR174" i="1" a="1"/>
  <c r="BU214" i="1" a="1"/>
  <c r="BP188" i="1" a="1"/>
  <c r="BS158" i="1" a="1"/>
  <c r="BP200" i="1" a="1"/>
  <c r="BP172" i="1" a="1"/>
  <c r="BR152" i="1" a="1"/>
  <c r="BS177" i="1" a="1"/>
  <c r="BS200" i="1" a="1"/>
  <c r="BS218" i="1" a="1"/>
  <c r="BT180" i="1" a="1"/>
  <c r="BV160" i="1" a="1"/>
  <c r="BT197" i="1" a="1"/>
  <c r="BV195" i="1" a="1"/>
  <c r="BV196" i="1" a="1"/>
  <c r="BR179" i="1" a="1"/>
  <c r="BQ203" i="1" a="1"/>
  <c r="BQ156" i="1" a="1"/>
  <c r="AD220" i="1" l="1"/>
  <c r="AE220" i="1" s="1"/>
  <c r="AD198" i="1"/>
  <c r="AE198" i="1" s="1"/>
  <c r="AD152" i="1"/>
  <c r="AE152" i="1" s="1"/>
  <c r="AH180" i="1"/>
  <c r="Z180" i="1" s="1"/>
  <c r="AA180" i="1" s="1"/>
  <c r="BF154" i="1"/>
  <c r="BG154" i="1" s="1"/>
  <c r="AD199" i="1"/>
  <c r="AE199" i="1" s="1"/>
  <c r="AD200" i="1"/>
  <c r="AE200" i="1" s="1"/>
  <c r="AD176" i="1"/>
  <c r="AE176" i="1" s="1"/>
  <c r="BF198" i="1"/>
  <c r="BG198" i="1" s="1"/>
  <c r="AT193" i="1"/>
  <c r="AU193" i="1" s="1"/>
  <c r="AT171" i="1"/>
  <c r="AU171" i="1" s="1"/>
  <c r="AT215" i="1"/>
  <c r="AU215" i="1" s="1"/>
  <c r="AT217" i="1"/>
  <c r="AU217" i="1" s="1"/>
  <c r="AH188" i="1"/>
  <c r="Z188" i="1" s="1"/>
  <c r="AA188" i="1" s="1"/>
  <c r="AM198" i="1"/>
  <c r="AT173" i="1"/>
  <c r="AU173" i="1" s="1"/>
  <c r="AM196" i="1"/>
  <c r="AM195" i="1"/>
  <c r="AM194" i="1"/>
  <c r="BD202" i="1"/>
  <c r="BE202" i="1" s="1"/>
  <c r="AH201" i="1"/>
  <c r="Z201" i="1" s="1"/>
  <c r="AA201" i="1" s="1"/>
  <c r="AH179" i="1"/>
  <c r="Z179" i="1" s="1"/>
  <c r="AA179" i="1" s="1"/>
  <c r="AH157" i="1"/>
  <c r="Z157" i="1" s="1"/>
  <c r="AA157" i="1" s="1"/>
  <c r="BD180" i="1"/>
  <c r="BE180" i="1" s="1"/>
  <c r="AM172" i="1"/>
  <c r="AD184" i="1"/>
  <c r="AE184" i="1" s="1"/>
  <c r="AD153" i="1"/>
  <c r="AE153" i="1" s="1"/>
  <c r="AT162" i="1"/>
  <c r="AU162" i="1" s="1"/>
  <c r="AH204" i="1"/>
  <c r="Z204" i="1" s="1"/>
  <c r="AA204" i="1" s="1"/>
  <c r="AH182" i="1"/>
  <c r="Z182" i="1" s="1"/>
  <c r="AA182" i="1" s="1"/>
  <c r="AH160" i="1"/>
  <c r="Z160" i="1" s="1"/>
  <c r="AA160" i="1" s="1"/>
  <c r="BD215" i="1"/>
  <c r="BH215" i="1" s="1"/>
  <c r="BI215" i="1" s="1"/>
  <c r="BD214" i="1"/>
  <c r="BE214" i="1" s="1"/>
  <c r="AM152" i="1"/>
  <c r="AH211" i="1"/>
  <c r="Z211" i="1" s="1"/>
  <c r="AA211" i="1" s="1"/>
  <c r="AH189" i="1"/>
  <c r="Z189" i="1" s="1"/>
  <c r="AA189" i="1" s="1"/>
  <c r="AH167" i="1"/>
  <c r="Z167" i="1" s="1"/>
  <c r="AA167" i="1" s="1"/>
  <c r="BF171" i="1"/>
  <c r="BG171" i="1" s="1"/>
  <c r="BF170" i="1"/>
  <c r="BH170" i="1" s="1"/>
  <c r="BI170" i="1" s="1"/>
  <c r="AH210" i="1"/>
  <c r="Z210" i="1" s="1"/>
  <c r="AA210" i="1" s="1"/>
  <c r="AH166" i="1"/>
  <c r="Z166" i="1" s="1"/>
  <c r="AA166" i="1" s="1"/>
  <c r="AD177" i="1"/>
  <c r="AE177" i="1" s="1"/>
  <c r="AH195" i="1"/>
  <c r="Z195" i="1" s="1"/>
  <c r="AA195" i="1" s="1"/>
  <c r="AH208" i="1"/>
  <c r="Z208" i="1" s="1"/>
  <c r="AA208" i="1" s="1"/>
  <c r="AH186" i="1"/>
  <c r="Z186" i="1" s="1"/>
  <c r="AA186" i="1" s="1"/>
  <c r="AH164" i="1"/>
  <c r="Z164" i="1" s="1"/>
  <c r="AA164" i="1" s="1"/>
  <c r="AD155" i="1"/>
  <c r="AE155" i="1" s="1"/>
  <c r="AT166" i="1"/>
  <c r="AU166" i="1" s="1"/>
  <c r="AT206" i="1"/>
  <c r="AU206" i="1" s="1"/>
  <c r="AH159" i="1"/>
  <c r="Z159" i="1" s="1"/>
  <c r="AA159" i="1" s="1"/>
  <c r="AT179" i="1"/>
  <c r="AU179" i="1" s="1"/>
  <c r="AH158" i="1"/>
  <c r="Z158" i="1" s="1"/>
  <c r="AA158" i="1" s="1"/>
  <c r="AT174" i="1"/>
  <c r="AU174" i="1" s="1"/>
  <c r="AT214" i="1"/>
  <c r="AU214" i="1" s="1"/>
  <c r="AD196" i="1"/>
  <c r="AE196" i="1" s="1"/>
  <c r="AM188" i="1"/>
  <c r="BD159" i="1"/>
  <c r="BE159" i="1" s="1"/>
  <c r="AD208" i="1"/>
  <c r="AE208" i="1" s="1"/>
  <c r="AB208" i="1"/>
  <c r="AC208" i="1" s="1"/>
  <c r="AT211" i="1"/>
  <c r="AU211" i="1" s="1"/>
  <c r="AD213" i="1"/>
  <c r="AE213" i="1" s="1"/>
  <c r="AB213" i="1"/>
  <c r="AC213" i="1" s="1"/>
  <c r="AM189" i="1"/>
  <c r="AH216" i="1"/>
  <c r="Z216" i="1" s="1"/>
  <c r="AA216" i="1" s="1"/>
  <c r="AD191" i="1"/>
  <c r="AE191" i="1" s="1"/>
  <c r="AM187" i="1"/>
  <c r="AD164" i="1"/>
  <c r="AE164" i="1" s="1"/>
  <c r="AB164" i="1"/>
  <c r="AC164" i="1" s="1"/>
  <c r="BD158" i="1"/>
  <c r="BE158" i="1" s="1"/>
  <c r="AM160" i="1"/>
  <c r="AD173" i="1"/>
  <c r="AE173" i="1" s="1"/>
  <c r="AD207" i="1"/>
  <c r="AE207" i="1" s="1"/>
  <c r="AB207" i="1"/>
  <c r="AC207" i="1" s="1"/>
  <c r="AD183" i="1"/>
  <c r="AE183" i="1" s="1"/>
  <c r="AB183" i="1"/>
  <c r="AC183" i="1" s="1"/>
  <c r="AD161" i="1"/>
  <c r="AE161" i="1" s="1"/>
  <c r="AB161" i="1"/>
  <c r="AC161" i="1" s="1"/>
  <c r="AT210" i="1"/>
  <c r="AU210" i="1" s="1"/>
  <c r="AD167" i="1"/>
  <c r="AE167" i="1" s="1"/>
  <c r="AB167" i="1"/>
  <c r="AC167" i="1" s="1"/>
  <c r="AD210" i="1"/>
  <c r="AE210" i="1" s="1"/>
  <c r="AB210" i="1"/>
  <c r="AC210" i="1" s="1"/>
  <c r="AD209" i="1"/>
  <c r="AE209" i="1" s="1"/>
  <c r="AB209" i="1"/>
  <c r="AC209" i="1" s="1"/>
  <c r="AT190" i="1"/>
  <c r="AU190" i="1" s="1"/>
  <c r="AM159" i="1"/>
  <c r="AD170" i="1"/>
  <c r="AE170" i="1" s="1"/>
  <c r="AD206" i="1"/>
  <c r="AE206" i="1" s="1"/>
  <c r="AB206" i="1"/>
  <c r="AC206" i="1" s="1"/>
  <c r="AD182" i="1"/>
  <c r="AE182" i="1" s="1"/>
  <c r="AB182" i="1"/>
  <c r="AC182" i="1" s="1"/>
  <c r="AD160" i="1"/>
  <c r="AE160" i="1" s="1"/>
  <c r="AB160" i="1"/>
  <c r="AC160" i="1" s="1"/>
  <c r="AD172" i="1"/>
  <c r="AE172" i="1" s="1"/>
  <c r="AB172" i="1"/>
  <c r="AC172" i="1" s="1"/>
  <c r="BD186" i="1"/>
  <c r="BE186" i="1" s="1"/>
  <c r="AM157" i="1"/>
  <c r="AH209" i="1"/>
  <c r="Z209" i="1" s="1"/>
  <c r="AA209" i="1" s="1"/>
  <c r="AD169" i="1"/>
  <c r="AE169" i="1" s="1"/>
  <c r="AD205" i="1"/>
  <c r="AE205" i="1" s="1"/>
  <c r="AB205" i="1"/>
  <c r="AC205" i="1" s="1"/>
  <c r="AD181" i="1"/>
  <c r="AE181" i="1" s="1"/>
  <c r="AB181" i="1"/>
  <c r="AC181" i="1" s="1"/>
  <c r="AD159" i="1"/>
  <c r="AE159" i="1" s="1"/>
  <c r="AB159" i="1"/>
  <c r="AC159" i="1" s="1"/>
  <c r="AD194" i="1"/>
  <c r="AE194" i="1" s="1"/>
  <c r="AM191" i="1"/>
  <c r="AT192" i="1"/>
  <c r="AU192" i="1" s="1"/>
  <c r="AD163" i="1"/>
  <c r="AE163" i="1" s="1"/>
  <c r="AB163" i="1"/>
  <c r="AC163" i="1" s="1"/>
  <c r="AD219" i="1"/>
  <c r="AE219" i="1" s="1"/>
  <c r="AD168" i="1"/>
  <c r="AE168" i="1" s="1"/>
  <c r="AD204" i="1"/>
  <c r="AE204" i="1" s="1"/>
  <c r="AB204" i="1"/>
  <c r="AC204" i="1" s="1"/>
  <c r="AD180" i="1"/>
  <c r="AE180" i="1" s="1"/>
  <c r="AB180" i="1"/>
  <c r="AC180" i="1" s="1"/>
  <c r="AD158" i="1"/>
  <c r="AE158" i="1" s="1"/>
  <c r="AB158" i="1"/>
  <c r="AC158" i="1" s="1"/>
  <c r="AD188" i="1"/>
  <c r="AE188" i="1" s="1"/>
  <c r="AB188" i="1"/>
  <c r="AC188" i="1" s="1"/>
  <c r="AH207" i="1"/>
  <c r="Z207" i="1" s="1"/>
  <c r="AA207" i="1" s="1"/>
  <c r="AH185" i="1"/>
  <c r="Z185" i="1" s="1"/>
  <c r="AA185" i="1" s="1"/>
  <c r="AH163" i="1"/>
  <c r="Z163" i="1" s="1"/>
  <c r="AA163" i="1" s="1"/>
  <c r="AD218" i="1"/>
  <c r="AE218" i="1" s="1"/>
  <c r="AD162" i="1"/>
  <c r="AE162" i="1" s="1"/>
  <c r="AD203" i="1"/>
  <c r="AE203" i="1" s="1"/>
  <c r="AB203" i="1"/>
  <c r="AC203" i="1" s="1"/>
  <c r="AD179" i="1"/>
  <c r="AE179" i="1" s="1"/>
  <c r="AB179" i="1"/>
  <c r="AC179" i="1" s="1"/>
  <c r="AD157" i="1"/>
  <c r="AE157" i="1" s="1"/>
  <c r="AB157" i="1"/>
  <c r="AC157" i="1" s="1"/>
  <c r="AD171" i="1"/>
  <c r="AE171" i="1" s="1"/>
  <c r="AB171" i="1"/>
  <c r="AC171" i="1" s="1"/>
  <c r="BD187" i="1"/>
  <c r="BE187" i="1" s="1"/>
  <c r="AD192" i="1"/>
  <c r="AE192" i="1" s="1"/>
  <c r="AT186" i="1"/>
  <c r="AU186" i="1" s="1"/>
  <c r="AH206" i="1"/>
  <c r="AH184" i="1"/>
  <c r="Z184" i="1" s="1"/>
  <c r="AA184" i="1" s="1"/>
  <c r="AH162" i="1"/>
  <c r="AD217" i="1"/>
  <c r="AE217" i="1" s="1"/>
  <c r="AD202" i="1"/>
  <c r="AE202" i="1" s="1"/>
  <c r="AB202" i="1"/>
  <c r="AC202" i="1" s="1"/>
  <c r="AD178" i="1"/>
  <c r="AE178" i="1" s="1"/>
  <c r="AB178" i="1"/>
  <c r="AC178" i="1" s="1"/>
  <c r="AD156" i="1"/>
  <c r="AE156" i="1" s="1"/>
  <c r="AB156" i="1"/>
  <c r="AC156" i="1" s="1"/>
  <c r="AD190" i="1"/>
  <c r="AE190" i="1" s="1"/>
  <c r="AB190" i="1"/>
  <c r="AC190" i="1" s="1"/>
  <c r="AD165" i="1"/>
  <c r="AE165" i="1" s="1"/>
  <c r="AB165" i="1"/>
  <c r="AC165" i="1" s="1"/>
  <c r="AD187" i="1"/>
  <c r="AE187" i="1" s="1"/>
  <c r="AB187" i="1"/>
  <c r="AC187" i="1" s="1"/>
  <c r="AM213" i="1"/>
  <c r="AH205" i="1"/>
  <c r="Z205" i="1" s="1"/>
  <c r="AA205" i="1" s="1"/>
  <c r="AH183" i="1"/>
  <c r="Z183" i="1" s="1"/>
  <c r="AA183" i="1" s="1"/>
  <c r="AH161" i="1"/>
  <c r="Z161" i="1" s="1"/>
  <c r="AA161" i="1" s="1"/>
  <c r="AD216" i="1"/>
  <c r="AE216" i="1" s="1"/>
  <c r="AD201" i="1"/>
  <c r="AE201" i="1" s="1"/>
  <c r="AB201" i="1"/>
  <c r="AC201" i="1" s="1"/>
  <c r="AD195" i="1"/>
  <c r="AE195" i="1" s="1"/>
  <c r="BD188" i="1"/>
  <c r="BE188" i="1" s="1"/>
  <c r="AD214" i="1"/>
  <c r="AE214" i="1" s="1"/>
  <c r="AB214" i="1"/>
  <c r="AC214" i="1" s="1"/>
  <c r="AT209" i="1"/>
  <c r="AU209" i="1" s="1"/>
  <c r="AT208" i="1"/>
  <c r="AU208" i="1" s="1"/>
  <c r="AH194" i="1"/>
  <c r="Z194" i="1" s="1"/>
  <c r="AA194" i="1" s="1"/>
  <c r="AD166" i="1"/>
  <c r="AE166" i="1" s="1"/>
  <c r="AB166" i="1"/>
  <c r="AC166" i="1" s="1"/>
  <c r="BF190" i="1"/>
  <c r="BG190" i="1" s="1"/>
  <c r="AD215" i="1"/>
  <c r="AE215" i="1" s="1"/>
  <c r="AD193" i="1"/>
  <c r="AE193" i="1" s="1"/>
  <c r="AH172" i="1"/>
  <c r="Z172" i="1" s="1"/>
  <c r="AA172" i="1" s="1"/>
  <c r="AD212" i="1"/>
  <c r="AE212" i="1" s="1"/>
  <c r="AB212" i="1"/>
  <c r="AC212" i="1" s="1"/>
  <c r="AD186" i="1"/>
  <c r="AE186" i="1" s="1"/>
  <c r="AB186" i="1"/>
  <c r="AC186" i="1" s="1"/>
  <c r="BF172" i="1"/>
  <c r="BG172" i="1" s="1"/>
  <c r="AT218" i="1"/>
  <c r="AU218" i="1" s="1"/>
  <c r="AT170" i="1"/>
  <c r="AU170" i="1" s="1"/>
  <c r="AH203" i="1"/>
  <c r="Z203" i="1" s="1"/>
  <c r="AA203" i="1" s="1"/>
  <c r="AH181" i="1"/>
  <c r="Z181" i="1" s="1"/>
  <c r="AA181" i="1" s="1"/>
  <c r="AD175" i="1"/>
  <c r="AE175" i="1" s="1"/>
  <c r="AB175" i="1"/>
  <c r="AC175" i="1" s="1"/>
  <c r="AT212" i="1"/>
  <c r="AU212" i="1" s="1"/>
  <c r="AD211" i="1"/>
  <c r="AE211" i="1" s="1"/>
  <c r="AB211" i="1"/>
  <c r="AC211" i="1" s="1"/>
  <c r="AM167" i="1"/>
  <c r="BF189" i="1"/>
  <c r="BG189" i="1" s="1"/>
  <c r="AH202" i="1"/>
  <c r="Z202" i="1" s="1"/>
  <c r="AA202" i="1" s="1"/>
  <c r="AD174" i="1"/>
  <c r="AE174" i="1" s="1"/>
  <c r="AB174" i="1"/>
  <c r="AC174" i="1" s="1"/>
  <c r="BE168" i="1"/>
  <c r="BE189" i="1"/>
  <c r="BE213" i="1"/>
  <c r="BE190" i="1"/>
  <c r="BE208" i="1"/>
  <c r="BD218" i="1"/>
  <c r="BH218" i="1" s="1"/>
  <c r="BI218" i="1" s="1"/>
  <c r="AM155" i="1"/>
  <c r="BF217" i="1"/>
  <c r="BG217" i="1" s="1"/>
  <c r="BD173" i="1"/>
  <c r="BE173" i="1" s="1"/>
  <c r="AM154" i="1"/>
  <c r="BF216" i="1"/>
  <c r="BG216" i="1" s="1"/>
  <c r="AT182" i="1"/>
  <c r="AU182" i="1" s="1"/>
  <c r="AM153" i="1"/>
  <c r="BD167" i="1"/>
  <c r="BE167" i="1" s="1"/>
  <c r="AH199" i="1"/>
  <c r="AH177" i="1"/>
  <c r="Z177" i="1" s="1"/>
  <c r="AA177" i="1" s="1"/>
  <c r="BF210" i="1"/>
  <c r="BH210" i="1" s="1"/>
  <c r="BI210" i="1" s="1"/>
  <c r="BD166" i="1"/>
  <c r="BE166" i="1" s="1"/>
  <c r="AM181" i="1"/>
  <c r="AH220" i="1"/>
  <c r="AH198" i="1"/>
  <c r="AH176" i="1"/>
  <c r="Z176" i="1" s="1"/>
  <c r="AA176" i="1" s="1"/>
  <c r="AH154" i="1"/>
  <c r="BF211" i="1"/>
  <c r="BG211" i="1" s="1"/>
  <c r="BF168" i="1"/>
  <c r="BG168" i="1" s="1"/>
  <c r="AH155" i="1"/>
  <c r="Z155" i="1" s="1"/>
  <c r="AA155" i="1" s="1"/>
  <c r="BF209" i="1"/>
  <c r="BH209" i="1" s="1"/>
  <c r="BI209" i="1" s="1"/>
  <c r="BD165" i="1"/>
  <c r="BE165" i="1" s="1"/>
  <c r="AT205" i="1"/>
  <c r="AU205" i="1" s="1"/>
  <c r="AT169" i="1"/>
  <c r="AU169" i="1" s="1"/>
  <c r="AM176" i="1"/>
  <c r="BF213" i="1"/>
  <c r="BG213" i="1" s="1"/>
  <c r="BF212" i="1"/>
  <c r="BG212" i="1" s="1"/>
  <c r="BF208" i="1"/>
  <c r="BG208" i="1" s="1"/>
  <c r="BD164" i="1"/>
  <c r="AT204" i="1"/>
  <c r="AU204" i="1" s="1"/>
  <c r="AT168" i="1"/>
  <c r="AU168" i="1" s="1"/>
  <c r="AM216" i="1"/>
  <c r="AH218" i="1"/>
  <c r="Z218" i="1" s="1"/>
  <c r="AA218" i="1" s="1"/>
  <c r="AH196" i="1"/>
  <c r="AH174" i="1"/>
  <c r="AH152" i="1"/>
  <c r="BD160" i="1"/>
  <c r="BH160" i="1" s="1"/>
  <c r="BI160" i="1" s="1"/>
  <c r="AT203" i="1"/>
  <c r="AU203" i="1" s="1"/>
  <c r="AH173" i="1"/>
  <c r="AH156" i="1"/>
  <c r="Z156" i="1" s="1"/>
  <c r="AA156" i="1" s="1"/>
  <c r="BF196" i="1"/>
  <c r="BG196" i="1" s="1"/>
  <c r="BF153" i="1"/>
  <c r="BG153" i="1" s="1"/>
  <c r="BD194" i="1"/>
  <c r="BE194" i="1" s="1"/>
  <c r="AT201" i="1"/>
  <c r="AU201" i="1" s="1"/>
  <c r="AT165" i="1"/>
  <c r="AU165" i="1" s="1"/>
  <c r="AH215" i="1"/>
  <c r="Z215" i="1" s="1"/>
  <c r="AA215" i="1" s="1"/>
  <c r="AH193" i="1"/>
  <c r="AH171" i="1"/>
  <c r="Z171" i="1" s="1"/>
  <c r="AA171" i="1" s="1"/>
  <c r="AC197" i="1"/>
  <c r="BF195" i="1"/>
  <c r="BG195" i="1" s="1"/>
  <c r="BF152" i="1"/>
  <c r="BG152" i="1" s="1"/>
  <c r="BD193" i="1"/>
  <c r="BE193" i="1" s="1"/>
  <c r="BD157" i="1"/>
  <c r="BE157" i="1" s="1"/>
  <c r="AT164" i="1"/>
  <c r="AU164" i="1" s="1"/>
  <c r="AH214" i="1"/>
  <c r="Z214" i="1" s="1"/>
  <c r="AA214" i="1" s="1"/>
  <c r="AH170" i="1"/>
  <c r="Z170" i="1" s="1"/>
  <c r="AA170" i="1" s="1"/>
  <c r="BD169" i="1"/>
  <c r="BE169" i="1" s="1"/>
  <c r="AH200" i="1"/>
  <c r="Z200" i="1" s="1"/>
  <c r="AA200" i="1" s="1"/>
  <c r="AC196" i="1"/>
  <c r="BD192" i="1"/>
  <c r="BE192" i="1" s="1"/>
  <c r="BF197" i="1"/>
  <c r="BG197" i="1" s="1"/>
  <c r="AC195" i="1"/>
  <c r="BD191" i="1"/>
  <c r="AH187" i="1"/>
  <c r="AH165" i="1"/>
  <c r="Z165" i="1" s="1"/>
  <c r="AA165" i="1" s="1"/>
  <c r="AT202" i="1"/>
  <c r="AU202" i="1" s="1"/>
  <c r="AH178" i="1"/>
  <c r="Z178" i="1" s="1"/>
  <c r="AA178" i="1" s="1"/>
  <c r="AC153" i="1"/>
  <c r="BS197" i="1"/>
  <c r="BR210" i="1"/>
  <c r="BU171" i="1"/>
  <c r="BR209" i="1"/>
  <c r="BR153" i="1"/>
  <c r="BP200" i="1"/>
  <c r="BU191" i="1"/>
  <c r="BT202" i="1"/>
  <c r="BQ156" i="1"/>
  <c r="BQ155" i="1"/>
  <c r="BQ154" i="1"/>
  <c r="BT184" i="1"/>
  <c r="BV157" i="1"/>
  <c r="BQ209" i="1"/>
  <c r="BV212" i="1"/>
  <c r="BT169" i="1"/>
  <c r="BR195" i="1"/>
  <c r="BQ204" i="1"/>
  <c r="BP189" i="1"/>
  <c r="BS198" i="1"/>
  <c r="BU175" i="1"/>
  <c r="BV217" i="1"/>
  <c r="BQ205" i="1"/>
  <c r="BS182" i="1"/>
  <c r="BV211" i="1"/>
  <c r="BV155" i="1"/>
  <c r="BR191" i="1"/>
  <c r="BS160" i="1"/>
  <c r="BR212" i="1"/>
  <c r="BR155" i="1"/>
  <c r="BS196" i="1"/>
  <c r="BR196" i="1"/>
  <c r="BU169" i="1"/>
  <c r="BU211" i="1"/>
  <c r="BT168" i="1"/>
  <c r="BS181" i="1"/>
  <c r="BR190" i="1"/>
  <c r="BQ203" i="1"/>
  <c r="BP188" i="1"/>
  <c r="BV175" i="1"/>
  <c r="BQ153" i="1"/>
  <c r="BV161" i="1"/>
  <c r="BS195" i="1"/>
  <c r="BV198" i="1"/>
  <c r="BS177" i="1"/>
  <c r="BP160" i="1"/>
  <c r="BS216" i="1"/>
  <c r="BU188" i="1"/>
  <c r="BR154" i="1"/>
  <c r="BT183" i="1"/>
  <c r="BP191" i="1"/>
  <c r="BV197" i="1"/>
  <c r="BU210" i="1"/>
  <c r="BT167" i="1"/>
  <c r="BS176" i="1"/>
  <c r="BR189" i="1"/>
  <c r="BT204" i="1"/>
  <c r="BT189" i="1"/>
  <c r="BT163" i="1"/>
  <c r="BR176" i="1"/>
  <c r="BQ187" i="1"/>
  <c r="BP159" i="1"/>
  <c r="BV177" i="1"/>
  <c r="BV196" i="1"/>
  <c r="BU209" i="1"/>
  <c r="BU153" i="1"/>
  <c r="BT162" i="1"/>
  <c r="BS163" i="1"/>
  <c r="BR173" i="1"/>
  <c r="BU190" i="1"/>
  <c r="BU189" i="1"/>
  <c r="BR156" i="1"/>
  <c r="BV176" i="1"/>
  <c r="BV162" i="1"/>
  <c r="BP190" i="1"/>
  <c r="BT182" i="1"/>
  <c r="BT218" i="1"/>
  <c r="BS162" i="1"/>
  <c r="BR175" i="1"/>
  <c r="BQ186" i="1"/>
  <c r="BP158" i="1"/>
  <c r="BS199" i="1"/>
  <c r="BV156" i="1"/>
  <c r="BV195" i="1"/>
  <c r="BU208" i="1"/>
  <c r="BT205" i="1"/>
  <c r="BS218" i="1"/>
  <c r="BV178" i="1"/>
  <c r="BT203" i="1"/>
  <c r="BS215" i="1"/>
  <c r="BR211" i="1"/>
  <c r="BT185" i="1"/>
  <c r="BU170" i="1"/>
  <c r="BV216" i="1"/>
  <c r="BS217" i="1"/>
  <c r="BS161" i="1"/>
  <c r="BR174" i="1"/>
  <c r="BQ185" i="1"/>
  <c r="BU168" i="1"/>
  <c r="BR169" i="1"/>
  <c r="BS194" i="1"/>
  <c r="BV209" i="1"/>
  <c r="BT200" i="1"/>
  <c r="BP181" i="1"/>
  <c r="BS209" i="1"/>
  <c r="BS173" i="1"/>
  <c r="BR167" i="1"/>
  <c r="BQ220" i="1"/>
  <c r="BQ200" i="1"/>
  <c r="BQ175" i="1"/>
  <c r="BV188" i="1"/>
  <c r="BV172" i="1"/>
  <c r="BV152" i="1"/>
  <c r="BU182" i="1"/>
  <c r="BT215" i="1"/>
  <c r="BT195" i="1"/>
  <c r="BT179" i="1"/>
  <c r="BT159" i="1"/>
  <c r="BS153" i="1"/>
  <c r="BR206" i="1"/>
  <c r="BR186" i="1"/>
  <c r="BQ216" i="1"/>
  <c r="BP180" i="1"/>
  <c r="BS159" i="1"/>
  <c r="BU187" i="1"/>
  <c r="BV194" i="1"/>
  <c r="BQ152" i="1"/>
  <c r="BV173" i="1"/>
  <c r="BS174" i="1"/>
  <c r="BT214" i="1"/>
  <c r="BV187" i="1"/>
  <c r="BV167" i="1"/>
  <c r="BU220" i="1"/>
  <c r="BT194" i="1"/>
  <c r="BT178" i="1"/>
  <c r="BT158" i="1"/>
  <c r="BS188" i="1"/>
  <c r="BS152" i="1"/>
  <c r="BR201" i="1"/>
  <c r="BR185" i="1"/>
  <c r="BR165" i="1"/>
  <c r="BQ172" i="1"/>
  <c r="BP179" i="1"/>
  <c r="BS210" i="1"/>
  <c r="BS172" i="1"/>
  <c r="BV206" i="1"/>
  <c r="BV186" i="1"/>
  <c r="BU164" i="1"/>
  <c r="BT213" i="1"/>
  <c r="BT174" i="1"/>
  <c r="BS207" i="1"/>
  <c r="BS187" i="1"/>
  <c r="BS171" i="1"/>
  <c r="BR220" i="1"/>
  <c r="BQ214" i="1"/>
  <c r="BQ198" i="1"/>
  <c r="BQ170" i="1"/>
  <c r="BP206" i="1"/>
  <c r="BP170" i="1"/>
  <c r="BV174" i="1"/>
  <c r="BT201" i="1"/>
  <c r="BP182" i="1"/>
  <c r="BS155" i="1"/>
  <c r="BV153" i="1"/>
  <c r="BS154" i="1"/>
  <c r="BS193" i="1"/>
  <c r="BV166" i="1"/>
  <c r="BU219" i="1"/>
  <c r="BT193" i="1"/>
  <c r="BT173" i="1"/>
  <c r="BT157" i="1"/>
  <c r="BS206" i="1"/>
  <c r="BR200" i="1"/>
  <c r="BR184" i="1"/>
  <c r="BR164" i="1"/>
  <c r="BQ168" i="1"/>
  <c r="BP204" i="1"/>
  <c r="BP169" i="1"/>
  <c r="BR188" i="1"/>
  <c r="BV189" i="1"/>
  <c r="BU186" i="1"/>
  <c r="BU165" i="1"/>
  <c r="BS208" i="1"/>
  <c r="BR166" i="1"/>
  <c r="BQ215" i="1"/>
  <c r="BP210" i="1"/>
  <c r="BV205" i="1"/>
  <c r="BV185" i="1"/>
  <c r="BU215" i="1"/>
  <c r="BU179" i="1"/>
  <c r="BU159" i="1"/>
  <c r="BT212" i="1"/>
  <c r="BT192" i="1"/>
  <c r="BS186" i="1"/>
  <c r="BS170" i="1"/>
  <c r="BR219" i="1"/>
  <c r="BR180" i="1"/>
  <c r="BQ213" i="1"/>
  <c r="BQ192" i="1"/>
  <c r="BP203" i="1"/>
  <c r="BS175" i="1"/>
  <c r="BT161" i="1"/>
  <c r="BQ176" i="1"/>
  <c r="BT196" i="1"/>
  <c r="BV207" i="1"/>
  <c r="BU181" i="1"/>
  <c r="BS192" i="1"/>
  <c r="BQ199" i="1"/>
  <c r="BV201" i="1"/>
  <c r="BV165" i="1"/>
  <c r="BU214" i="1"/>
  <c r="BU198" i="1"/>
  <c r="BT172" i="1"/>
  <c r="BT156" i="1"/>
  <c r="BS205" i="1"/>
  <c r="BS166" i="1"/>
  <c r="BR199" i="1"/>
  <c r="BR179" i="1"/>
  <c r="BR163" i="1"/>
  <c r="BQ212" i="1"/>
  <c r="BQ167" i="1"/>
  <c r="BP168" i="1"/>
  <c r="BR208" i="1"/>
  <c r="BR152" i="1"/>
  <c r="BT216" i="1"/>
  <c r="BR207" i="1"/>
  <c r="BV208" i="1"/>
  <c r="BR202" i="1"/>
  <c r="BV220" i="1"/>
  <c r="BV200" i="1"/>
  <c r="BV184" i="1"/>
  <c r="BV164" i="1"/>
  <c r="BT211" i="1"/>
  <c r="BT191" i="1"/>
  <c r="BT152" i="1"/>
  <c r="BS185" i="1"/>
  <c r="BS165" i="1"/>
  <c r="BR218" i="1"/>
  <c r="BR198" i="1"/>
  <c r="BQ190" i="1"/>
  <c r="BP202" i="1"/>
  <c r="BT217" i="1"/>
  <c r="BV154" i="1"/>
  <c r="BS214" i="1"/>
  <c r="BQ201" i="1"/>
  <c r="BT180" i="1"/>
  <c r="BP217" i="1"/>
  <c r="BU166" i="1"/>
  <c r="BV168" i="1"/>
  <c r="BV219" i="1"/>
  <c r="BU213" i="1"/>
  <c r="BU197" i="1"/>
  <c r="BT207" i="1"/>
  <c r="BT171" i="1"/>
  <c r="BS220" i="1"/>
  <c r="BS204" i="1"/>
  <c r="BS184" i="1"/>
  <c r="BR178" i="1"/>
  <c r="BR162" i="1"/>
  <c r="BQ211" i="1"/>
  <c r="BP167" i="1"/>
  <c r="BT181" i="1"/>
  <c r="BQ202" i="1"/>
  <c r="BV190" i="1"/>
  <c r="BU167" i="1"/>
  <c r="BR168" i="1"/>
  <c r="BR187" i="1"/>
  <c r="BT160" i="1"/>
  <c r="BV199" i="1"/>
  <c r="BV183" i="1"/>
  <c r="BV163" i="1"/>
  <c r="BU193" i="1"/>
  <c r="BT206" i="1"/>
  <c r="BT190" i="1"/>
  <c r="BT170" i="1"/>
  <c r="BS164" i="1"/>
  <c r="BR217" i="1"/>
  <c r="BR197" i="1"/>
  <c r="BR158" i="1"/>
  <c r="BQ189" i="1"/>
  <c r="BQ157" i="1"/>
  <c r="BP201" i="1"/>
  <c r="BP166" i="1"/>
  <c r="BV210" i="1"/>
  <c r="BV218" i="1"/>
  <c r="BV179" i="1"/>
  <c r="BU212" i="1"/>
  <c r="BU192" i="1"/>
  <c r="BU176" i="1"/>
  <c r="BS219" i="1"/>
  <c r="BS203" i="1"/>
  <c r="BS183" i="1"/>
  <c r="BR213" i="1"/>
  <c r="BR177" i="1"/>
  <c r="BR157" i="1"/>
  <c r="BQ210" i="1"/>
  <c r="BQ188" i="1"/>
  <c r="BQ174" i="1"/>
  <c r="BQ166" i="1"/>
  <c r="BP215" i="1"/>
  <c r="BV215" i="1"/>
  <c r="BV204" i="1"/>
  <c r="BV193" i="1"/>
  <c r="BV182" i="1"/>
  <c r="BV171" i="1"/>
  <c r="BV160" i="1"/>
  <c r="BU218" i="1"/>
  <c r="BU207" i="1"/>
  <c r="BU196" i="1"/>
  <c r="BU185" i="1"/>
  <c r="BU174" i="1"/>
  <c r="BU163" i="1"/>
  <c r="BU152" i="1"/>
  <c r="BT210" i="1"/>
  <c r="BT199" i="1"/>
  <c r="BT188" i="1"/>
  <c r="BT177" i="1"/>
  <c r="BT166" i="1"/>
  <c r="BT155" i="1"/>
  <c r="BS213" i="1"/>
  <c r="BS202" i="1"/>
  <c r="BS191" i="1"/>
  <c r="BS180" i="1"/>
  <c r="BS169" i="1"/>
  <c r="BS158" i="1"/>
  <c r="BR216" i="1"/>
  <c r="BR205" i="1"/>
  <c r="BR194" i="1"/>
  <c r="BR183" i="1"/>
  <c r="BR172" i="1"/>
  <c r="BR161" i="1"/>
  <c r="BQ219" i="1"/>
  <c r="BQ208" i="1"/>
  <c r="BQ197" i="1"/>
  <c r="BQ183" i="1"/>
  <c r="BP199" i="1"/>
  <c r="BP178" i="1"/>
  <c r="BP157" i="1"/>
  <c r="BQ165" i="1"/>
  <c r="BP214" i="1"/>
  <c r="BV214" i="1"/>
  <c r="BV203" i="1"/>
  <c r="BV192" i="1"/>
  <c r="BV181" i="1"/>
  <c r="BV170" i="1"/>
  <c r="BV159" i="1"/>
  <c r="BU217" i="1"/>
  <c r="BU206" i="1"/>
  <c r="BU195" i="1"/>
  <c r="BU184" i="1"/>
  <c r="BU173" i="1"/>
  <c r="BU162" i="1"/>
  <c r="BT220" i="1"/>
  <c r="BT209" i="1"/>
  <c r="BT198" i="1"/>
  <c r="BT187" i="1"/>
  <c r="BT176" i="1"/>
  <c r="BT165" i="1"/>
  <c r="BT154" i="1"/>
  <c r="BS212" i="1"/>
  <c r="BS201" i="1"/>
  <c r="BS190" i="1"/>
  <c r="BS179" i="1"/>
  <c r="BS168" i="1"/>
  <c r="BS157" i="1"/>
  <c r="BR215" i="1"/>
  <c r="BR204" i="1"/>
  <c r="BR193" i="1"/>
  <c r="BR182" i="1"/>
  <c r="BR171" i="1"/>
  <c r="BR160" i="1"/>
  <c r="BQ218" i="1"/>
  <c r="BQ207" i="1"/>
  <c r="BQ196" i="1"/>
  <c r="BQ181" i="1"/>
  <c r="BP193" i="1"/>
  <c r="BP177" i="1"/>
  <c r="BP156" i="1"/>
  <c r="BQ179" i="1"/>
  <c r="BQ164" i="1"/>
  <c r="BP213" i="1"/>
  <c r="BV213" i="1"/>
  <c r="BV202" i="1"/>
  <c r="BV191" i="1"/>
  <c r="BV180" i="1"/>
  <c r="BV169" i="1"/>
  <c r="BV158" i="1"/>
  <c r="BU216" i="1"/>
  <c r="BU205" i="1"/>
  <c r="BU194" i="1"/>
  <c r="BU183" i="1"/>
  <c r="BU172" i="1"/>
  <c r="BU161" i="1"/>
  <c r="BT219" i="1"/>
  <c r="BT208" i="1"/>
  <c r="BT197" i="1"/>
  <c r="BT186" i="1"/>
  <c r="BT175" i="1"/>
  <c r="BT164" i="1"/>
  <c r="BT153" i="1"/>
  <c r="BS211" i="1"/>
  <c r="BS200" i="1"/>
  <c r="BS189" i="1"/>
  <c r="BS178" i="1"/>
  <c r="BS167" i="1"/>
  <c r="BS156" i="1"/>
  <c r="BR214" i="1"/>
  <c r="BR203" i="1"/>
  <c r="BR192" i="1"/>
  <c r="BR181" i="1"/>
  <c r="BR170" i="1"/>
  <c r="BR159" i="1"/>
  <c r="BQ217" i="1"/>
  <c r="BQ206" i="1"/>
  <c r="BQ195" i="1"/>
  <c r="BP192" i="1"/>
  <c r="BP171" i="1"/>
  <c r="BP155" i="1"/>
  <c r="BQ194" i="1"/>
  <c r="BQ178" i="1"/>
  <c r="BQ163" i="1"/>
  <c r="BP212" i="1"/>
  <c r="BQ193" i="1"/>
  <c r="BQ177" i="1"/>
  <c r="BQ159" i="1"/>
  <c r="BP211" i="1"/>
  <c r="BQ184" i="1"/>
  <c r="BQ173" i="1"/>
  <c r="BQ162" i="1"/>
  <c r="BP220" i="1"/>
  <c r="BP209" i="1"/>
  <c r="BP198" i="1"/>
  <c r="BP187" i="1"/>
  <c r="BP176" i="1"/>
  <c r="BP165" i="1"/>
  <c r="BP154" i="1"/>
  <c r="BQ161" i="1"/>
  <c r="BP219" i="1"/>
  <c r="BP208" i="1"/>
  <c r="BP197" i="1"/>
  <c r="BP186" i="1"/>
  <c r="BP175" i="1"/>
  <c r="BP164" i="1"/>
  <c r="BP153" i="1"/>
  <c r="BQ182" i="1"/>
  <c r="BQ171" i="1"/>
  <c r="BQ160" i="1"/>
  <c r="BP218" i="1"/>
  <c r="BP207" i="1"/>
  <c r="BP196" i="1"/>
  <c r="BP185" i="1"/>
  <c r="BP174" i="1"/>
  <c r="BP163" i="1"/>
  <c r="BP152" i="1"/>
  <c r="BP195" i="1"/>
  <c r="BP184" i="1"/>
  <c r="BP173" i="1"/>
  <c r="BP162" i="1"/>
  <c r="BQ191" i="1"/>
  <c r="BQ180" i="1"/>
  <c r="BQ169" i="1"/>
  <c r="BQ158" i="1"/>
  <c r="BP216" i="1"/>
  <c r="BP205" i="1"/>
  <c r="BP194" i="1"/>
  <c r="BP183" i="1"/>
  <c r="BP172" i="1"/>
  <c r="BP161" i="1"/>
  <c r="BE216" i="1"/>
  <c r="AD189" i="1"/>
  <c r="AE189" i="1" s="1"/>
  <c r="BG169" i="1"/>
  <c r="AC200" i="1"/>
  <c r="AV213" i="1"/>
  <c r="AC199" i="1"/>
  <c r="AC177" i="1"/>
  <c r="AC155" i="1"/>
  <c r="BG167" i="1"/>
  <c r="AU180" i="1"/>
  <c r="AV180" i="1"/>
  <c r="AC154" i="1"/>
  <c r="BG166" i="1"/>
  <c r="AC198" i="1"/>
  <c r="BG165" i="1"/>
  <c r="BD206" i="1"/>
  <c r="BF206" i="1"/>
  <c r="BG206" i="1" s="1"/>
  <c r="BD184" i="1"/>
  <c r="BF184" i="1"/>
  <c r="BG184" i="1" s="1"/>
  <c r="BD162" i="1"/>
  <c r="BF162" i="1"/>
  <c r="BG162" i="1" s="1"/>
  <c r="BF178" i="1"/>
  <c r="BG178" i="1" s="1"/>
  <c r="BD178" i="1"/>
  <c r="BD205" i="1"/>
  <c r="BF205" i="1"/>
  <c r="BG205" i="1" s="1"/>
  <c r="BD183" i="1"/>
  <c r="BF183" i="1"/>
  <c r="BG183" i="1" s="1"/>
  <c r="BD161" i="1"/>
  <c r="BF161" i="1"/>
  <c r="BG161" i="1" s="1"/>
  <c r="BF204" i="1"/>
  <c r="BG204" i="1" s="1"/>
  <c r="BD204" i="1"/>
  <c r="BF182" i="1"/>
  <c r="BG182" i="1" s="1"/>
  <c r="BD182" i="1"/>
  <c r="BF203" i="1"/>
  <c r="BG203" i="1" s="1"/>
  <c r="BD203" i="1"/>
  <c r="BF181" i="1"/>
  <c r="BG181" i="1" s="1"/>
  <c r="BD181" i="1"/>
  <c r="AT183" i="1"/>
  <c r="AM183" i="1"/>
  <c r="AM161" i="1"/>
  <c r="AT161" i="1"/>
  <c r="AC220" i="1"/>
  <c r="BH154" i="1"/>
  <c r="BI154" i="1" s="1"/>
  <c r="BE154" i="1"/>
  <c r="BF201" i="1"/>
  <c r="BG201" i="1" s="1"/>
  <c r="BD201" i="1"/>
  <c r="BF179" i="1"/>
  <c r="BG179" i="1" s="1"/>
  <c r="BD179" i="1"/>
  <c r="BF156" i="1"/>
  <c r="BG156" i="1" s="1"/>
  <c r="BD156" i="1"/>
  <c r="BF177" i="1"/>
  <c r="BG177" i="1" s="1"/>
  <c r="BD177" i="1"/>
  <c r="AH217" i="1"/>
  <c r="Z217" i="1" s="1"/>
  <c r="AA217" i="1" s="1"/>
  <c r="BG192" i="1"/>
  <c r="BD175" i="1"/>
  <c r="AT219" i="1"/>
  <c r="AU219" i="1" s="1"/>
  <c r="AM219" i="1"/>
  <c r="AT197" i="1"/>
  <c r="AU197" i="1" s="1"/>
  <c r="AM197" i="1"/>
  <c r="BE153" i="1"/>
  <c r="BH198" i="1"/>
  <c r="BI198" i="1" s="1"/>
  <c r="BD174" i="1"/>
  <c r="AM177" i="1"/>
  <c r="AH192" i="1"/>
  <c r="Z192" i="1" s="1"/>
  <c r="AA192" i="1" s="1"/>
  <c r="AH191" i="1"/>
  <c r="Z191" i="1" s="1"/>
  <c r="AA191" i="1" s="1"/>
  <c r="BF155" i="1"/>
  <c r="BG155" i="1" s="1"/>
  <c r="BD155" i="1"/>
  <c r="AM180" i="1"/>
  <c r="AM175" i="1"/>
  <c r="AH212" i="1"/>
  <c r="Z212" i="1" s="1"/>
  <c r="AA212" i="1" s="1"/>
  <c r="AH190" i="1"/>
  <c r="Z190" i="1" s="1"/>
  <c r="AA190" i="1" s="1"/>
  <c r="AH168" i="1"/>
  <c r="Z168" i="1" s="1"/>
  <c r="AA168" i="1" s="1"/>
  <c r="BE152" i="1"/>
  <c r="AT200" i="1"/>
  <c r="AM200" i="1"/>
  <c r="BF200" i="1"/>
  <c r="BG200" i="1" s="1"/>
  <c r="BD200" i="1"/>
  <c r="AM158" i="1"/>
  <c r="AT158" i="1"/>
  <c r="BF199" i="1"/>
  <c r="BG199" i="1" s="1"/>
  <c r="BD199" i="1"/>
  <c r="AT156" i="1"/>
  <c r="AM156" i="1"/>
  <c r="BD220" i="1"/>
  <c r="BF220" i="1"/>
  <c r="BG220" i="1" s="1"/>
  <c r="BD176" i="1"/>
  <c r="AT178" i="1"/>
  <c r="AM178" i="1"/>
  <c r="BE198" i="1"/>
  <c r="AU181" i="1"/>
  <c r="AM199" i="1"/>
  <c r="BD219" i="1"/>
  <c r="BF219" i="1"/>
  <c r="BG219" i="1" s="1"/>
  <c r="BE197" i="1"/>
  <c r="BD207" i="1"/>
  <c r="BF207" i="1"/>
  <c r="BG207" i="1" s="1"/>
  <c r="BD185" i="1"/>
  <c r="BF185" i="1"/>
  <c r="BG185" i="1" s="1"/>
  <c r="BD163" i="1"/>
  <c r="BF163" i="1"/>
  <c r="BG163" i="1" s="1"/>
  <c r="BH171" i="1"/>
  <c r="BI171" i="1" s="1"/>
  <c r="AM220" i="1"/>
  <c r="AM207" i="1"/>
  <c r="AT207" i="1"/>
  <c r="AU207" i="1" s="1"/>
  <c r="AM185" i="1"/>
  <c r="AT185" i="1"/>
  <c r="AU185" i="1" s="1"/>
  <c r="AM163" i="1"/>
  <c r="AT163" i="1"/>
  <c r="AU163" i="1" s="1"/>
  <c r="AT184" i="1"/>
  <c r="AH219" i="1"/>
  <c r="Z219" i="1" s="1"/>
  <c r="AA219" i="1" s="1"/>
  <c r="AH197" i="1"/>
  <c r="Z197" i="1" s="1"/>
  <c r="AA197" i="1" s="1"/>
  <c r="AH175" i="1"/>
  <c r="Z175" i="1" s="1"/>
  <c r="AA175" i="1" s="1"/>
  <c r="AH153" i="1"/>
  <c r="Z153" i="1" s="1"/>
  <c r="AA153" i="1" s="1"/>
  <c r="V54" i="6"/>
  <c r="V8" i="6"/>
  <c r="V21" i="6"/>
  <c r="V32" i="6"/>
  <c r="V45" i="6"/>
  <c r="V58" i="6"/>
  <c r="V69" i="6"/>
  <c r="Y4" i="6"/>
  <c r="Y15" i="6"/>
  <c r="Y28" i="6"/>
  <c r="Y41" i="6"/>
  <c r="Y65" i="6"/>
  <c r="V46" i="6"/>
  <c r="V70" i="6"/>
  <c r="V2" i="6"/>
  <c r="V13" i="6"/>
  <c r="V26" i="6"/>
  <c r="V39" i="6"/>
  <c r="V52" i="6"/>
  <c r="V63" i="6"/>
  <c r="V74" i="6"/>
  <c r="Y9" i="6"/>
  <c r="Y22" i="6"/>
  <c r="Y33" i="6"/>
  <c r="Y59" i="6"/>
  <c r="V6" i="6"/>
  <c r="V19" i="6"/>
  <c r="V30" i="6"/>
  <c r="V43" i="6"/>
  <c r="V56" i="6"/>
  <c r="V67" i="6"/>
  <c r="V18" i="6"/>
  <c r="Y29" i="6"/>
  <c r="Y42" i="6"/>
  <c r="V10" i="6"/>
  <c r="V23" i="6"/>
  <c r="V34" i="6"/>
  <c r="V47" i="6"/>
  <c r="V60" i="6"/>
  <c r="V71" i="6"/>
  <c r="V66" i="6"/>
  <c r="V3" i="6"/>
  <c r="V14" i="6"/>
  <c r="V27" i="6"/>
  <c r="V40" i="6"/>
  <c r="V53" i="6"/>
  <c r="V64" i="6"/>
  <c r="V75" i="6"/>
  <c r="Y5" i="6"/>
  <c r="Y55" i="6"/>
  <c r="BU160" i="1" a="1"/>
  <c r="BU156" i="1" a="1"/>
  <c r="BU204" i="1" a="1"/>
  <c r="BU203" i="1" a="1"/>
  <c r="BU155" i="1" a="1"/>
  <c r="BU154" i="1" a="1"/>
  <c r="BU158" i="1" a="1"/>
  <c r="BU201" i="1" a="1"/>
  <c r="BU199" i="1" a="1"/>
  <c r="BU200" i="1" a="1"/>
  <c r="BU157" i="1" a="1"/>
  <c r="BU178" i="1" a="1"/>
  <c r="BU177" i="1" a="1"/>
  <c r="BU180" i="1" a="1"/>
  <c r="BU202" i="1" a="1"/>
  <c r="AV208" i="1" l="1"/>
  <c r="BH172" i="1"/>
  <c r="BI172" i="1" s="1"/>
  <c r="AV188" i="1"/>
  <c r="BH202" i="1"/>
  <c r="BI202" i="1" s="1"/>
  <c r="AV171" i="1"/>
  <c r="AV216" i="1"/>
  <c r="BH180" i="1"/>
  <c r="BI180" i="1" s="1"/>
  <c r="AV157" i="1"/>
  <c r="BH216" i="1"/>
  <c r="BI216" i="1" s="1"/>
  <c r="BH159" i="1"/>
  <c r="BI159" i="1" s="1"/>
  <c r="BH167" i="1"/>
  <c r="BI167" i="1" s="1"/>
  <c r="BH189" i="1"/>
  <c r="BI189" i="1" s="1"/>
  <c r="AV194" i="1"/>
  <c r="BG170" i="1"/>
  <c r="AV182" i="1"/>
  <c r="AV215" i="1"/>
  <c r="BH157" i="1"/>
  <c r="BI157" i="1" s="1"/>
  <c r="AV189" i="1"/>
  <c r="AV209" i="1"/>
  <c r="BH214" i="1"/>
  <c r="BI214" i="1" s="1"/>
  <c r="BH212" i="1"/>
  <c r="BI212" i="1" s="1"/>
  <c r="BG210" i="1"/>
  <c r="BE215" i="1"/>
  <c r="AV160" i="1"/>
  <c r="AV167" i="1"/>
  <c r="AV211" i="1"/>
  <c r="BE218" i="1"/>
  <c r="BH208" i="1"/>
  <c r="BI208" i="1" s="1"/>
  <c r="AV202" i="1"/>
  <c r="BH190" i="1"/>
  <c r="BI190" i="1" s="1"/>
  <c r="AV166" i="1"/>
  <c r="AV201" i="1"/>
  <c r="BH186" i="1"/>
  <c r="BI186" i="1" s="1"/>
  <c r="AV159" i="1"/>
  <c r="BH153" i="1"/>
  <c r="BI153" i="1" s="1"/>
  <c r="AV172" i="1"/>
  <c r="AV195" i="1"/>
  <c r="BH194" i="1"/>
  <c r="BI194" i="1" s="1"/>
  <c r="BE160" i="1"/>
  <c r="BH152" i="1"/>
  <c r="BI152" i="1" s="1"/>
  <c r="AV179" i="1"/>
  <c r="AV210" i="1"/>
  <c r="AV154" i="1"/>
  <c r="Z154" i="1"/>
  <c r="AA154" i="1" s="1"/>
  <c r="AV196" i="1"/>
  <c r="Z196" i="1"/>
  <c r="AA196" i="1" s="1"/>
  <c r="BH211" i="1"/>
  <c r="BI211" i="1" s="1"/>
  <c r="AV206" i="1"/>
  <c r="Z206" i="1"/>
  <c r="AA206" i="1" s="1"/>
  <c r="BH187" i="1"/>
  <c r="BI187" i="1" s="1"/>
  <c r="AV220" i="1"/>
  <c r="Z220" i="1"/>
  <c r="AA220" i="1" s="1"/>
  <c r="BH158" i="1"/>
  <c r="BI158" i="1" s="1"/>
  <c r="BH193" i="1"/>
  <c r="BI193" i="1" s="1"/>
  <c r="AV218" i="1"/>
  <c r="AV174" i="1"/>
  <c r="Z174" i="1"/>
  <c r="AA174" i="1" s="1"/>
  <c r="AV199" i="1"/>
  <c r="Z199" i="1"/>
  <c r="AA199" i="1" s="1"/>
  <c r="AV187" i="1"/>
  <c r="Z187" i="1"/>
  <c r="AA187" i="1" s="1"/>
  <c r="AV198" i="1"/>
  <c r="Z198" i="1"/>
  <c r="AA198" i="1" s="1"/>
  <c r="AV176" i="1"/>
  <c r="AV214" i="1"/>
  <c r="AV193" i="1"/>
  <c r="Z193" i="1"/>
  <c r="AA193" i="1" s="1"/>
  <c r="BH188" i="1"/>
  <c r="BI188" i="1" s="1"/>
  <c r="AV162" i="1"/>
  <c r="Z162" i="1"/>
  <c r="AA162" i="1" s="1"/>
  <c r="AV164" i="1"/>
  <c r="AV170" i="1"/>
  <c r="AV173" i="1"/>
  <c r="Z173" i="1"/>
  <c r="AA173" i="1" s="1"/>
  <c r="BH192" i="1"/>
  <c r="BI192" i="1" s="1"/>
  <c r="AV177" i="1"/>
  <c r="AV152" i="1"/>
  <c r="Z152" i="1"/>
  <c r="AA152" i="1" s="1"/>
  <c r="BH196" i="1"/>
  <c r="BI196" i="1" s="1"/>
  <c r="AV186" i="1"/>
  <c r="AV165" i="1"/>
  <c r="AV181" i="1"/>
  <c r="AV155" i="1"/>
  <c r="BU204" i="1"/>
  <c r="BU201" i="1"/>
  <c r="BU158" i="1"/>
  <c r="BU156" i="1"/>
  <c r="BU157" i="1"/>
  <c r="BU160" i="1"/>
  <c r="BU203" i="1"/>
  <c r="BU180" i="1"/>
  <c r="BU202" i="1"/>
  <c r="BH166" i="1"/>
  <c r="BI166" i="1" s="1"/>
  <c r="BG209" i="1"/>
  <c r="AV204" i="1"/>
  <c r="BH195" i="1"/>
  <c r="BI195" i="1" s="1"/>
  <c r="BH173" i="1"/>
  <c r="BI173" i="1" s="1"/>
  <c r="BH197" i="1"/>
  <c r="BI197" i="1" s="1"/>
  <c r="BH165" i="1"/>
  <c r="BI165" i="1" s="1"/>
  <c r="BH213" i="1"/>
  <c r="BI213" i="1" s="1"/>
  <c r="BE164" i="1"/>
  <c r="BH164" i="1"/>
  <c r="BI164" i="1" s="1"/>
  <c r="AV163" i="1"/>
  <c r="BH168" i="1"/>
  <c r="BI168" i="1" s="1"/>
  <c r="AV169" i="1"/>
  <c r="AV203" i="1"/>
  <c r="AV207" i="1"/>
  <c r="BH217" i="1"/>
  <c r="BI217" i="1" s="1"/>
  <c r="BH169" i="1"/>
  <c r="BI169" i="1" s="1"/>
  <c r="BH191" i="1"/>
  <c r="BI191" i="1" s="1"/>
  <c r="BE191" i="1"/>
  <c r="AV205" i="1"/>
  <c r="BU200" i="1"/>
  <c r="BU178" i="1"/>
  <c r="BU154" i="1"/>
  <c r="BU199" i="1"/>
  <c r="BU177" i="1"/>
  <c r="BU155" i="1"/>
  <c r="BH200" i="1"/>
  <c r="BI200" i="1" s="1"/>
  <c r="BE200" i="1"/>
  <c r="BE182" i="1"/>
  <c r="BH182" i="1"/>
  <c r="BI182" i="1" s="1"/>
  <c r="BH219" i="1"/>
  <c r="BI219" i="1" s="1"/>
  <c r="BE219" i="1"/>
  <c r="BH177" i="1"/>
  <c r="BI177" i="1" s="1"/>
  <c r="BE177" i="1"/>
  <c r="BH175" i="1"/>
  <c r="BI175" i="1" s="1"/>
  <c r="BE175" i="1"/>
  <c r="AV192" i="1"/>
  <c r="BH176" i="1"/>
  <c r="BI176" i="1" s="1"/>
  <c r="BE176" i="1"/>
  <c r="AU183" i="1"/>
  <c r="AV183" i="1"/>
  <c r="AV168" i="1"/>
  <c r="BE162" i="1"/>
  <c r="BH162" i="1"/>
  <c r="BI162" i="1" s="1"/>
  <c r="BE205" i="1"/>
  <c r="BH205" i="1"/>
  <c r="BI205" i="1" s="1"/>
  <c r="BH178" i="1"/>
  <c r="BI178" i="1" s="1"/>
  <c r="BE178" i="1"/>
  <c r="AV190" i="1"/>
  <c r="BH156" i="1"/>
  <c r="BI156" i="1" s="1"/>
  <c r="BE156" i="1"/>
  <c r="AV219" i="1"/>
  <c r="BE163" i="1"/>
  <c r="BH163" i="1"/>
  <c r="BI163" i="1" s="1"/>
  <c r="BE185" i="1"/>
  <c r="BH185" i="1"/>
  <c r="BI185" i="1" s="1"/>
  <c r="AV212" i="1"/>
  <c r="BE184" i="1"/>
  <c r="BH184" i="1"/>
  <c r="BI184" i="1" s="1"/>
  <c r="AU184" i="1"/>
  <c r="AV184" i="1"/>
  <c r="AU156" i="1"/>
  <c r="AV156" i="1"/>
  <c r="BH179" i="1"/>
  <c r="BI179" i="1" s="1"/>
  <c r="BE179" i="1"/>
  <c r="BE181" i="1"/>
  <c r="BH181" i="1"/>
  <c r="BI181" i="1" s="1"/>
  <c r="AV158" i="1"/>
  <c r="AU158" i="1"/>
  <c r="AV217" i="1"/>
  <c r="BE204" i="1"/>
  <c r="BH204" i="1"/>
  <c r="BI204" i="1" s="1"/>
  <c r="BE206" i="1"/>
  <c r="BH206" i="1"/>
  <c r="BI206" i="1" s="1"/>
  <c r="AV191" i="1"/>
  <c r="BE161" i="1"/>
  <c r="BH161" i="1"/>
  <c r="BI161" i="1" s="1"/>
  <c r="AU178" i="1"/>
  <c r="AV178" i="1"/>
  <c r="AV161" i="1"/>
  <c r="AU161" i="1"/>
  <c r="AV185" i="1"/>
  <c r="BH220" i="1"/>
  <c r="BI220" i="1" s="1"/>
  <c r="BE220" i="1"/>
  <c r="AV153" i="1"/>
  <c r="BE203" i="1"/>
  <c r="BH203" i="1"/>
  <c r="BI203" i="1" s="1"/>
  <c r="AV175" i="1"/>
  <c r="BE207" i="1"/>
  <c r="BH207" i="1"/>
  <c r="BI207" i="1" s="1"/>
  <c r="AV200" i="1"/>
  <c r="AU200" i="1"/>
  <c r="BH174" i="1"/>
  <c r="BI174" i="1" s="1"/>
  <c r="BE174" i="1"/>
  <c r="BH199" i="1"/>
  <c r="BI199" i="1" s="1"/>
  <c r="BE199" i="1"/>
  <c r="BH201" i="1"/>
  <c r="BI201" i="1" s="1"/>
  <c r="BE201" i="1"/>
  <c r="AV197" i="1"/>
  <c r="BH155" i="1"/>
  <c r="BI155" i="1" s="1"/>
  <c r="BE155" i="1"/>
  <c r="BE183" i="1"/>
  <c r="BH183" i="1"/>
  <c r="BI183" i="1" s="1"/>
  <c r="AE6" i="4" a="1"/>
  <c r="AE6" i="4" s="1"/>
  <c r="AD6" i="4" a="1"/>
  <c r="AD6" i="4" s="1"/>
  <c r="Y77" i="4"/>
  <c r="Y76" i="4"/>
  <c r="Y75" i="4"/>
  <c r="Y74" i="4"/>
  <c r="Y73" i="4"/>
  <c r="Y24" i="4"/>
  <c r="Y72" i="4"/>
  <c r="Y23" i="4"/>
  <c r="Y19" i="4"/>
  <c r="Y71" i="4"/>
  <c r="Y21" i="4"/>
  <c r="Y22" i="4"/>
  <c r="Y70" i="4"/>
  <c r="Y20" i="4"/>
  <c r="Y18" i="4"/>
  <c r="Y17" i="4"/>
  <c r="Y69" i="4"/>
  <c r="Y68" i="4"/>
  <c r="Y67" i="4"/>
  <c r="Y66" i="4"/>
  <c r="Y65" i="4"/>
  <c r="Y64" i="4"/>
  <c r="Y63" i="4"/>
  <c r="Y62" i="4"/>
  <c r="Y61" i="4"/>
  <c r="Y60" i="4"/>
  <c r="Y59" i="4"/>
  <c r="Y58" i="4"/>
  <c r="Y16" i="4"/>
  <c r="Y57" i="4"/>
  <c r="Y56" i="4"/>
  <c r="Y55" i="4"/>
  <c r="Y54" i="4"/>
  <c r="Y53" i="4"/>
  <c r="Y52" i="4"/>
  <c r="Y51" i="4"/>
  <c r="Y50" i="4"/>
  <c r="Y49" i="4"/>
  <c r="Y14" i="4"/>
  <c r="Y15" i="4"/>
  <c r="Y48" i="4"/>
  <c r="Y47" i="4"/>
  <c r="Y46" i="4"/>
  <c r="Y45" i="4"/>
  <c r="Y13" i="4"/>
  <c r="Y44" i="4"/>
  <c r="Y43" i="4"/>
  <c r="Y42" i="4"/>
  <c r="Y41" i="4"/>
  <c r="Y40" i="4"/>
  <c r="Y39" i="4"/>
  <c r="Y38" i="4"/>
  <c r="Y37" i="4"/>
  <c r="Y12" i="4"/>
  <c r="Y36" i="4"/>
  <c r="Y11" i="4"/>
  <c r="Y10" i="4"/>
  <c r="Y35" i="4"/>
  <c r="Y34" i="4"/>
  <c r="Y33" i="4"/>
  <c r="Y9" i="4"/>
  <c r="Y32" i="4"/>
  <c r="Y8" i="4"/>
  <c r="Y31" i="4"/>
  <c r="Y30" i="4"/>
  <c r="Y29" i="4"/>
  <c r="Y28" i="4"/>
  <c r="Y5" i="4"/>
  <c r="Y7" i="4"/>
  <c r="Y4" i="4"/>
  <c r="Y6" i="4"/>
  <c r="Y3" i="4"/>
  <c r="Y27" i="4"/>
  <c r="Y26" i="4"/>
  <c r="Y25" i="4"/>
  <c r="X77" i="4"/>
  <c r="X76" i="4"/>
  <c r="X75" i="4"/>
  <c r="X74" i="4"/>
  <c r="X73" i="4"/>
  <c r="X12" i="4"/>
  <c r="X24" i="4"/>
  <c r="X36" i="4"/>
  <c r="X34" i="4"/>
  <c r="X72" i="4"/>
  <c r="X10" i="4"/>
  <c r="X11" i="4"/>
  <c r="X23" i="4"/>
  <c r="X35" i="4"/>
  <c r="X33" i="4"/>
  <c r="X9" i="4"/>
  <c r="X19" i="4"/>
  <c r="X71" i="4"/>
  <c r="X21" i="4"/>
  <c r="X22" i="4"/>
  <c r="X70" i="4"/>
  <c r="X20" i="4"/>
  <c r="X18" i="4"/>
  <c r="X17" i="4"/>
  <c r="X69" i="4"/>
  <c r="X68" i="4"/>
  <c r="X67" i="4"/>
  <c r="X66" i="4"/>
  <c r="X32" i="4"/>
  <c r="X65" i="4"/>
  <c r="X64" i="4"/>
  <c r="X63" i="4"/>
  <c r="X62" i="4"/>
  <c r="X61" i="4"/>
  <c r="X60" i="4"/>
  <c r="X59" i="4"/>
  <c r="X58" i="4"/>
  <c r="X16" i="4"/>
  <c r="X31" i="4"/>
  <c r="X8" i="4"/>
  <c r="X57" i="4"/>
  <c r="X56" i="4"/>
  <c r="X55" i="4"/>
  <c r="X54" i="4"/>
  <c r="X30" i="4"/>
  <c r="X53" i="4"/>
  <c r="X52" i="4"/>
  <c r="X51" i="4"/>
  <c r="X50" i="4"/>
  <c r="X49" i="4"/>
  <c r="X14" i="4"/>
  <c r="X15" i="4"/>
  <c r="X48" i="4"/>
  <c r="X29" i="4"/>
  <c r="X47" i="4"/>
  <c r="X28" i="4"/>
  <c r="X5" i="4"/>
  <c r="X46" i="4"/>
  <c r="X45" i="4"/>
  <c r="X13" i="4"/>
  <c r="X7" i="4"/>
  <c r="X44" i="4"/>
  <c r="X4" i="4"/>
  <c r="X43" i="4"/>
  <c r="X42" i="4"/>
  <c r="X41" i="4"/>
  <c r="X40" i="4"/>
  <c r="X27" i="4"/>
  <c r="X6" i="4"/>
  <c r="X26" i="4"/>
  <c r="X3" i="4"/>
  <c r="X25" i="4"/>
  <c r="X39" i="4"/>
  <c r="X38" i="4"/>
  <c r="X37" i="4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I1" i="4"/>
  <c r="H1" i="4"/>
  <c r="G1" i="4"/>
  <c r="F1" i="4"/>
  <c r="E1" i="4"/>
  <c r="D1" i="4"/>
  <c r="C1" i="4"/>
  <c r="B1" i="4"/>
  <c r="A1" i="4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A25" i="3"/>
  <c r="V151" i="1" l="1"/>
  <c r="AB151" i="1" s="1"/>
  <c r="V150" i="1"/>
  <c r="AB150" i="1" s="1"/>
  <c r="V149" i="1"/>
  <c r="AB149" i="1" s="1"/>
  <c r="V148" i="1"/>
  <c r="AB148" i="1" s="1"/>
  <c r="V147" i="1"/>
  <c r="AB147" i="1" s="1"/>
  <c r="V146" i="1"/>
  <c r="AB146" i="1" s="1"/>
  <c r="V145" i="1"/>
  <c r="AB145" i="1" s="1"/>
  <c r="V144" i="1"/>
  <c r="AB144" i="1" s="1"/>
  <c r="V143" i="1"/>
  <c r="AB143" i="1" s="1"/>
  <c r="V142" i="1"/>
  <c r="AB142" i="1" s="1"/>
  <c r="V141" i="1"/>
  <c r="AB141" i="1" s="1"/>
  <c r="V140" i="1"/>
  <c r="AB140" i="1" s="1"/>
  <c r="V139" i="1"/>
  <c r="AB139" i="1" s="1"/>
  <c r="V138" i="1"/>
  <c r="AB138" i="1" s="1"/>
  <c r="V137" i="1"/>
  <c r="AB137" i="1" s="1"/>
  <c r="V136" i="1"/>
  <c r="AB136" i="1" s="1"/>
  <c r="V135" i="1"/>
  <c r="AB135" i="1" s="1"/>
  <c r="V134" i="1"/>
  <c r="AB134" i="1" s="1"/>
  <c r="V133" i="1"/>
  <c r="AB133" i="1" s="1"/>
  <c r="V132" i="1"/>
  <c r="AB132" i="1" s="1"/>
  <c r="V131" i="1"/>
  <c r="AB131" i="1" s="1"/>
  <c r="V130" i="1"/>
  <c r="AB130" i="1" s="1"/>
  <c r="V129" i="1"/>
  <c r="AB129" i="1" s="1"/>
  <c r="V128" i="1"/>
  <c r="AB128" i="1" s="1"/>
  <c r="V127" i="1"/>
  <c r="AB127" i="1" s="1"/>
  <c r="V126" i="1"/>
  <c r="AB126" i="1" s="1"/>
  <c r="V125" i="1"/>
  <c r="AB125" i="1" s="1"/>
  <c r="V124" i="1"/>
  <c r="AB124" i="1" s="1"/>
  <c r="V123" i="1"/>
  <c r="AB123" i="1" s="1"/>
  <c r="V122" i="1"/>
  <c r="AB122" i="1" s="1"/>
  <c r="V121" i="1"/>
  <c r="AB121" i="1" s="1"/>
  <c r="V120" i="1"/>
  <c r="AB120" i="1" s="1"/>
  <c r="V119" i="1"/>
  <c r="AB119" i="1" s="1"/>
  <c r="V118" i="1"/>
  <c r="AB118" i="1" s="1"/>
  <c r="V117" i="1"/>
  <c r="AB117" i="1" s="1"/>
  <c r="V116" i="1"/>
  <c r="AB116" i="1" s="1"/>
  <c r="V115" i="1"/>
  <c r="AB115" i="1" s="1"/>
  <c r="V114" i="1"/>
  <c r="AB114" i="1" s="1"/>
  <c r="V113" i="1"/>
  <c r="AB113" i="1" s="1"/>
  <c r="V112" i="1"/>
  <c r="AB112" i="1" s="1"/>
  <c r="V111" i="1"/>
  <c r="AB111" i="1" s="1"/>
  <c r="V110" i="1"/>
  <c r="AB110" i="1" s="1"/>
  <c r="V109" i="1"/>
  <c r="AB109" i="1" s="1"/>
  <c r="V108" i="1"/>
  <c r="AB108" i="1" s="1"/>
  <c r="V107" i="1"/>
  <c r="AB107" i="1" s="1"/>
  <c r="V106" i="1"/>
  <c r="AB106" i="1" s="1"/>
  <c r="V105" i="1"/>
  <c r="AB105" i="1" s="1"/>
  <c r="V104" i="1"/>
  <c r="AB104" i="1" s="1"/>
  <c r="V103" i="1"/>
  <c r="AB103" i="1" s="1"/>
  <c r="V102" i="1"/>
  <c r="AB102" i="1" s="1"/>
  <c r="V101" i="1"/>
  <c r="AB101" i="1" s="1"/>
  <c r="V100" i="1"/>
  <c r="AB100" i="1" s="1"/>
  <c r="V99" i="1"/>
  <c r="AB99" i="1" s="1"/>
  <c r="V98" i="1"/>
  <c r="AB98" i="1" s="1"/>
  <c r="V97" i="1"/>
  <c r="AB97" i="1" s="1"/>
  <c r="V96" i="1"/>
  <c r="AB96" i="1" s="1"/>
  <c r="V95" i="1"/>
  <c r="AB95" i="1" s="1"/>
  <c r="V94" i="1"/>
  <c r="AB94" i="1" s="1"/>
  <c r="V93" i="1"/>
  <c r="AB93" i="1" s="1"/>
  <c r="V92" i="1"/>
  <c r="AB92" i="1" s="1"/>
  <c r="V91" i="1"/>
  <c r="AB91" i="1" s="1"/>
  <c r="V90" i="1"/>
  <c r="AB90" i="1" s="1"/>
  <c r="V89" i="1"/>
  <c r="AB89" i="1" s="1"/>
  <c r="V88" i="1"/>
  <c r="AB88" i="1" s="1"/>
  <c r="V87" i="1"/>
  <c r="AB87" i="1" s="1"/>
  <c r="V86" i="1"/>
  <c r="AB86" i="1" s="1"/>
  <c r="V85" i="1"/>
  <c r="AB85" i="1" s="1"/>
  <c r="V84" i="1"/>
  <c r="AB84" i="1" s="1"/>
  <c r="V83" i="1"/>
  <c r="AB83" i="1" s="1"/>
  <c r="V82" i="1"/>
  <c r="AB82" i="1" s="1"/>
  <c r="V81" i="1"/>
  <c r="AB81" i="1" s="1"/>
  <c r="V80" i="1"/>
  <c r="AB80" i="1" s="1"/>
  <c r="V79" i="1"/>
  <c r="AB79" i="1" s="1"/>
  <c r="V78" i="1"/>
  <c r="AB78" i="1" s="1"/>
  <c r="V77" i="1"/>
  <c r="AB77" i="1" s="1"/>
  <c r="V76" i="1"/>
  <c r="AB76" i="1" s="1"/>
  <c r="V75" i="1"/>
  <c r="AB75" i="1" s="1"/>
  <c r="V74" i="1"/>
  <c r="AB74" i="1" s="1"/>
  <c r="V73" i="1"/>
  <c r="AB73" i="1" s="1"/>
  <c r="V72" i="1"/>
  <c r="AB72" i="1" s="1"/>
  <c r="V71" i="1"/>
  <c r="AB71" i="1" s="1"/>
  <c r="V70" i="1"/>
  <c r="AB70" i="1" s="1"/>
  <c r="V69" i="1"/>
  <c r="AB69" i="1" s="1"/>
  <c r="V68" i="1"/>
  <c r="AB68" i="1" s="1"/>
  <c r="V67" i="1"/>
  <c r="AB67" i="1" s="1"/>
  <c r="V66" i="1"/>
  <c r="AB66" i="1" s="1"/>
  <c r="V65" i="1"/>
  <c r="AB65" i="1" s="1"/>
  <c r="V64" i="1"/>
  <c r="AB64" i="1" s="1"/>
  <c r="V63" i="1"/>
  <c r="AB63" i="1" s="1"/>
  <c r="V62" i="1"/>
  <c r="AB62" i="1" s="1"/>
  <c r="V61" i="1"/>
  <c r="AB61" i="1" s="1"/>
  <c r="V60" i="1"/>
  <c r="AB60" i="1" s="1"/>
  <c r="V59" i="1"/>
  <c r="AB59" i="1" s="1"/>
  <c r="V58" i="1"/>
  <c r="AB58" i="1" s="1"/>
  <c r="V57" i="1"/>
  <c r="AB57" i="1" s="1"/>
  <c r="V56" i="1"/>
  <c r="AB56" i="1" s="1"/>
  <c r="V55" i="1"/>
  <c r="AB55" i="1" s="1"/>
  <c r="V54" i="1"/>
  <c r="AB54" i="1" s="1"/>
  <c r="V53" i="1"/>
  <c r="AB53" i="1" s="1"/>
  <c r="V52" i="1"/>
  <c r="AB52" i="1" s="1"/>
  <c r="V51" i="1"/>
  <c r="AB51" i="1" s="1"/>
  <c r="V50" i="1"/>
  <c r="AB50" i="1" s="1"/>
  <c r="V49" i="1"/>
  <c r="AB49" i="1" s="1"/>
  <c r="V48" i="1"/>
  <c r="AB48" i="1" s="1"/>
  <c r="V47" i="1"/>
  <c r="AB47" i="1" s="1"/>
  <c r="V46" i="1"/>
  <c r="AB46" i="1" s="1"/>
  <c r="V45" i="1"/>
  <c r="AB45" i="1" s="1"/>
  <c r="V44" i="1"/>
  <c r="AB44" i="1" s="1"/>
  <c r="V43" i="1"/>
  <c r="AB43" i="1" s="1"/>
  <c r="V42" i="1"/>
  <c r="AB42" i="1" s="1"/>
  <c r="V41" i="1"/>
  <c r="AB41" i="1" s="1"/>
  <c r="V40" i="1"/>
  <c r="AB40" i="1" s="1"/>
  <c r="V39" i="1"/>
  <c r="AB39" i="1" s="1"/>
  <c r="V38" i="1"/>
  <c r="AB38" i="1" s="1"/>
  <c r="V37" i="1"/>
  <c r="AB37" i="1" s="1"/>
  <c r="V36" i="1"/>
  <c r="AB36" i="1" s="1"/>
  <c r="V35" i="1"/>
  <c r="AB35" i="1" s="1"/>
  <c r="V34" i="1"/>
  <c r="AB34" i="1" s="1"/>
  <c r="V33" i="1"/>
  <c r="AB33" i="1" s="1"/>
  <c r="V32" i="1"/>
  <c r="AB32" i="1" s="1"/>
  <c r="V31" i="1"/>
  <c r="AB31" i="1" s="1"/>
  <c r="V30" i="1"/>
  <c r="AB30" i="1" s="1"/>
  <c r="V29" i="1"/>
  <c r="AB29" i="1" s="1"/>
  <c r="V28" i="1"/>
  <c r="AB28" i="1" s="1"/>
  <c r="V27" i="1"/>
  <c r="AB27" i="1" s="1"/>
  <c r="V26" i="1"/>
  <c r="AB26" i="1" s="1"/>
  <c r="V25" i="1"/>
  <c r="AB25" i="1" s="1"/>
  <c r="V24" i="1"/>
  <c r="AB24" i="1" s="1"/>
  <c r="V23" i="1"/>
  <c r="AB23" i="1" s="1"/>
  <c r="V22" i="1"/>
  <c r="AB22" i="1" s="1"/>
  <c r="V21" i="1"/>
  <c r="AB21" i="1" s="1"/>
  <c r="V20" i="1"/>
  <c r="AB20" i="1" s="1"/>
  <c r="V19" i="1"/>
  <c r="AB19" i="1" s="1"/>
  <c r="V18" i="1"/>
  <c r="AB18" i="1" s="1"/>
  <c r="V17" i="1"/>
  <c r="AB17" i="1" s="1"/>
  <c r="V16" i="1"/>
  <c r="AB16" i="1" s="1"/>
  <c r="V15" i="1"/>
  <c r="AB15" i="1" s="1"/>
  <c r="V14" i="1"/>
  <c r="AB14" i="1" s="1"/>
  <c r="V13" i="1"/>
  <c r="AB13" i="1" s="1"/>
  <c r="V12" i="1"/>
  <c r="AB12" i="1" s="1"/>
  <c r="V11" i="1"/>
  <c r="AB11" i="1" s="1"/>
  <c r="V10" i="1"/>
  <c r="AB10" i="1" s="1"/>
  <c r="V9" i="1"/>
  <c r="AB9" i="1" s="1"/>
  <c r="V8" i="1"/>
  <c r="AB8" i="1" s="1"/>
  <c r="V7" i="1"/>
  <c r="AB7" i="1" s="1"/>
  <c r="U7" i="1"/>
  <c r="AF7" i="1"/>
  <c r="AG7" i="1"/>
  <c r="AJ7" i="1"/>
  <c r="AK7" i="1" s="1"/>
  <c r="AM7" i="1"/>
  <c r="AQ7" i="1"/>
  <c r="AR7" i="1" s="1"/>
  <c r="AS7" i="1"/>
  <c r="AT7" i="1"/>
  <c r="AU7" i="1" s="1"/>
  <c r="AW7" i="1"/>
  <c r="AX7" i="1" s="1"/>
  <c r="AY7" i="1"/>
  <c r="AZ7" i="1" s="1"/>
  <c r="BC7" i="1"/>
  <c r="BD7" i="1" s="1"/>
  <c r="BE7" i="1" s="1"/>
  <c r="BO7" i="1"/>
  <c r="BP7" i="1" a="1"/>
  <c r="BF7" i="1" l="1"/>
  <c r="BG7" i="1" s="1"/>
  <c r="AC7" i="1"/>
  <c r="AH7" i="1"/>
  <c r="Z7" i="1" s="1"/>
  <c r="AA7" i="1" s="1"/>
  <c r="AD7" i="1"/>
  <c r="AE7" i="1" s="1"/>
  <c r="BP7" i="1"/>
  <c r="BQ7" i="1" a="1"/>
  <c r="BH7" i="1" l="1"/>
  <c r="BI7" i="1" s="1"/>
  <c r="AV7" i="1"/>
  <c r="BQ7" i="1"/>
  <c r="CA7" i="1"/>
  <c r="CB7" i="1"/>
  <c r="CC7" i="1" s="1"/>
  <c r="CD7" i="1"/>
  <c r="CE7" i="1"/>
  <c r="CH7" i="1"/>
  <c r="CI7" i="1"/>
  <c r="CJ7" i="1"/>
  <c r="CK7" i="1" s="1"/>
  <c r="CO7" i="1" s="1"/>
  <c r="CL7" i="1"/>
  <c r="CM7" i="1"/>
  <c r="CN7" i="1"/>
  <c r="CQ7" i="1"/>
  <c r="CU7" i="1" s="1"/>
  <c r="CW7" i="1" s="1"/>
  <c r="CX7" i="1" s="1"/>
  <c r="CY7" i="1"/>
  <c r="U8" i="1"/>
  <c r="AC8" i="1"/>
  <c r="AD8" i="1"/>
  <c r="AE8" i="1" s="1"/>
  <c r="AF8" i="1"/>
  <c r="AG8" i="1"/>
  <c r="AJ8" i="1"/>
  <c r="AK8" i="1" s="1"/>
  <c r="AT8" i="1"/>
  <c r="AU8" i="1" s="1"/>
  <c r="AM8" i="1"/>
  <c r="AQ8" i="1"/>
  <c r="AR8" i="1" s="1"/>
  <c r="AS8" i="1"/>
  <c r="AW8" i="1"/>
  <c r="AX8" i="1" s="1"/>
  <c r="AY8" i="1"/>
  <c r="AZ8" i="1" s="1"/>
  <c r="BC8" i="1"/>
  <c r="BD8" i="1" s="1"/>
  <c r="BE8" i="1" s="1"/>
  <c r="BO8" i="1"/>
  <c r="BS7" i="1" a="1"/>
  <c r="BT7" i="1" a="1"/>
  <c r="BU7" i="1" a="1"/>
  <c r="BV7" i="1" a="1"/>
  <c r="BP8" i="1" a="1"/>
  <c r="BR7" i="1" a="1"/>
  <c r="BV7" i="1" l="1"/>
  <c r="BU7" i="1"/>
  <c r="BT7" i="1"/>
  <c r="BR7" i="1"/>
  <c r="BS7" i="1"/>
  <c r="BF8" i="1"/>
  <c r="BG8" i="1" s="1"/>
  <c r="CS7" i="1"/>
  <c r="CF7" i="1"/>
  <c r="CR7" i="1" s="1"/>
  <c r="CT7" i="1"/>
  <c r="AH8" i="1"/>
  <c r="Z8" i="1" s="1"/>
  <c r="AA8" i="1" s="1"/>
  <c r="BH8" i="1"/>
  <c r="BI8" i="1" s="1"/>
  <c r="CV7" i="1"/>
  <c r="AV8" i="1"/>
  <c r="BP8" i="1"/>
  <c r="CA8" i="1"/>
  <c r="CB8" i="1"/>
  <c r="CC8" i="1" s="1"/>
  <c r="CD8" i="1"/>
  <c r="CE8" i="1"/>
  <c r="CH8" i="1"/>
  <c r="CI8" i="1"/>
  <c r="CJ8" i="1"/>
  <c r="CK8" i="1" s="1"/>
  <c r="CL8" i="1"/>
  <c r="CM8" i="1"/>
  <c r="CN8" i="1"/>
  <c r="CQ8" i="1"/>
  <c r="CU8" i="1" s="1"/>
  <c r="CY8" i="1"/>
  <c r="U9" i="1"/>
  <c r="AC9" i="1"/>
  <c r="AD9" i="1"/>
  <c r="AE9" i="1" s="1"/>
  <c r="AF9" i="1"/>
  <c r="AG9" i="1"/>
  <c r="AJ9" i="1"/>
  <c r="AK9" i="1" s="1"/>
  <c r="AT9" i="1"/>
  <c r="AU9" i="1" s="1"/>
  <c r="AM9" i="1"/>
  <c r="AQ9" i="1"/>
  <c r="AR9" i="1" s="1"/>
  <c r="AS9" i="1"/>
  <c r="AW9" i="1"/>
  <c r="AX9" i="1" s="1"/>
  <c r="AY9" i="1"/>
  <c r="AZ9" i="1" s="1"/>
  <c r="BC9" i="1"/>
  <c r="BD9" i="1" s="1"/>
  <c r="BE9" i="1" s="1"/>
  <c r="BO9" i="1"/>
  <c r="BV8" i="1" a="1"/>
  <c r="BQ8" i="1" a="1"/>
  <c r="BP9" i="1" a="1"/>
  <c r="BS8" i="1" a="1"/>
  <c r="BT8" i="1" a="1"/>
  <c r="BU8" i="1" a="1"/>
  <c r="BR8" i="1" a="1"/>
  <c r="CW8" i="1" l="1"/>
  <c r="CX8" i="1" s="1"/>
  <c r="BT8" i="1"/>
  <c r="BS8" i="1"/>
  <c r="BR8" i="1"/>
  <c r="BQ8" i="1"/>
  <c r="BV8" i="1"/>
  <c r="BU8" i="1"/>
  <c r="BF9" i="1"/>
  <c r="BG9" i="1" s="1"/>
  <c r="AH9" i="1"/>
  <c r="Z9" i="1" s="1"/>
  <c r="AA9" i="1" s="1"/>
  <c r="CT8" i="1"/>
  <c r="CF8" i="1"/>
  <c r="CR8" i="1" s="1"/>
  <c r="CS8" i="1"/>
  <c r="CV8" i="1"/>
  <c r="CO8" i="1"/>
  <c r="BH9" i="1"/>
  <c r="BI9" i="1" s="1"/>
  <c r="BP9" i="1"/>
  <c r="BQ9" i="1" a="1"/>
  <c r="AV9" i="1" l="1"/>
  <c r="BQ9" i="1"/>
  <c r="CA9" i="1"/>
  <c r="CB9" i="1"/>
  <c r="CC9" i="1" s="1"/>
  <c r="CD9" i="1"/>
  <c r="CE9" i="1"/>
  <c r="CH9" i="1"/>
  <c r="CI9" i="1"/>
  <c r="CJ9" i="1"/>
  <c r="CL9" i="1"/>
  <c r="CM9" i="1"/>
  <c r="CN9" i="1"/>
  <c r="CQ9" i="1"/>
  <c r="CY9" i="1"/>
  <c r="U10" i="1"/>
  <c r="AC10" i="1"/>
  <c r="AD10" i="1"/>
  <c r="AE10" i="1" s="1"/>
  <c r="AF10" i="1"/>
  <c r="AG10" i="1"/>
  <c r="AJ10" i="1"/>
  <c r="AK10" i="1" s="1"/>
  <c r="AT10" i="1"/>
  <c r="AU10" i="1" s="1"/>
  <c r="AM10" i="1"/>
  <c r="AQ10" i="1"/>
  <c r="AR10" i="1" s="1"/>
  <c r="AS10" i="1"/>
  <c r="AW10" i="1"/>
  <c r="AX10" i="1" s="1"/>
  <c r="AY10" i="1"/>
  <c r="AZ10" i="1" s="1"/>
  <c r="BC10" i="1"/>
  <c r="BD10" i="1" s="1"/>
  <c r="BE10" i="1" s="1"/>
  <c r="BF10" i="1"/>
  <c r="BG10" i="1" s="1"/>
  <c r="BO10" i="1"/>
  <c r="BR9" i="1" a="1"/>
  <c r="BP10" i="1" a="1"/>
  <c r="BU9" i="1" a="1"/>
  <c r="BV9" i="1" a="1"/>
  <c r="BT9" i="1" a="1"/>
  <c r="BS9" i="1" a="1"/>
  <c r="AH10" i="1" l="1"/>
  <c r="Z10" i="1" s="1"/>
  <c r="AA10" i="1" s="1"/>
  <c r="CF9" i="1"/>
  <c r="CR9" i="1" s="1"/>
  <c r="BV9" i="1"/>
  <c r="BU9" i="1"/>
  <c r="BT9" i="1"/>
  <c r="BS9" i="1"/>
  <c r="BR9" i="1"/>
  <c r="CK9" i="1"/>
  <c r="CO9" i="1" s="1"/>
  <c r="CT9" i="1"/>
  <c r="CU9" i="1"/>
  <c r="CS9" i="1"/>
  <c r="BH10" i="1"/>
  <c r="BI10" i="1" s="1"/>
  <c r="BP10" i="1"/>
  <c r="BQ10" i="1" a="1"/>
  <c r="AV10" i="1" l="1"/>
  <c r="CW9" i="1"/>
  <c r="CX9" i="1" s="1"/>
  <c r="CV9" i="1"/>
  <c r="BQ10" i="1"/>
  <c r="CA10" i="1"/>
  <c r="CB10" i="1"/>
  <c r="CC10" i="1" s="1"/>
  <c r="CD10" i="1"/>
  <c r="CE10" i="1"/>
  <c r="CF10" i="1"/>
  <c r="CH10" i="1"/>
  <c r="CI10" i="1"/>
  <c r="CJ10" i="1"/>
  <c r="CL10" i="1"/>
  <c r="CM10" i="1"/>
  <c r="CN10" i="1"/>
  <c r="CQ10" i="1"/>
  <c r="CY10" i="1"/>
  <c r="U11" i="1"/>
  <c r="AC11" i="1"/>
  <c r="AD11" i="1"/>
  <c r="AE11" i="1" s="1"/>
  <c r="AF11" i="1"/>
  <c r="AG11" i="1"/>
  <c r="AH11" i="1" s="1"/>
  <c r="Z11" i="1" s="1"/>
  <c r="AA11" i="1" s="1"/>
  <c r="AJ11" i="1"/>
  <c r="AK11" i="1" s="1"/>
  <c r="AT11" i="1"/>
  <c r="AU11" i="1" s="1"/>
  <c r="AM11" i="1"/>
  <c r="AQ11" i="1"/>
  <c r="AR11" i="1" s="1"/>
  <c r="AS11" i="1"/>
  <c r="AW11" i="1"/>
  <c r="AX11" i="1" s="1"/>
  <c r="AY11" i="1"/>
  <c r="AZ11" i="1" s="1"/>
  <c r="BC11" i="1"/>
  <c r="BD11" i="1" s="1"/>
  <c r="BE11" i="1" s="1"/>
  <c r="BO11" i="1"/>
  <c r="BV10" i="1" a="1"/>
  <c r="BP11" i="1" a="1"/>
  <c r="BR10" i="1" a="1"/>
  <c r="BS10" i="1" a="1"/>
  <c r="BU10" i="1" a="1"/>
  <c r="BT10" i="1" a="1"/>
  <c r="CK10" i="1" l="1"/>
  <c r="CO10" i="1" s="1"/>
  <c r="CR10" i="1"/>
  <c r="BU10" i="1"/>
  <c r="BT10" i="1"/>
  <c r="BV10" i="1"/>
  <c r="BS10" i="1"/>
  <c r="BR10" i="1"/>
  <c r="BF11" i="1"/>
  <c r="BG11" i="1" s="1"/>
  <c r="CU10" i="1"/>
  <c r="CW10" i="1" s="1"/>
  <c r="CX10" i="1" s="1"/>
  <c r="CT10" i="1"/>
  <c r="CS10" i="1"/>
  <c r="AV11" i="1"/>
  <c r="BP11" i="1"/>
  <c r="BQ11" i="1" a="1"/>
  <c r="BH11" i="1" l="1"/>
  <c r="BI11" i="1" s="1"/>
  <c r="CV10" i="1"/>
  <c r="BQ11" i="1"/>
  <c r="CA11" i="1"/>
  <c r="CB11" i="1"/>
  <c r="CC11" i="1" s="1"/>
  <c r="CD11" i="1"/>
  <c r="CE11" i="1"/>
  <c r="CH11" i="1"/>
  <c r="CI11" i="1"/>
  <c r="CJ11" i="1"/>
  <c r="CL11" i="1"/>
  <c r="CM11" i="1"/>
  <c r="CN11" i="1"/>
  <c r="CQ11" i="1"/>
  <c r="CY11" i="1"/>
  <c r="U12" i="1"/>
  <c r="AC12" i="1"/>
  <c r="AD12" i="1"/>
  <c r="AE12" i="1" s="1"/>
  <c r="AF12" i="1"/>
  <c r="AG12" i="1"/>
  <c r="AJ12" i="1"/>
  <c r="AK12" i="1" s="1"/>
  <c r="AT12" i="1"/>
  <c r="AU12" i="1" s="1"/>
  <c r="AQ12" i="1"/>
  <c r="AR12" i="1" s="1"/>
  <c r="AS12" i="1"/>
  <c r="AW12" i="1"/>
  <c r="AX12" i="1" s="1"/>
  <c r="AY12" i="1"/>
  <c r="AZ12" i="1" s="1"/>
  <c r="BC12" i="1"/>
  <c r="BD12" i="1" s="1"/>
  <c r="BF12" i="1"/>
  <c r="BG12" i="1" s="1"/>
  <c r="BO12" i="1"/>
  <c r="BR11" i="1" a="1"/>
  <c r="BT11" i="1" a="1"/>
  <c r="BP12" i="1" a="1"/>
  <c r="BS11" i="1" a="1"/>
  <c r="BU11" i="1" a="1"/>
  <c r="BV11" i="1" a="1"/>
  <c r="CF11" i="1" l="1"/>
  <c r="CR11" i="1" s="1"/>
  <c r="BV11" i="1"/>
  <c r="BU11" i="1"/>
  <c r="BT11" i="1"/>
  <c r="BS11" i="1"/>
  <c r="BR11" i="1"/>
  <c r="AH12" i="1"/>
  <c r="Z12" i="1" s="1"/>
  <c r="AA12" i="1" s="1"/>
  <c r="CK11" i="1"/>
  <c r="CO11" i="1" s="1"/>
  <c r="CU11" i="1"/>
  <c r="CW11" i="1" s="1"/>
  <c r="CX11" i="1" s="1"/>
  <c r="CT11" i="1"/>
  <c r="CS11" i="1"/>
  <c r="BH12" i="1"/>
  <c r="BI12" i="1" s="1"/>
  <c r="BE12" i="1"/>
  <c r="AM12" i="1"/>
  <c r="AV12" i="1"/>
  <c r="BP12" i="1"/>
  <c r="BQ12" i="1" a="1"/>
  <c r="CV11" i="1" l="1"/>
  <c r="BQ12" i="1"/>
  <c r="CA12" i="1"/>
  <c r="CB12" i="1"/>
  <c r="CC12" i="1"/>
  <c r="CD12" i="1"/>
  <c r="CE12" i="1"/>
  <c r="CF12" i="1"/>
  <c r="CH12" i="1"/>
  <c r="CI12" i="1"/>
  <c r="CJ12" i="1"/>
  <c r="CL12" i="1"/>
  <c r="CM12" i="1"/>
  <c r="CN12" i="1"/>
  <c r="CQ12" i="1"/>
  <c r="CY12" i="1"/>
  <c r="U13" i="1"/>
  <c r="AC13" i="1"/>
  <c r="AD13" i="1"/>
  <c r="AE13" i="1" s="1"/>
  <c r="AF13" i="1"/>
  <c r="AG13" i="1"/>
  <c r="AJ13" i="1"/>
  <c r="AK13" i="1" s="1"/>
  <c r="AT13" i="1"/>
  <c r="AU13" i="1" s="1"/>
  <c r="AM13" i="1"/>
  <c r="AQ13" i="1"/>
  <c r="AR13" i="1" s="1"/>
  <c r="AS13" i="1"/>
  <c r="AW13" i="1"/>
  <c r="AX13" i="1" s="1"/>
  <c r="AY13" i="1"/>
  <c r="AZ13" i="1" s="1"/>
  <c r="BC13" i="1"/>
  <c r="BD13" i="1" s="1"/>
  <c r="BE13" i="1" s="1"/>
  <c r="BO13" i="1"/>
  <c r="BR12" i="1" a="1"/>
  <c r="BV12" i="1" a="1"/>
  <c r="BU12" i="1" a="1"/>
  <c r="BT12" i="1" a="1"/>
  <c r="BP13" i="1" a="1"/>
  <c r="BS12" i="1" a="1"/>
  <c r="AH13" i="1" l="1"/>
  <c r="Z13" i="1" s="1"/>
  <c r="AA13" i="1" s="1"/>
  <c r="BU12" i="1"/>
  <c r="BV12" i="1"/>
  <c r="BT12" i="1"/>
  <c r="BS12" i="1"/>
  <c r="BR12" i="1"/>
  <c r="BF13" i="1"/>
  <c r="BG13" i="1" s="1"/>
  <c r="CR12" i="1"/>
  <c r="CT12" i="1"/>
  <c r="CU12" i="1"/>
  <c r="CW12" i="1" s="1"/>
  <c r="CX12" i="1" s="1"/>
  <c r="CS12" i="1"/>
  <c r="BH13" i="1"/>
  <c r="BI13" i="1" s="1"/>
  <c r="CK12" i="1"/>
  <c r="BP13" i="1"/>
  <c r="BQ13" i="1" a="1"/>
  <c r="CV12" i="1" l="1"/>
  <c r="AV13" i="1"/>
  <c r="CO12" i="1"/>
  <c r="BQ13" i="1"/>
  <c r="CA13" i="1"/>
  <c r="CB13" i="1"/>
  <c r="CC13" i="1" s="1"/>
  <c r="CD13" i="1"/>
  <c r="CE13" i="1"/>
  <c r="CH13" i="1"/>
  <c r="CI13" i="1"/>
  <c r="CJ13" i="1"/>
  <c r="CL13" i="1"/>
  <c r="CM13" i="1"/>
  <c r="CN13" i="1"/>
  <c r="CQ13" i="1"/>
  <c r="CS13" i="1" s="1"/>
  <c r="CY13" i="1"/>
  <c r="U14" i="1"/>
  <c r="AC14" i="1"/>
  <c r="AD14" i="1"/>
  <c r="AE14" i="1" s="1"/>
  <c r="AF14" i="1"/>
  <c r="AG14" i="1"/>
  <c r="AJ14" i="1"/>
  <c r="AK14" i="1" s="1"/>
  <c r="AT14" i="1"/>
  <c r="AU14" i="1" s="1"/>
  <c r="AM14" i="1"/>
  <c r="AQ14" i="1"/>
  <c r="AR14" i="1" s="1"/>
  <c r="AS14" i="1"/>
  <c r="AW14" i="1"/>
  <c r="AX14" i="1" s="1"/>
  <c r="AY14" i="1"/>
  <c r="AZ14" i="1" s="1"/>
  <c r="BC14" i="1"/>
  <c r="BD14" i="1" s="1"/>
  <c r="BE14" i="1" s="1"/>
  <c r="BO14" i="1"/>
  <c r="BU13" i="1" a="1"/>
  <c r="BT13" i="1" a="1"/>
  <c r="BV13" i="1" a="1"/>
  <c r="BR13" i="1" a="1"/>
  <c r="BP14" i="1" a="1"/>
  <c r="BS13" i="1" a="1"/>
  <c r="CK13" i="1" l="1"/>
  <c r="CO13" i="1" s="1"/>
  <c r="BF14" i="1"/>
  <c r="BG14" i="1" s="1"/>
  <c r="BV13" i="1"/>
  <c r="BU13" i="1"/>
  <c r="BS13" i="1"/>
  <c r="BR13" i="1"/>
  <c r="BT13" i="1"/>
  <c r="CU13" i="1"/>
  <c r="CW13" i="1" s="1"/>
  <c r="CX13" i="1" s="1"/>
  <c r="AH14" i="1"/>
  <c r="CT13" i="1"/>
  <c r="CF13" i="1"/>
  <c r="CR13" i="1" s="1"/>
  <c r="BP14" i="1"/>
  <c r="BQ14" i="1" a="1"/>
  <c r="BH14" i="1" l="1"/>
  <c r="BI14" i="1" s="1"/>
  <c r="AV14" i="1"/>
  <c r="Z14" i="1"/>
  <c r="AA14" i="1" s="1"/>
  <c r="CV13" i="1"/>
  <c r="BQ14" i="1"/>
  <c r="CA14" i="1"/>
  <c r="CB14" i="1"/>
  <c r="CC14" i="1" s="1"/>
  <c r="CD14" i="1"/>
  <c r="CE14" i="1"/>
  <c r="CH14" i="1"/>
  <c r="CI14" i="1"/>
  <c r="CJ14" i="1"/>
  <c r="CL14" i="1"/>
  <c r="CM14" i="1"/>
  <c r="CN14" i="1"/>
  <c r="CQ14" i="1"/>
  <c r="CS14" i="1" s="1"/>
  <c r="CY14" i="1"/>
  <c r="U15" i="1"/>
  <c r="AC15" i="1"/>
  <c r="AD15" i="1"/>
  <c r="AE15" i="1" s="1"/>
  <c r="AF15" i="1"/>
  <c r="AG15" i="1"/>
  <c r="AJ15" i="1"/>
  <c r="AK15" i="1" s="1"/>
  <c r="AT15" i="1"/>
  <c r="AU15" i="1" s="1"/>
  <c r="AQ15" i="1"/>
  <c r="AR15" i="1" s="1"/>
  <c r="AS15" i="1"/>
  <c r="AW15" i="1"/>
  <c r="AX15" i="1" s="1"/>
  <c r="AY15" i="1"/>
  <c r="AZ15" i="1" s="1"/>
  <c r="BC15" i="1"/>
  <c r="BF15" i="1" s="1"/>
  <c r="BG15" i="1" s="1"/>
  <c r="BO15" i="1"/>
  <c r="BS14" i="1" a="1"/>
  <c r="BP15" i="1" a="1"/>
  <c r="BR14" i="1" a="1"/>
  <c r="BU14" i="1" a="1"/>
  <c r="BV14" i="1" a="1"/>
  <c r="BT14" i="1" a="1"/>
  <c r="CF14" i="1" l="1"/>
  <c r="CR14" i="1" s="1"/>
  <c r="BD15" i="1"/>
  <c r="BE15" i="1" s="1"/>
  <c r="BV14" i="1"/>
  <c r="BU14" i="1"/>
  <c r="BS14" i="1"/>
  <c r="BR14" i="1"/>
  <c r="BT14" i="1"/>
  <c r="CU14" i="1"/>
  <c r="CW14" i="1" s="1"/>
  <c r="CX14" i="1" s="1"/>
  <c r="CT14" i="1"/>
  <c r="CK14" i="1"/>
  <c r="AH15" i="1"/>
  <c r="Z15" i="1" s="1"/>
  <c r="AA15" i="1" s="1"/>
  <c r="BH15" i="1"/>
  <c r="BI15" i="1" s="1"/>
  <c r="CO14" i="1"/>
  <c r="CV14" i="1"/>
  <c r="AM15" i="1"/>
  <c r="BP15" i="1"/>
  <c r="CA15" i="1"/>
  <c r="CB15" i="1"/>
  <c r="CC15" i="1" s="1"/>
  <c r="CD15" i="1"/>
  <c r="CE15" i="1"/>
  <c r="CH15" i="1"/>
  <c r="CI15" i="1"/>
  <c r="CJ15" i="1"/>
  <c r="CL15" i="1"/>
  <c r="CM15" i="1"/>
  <c r="CN15" i="1"/>
  <c r="CQ15" i="1"/>
  <c r="CY15" i="1"/>
  <c r="U16" i="1"/>
  <c r="AC16" i="1"/>
  <c r="AD16" i="1"/>
  <c r="AE16" i="1" s="1"/>
  <c r="AF16" i="1"/>
  <c r="AG16" i="1"/>
  <c r="AJ16" i="1"/>
  <c r="AK16" i="1" s="1"/>
  <c r="AT16" i="1"/>
  <c r="AU16" i="1" s="1"/>
  <c r="AM16" i="1"/>
  <c r="AQ16" i="1"/>
  <c r="AR16" i="1" s="1"/>
  <c r="AS16" i="1"/>
  <c r="AW16" i="1"/>
  <c r="AX16" i="1" s="1"/>
  <c r="AY16" i="1"/>
  <c r="AZ16" i="1" s="1"/>
  <c r="BC16" i="1"/>
  <c r="BF16" i="1" s="1"/>
  <c r="BG16" i="1" s="1"/>
  <c r="BO16" i="1"/>
  <c r="BU15" i="1" a="1"/>
  <c r="BP16" i="1" a="1"/>
  <c r="BQ15" i="1" a="1"/>
  <c r="BS15" i="1" a="1"/>
  <c r="BT15" i="1" a="1"/>
  <c r="BV15" i="1" a="1"/>
  <c r="BR15" i="1" a="1"/>
  <c r="AV15" i="1" l="1"/>
  <c r="BD16" i="1"/>
  <c r="BE16" i="1" s="1"/>
  <c r="CF15" i="1"/>
  <c r="CS15" i="1"/>
  <c r="BS15" i="1"/>
  <c r="BR15" i="1"/>
  <c r="BQ15" i="1"/>
  <c r="BV15" i="1"/>
  <c r="BU15" i="1"/>
  <c r="BT15" i="1"/>
  <c r="CU15" i="1"/>
  <c r="CW15" i="1" s="1"/>
  <c r="CX15" i="1" s="1"/>
  <c r="CT15" i="1"/>
  <c r="AH16" i="1"/>
  <c r="Z16" i="1" s="1"/>
  <c r="AA16" i="1" s="1"/>
  <c r="CR15" i="1"/>
  <c r="BH16" i="1"/>
  <c r="BI16" i="1" s="1"/>
  <c r="CK15" i="1"/>
  <c r="CO15" i="1" s="1"/>
  <c r="BP16" i="1"/>
  <c r="BQ16" i="1" a="1"/>
  <c r="AV16" i="1" l="1"/>
  <c r="CV15" i="1"/>
  <c r="BQ16" i="1"/>
  <c r="CA16" i="1"/>
  <c r="CB16" i="1"/>
  <c r="CC16" i="1" s="1"/>
  <c r="CD16" i="1"/>
  <c r="CE16" i="1"/>
  <c r="CH16" i="1"/>
  <c r="CI16" i="1"/>
  <c r="CJ16" i="1"/>
  <c r="CL16" i="1"/>
  <c r="CM16" i="1"/>
  <c r="CN16" i="1"/>
  <c r="CQ16" i="1"/>
  <c r="CY16" i="1"/>
  <c r="U17" i="1"/>
  <c r="AC17" i="1"/>
  <c r="AD17" i="1"/>
  <c r="AE17" i="1" s="1"/>
  <c r="AF17" i="1"/>
  <c r="AG17" i="1"/>
  <c r="AJ17" i="1"/>
  <c r="AK17" i="1" s="1"/>
  <c r="AT17" i="1"/>
  <c r="AU17" i="1" s="1"/>
  <c r="AM17" i="1"/>
  <c r="AQ17" i="1"/>
  <c r="AR17" i="1" s="1"/>
  <c r="AS17" i="1"/>
  <c r="AW17" i="1"/>
  <c r="AX17" i="1" s="1"/>
  <c r="AY17" i="1"/>
  <c r="AZ17" i="1" s="1"/>
  <c r="BC17" i="1"/>
  <c r="BD17" i="1" s="1"/>
  <c r="BE17" i="1" s="1"/>
  <c r="BO17" i="1"/>
  <c r="BS16" i="1" a="1"/>
  <c r="BP17" i="1" a="1"/>
  <c r="BV16" i="1" a="1"/>
  <c r="BR16" i="1" a="1"/>
  <c r="BT16" i="1" a="1"/>
  <c r="BU16" i="1" a="1"/>
  <c r="CS16" i="1" l="1"/>
  <c r="CK16" i="1"/>
  <c r="BU16" i="1"/>
  <c r="BR16" i="1"/>
  <c r="BT16" i="1"/>
  <c r="BV16" i="1"/>
  <c r="BS16" i="1"/>
  <c r="CF16" i="1"/>
  <c r="BF17" i="1"/>
  <c r="BG17" i="1" s="1"/>
  <c r="AH17" i="1"/>
  <c r="Z17" i="1" s="1"/>
  <c r="AA17" i="1" s="1"/>
  <c r="CU16" i="1"/>
  <c r="CW16" i="1" s="1"/>
  <c r="CX16" i="1" s="1"/>
  <c r="CT16" i="1"/>
  <c r="CR16" i="1"/>
  <c r="CO16" i="1"/>
  <c r="CV16" i="1"/>
  <c r="BH17" i="1"/>
  <c r="BI17" i="1" s="1"/>
  <c r="BP17" i="1"/>
  <c r="BQ17" i="1" a="1"/>
  <c r="AV17" i="1" l="1"/>
  <c r="BQ17" i="1"/>
  <c r="CA17" i="1"/>
  <c r="CB17" i="1"/>
  <c r="CC17" i="1" s="1"/>
  <c r="CD17" i="1"/>
  <c r="CE17" i="1"/>
  <c r="CF17" i="1"/>
  <c r="CH17" i="1"/>
  <c r="CI17" i="1"/>
  <c r="CJ17" i="1"/>
  <c r="CL17" i="1"/>
  <c r="CM17" i="1"/>
  <c r="CN17" i="1"/>
  <c r="CQ17" i="1"/>
  <c r="CR17" i="1" s="1"/>
  <c r="CY17" i="1"/>
  <c r="U18" i="1"/>
  <c r="AC18" i="1"/>
  <c r="AD18" i="1"/>
  <c r="AE18" i="1" s="1"/>
  <c r="AF18" i="1"/>
  <c r="AG18" i="1"/>
  <c r="AJ18" i="1"/>
  <c r="AK18" i="1" s="1"/>
  <c r="AT18" i="1"/>
  <c r="AU18" i="1" s="1"/>
  <c r="AM18" i="1"/>
  <c r="AQ18" i="1"/>
  <c r="AR18" i="1" s="1"/>
  <c r="AS18" i="1"/>
  <c r="AW18" i="1"/>
  <c r="AX18" i="1" s="1"/>
  <c r="AY18" i="1"/>
  <c r="AZ18" i="1" s="1"/>
  <c r="BC18" i="1"/>
  <c r="BD18" i="1" s="1"/>
  <c r="BF18" i="1"/>
  <c r="BG18" i="1" s="1"/>
  <c r="BO18" i="1"/>
  <c r="BR17" i="1" a="1"/>
  <c r="BS17" i="1" a="1"/>
  <c r="BT17" i="1" a="1"/>
  <c r="BP18" i="1" a="1"/>
  <c r="BV17" i="1" a="1"/>
  <c r="BU17" i="1" a="1"/>
  <c r="CK17" i="1" l="1"/>
  <c r="CO17" i="1" s="1"/>
  <c r="BH18" i="1"/>
  <c r="BI18" i="1" s="1"/>
  <c r="BV17" i="1"/>
  <c r="BU17" i="1"/>
  <c r="BT17" i="1"/>
  <c r="BS17" i="1"/>
  <c r="BR17" i="1"/>
  <c r="CU17" i="1"/>
  <c r="CT17" i="1"/>
  <c r="CS17" i="1"/>
  <c r="AH18" i="1"/>
  <c r="BE18" i="1"/>
  <c r="BP18" i="1"/>
  <c r="BQ18" i="1" a="1"/>
  <c r="CV17" i="1" l="1"/>
  <c r="AV18" i="1"/>
  <c r="Z18" i="1"/>
  <c r="AA18" i="1" s="1"/>
  <c r="CW17" i="1"/>
  <c r="CX17" i="1" s="1"/>
  <c r="BQ18" i="1"/>
  <c r="CA18" i="1"/>
  <c r="CB18" i="1"/>
  <c r="CC18" i="1" s="1"/>
  <c r="CD18" i="1"/>
  <c r="CE18" i="1"/>
  <c r="CH18" i="1"/>
  <c r="CI18" i="1"/>
  <c r="CJ18" i="1"/>
  <c r="CL18" i="1"/>
  <c r="CM18" i="1"/>
  <c r="CN18" i="1"/>
  <c r="CQ18" i="1"/>
  <c r="CY18" i="1"/>
  <c r="U19" i="1"/>
  <c r="AC19" i="1"/>
  <c r="AD19" i="1"/>
  <c r="AE19" i="1" s="1"/>
  <c r="AF19" i="1"/>
  <c r="AG19" i="1"/>
  <c r="AJ19" i="1"/>
  <c r="AK19" i="1" s="1"/>
  <c r="AT19" i="1"/>
  <c r="AU19" i="1" s="1"/>
  <c r="AQ19" i="1"/>
  <c r="AR19" i="1" s="1"/>
  <c r="AS19" i="1"/>
  <c r="AW19" i="1"/>
  <c r="AX19" i="1" s="1"/>
  <c r="AY19" i="1"/>
  <c r="AZ19" i="1" s="1"/>
  <c r="BC19" i="1"/>
  <c r="BD19" i="1" s="1"/>
  <c r="BE19" i="1" s="1"/>
  <c r="BO19" i="1"/>
  <c r="BR18" i="1" a="1"/>
  <c r="BT18" i="1" a="1"/>
  <c r="BV18" i="1" a="1"/>
  <c r="BP19" i="1" a="1"/>
  <c r="BS18" i="1" a="1"/>
  <c r="BU18" i="1" a="1"/>
  <c r="BF19" i="1" l="1"/>
  <c r="BG19" i="1" s="1"/>
  <c r="BV18" i="1"/>
  <c r="BU18" i="1"/>
  <c r="BT18" i="1"/>
  <c r="BS18" i="1"/>
  <c r="BR18" i="1"/>
  <c r="CF18" i="1"/>
  <c r="CR18" i="1" s="1"/>
  <c r="CS18" i="1"/>
  <c r="CU18" i="1"/>
  <c r="CW18" i="1" s="1"/>
  <c r="CX18" i="1" s="1"/>
  <c r="CK18" i="1"/>
  <c r="CT18" i="1"/>
  <c r="AH19" i="1"/>
  <c r="Z19" i="1" s="1"/>
  <c r="AA19" i="1" s="1"/>
  <c r="AM19" i="1"/>
  <c r="CO18" i="1"/>
  <c r="CV18" i="1"/>
  <c r="BP19" i="1"/>
  <c r="CA19" i="1"/>
  <c r="CB19" i="1"/>
  <c r="CD19" i="1"/>
  <c r="CE19" i="1"/>
  <c r="CH19" i="1"/>
  <c r="CI19" i="1"/>
  <c r="CJ19" i="1"/>
  <c r="CL19" i="1"/>
  <c r="CM19" i="1"/>
  <c r="CN19" i="1"/>
  <c r="CQ19" i="1"/>
  <c r="CY19" i="1"/>
  <c r="U20" i="1"/>
  <c r="AC20" i="1"/>
  <c r="AD20" i="1"/>
  <c r="AE20" i="1" s="1"/>
  <c r="AF20" i="1"/>
  <c r="AG20" i="1"/>
  <c r="AJ20" i="1"/>
  <c r="AK20" i="1" s="1"/>
  <c r="AT20" i="1"/>
  <c r="AU20" i="1" s="1"/>
  <c r="AM20" i="1"/>
  <c r="AQ20" i="1"/>
  <c r="AR20" i="1" s="1"/>
  <c r="AS20" i="1"/>
  <c r="AW20" i="1"/>
  <c r="AX20" i="1" s="1"/>
  <c r="AY20" i="1"/>
  <c r="AZ20" i="1" s="1"/>
  <c r="BC20" i="1"/>
  <c r="BF20" i="1" s="1"/>
  <c r="BG20" i="1" s="1"/>
  <c r="BO20" i="1"/>
  <c r="BR19" i="1" a="1"/>
  <c r="BT19" i="1" a="1"/>
  <c r="BS19" i="1" a="1"/>
  <c r="BQ19" i="1" a="1"/>
  <c r="BV19" i="1" a="1"/>
  <c r="BP20" i="1" a="1"/>
  <c r="BU19" i="1" a="1"/>
  <c r="CF19" i="1" l="1"/>
  <c r="CR19" i="1" s="1"/>
  <c r="BH19" i="1"/>
  <c r="BI19" i="1" s="1"/>
  <c r="AV19" i="1"/>
  <c r="BD20" i="1"/>
  <c r="BE20" i="1" s="1"/>
  <c r="CC19" i="1"/>
  <c r="AH20" i="1"/>
  <c r="Z20" i="1" s="1"/>
  <c r="AA20" i="1" s="1"/>
  <c r="BQ19" i="1"/>
  <c r="BU19" i="1"/>
  <c r="BR19" i="1"/>
  <c r="BV19" i="1"/>
  <c r="BT19" i="1"/>
  <c r="BS19" i="1"/>
  <c r="CU19" i="1"/>
  <c r="CW19" i="1" s="1"/>
  <c r="CX19" i="1" s="1"/>
  <c r="CT19" i="1"/>
  <c r="CK19" i="1"/>
  <c r="CO19" i="1" s="1"/>
  <c r="CS19" i="1"/>
  <c r="BH20" i="1"/>
  <c r="BI20" i="1" s="1"/>
  <c r="AV20" i="1"/>
  <c r="BP20" i="1"/>
  <c r="BQ20" i="1" a="1"/>
  <c r="CV19" i="1" l="1"/>
  <c r="BQ20" i="1"/>
  <c r="CA20" i="1"/>
  <c r="CB20" i="1"/>
  <c r="CC20" i="1" s="1"/>
  <c r="CD20" i="1"/>
  <c r="CE20" i="1"/>
  <c r="CH20" i="1"/>
  <c r="CI20" i="1"/>
  <c r="CJ20" i="1"/>
  <c r="CL20" i="1"/>
  <c r="CM20" i="1"/>
  <c r="CN20" i="1"/>
  <c r="CQ20" i="1"/>
  <c r="CY20" i="1"/>
  <c r="U21" i="1"/>
  <c r="AC21" i="1"/>
  <c r="AD21" i="1"/>
  <c r="AE21" i="1" s="1"/>
  <c r="AF21" i="1"/>
  <c r="AG21" i="1"/>
  <c r="AJ21" i="1"/>
  <c r="AK21" i="1" s="1"/>
  <c r="AT21" i="1"/>
  <c r="AU21" i="1" s="1"/>
  <c r="AM21" i="1"/>
  <c r="AQ21" i="1"/>
  <c r="AR21" i="1" s="1"/>
  <c r="AS21" i="1"/>
  <c r="AW21" i="1"/>
  <c r="AX21" i="1" s="1"/>
  <c r="AY21" i="1"/>
  <c r="AZ21" i="1" s="1"/>
  <c r="BC21" i="1"/>
  <c r="BD21" i="1" s="1"/>
  <c r="BO21" i="1"/>
  <c r="BR20" i="1" a="1"/>
  <c r="BP21" i="1" a="1"/>
  <c r="BV20" i="1" a="1"/>
  <c r="BS20" i="1" a="1"/>
  <c r="BT20" i="1" a="1"/>
  <c r="BU20" i="1" a="1"/>
  <c r="BV20" i="1" l="1"/>
  <c r="BU20" i="1"/>
  <c r="BT20" i="1"/>
  <c r="BS20" i="1"/>
  <c r="BR20" i="1"/>
  <c r="CF20" i="1"/>
  <c r="CR20" i="1" s="1"/>
  <c r="BF21" i="1"/>
  <c r="BG21" i="1" s="1"/>
  <c r="CT20" i="1"/>
  <c r="CU20" i="1"/>
  <c r="CW20" i="1" s="1"/>
  <c r="CX20" i="1" s="1"/>
  <c r="CS20" i="1"/>
  <c r="CK20" i="1"/>
  <c r="CO20" i="1" s="1"/>
  <c r="BH21" i="1"/>
  <c r="BI21" i="1" s="1"/>
  <c r="BE21" i="1"/>
  <c r="AH21" i="1"/>
  <c r="Z21" i="1" s="1"/>
  <c r="AA21" i="1" s="1"/>
  <c r="BP21" i="1"/>
  <c r="BQ21" i="1" a="1"/>
  <c r="AV21" i="1" l="1"/>
  <c r="CV20" i="1"/>
  <c r="BQ21" i="1"/>
  <c r="CA21" i="1"/>
  <c r="CB21" i="1"/>
  <c r="CC21" i="1" s="1"/>
  <c r="CD21" i="1"/>
  <c r="CE21" i="1"/>
  <c r="CH21" i="1"/>
  <c r="CI21" i="1"/>
  <c r="CJ21" i="1"/>
  <c r="CL21" i="1"/>
  <c r="CM21" i="1"/>
  <c r="CN21" i="1"/>
  <c r="CQ21" i="1"/>
  <c r="CS21" i="1" s="1"/>
  <c r="CY21" i="1"/>
  <c r="U22" i="1"/>
  <c r="AC22" i="1"/>
  <c r="AD22" i="1"/>
  <c r="AE22" i="1" s="1"/>
  <c r="AF22" i="1"/>
  <c r="AG22" i="1"/>
  <c r="AJ22" i="1"/>
  <c r="AK22" i="1" s="1"/>
  <c r="AT22" i="1"/>
  <c r="AU22" i="1" s="1"/>
  <c r="AQ22" i="1"/>
  <c r="AR22" i="1" s="1"/>
  <c r="AS22" i="1"/>
  <c r="AW22" i="1"/>
  <c r="AX22" i="1" s="1"/>
  <c r="AY22" i="1"/>
  <c r="AZ22" i="1" s="1"/>
  <c r="BC22" i="1"/>
  <c r="BF22" i="1" s="1"/>
  <c r="BG22" i="1" s="1"/>
  <c r="BO22" i="1"/>
  <c r="BV21" i="1" a="1"/>
  <c r="BS21" i="1" a="1"/>
  <c r="BR21" i="1" a="1"/>
  <c r="BU21" i="1" a="1"/>
  <c r="BP22" i="1" a="1"/>
  <c r="BT21" i="1" a="1"/>
  <c r="CF21" i="1" l="1"/>
  <c r="BD22" i="1"/>
  <c r="BE22" i="1" s="1"/>
  <c r="BU21" i="1"/>
  <c r="BT21" i="1"/>
  <c r="BS21" i="1"/>
  <c r="BV21" i="1"/>
  <c r="BR21" i="1"/>
  <c r="CK21" i="1"/>
  <c r="CO21" i="1" s="1"/>
  <c r="CU21" i="1"/>
  <c r="CT21" i="1"/>
  <c r="CR21" i="1"/>
  <c r="AH22" i="1"/>
  <c r="Z22" i="1" s="1"/>
  <c r="AA22" i="1" s="1"/>
  <c r="AM22" i="1"/>
  <c r="BP22" i="1"/>
  <c r="BQ22" i="1" a="1"/>
  <c r="AV22" i="1" l="1"/>
  <c r="BH22" i="1"/>
  <c r="BI22" i="1" s="1"/>
  <c r="CV21" i="1"/>
  <c r="CW21" i="1"/>
  <c r="CX21" i="1" s="1"/>
  <c r="BQ22" i="1"/>
  <c r="CA22" i="1"/>
  <c r="CB22" i="1"/>
  <c r="CC22" i="1" s="1"/>
  <c r="CD22" i="1"/>
  <c r="CE22" i="1"/>
  <c r="CF22" i="1"/>
  <c r="CH22" i="1"/>
  <c r="CI22" i="1"/>
  <c r="CJ22" i="1"/>
  <c r="CL22" i="1"/>
  <c r="CM22" i="1"/>
  <c r="CN22" i="1"/>
  <c r="CQ22" i="1"/>
  <c r="CR22" i="1" s="1"/>
  <c r="CY22" i="1"/>
  <c r="U23" i="1"/>
  <c r="AC23" i="1"/>
  <c r="AD23" i="1"/>
  <c r="AE23" i="1" s="1"/>
  <c r="AF23" i="1"/>
  <c r="AG23" i="1"/>
  <c r="AJ23" i="1"/>
  <c r="AK23" i="1" s="1"/>
  <c r="AT23" i="1"/>
  <c r="AU23" i="1" s="1"/>
  <c r="AM23" i="1"/>
  <c r="AQ23" i="1"/>
  <c r="AR23" i="1" s="1"/>
  <c r="AS23" i="1"/>
  <c r="AW23" i="1"/>
  <c r="AX23" i="1" s="1"/>
  <c r="AY23" i="1"/>
  <c r="AZ23" i="1" s="1"/>
  <c r="BC23" i="1"/>
  <c r="BD23" i="1" s="1"/>
  <c r="BO23" i="1"/>
  <c r="BS22" i="1" a="1"/>
  <c r="BU22" i="1" a="1"/>
  <c r="BP23" i="1" a="1"/>
  <c r="BV22" i="1" a="1"/>
  <c r="BT22" i="1" a="1"/>
  <c r="BR22" i="1" a="1"/>
  <c r="BF23" i="1" l="1"/>
  <c r="BG23" i="1" s="1"/>
  <c r="CK22" i="1"/>
  <c r="BV22" i="1"/>
  <c r="BU22" i="1"/>
  <c r="BT22" i="1"/>
  <c r="BR22" i="1"/>
  <c r="BS22" i="1"/>
  <c r="AH23" i="1"/>
  <c r="Z23" i="1" s="1"/>
  <c r="AA23" i="1" s="1"/>
  <c r="CT22" i="1"/>
  <c r="CU22" i="1"/>
  <c r="CW22" i="1" s="1"/>
  <c r="CX22" i="1" s="1"/>
  <c r="CO22" i="1"/>
  <c r="CS22" i="1"/>
  <c r="BE23" i="1"/>
  <c r="BP23" i="1"/>
  <c r="BQ23" i="1" a="1"/>
  <c r="BH23" i="1" l="1"/>
  <c r="BI23" i="1" s="1"/>
  <c r="CV22" i="1"/>
  <c r="AV23" i="1"/>
  <c r="BQ23" i="1"/>
  <c r="CA23" i="1"/>
  <c r="CB23" i="1"/>
  <c r="CC23" i="1" s="1"/>
  <c r="CD23" i="1"/>
  <c r="CE23" i="1"/>
  <c r="CH23" i="1"/>
  <c r="CI23" i="1"/>
  <c r="CJ23" i="1"/>
  <c r="CL23" i="1"/>
  <c r="CM23" i="1"/>
  <c r="CN23" i="1"/>
  <c r="CQ23" i="1"/>
  <c r="CS23" i="1" s="1"/>
  <c r="CY23" i="1"/>
  <c r="U24" i="1"/>
  <c r="AC24" i="1"/>
  <c r="AD24" i="1"/>
  <c r="AE24" i="1" s="1"/>
  <c r="AF24" i="1"/>
  <c r="AG24" i="1"/>
  <c r="AJ24" i="1"/>
  <c r="AK24" i="1" s="1"/>
  <c r="AT24" i="1"/>
  <c r="AU24" i="1" s="1"/>
  <c r="AQ24" i="1"/>
  <c r="AR24" i="1" s="1"/>
  <c r="AS24" i="1"/>
  <c r="AW24" i="1"/>
  <c r="AX24" i="1" s="1"/>
  <c r="AY24" i="1"/>
  <c r="AZ24" i="1" s="1"/>
  <c r="BC24" i="1"/>
  <c r="BF24" i="1" s="1"/>
  <c r="BG24" i="1" s="1"/>
  <c r="BO24" i="1"/>
  <c r="BS23" i="1" a="1"/>
  <c r="BR23" i="1" a="1"/>
  <c r="BU23" i="1" a="1"/>
  <c r="BT23" i="1" a="1"/>
  <c r="BV23" i="1" a="1"/>
  <c r="BP24" i="1" a="1"/>
  <c r="BD24" i="1" l="1"/>
  <c r="BE24" i="1" s="1"/>
  <c r="CK23" i="1"/>
  <c r="BV23" i="1"/>
  <c r="BU23" i="1"/>
  <c r="BT23" i="1"/>
  <c r="BS23" i="1"/>
  <c r="BR23" i="1"/>
  <c r="BH24" i="1"/>
  <c r="BI24" i="1" s="1"/>
  <c r="CF23" i="1"/>
  <c r="CT23" i="1"/>
  <c r="CU23" i="1"/>
  <c r="CW23" i="1" s="1"/>
  <c r="CX23" i="1" s="1"/>
  <c r="AH24" i="1"/>
  <c r="Z24" i="1" s="1"/>
  <c r="AA24" i="1" s="1"/>
  <c r="CR23" i="1"/>
  <c r="AM24" i="1"/>
  <c r="BP24" i="1"/>
  <c r="CA24" i="1"/>
  <c r="CB24" i="1"/>
  <c r="CC24" i="1" s="1"/>
  <c r="CD24" i="1"/>
  <c r="CE24" i="1"/>
  <c r="CF24" i="1"/>
  <c r="CH24" i="1"/>
  <c r="CI24" i="1"/>
  <c r="CJ24" i="1"/>
  <c r="CL24" i="1"/>
  <c r="CM24" i="1"/>
  <c r="CN24" i="1"/>
  <c r="CQ24" i="1"/>
  <c r="CY24" i="1"/>
  <c r="U25" i="1"/>
  <c r="AC25" i="1"/>
  <c r="AD25" i="1"/>
  <c r="AE25" i="1" s="1"/>
  <c r="AF25" i="1"/>
  <c r="AG25" i="1"/>
  <c r="AJ25" i="1"/>
  <c r="AK25" i="1" s="1"/>
  <c r="AT25" i="1"/>
  <c r="AU25" i="1" s="1"/>
  <c r="AM25" i="1"/>
  <c r="AQ25" i="1"/>
  <c r="AR25" i="1" s="1"/>
  <c r="AS25" i="1"/>
  <c r="AW25" i="1"/>
  <c r="AX25" i="1" s="1"/>
  <c r="AY25" i="1"/>
  <c r="AZ25" i="1" s="1"/>
  <c r="BC25" i="1"/>
  <c r="BD25" i="1" s="1"/>
  <c r="BE25" i="1" s="1"/>
  <c r="BO25" i="1"/>
  <c r="BT24" i="1" a="1"/>
  <c r="BQ24" i="1" a="1"/>
  <c r="BR24" i="1" a="1"/>
  <c r="BV24" i="1" a="1"/>
  <c r="BU24" i="1" a="1"/>
  <c r="BS24" i="1" a="1"/>
  <c r="BP25" i="1" a="1"/>
  <c r="AV24" i="1" l="1"/>
  <c r="BF25" i="1"/>
  <c r="BG25" i="1" s="1"/>
  <c r="CV23" i="1"/>
  <c r="CO23" i="1"/>
  <c r="CR24" i="1"/>
  <c r="BV24" i="1"/>
  <c r="BS24" i="1"/>
  <c r="BR24" i="1"/>
  <c r="BQ24" i="1"/>
  <c r="BU24" i="1"/>
  <c r="BT24" i="1"/>
  <c r="CK24" i="1"/>
  <c r="CO24" i="1" s="1"/>
  <c r="CU24" i="1"/>
  <c r="CS24" i="1"/>
  <c r="CT24" i="1"/>
  <c r="AH25" i="1"/>
  <c r="Z25" i="1" s="1"/>
  <c r="AA25" i="1" s="1"/>
  <c r="BP25" i="1"/>
  <c r="BQ25" i="1" a="1"/>
  <c r="BH25" i="1" l="1"/>
  <c r="BI25" i="1" s="1"/>
  <c r="CV24" i="1"/>
  <c r="AV25" i="1"/>
  <c r="CW24" i="1"/>
  <c r="CX24" i="1" s="1"/>
  <c r="BQ25" i="1"/>
  <c r="CA25" i="1"/>
  <c r="CB25" i="1"/>
  <c r="CC25" i="1" s="1"/>
  <c r="CD25" i="1"/>
  <c r="CE25" i="1"/>
  <c r="CH25" i="1"/>
  <c r="CI25" i="1"/>
  <c r="CJ25" i="1"/>
  <c r="CL25" i="1"/>
  <c r="CM25" i="1"/>
  <c r="CN25" i="1"/>
  <c r="CQ25" i="1"/>
  <c r="CU25" i="1" s="1"/>
  <c r="CW25" i="1" s="1"/>
  <c r="CX25" i="1" s="1"/>
  <c r="CY25" i="1"/>
  <c r="U26" i="1"/>
  <c r="AC26" i="1"/>
  <c r="AD26" i="1"/>
  <c r="AE26" i="1" s="1"/>
  <c r="AF26" i="1"/>
  <c r="AG26" i="1"/>
  <c r="AJ26" i="1"/>
  <c r="AK26" i="1" s="1"/>
  <c r="AT26" i="1"/>
  <c r="AU26" i="1" s="1"/>
  <c r="AQ26" i="1"/>
  <c r="AR26" i="1" s="1"/>
  <c r="AS26" i="1"/>
  <c r="AW26" i="1"/>
  <c r="AX26" i="1" s="1"/>
  <c r="AY26" i="1"/>
  <c r="AZ26" i="1" s="1"/>
  <c r="BC26" i="1"/>
  <c r="BD26" i="1" s="1"/>
  <c r="BO26" i="1"/>
  <c r="BR25" i="1" a="1"/>
  <c r="BS25" i="1" a="1"/>
  <c r="BT25" i="1" a="1"/>
  <c r="BU25" i="1" a="1"/>
  <c r="BV25" i="1" a="1"/>
  <c r="BP26" i="1" a="1"/>
  <c r="BV25" i="1" l="1"/>
  <c r="BU25" i="1"/>
  <c r="BT25" i="1"/>
  <c r="BS25" i="1"/>
  <c r="BR25" i="1"/>
  <c r="CK25" i="1"/>
  <c r="AH26" i="1"/>
  <c r="Z26" i="1" s="1"/>
  <c r="AA26" i="1" s="1"/>
  <c r="BF26" i="1"/>
  <c r="BG26" i="1" s="1"/>
  <c r="CF25" i="1"/>
  <c r="CR25" i="1" s="1"/>
  <c r="CT25" i="1"/>
  <c r="CS25" i="1"/>
  <c r="BH26" i="1"/>
  <c r="BI26" i="1" s="1"/>
  <c r="BE26" i="1"/>
  <c r="CV25" i="1"/>
  <c r="CO25" i="1"/>
  <c r="AM26" i="1"/>
  <c r="AV26" i="1"/>
  <c r="BP26" i="1"/>
  <c r="CA26" i="1"/>
  <c r="CB26" i="1"/>
  <c r="CC26" i="1" s="1"/>
  <c r="CD26" i="1"/>
  <c r="CE26" i="1"/>
  <c r="CH26" i="1"/>
  <c r="CI26" i="1"/>
  <c r="CJ26" i="1"/>
  <c r="CL26" i="1"/>
  <c r="CM26" i="1"/>
  <c r="CN26" i="1"/>
  <c r="CQ26" i="1"/>
  <c r="CT26" i="1" s="1"/>
  <c r="CY26" i="1"/>
  <c r="U27" i="1"/>
  <c r="AC27" i="1"/>
  <c r="AD27" i="1"/>
  <c r="AE27" i="1" s="1"/>
  <c r="AF27" i="1"/>
  <c r="AG27" i="1"/>
  <c r="AJ27" i="1"/>
  <c r="AK27" i="1" s="1"/>
  <c r="AQ27" i="1"/>
  <c r="AR27" i="1" s="1"/>
  <c r="AS27" i="1"/>
  <c r="AW27" i="1"/>
  <c r="AX27" i="1" s="1"/>
  <c r="AY27" i="1"/>
  <c r="AZ27" i="1" s="1"/>
  <c r="BC27" i="1"/>
  <c r="BF27" i="1" s="1"/>
  <c r="BG27" i="1" s="1"/>
  <c r="BD27" i="1"/>
  <c r="BE27" i="1" s="1"/>
  <c r="BO27" i="1"/>
  <c r="BS26" i="1" a="1"/>
  <c r="BQ26" i="1" a="1"/>
  <c r="BU26" i="1" a="1"/>
  <c r="BR26" i="1" a="1"/>
  <c r="BT26" i="1" a="1"/>
  <c r="BP27" i="1" a="1"/>
  <c r="BV26" i="1" a="1"/>
  <c r="CK26" i="1" l="1"/>
  <c r="CO26" i="1" s="1"/>
  <c r="CF26" i="1"/>
  <c r="CR26" i="1" s="1"/>
  <c r="BH27" i="1"/>
  <c r="BI27" i="1" s="1"/>
  <c r="BR26" i="1"/>
  <c r="BV26" i="1"/>
  <c r="BU26" i="1"/>
  <c r="BQ26" i="1"/>
  <c r="BT26" i="1"/>
  <c r="BS26" i="1"/>
  <c r="AH27" i="1"/>
  <c r="Z27" i="1" s="1"/>
  <c r="AA27" i="1" s="1"/>
  <c r="CU26" i="1"/>
  <c r="CW26" i="1" s="1"/>
  <c r="CX26" i="1" s="1"/>
  <c r="CS26" i="1"/>
  <c r="BP27" i="1"/>
  <c r="BQ27" i="1" a="1"/>
  <c r="AT27" i="1" l="1"/>
  <c r="AM27" i="1"/>
  <c r="CV26" i="1"/>
  <c r="BQ27" i="1"/>
  <c r="BR27" i="1" a="1"/>
  <c r="AU27" i="1" l="1"/>
  <c r="AV27" i="1"/>
  <c r="BR27" i="1"/>
  <c r="CA27" i="1"/>
  <c r="CB27" i="1"/>
  <c r="CC27" i="1" s="1"/>
  <c r="CD27" i="1"/>
  <c r="CE27" i="1"/>
  <c r="CH27" i="1"/>
  <c r="CI27" i="1"/>
  <c r="CJ27" i="1"/>
  <c r="CL27" i="1"/>
  <c r="CM27" i="1"/>
  <c r="CN27" i="1"/>
  <c r="CQ27" i="1"/>
  <c r="CY27" i="1"/>
  <c r="U28" i="1"/>
  <c r="AC28" i="1"/>
  <c r="AD28" i="1"/>
  <c r="AE28" i="1" s="1"/>
  <c r="AF28" i="1"/>
  <c r="AG28" i="1"/>
  <c r="AJ28" i="1"/>
  <c r="AK28" i="1" s="1"/>
  <c r="AT28" i="1"/>
  <c r="AU28" i="1" s="1"/>
  <c r="AQ28" i="1"/>
  <c r="AR28" i="1" s="1"/>
  <c r="AS28" i="1"/>
  <c r="AW28" i="1"/>
  <c r="AX28" i="1" s="1"/>
  <c r="AY28" i="1"/>
  <c r="AZ28" i="1" s="1"/>
  <c r="BC28" i="1"/>
  <c r="BD28" i="1" s="1"/>
  <c r="BE28" i="1" s="1"/>
  <c r="BO28" i="1"/>
  <c r="BS27" i="1" a="1"/>
  <c r="BT27" i="1" a="1"/>
  <c r="BU27" i="1" a="1"/>
  <c r="BP28" i="1" a="1"/>
  <c r="BV27" i="1" a="1"/>
  <c r="CF27" i="1" l="1"/>
  <c r="CR27" i="1" s="1"/>
  <c r="BV27" i="1"/>
  <c r="BU27" i="1"/>
  <c r="BT27" i="1"/>
  <c r="BS27" i="1"/>
  <c r="BF28" i="1"/>
  <c r="BG28" i="1" s="1"/>
  <c r="CK27" i="1"/>
  <c r="CU27" i="1"/>
  <c r="CW27" i="1" s="1"/>
  <c r="CX27" i="1" s="1"/>
  <c r="CT27" i="1"/>
  <c r="CS27" i="1"/>
  <c r="AM28" i="1"/>
  <c r="AH28" i="1"/>
  <c r="Z28" i="1" s="1"/>
  <c r="AA28" i="1" s="1"/>
  <c r="CO27" i="1"/>
  <c r="CV27" i="1"/>
  <c r="BP28" i="1"/>
  <c r="BQ28" i="1" a="1"/>
  <c r="AV28" i="1" l="1"/>
  <c r="BH28" i="1"/>
  <c r="BI28" i="1" s="1"/>
  <c r="BQ28" i="1"/>
  <c r="CA28" i="1"/>
  <c r="CB28" i="1"/>
  <c r="CC28" i="1" s="1"/>
  <c r="CD28" i="1"/>
  <c r="CE28" i="1"/>
  <c r="CF28" i="1"/>
  <c r="CH28" i="1"/>
  <c r="CI28" i="1"/>
  <c r="CJ28" i="1"/>
  <c r="CL28" i="1"/>
  <c r="CM28" i="1"/>
  <c r="CN28" i="1"/>
  <c r="CQ28" i="1"/>
  <c r="CY28" i="1"/>
  <c r="U29" i="1"/>
  <c r="AC29" i="1"/>
  <c r="AD29" i="1"/>
  <c r="AE29" i="1" s="1"/>
  <c r="AF29" i="1"/>
  <c r="AG29" i="1"/>
  <c r="AJ29" i="1"/>
  <c r="AK29" i="1" s="1"/>
  <c r="AT29" i="1"/>
  <c r="AU29" i="1" s="1"/>
  <c r="AM29" i="1"/>
  <c r="AQ29" i="1"/>
  <c r="AR29" i="1" s="1"/>
  <c r="AS29" i="1"/>
  <c r="AW29" i="1"/>
  <c r="AX29" i="1" s="1"/>
  <c r="AY29" i="1"/>
  <c r="AZ29" i="1" s="1"/>
  <c r="BC29" i="1"/>
  <c r="BF29" i="1" s="1"/>
  <c r="BG29" i="1" s="1"/>
  <c r="BO29" i="1"/>
  <c r="BS28" i="1" a="1"/>
  <c r="BR28" i="1" a="1"/>
  <c r="BT28" i="1" a="1"/>
  <c r="BV28" i="1" a="1"/>
  <c r="BP29" i="1" a="1"/>
  <c r="BU28" i="1" a="1"/>
  <c r="CK28" i="1" l="1"/>
  <c r="CO28" i="1" s="1"/>
  <c r="CR28" i="1"/>
  <c r="BV28" i="1"/>
  <c r="BU28" i="1"/>
  <c r="BT28" i="1"/>
  <c r="BS28" i="1"/>
  <c r="BR28" i="1"/>
  <c r="BD29" i="1"/>
  <c r="BE29" i="1" s="1"/>
  <c r="CU28" i="1"/>
  <c r="CS28" i="1"/>
  <c r="CT28" i="1"/>
  <c r="AH29" i="1"/>
  <c r="Z29" i="1" s="1"/>
  <c r="AA29" i="1" s="1"/>
  <c r="BP29" i="1"/>
  <c r="BQ29" i="1" a="1"/>
  <c r="BH29" i="1" l="1"/>
  <c r="BI29" i="1" s="1"/>
  <c r="AV29" i="1"/>
  <c r="CW28" i="1"/>
  <c r="CX28" i="1" s="1"/>
  <c r="CV28" i="1"/>
  <c r="BQ29" i="1"/>
  <c r="CA29" i="1"/>
  <c r="CB29" i="1"/>
  <c r="CC29" i="1" s="1"/>
  <c r="CD29" i="1"/>
  <c r="CE29" i="1"/>
  <c r="CH29" i="1"/>
  <c r="CI29" i="1"/>
  <c r="CJ29" i="1"/>
  <c r="CL29" i="1"/>
  <c r="CM29" i="1"/>
  <c r="CN29" i="1"/>
  <c r="CQ29" i="1"/>
  <c r="CY29" i="1"/>
  <c r="U30" i="1"/>
  <c r="AC30" i="1"/>
  <c r="AD30" i="1"/>
  <c r="AE30" i="1" s="1"/>
  <c r="AF30" i="1"/>
  <c r="AG30" i="1"/>
  <c r="AJ30" i="1"/>
  <c r="AK30" i="1" s="1"/>
  <c r="AT30" i="1"/>
  <c r="AU30" i="1" s="1"/>
  <c r="AQ30" i="1"/>
  <c r="AR30" i="1" s="1"/>
  <c r="AS30" i="1"/>
  <c r="AW30" i="1"/>
  <c r="AX30" i="1" s="1"/>
  <c r="AY30" i="1"/>
  <c r="AZ30" i="1" s="1"/>
  <c r="BC30" i="1"/>
  <c r="BD30" i="1" s="1"/>
  <c r="BO30" i="1"/>
  <c r="BR29" i="1" a="1"/>
  <c r="BV29" i="1" a="1"/>
  <c r="BT29" i="1" a="1"/>
  <c r="BU29" i="1" a="1"/>
  <c r="BS29" i="1" a="1"/>
  <c r="BP30" i="1" a="1"/>
  <c r="CS29" i="1" l="1"/>
  <c r="CF29" i="1"/>
  <c r="BS29" i="1"/>
  <c r="BV29" i="1"/>
  <c r="BU29" i="1"/>
  <c r="BT29" i="1"/>
  <c r="BR29" i="1"/>
  <c r="BF30" i="1"/>
  <c r="BG30" i="1" s="1"/>
  <c r="CU29" i="1"/>
  <c r="CW29" i="1" s="1"/>
  <c r="CX29" i="1" s="1"/>
  <c r="CT29" i="1"/>
  <c r="AH30" i="1"/>
  <c r="Z30" i="1" s="1"/>
  <c r="AA30" i="1" s="1"/>
  <c r="BE30" i="1"/>
  <c r="BH30" i="1"/>
  <c r="BI30" i="1" s="1"/>
  <c r="CR29" i="1"/>
  <c r="CK29" i="1"/>
  <c r="CO29" i="1" s="1"/>
  <c r="AM30" i="1"/>
  <c r="AV30" i="1"/>
  <c r="BP30" i="1"/>
  <c r="BQ30" i="1" a="1"/>
  <c r="CV29" i="1" l="1"/>
  <c r="BQ30" i="1"/>
  <c r="CA30" i="1"/>
  <c r="CB30" i="1"/>
  <c r="CC30" i="1" s="1"/>
  <c r="CD30" i="1"/>
  <c r="CE30" i="1"/>
  <c r="CH30" i="1"/>
  <c r="CI30" i="1"/>
  <c r="CJ30" i="1"/>
  <c r="CL30" i="1"/>
  <c r="CM30" i="1"/>
  <c r="CN30" i="1"/>
  <c r="CQ30" i="1"/>
  <c r="CT30" i="1" s="1"/>
  <c r="CY30" i="1"/>
  <c r="U31" i="1"/>
  <c r="AC31" i="1"/>
  <c r="AD31" i="1"/>
  <c r="AE31" i="1" s="1"/>
  <c r="AF31" i="1"/>
  <c r="AG31" i="1"/>
  <c r="AJ31" i="1"/>
  <c r="AK31" i="1" s="1"/>
  <c r="AT31" i="1"/>
  <c r="AU31" i="1" s="1"/>
  <c r="AM31" i="1"/>
  <c r="AQ31" i="1"/>
  <c r="AR31" i="1" s="1"/>
  <c r="AS31" i="1"/>
  <c r="AW31" i="1"/>
  <c r="AX31" i="1" s="1"/>
  <c r="AY31" i="1"/>
  <c r="AZ31" i="1" s="1"/>
  <c r="BC31" i="1"/>
  <c r="BD31" i="1" s="1"/>
  <c r="BE31" i="1" s="1"/>
  <c r="BO31" i="1"/>
  <c r="BR30" i="1" a="1"/>
  <c r="BV30" i="1" a="1"/>
  <c r="BS30" i="1" a="1"/>
  <c r="BU30" i="1" a="1"/>
  <c r="BT30" i="1" a="1"/>
  <c r="BP31" i="1" a="1"/>
  <c r="BV30" i="1" l="1"/>
  <c r="BU30" i="1"/>
  <c r="BT30" i="1"/>
  <c r="BS30" i="1"/>
  <c r="BR30" i="1"/>
  <c r="BF31" i="1"/>
  <c r="BG31" i="1" s="1"/>
  <c r="CK30" i="1"/>
  <c r="CO30" i="1" s="1"/>
  <c r="CF30" i="1"/>
  <c r="CR30" i="1" s="1"/>
  <c r="CU30" i="1"/>
  <c r="CW30" i="1" s="1"/>
  <c r="CX30" i="1" s="1"/>
  <c r="CS30" i="1"/>
  <c r="AH31" i="1"/>
  <c r="Z31" i="1" s="1"/>
  <c r="AA31" i="1" s="1"/>
  <c r="BH31" i="1"/>
  <c r="BI31" i="1" s="1"/>
  <c r="BP31" i="1"/>
  <c r="BQ31" i="1" a="1"/>
  <c r="CV30" i="1" l="1"/>
  <c r="AV31" i="1"/>
  <c r="BQ31" i="1"/>
  <c r="CA31" i="1"/>
  <c r="CB31" i="1"/>
  <c r="CC31" i="1" s="1"/>
  <c r="CD31" i="1"/>
  <c r="CE31" i="1"/>
  <c r="CF31" i="1"/>
  <c r="CH31" i="1"/>
  <c r="CI31" i="1"/>
  <c r="CJ31" i="1"/>
  <c r="CL31" i="1"/>
  <c r="CM31" i="1"/>
  <c r="CN31" i="1"/>
  <c r="CQ31" i="1"/>
  <c r="CR31" i="1" s="1"/>
  <c r="CY31" i="1"/>
  <c r="U32" i="1"/>
  <c r="AC32" i="1"/>
  <c r="AD32" i="1"/>
  <c r="AE32" i="1" s="1"/>
  <c r="AF32" i="1"/>
  <c r="AG32" i="1"/>
  <c r="AJ32" i="1"/>
  <c r="AK32" i="1" s="1"/>
  <c r="AT32" i="1"/>
  <c r="AU32" i="1" s="1"/>
  <c r="AM32" i="1"/>
  <c r="AQ32" i="1"/>
  <c r="AR32" i="1" s="1"/>
  <c r="AS32" i="1"/>
  <c r="AW32" i="1"/>
  <c r="AX32" i="1" s="1"/>
  <c r="AY32" i="1"/>
  <c r="AZ32" i="1" s="1"/>
  <c r="BC32" i="1"/>
  <c r="BD32" i="1" s="1"/>
  <c r="BE32" i="1" s="1"/>
  <c r="BO32" i="1"/>
  <c r="BT31" i="1" a="1"/>
  <c r="BS31" i="1" a="1"/>
  <c r="BR31" i="1" a="1"/>
  <c r="BV31" i="1" a="1"/>
  <c r="BP32" i="1" a="1"/>
  <c r="BU31" i="1" a="1"/>
  <c r="BV31" i="1" l="1"/>
  <c r="BU31" i="1"/>
  <c r="BT31" i="1"/>
  <c r="BS31" i="1"/>
  <c r="BR31" i="1"/>
  <c r="CK31" i="1"/>
  <c r="BF32" i="1"/>
  <c r="BG32" i="1" s="1"/>
  <c r="CU31" i="1"/>
  <c r="CW31" i="1" s="1"/>
  <c r="CX31" i="1" s="1"/>
  <c r="CT31" i="1"/>
  <c r="CS31" i="1"/>
  <c r="AH32" i="1"/>
  <c r="Z32" i="1" s="1"/>
  <c r="AA32" i="1" s="1"/>
  <c r="BH32" i="1"/>
  <c r="BI32" i="1" s="1"/>
  <c r="CV31" i="1"/>
  <c r="CO31" i="1"/>
  <c r="AV32" i="1"/>
  <c r="BP32" i="1"/>
  <c r="CA32" i="1"/>
  <c r="CB32" i="1"/>
  <c r="CC32" i="1" s="1"/>
  <c r="CD32" i="1"/>
  <c r="CE32" i="1"/>
  <c r="CH32" i="1"/>
  <c r="CI32" i="1"/>
  <c r="CJ32" i="1"/>
  <c r="CL32" i="1"/>
  <c r="CM32" i="1"/>
  <c r="CN32" i="1"/>
  <c r="CQ32" i="1"/>
  <c r="CY32" i="1"/>
  <c r="U33" i="1"/>
  <c r="AC33" i="1"/>
  <c r="AD33" i="1"/>
  <c r="AE33" i="1" s="1"/>
  <c r="AF33" i="1"/>
  <c r="AG33" i="1"/>
  <c r="AJ33" i="1"/>
  <c r="AK33" i="1" s="1"/>
  <c r="AT33" i="1"/>
  <c r="AU33" i="1" s="1"/>
  <c r="AM33" i="1"/>
  <c r="AQ33" i="1"/>
  <c r="AR33" i="1" s="1"/>
  <c r="AS33" i="1"/>
  <c r="AW33" i="1"/>
  <c r="AX33" i="1" s="1"/>
  <c r="AY33" i="1"/>
  <c r="AZ33" i="1" s="1"/>
  <c r="BC33" i="1"/>
  <c r="BD33" i="1" s="1"/>
  <c r="BE33" i="1" s="1"/>
  <c r="BO33" i="1"/>
  <c r="BP33" i="1" a="1"/>
  <c r="BQ32" i="1" a="1"/>
  <c r="BU32" i="1" a="1"/>
  <c r="BR32" i="1" a="1"/>
  <c r="BS32" i="1" a="1"/>
  <c r="BT32" i="1" a="1"/>
  <c r="BV32" i="1" a="1"/>
  <c r="BS32" i="1" l="1"/>
  <c r="BR32" i="1"/>
  <c r="BQ32" i="1"/>
  <c r="BV32" i="1"/>
  <c r="BU32" i="1"/>
  <c r="BT32" i="1"/>
  <c r="CF32" i="1"/>
  <c r="CR32" i="1" s="1"/>
  <c r="BF33" i="1"/>
  <c r="BG33" i="1" s="1"/>
  <c r="CK32" i="1"/>
  <c r="CO32" i="1" s="1"/>
  <c r="CU32" i="1"/>
  <c r="CW32" i="1" s="1"/>
  <c r="CX32" i="1" s="1"/>
  <c r="AH33" i="1"/>
  <c r="Z33" i="1" s="1"/>
  <c r="AA33" i="1" s="1"/>
  <c r="CT32" i="1"/>
  <c r="CS32" i="1"/>
  <c r="BH33" i="1"/>
  <c r="BI33" i="1" s="1"/>
  <c r="AV33" i="1"/>
  <c r="BP33" i="1"/>
  <c r="BQ33" i="1" a="1"/>
  <c r="CV32" i="1" l="1"/>
  <c r="BQ33" i="1"/>
  <c r="CA33" i="1"/>
  <c r="CB33" i="1"/>
  <c r="CC33" i="1" s="1"/>
  <c r="CD33" i="1"/>
  <c r="CE33" i="1"/>
  <c r="CH33" i="1"/>
  <c r="CI33" i="1"/>
  <c r="CJ33" i="1"/>
  <c r="CL33" i="1"/>
  <c r="CM33" i="1"/>
  <c r="CN33" i="1"/>
  <c r="CQ33" i="1"/>
  <c r="CS33" i="1" s="1"/>
  <c r="CY33" i="1"/>
  <c r="U34" i="1"/>
  <c r="AC34" i="1"/>
  <c r="AD34" i="1"/>
  <c r="AE34" i="1" s="1"/>
  <c r="AF34" i="1"/>
  <c r="AG34" i="1"/>
  <c r="AJ34" i="1"/>
  <c r="AK34" i="1" s="1"/>
  <c r="AT34" i="1"/>
  <c r="AU34" i="1" s="1"/>
  <c r="AM34" i="1"/>
  <c r="AQ34" i="1"/>
  <c r="AR34" i="1" s="1"/>
  <c r="AS34" i="1"/>
  <c r="AW34" i="1"/>
  <c r="AX34" i="1" s="1"/>
  <c r="AY34" i="1"/>
  <c r="AZ34" i="1" s="1"/>
  <c r="BC34" i="1"/>
  <c r="BD34" i="1" s="1"/>
  <c r="BE34" i="1" s="1"/>
  <c r="BO34" i="1"/>
  <c r="BR33" i="1" a="1"/>
  <c r="BT33" i="1" a="1"/>
  <c r="BS33" i="1" a="1"/>
  <c r="BU33" i="1" a="1"/>
  <c r="BV33" i="1" a="1"/>
  <c r="BP34" i="1" a="1"/>
  <c r="CF33" i="1" l="1"/>
  <c r="BV33" i="1"/>
  <c r="BU33" i="1"/>
  <c r="BT33" i="1"/>
  <c r="BS33" i="1"/>
  <c r="BR33" i="1"/>
  <c r="AH34" i="1"/>
  <c r="Z34" i="1" s="1"/>
  <c r="AA34" i="1" s="1"/>
  <c r="BF34" i="1"/>
  <c r="BG34" i="1" s="1"/>
  <c r="CK33" i="1"/>
  <c r="CO33" i="1" s="1"/>
  <c r="CU33" i="1"/>
  <c r="CT33" i="1"/>
  <c r="CR33" i="1"/>
  <c r="BH34" i="1"/>
  <c r="BI34" i="1" s="1"/>
  <c r="BP34" i="1"/>
  <c r="BQ34" i="1" a="1"/>
  <c r="AV34" i="1" l="1"/>
  <c r="CV33" i="1"/>
  <c r="CW33" i="1"/>
  <c r="CX33" i="1" s="1"/>
  <c r="BQ34" i="1"/>
  <c r="CA34" i="1"/>
  <c r="CB34" i="1"/>
  <c r="CC34" i="1" s="1"/>
  <c r="CD34" i="1"/>
  <c r="CE34" i="1"/>
  <c r="CF34" i="1"/>
  <c r="CH34" i="1"/>
  <c r="CI34" i="1"/>
  <c r="CJ34" i="1"/>
  <c r="CL34" i="1"/>
  <c r="CM34" i="1"/>
  <c r="CN34" i="1"/>
  <c r="CQ34" i="1"/>
  <c r="CR34" i="1" s="1"/>
  <c r="CY34" i="1"/>
  <c r="U35" i="1"/>
  <c r="AC35" i="1"/>
  <c r="AD35" i="1"/>
  <c r="AE35" i="1" s="1"/>
  <c r="AF35" i="1"/>
  <c r="AG35" i="1"/>
  <c r="AJ35" i="1"/>
  <c r="AK35" i="1" s="1"/>
  <c r="AT35" i="1"/>
  <c r="AU35" i="1" s="1"/>
  <c r="AQ35" i="1"/>
  <c r="AR35" i="1" s="1"/>
  <c r="AS35" i="1"/>
  <c r="AW35" i="1"/>
  <c r="AX35" i="1" s="1"/>
  <c r="AY35" i="1"/>
  <c r="AZ35" i="1" s="1"/>
  <c r="BC35" i="1"/>
  <c r="BD35" i="1" s="1"/>
  <c r="BO35" i="1"/>
  <c r="BT34" i="1" a="1"/>
  <c r="BR34" i="1" a="1"/>
  <c r="BU34" i="1" a="1"/>
  <c r="BV34" i="1" a="1"/>
  <c r="BP35" i="1" a="1"/>
  <c r="BS34" i="1" a="1"/>
  <c r="CK34" i="1" l="1"/>
  <c r="BV34" i="1"/>
  <c r="BU34" i="1"/>
  <c r="BT34" i="1"/>
  <c r="BS34" i="1"/>
  <c r="BR34" i="1"/>
  <c r="BF35" i="1"/>
  <c r="BG35" i="1" s="1"/>
  <c r="CU34" i="1"/>
  <c r="CW34" i="1" s="1"/>
  <c r="CX34" i="1" s="1"/>
  <c r="CT34" i="1"/>
  <c r="CS34" i="1"/>
  <c r="BE35" i="1"/>
  <c r="AH35" i="1"/>
  <c r="Z35" i="1" s="1"/>
  <c r="AA35" i="1" s="1"/>
  <c r="AM35" i="1"/>
  <c r="CO34" i="1"/>
  <c r="CV34" i="1"/>
  <c r="BP35" i="1"/>
  <c r="BQ35" i="1" a="1"/>
  <c r="BH35" i="1" l="1"/>
  <c r="BI35" i="1" s="1"/>
  <c r="AV35" i="1"/>
  <c r="BQ35" i="1"/>
  <c r="CA35" i="1"/>
  <c r="CB35" i="1"/>
  <c r="CC35" i="1" s="1"/>
  <c r="CD35" i="1"/>
  <c r="CE35" i="1"/>
  <c r="CF35" i="1"/>
  <c r="CH35" i="1"/>
  <c r="CI35" i="1"/>
  <c r="CJ35" i="1"/>
  <c r="CL35" i="1"/>
  <c r="CM35" i="1"/>
  <c r="CN35" i="1"/>
  <c r="CQ35" i="1"/>
  <c r="CY35" i="1"/>
  <c r="U36" i="1"/>
  <c r="AC36" i="1"/>
  <c r="AD36" i="1"/>
  <c r="AE36" i="1" s="1"/>
  <c r="AF36" i="1"/>
  <c r="AG36" i="1"/>
  <c r="AJ36" i="1"/>
  <c r="AK36" i="1" s="1"/>
  <c r="AT36" i="1"/>
  <c r="AU36" i="1" s="1"/>
  <c r="AQ36" i="1"/>
  <c r="AR36" i="1" s="1"/>
  <c r="AS36" i="1"/>
  <c r="AW36" i="1"/>
  <c r="AX36" i="1" s="1"/>
  <c r="AY36" i="1"/>
  <c r="AZ36" i="1" s="1"/>
  <c r="BC36" i="1"/>
  <c r="BF36" i="1" s="1"/>
  <c r="BG36" i="1" s="1"/>
  <c r="BO36" i="1"/>
  <c r="BU35" i="1" a="1"/>
  <c r="BV35" i="1" a="1"/>
  <c r="BR35" i="1" a="1"/>
  <c r="BT35" i="1" a="1"/>
  <c r="BP36" i="1" a="1"/>
  <c r="BS35" i="1" a="1"/>
  <c r="BV35" i="1" l="1"/>
  <c r="BU35" i="1"/>
  <c r="BT35" i="1"/>
  <c r="BS35" i="1"/>
  <c r="BR35" i="1"/>
  <c r="AH36" i="1"/>
  <c r="Z36" i="1" s="1"/>
  <c r="AA36" i="1" s="1"/>
  <c r="CT35" i="1"/>
  <c r="CK35" i="1"/>
  <c r="CO35" i="1" s="1"/>
  <c r="CU35" i="1"/>
  <c r="BD36" i="1"/>
  <c r="BE36" i="1" s="1"/>
  <c r="CS35" i="1"/>
  <c r="CR35" i="1"/>
  <c r="AM36" i="1"/>
  <c r="BH36" i="1"/>
  <c r="BI36" i="1" s="1"/>
  <c r="BP36" i="1"/>
  <c r="BQ36" i="1" a="1"/>
  <c r="AV36" i="1" l="1"/>
  <c r="CV35" i="1"/>
  <c r="CW35" i="1"/>
  <c r="CX35" i="1" s="1"/>
  <c r="BQ36" i="1"/>
  <c r="CA36" i="1"/>
  <c r="CB36" i="1"/>
  <c r="CC36" i="1"/>
  <c r="CD36" i="1"/>
  <c r="CE36" i="1"/>
  <c r="CF36" i="1"/>
  <c r="CH36" i="1"/>
  <c r="CI36" i="1"/>
  <c r="CJ36" i="1"/>
  <c r="CL36" i="1"/>
  <c r="CM36" i="1"/>
  <c r="CN36" i="1"/>
  <c r="CQ36" i="1"/>
  <c r="CR36" i="1" s="1"/>
  <c r="CY36" i="1"/>
  <c r="U37" i="1"/>
  <c r="AC37" i="1"/>
  <c r="AD37" i="1"/>
  <c r="AE37" i="1" s="1"/>
  <c r="AF37" i="1"/>
  <c r="AG37" i="1"/>
  <c r="AJ37" i="1"/>
  <c r="AK37" i="1" s="1"/>
  <c r="AT37" i="1"/>
  <c r="AU37" i="1" s="1"/>
  <c r="AQ37" i="1"/>
  <c r="AR37" i="1" s="1"/>
  <c r="AS37" i="1"/>
  <c r="AW37" i="1"/>
  <c r="AX37" i="1" s="1"/>
  <c r="AY37" i="1"/>
  <c r="AZ37" i="1" s="1"/>
  <c r="BC37" i="1"/>
  <c r="BD37" i="1" s="1"/>
  <c r="BE37" i="1" s="1"/>
  <c r="BO37" i="1"/>
  <c r="BS36" i="1" a="1"/>
  <c r="BU36" i="1" a="1"/>
  <c r="BV36" i="1" a="1"/>
  <c r="BR36" i="1" a="1"/>
  <c r="BP37" i="1" a="1"/>
  <c r="BT36" i="1" a="1"/>
  <c r="BF37" i="1" l="1"/>
  <c r="BG37" i="1" s="1"/>
  <c r="BT36" i="1"/>
  <c r="BV36" i="1"/>
  <c r="BU36" i="1"/>
  <c r="BS36" i="1"/>
  <c r="BR36" i="1"/>
  <c r="CK36" i="1"/>
  <c r="CO36" i="1" s="1"/>
  <c r="CS36" i="1"/>
  <c r="CU36" i="1"/>
  <c r="CW36" i="1" s="1"/>
  <c r="CX36" i="1" s="1"/>
  <c r="CT36" i="1"/>
  <c r="AH37" i="1"/>
  <c r="Z37" i="1" s="1"/>
  <c r="AA37" i="1" s="1"/>
  <c r="AM37" i="1"/>
  <c r="BH37" i="1"/>
  <c r="BI37" i="1" s="1"/>
  <c r="BP37" i="1"/>
  <c r="BQ37" i="1" a="1"/>
  <c r="AV37" i="1" l="1"/>
  <c r="CV36" i="1"/>
  <c r="BQ37" i="1"/>
  <c r="CA37" i="1"/>
  <c r="CB37" i="1"/>
  <c r="CC37" i="1" s="1"/>
  <c r="CD37" i="1"/>
  <c r="CE37" i="1"/>
  <c r="CF37" i="1"/>
  <c r="CH37" i="1"/>
  <c r="CI37" i="1"/>
  <c r="CJ37" i="1"/>
  <c r="CL37" i="1"/>
  <c r="CM37" i="1"/>
  <c r="CN37" i="1"/>
  <c r="CQ37" i="1"/>
  <c r="CR37" i="1" s="1"/>
  <c r="CY37" i="1"/>
  <c r="U38" i="1"/>
  <c r="AC38" i="1"/>
  <c r="AD38" i="1"/>
  <c r="AE38" i="1" s="1"/>
  <c r="AF38" i="1"/>
  <c r="AG38" i="1"/>
  <c r="AJ38" i="1"/>
  <c r="AK38" i="1" s="1"/>
  <c r="AT38" i="1"/>
  <c r="AU38" i="1" s="1"/>
  <c r="AQ38" i="1"/>
  <c r="AR38" i="1" s="1"/>
  <c r="AS38" i="1"/>
  <c r="AW38" i="1"/>
  <c r="AX38" i="1" s="1"/>
  <c r="AY38" i="1"/>
  <c r="AZ38" i="1" s="1"/>
  <c r="BC38" i="1"/>
  <c r="BD38" i="1" s="1"/>
  <c r="BE38" i="1" s="1"/>
  <c r="BO38" i="1"/>
  <c r="BS37" i="1" a="1"/>
  <c r="BV37" i="1" a="1"/>
  <c r="BR37" i="1" a="1"/>
  <c r="BT37" i="1" a="1"/>
  <c r="BP38" i="1" a="1"/>
  <c r="BU37" i="1" a="1"/>
  <c r="CK37" i="1" l="1"/>
  <c r="AH38" i="1"/>
  <c r="Z38" i="1" s="1"/>
  <c r="AA38" i="1" s="1"/>
  <c r="BS37" i="1"/>
  <c r="BT37" i="1"/>
  <c r="BV37" i="1"/>
  <c r="BU37" i="1"/>
  <c r="BR37" i="1"/>
  <c r="CU37" i="1"/>
  <c r="CW37" i="1" s="1"/>
  <c r="CX37" i="1" s="1"/>
  <c r="CT37" i="1"/>
  <c r="BF38" i="1"/>
  <c r="BG38" i="1" s="1"/>
  <c r="CS37" i="1"/>
  <c r="AM38" i="1"/>
  <c r="BH38" i="1"/>
  <c r="BI38" i="1" s="1"/>
  <c r="CV37" i="1"/>
  <c r="CO37" i="1"/>
  <c r="AV38" i="1"/>
  <c r="BP38" i="1"/>
  <c r="CA38" i="1"/>
  <c r="CB38" i="1"/>
  <c r="CC38" i="1" s="1"/>
  <c r="CD38" i="1"/>
  <c r="CE38" i="1"/>
  <c r="CH38" i="1"/>
  <c r="CI38" i="1"/>
  <c r="CJ38" i="1"/>
  <c r="CL38" i="1"/>
  <c r="CM38" i="1"/>
  <c r="CN38" i="1"/>
  <c r="CQ38" i="1"/>
  <c r="CY38" i="1"/>
  <c r="U39" i="1"/>
  <c r="AC39" i="1"/>
  <c r="AD39" i="1"/>
  <c r="AE39" i="1" s="1"/>
  <c r="AF39" i="1"/>
  <c r="AG39" i="1"/>
  <c r="AJ39" i="1"/>
  <c r="AK39" i="1" s="1"/>
  <c r="AT39" i="1"/>
  <c r="AU39" i="1" s="1"/>
  <c r="AM39" i="1"/>
  <c r="AQ39" i="1"/>
  <c r="AR39" i="1" s="1"/>
  <c r="AS39" i="1"/>
  <c r="AW39" i="1"/>
  <c r="AX39" i="1" s="1"/>
  <c r="AY39" i="1"/>
  <c r="AZ39" i="1" s="1"/>
  <c r="BC39" i="1"/>
  <c r="BD39" i="1" s="1"/>
  <c r="BO39" i="1"/>
  <c r="BS38" i="1" a="1"/>
  <c r="BT38" i="1" a="1"/>
  <c r="BQ38" i="1" a="1"/>
  <c r="BU38" i="1" a="1"/>
  <c r="BV38" i="1" a="1"/>
  <c r="BP39" i="1" a="1"/>
  <c r="BR38" i="1" a="1"/>
  <c r="CF38" i="1" l="1"/>
  <c r="CR38" i="1" s="1"/>
  <c r="BT38" i="1"/>
  <c r="BS38" i="1"/>
  <c r="BR38" i="1"/>
  <c r="BQ38" i="1"/>
  <c r="BV38" i="1"/>
  <c r="BU38" i="1"/>
  <c r="BF39" i="1"/>
  <c r="BG39" i="1" s="1"/>
  <c r="AH39" i="1"/>
  <c r="Z39" i="1" s="1"/>
  <c r="AA39" i="1" s="1"/>
  <c r="CU38" i="1"/>
  <c r="CW38" i="1" s="1"/>
  <c r="CX38" i="1" s="1"/>
  <c r="CT38" i="1"/>
  <c r="BE39" i="1"/>
  <c r="CS38" i="1"/>
  <c r="CK38" i="1"/>
  <c r="CO38" i="1" s="1"/>
  <c r="AV39" i="1"/>
  <c r="BP39" i="1"/>
  <c r="BQ39" i="1" a="1"/>
  <c r="BH39" i="1" l="1"/>
  <c r="BI39" i="1" s="1"/>
  <c r="CV38" i="1"/>
  <c r="BQ39" i="1"/>
  <c r="CA39" i="1"/>
  <c r="CB39" i="1"/>
  <c r="CC39" i="1" s="1"/>
  <c r="CD39" i="1"/>
  <c r="CE39" i="1"/>
  <c r="CF39" i="1"/>
  <c r="CH39" i="1"/>
  <c r="CI39" i="1"/>
  <c r="CJ39" i="1"/>
  <c r="CL39" i="1"/>
  <c r="CM39" i="1"/>
  <c r="CN39" i="1"/>
  <c r="CQ39" i="1"/>
  <c r="CS39" i="1" s="1"/>
  <c r="CY39" i="1"/>
  <c r="U40" i="1"/>
  <c r="AC40" i="1"/>
  <c r="AD40" i="1"/>
  <c r="AE40" i="1" s="1"/>
  <c r="AF40" i="1"/>
  <c r="AG40" i="1"/>
  <c r="AJ40" i="1"/>
  <c r="AK40" i="1" s="1"/>
  <c r="AT40" i="1"/>
  <c r="AU40" i="1" s="1"/>
  <c r="AQ40" i="1"/>
  <c r="AR40" i="1" s="1"/>
  <c r="AS40" i="1"/>
  <c r="AW40" i="1"/>
  <c r="AX40" i="1" s="1"/>
  <c r="AY40" i="1"/>
  <c r="AZ40" i="1" s="1"/>
  <c r="BC40" i="1"/>
  <c r="BD40" i="1" s="1"/>
  <c r="BE40" i="1" s="1"/>
  <c r="BO40" i="1"/>
  <c r="BR39" i="1" a="1"/>
  <c r="BU39" i="1" a="1"/>
  <c r="BV39" i="1" a="1"/>
  <c r="BP40" i="1" a="1"/>
  <c r="BS39" i="1" a="1"/>
  <c r="BT39" i="1" a="1"/>
  <c r="BV39" i="1" l="1"/>
  <c r="BU39" i="1"/>
  <c r="BT39" i="1"/>
  <c r="BS39" i="1"/>
  <c r="BR39" i="1"/>
  <c r="CU39" i="1"/>
  <c r="CW39" i="1" s="1"/>
  <c r="CX39" i="1" s="1"/>
  <c r="CT39" i="1"/>
  <c r="CR39" i="1"/>
  <c r="BF40" i="1"/>
  <c r="BG40" i="1" s="1"/>
  <c r="AH40" i="1"/>
  <c r="Z40" i="1" s="1"/>
  <c r="AA40" i="1" s="1"/>
  <c r="AM40" i="1"/>
  <c r="CK39" i="1"/>
  <c r="CO39" i="1" s="1"/>
  <c r="BH40" i="1"/>
  <c r="BI40" i="1" s="1"/>
  <c r="BP40" i="1"/>
  <c r="BQ40" i="1" a="1"/>
  <c r="AV40" i="1" l="1"/>
  <c r="CV39" i="1"/>
  <c r="BQ40" i="1"/>
  <c r="CA40" i="1"/>
  <c r="CB40" i="1"/>
  <c r="CC40" i="1" s="1"/>
  <c r="CD40" i="1"/>
  <c r="CE40" i="1"/>
  <c r="CF40" i="1"/>
  <c r="CH40" i="1"/>
  <c r="CI40" i="1"/>
  <c r="CJ40" i="1"/>
  <c r="CL40" i="1"/>
  <c r="CM40" i="1"/>
  <c r="CN40" i="1"/>
  <c r="CQ40" i="1"/>
  <c r="CY40" i="1"/>
  <c r="U41" i="1"/>
  <c r="AC41" i="1"/>
  <c r="AD41" i="1"/>
  <c r="AE41" i="1" s="1"/>
  <c r="AF41" i="1"/>
  <c r="AG41" i="1"/>
  <c r="AJ41" i="1"/>
  <c r="AK41" i="1" s="1"/>
  <c r="AT41" i="1"/>
  <c r="AU41" i="1" s="1"/>
  <c r="AM41" i="1"/>
  <c r="AQ41" i="1"/>
  <c r="AR41" i="1" s="1"/>
  <c r="AS41" i="1"/>
  <c r="AW41" i="1"/>
  <c r="AX41" i="1" s="1"/>
  <c r="AY41" i="1"/>
  <c r="AZ41" i="1" s="1"/>
  <c r="BC41" i="1"/>
  <c r="BD41" i="1" s="1"/>
  <c r="BE41" i="1" s="1"/>
  <c r="BO41" i="1"/>
  <c r="BR40" i="1" a="1"/>
  <c r="BS40" i="1" a="1"/>
  <c r="BP41" i="1" a="1"/>
  <c r="BV40" i="1" a="1"/>
  <c r="BU40" i="1" a="1"/>
  <c r="BT40" i="1" a="1"/>
  <c r="BF41" i="1" l="1"/>
  <c r="BG41" i="1" s="1"/>
  <c r="CR40" i="1"/>
  <c r="BV40" i="1"/>
  <c r="BU40" i="1"/>
  <c r="BT40" i="1"/>
  <c r="BS40" i="1"/>
  <c r="BR40" i="1"/>
  <c r="CU40" i="1"/>
  <c r="CW40" i="1" s="1"/>
  <c r="CX40" i="1" s="1"/>
  <c r="CT40" i="1"/>
  <c r="CS40" i="1"/>
  <c r="AH41" i="1"/>
  <c r="Z41" i="1" s="1"/>
  <c r="AA41" i="1" s="1"/>
  <c r="CK40" i="1"/>
  <c r="CV40" i="1" s="1"/>
  <c r="BP41" i="1"/>
  <c r="CA41" i="1"/>
  <c r="CB41" i="1"/>
  <c r="CC41" i="1" s="1"/>
  <c r="CD41" i="1"/>
  <c r="CE41" i="1"/>
  <c r="CH41" i="1"/>
  <c r="CI41" i="1"/>
  <c r="CJ41" i="1"/>
  <c r="CL41" i="1"/>
  <c r="CM41" i="1"/>
  <c r="CN41" i="1"/>
  <c r="CQ41" i="1"/>
  <c r="CY41" i="1"/>
  <c r="U42" i="1"/>
  <c r="AC42" i="1"/>
  <c r="AD42" i="1"/>
  <c r="AE42" i="1" s="1"/>
  <c r="AF42" i="1"/>
  <c r="AG42" i="1"/>
  <c r="AJ42" i="1"/>
  <c r="AK42" i="1" s="1"/>
  <c r="AT42" i="1"/>
  <c r="AU42" i="1" s="1"/>
  <c r="AM42" i="1"/>
  <c r="AQ42" i="1"/>
  <c r="AR42" i="1" s="1"/>
  <c r="AS42" i="1"/>
  <c r="AW42" i="1"/>
  <c r="AX42" i="1" s="1"/>
  <c r="AY42" i="1"/>
  <c r="AZ42" i="1" s="1"/>
  <c r="BC42" i="1"/>
  <c r="BF42" i="1" s="1"/>
  <c r="BG42" i="1" s="1"/>
  <c r="BO42" i="1"/>
  <c r="BU41" i="1" a="1"/>
  <c r="BP42" i="1" a="1"/>
  <c r="BR41" i="1" a="1"/>
  <c r="BS41" i="1" a="1"/>
  <c r="BV41" i="1" a="1"/>
  <c r="BT41" i="1" a="1"/>
  <c r="BQ41" i="1" a="1"/>
  <c r="CF41" i="1" l="1"/>
  <c r="BH41" i="1"/>
  <c r="BI41" i="1" s="1"/>
  <c r="AV41" i="1"/>
  <c r="CO40" i="1"/>
  <c r="CR41" i="1"/>
  <c r="BT41" i="1"/>
  <c r="BS41" i="1"/>
  <c r="BR41" i="1"/>
  <c r="BQ41" i="1"/>
  <c r="BV41" i="1"/>
  <c r="BU41" i="1"/>
  <c r="AH42" i="1"/>
  <c r="Z42" i="1" s="1"/>
  <c r="AA42" i="1" s="1"/>
  <c r="BD42" i="1"/>
  <c r="BH42" i="1" s="1"/>
  <c r="BI42" i="1" s="1"/>
  <c r="CU41" i="1"/>
  <c r="CW41" i="1" s="1"/>
  <c r="CX41" i="1" s="1"/>
  <c r="CS41" i="1"/>
  <c r="CT41" i="1"/>
  <c r="BE42" i="1"/>
  <c r="CK41" i="1"/>
  <c r="CO41" i="1" s="1"/>
  <c r="AV42" i="1"/>
  <c r="BP42" i="1"/>
  <c r="BQ42" i="1" a="1"/>
  <c r="CV41" i="1" l="1"/>
  <c r="BQ42" i="1"/>
  <c r="CA42" i="1"/>
  <c r="CB42" i="1"/>
  <c r="CC42" i="1" s="1"/>
  <c r="CD42" i="1"/>
  <c r="CE42" i="1"/>
  <c r="CF42" i="1"/>
  <c r="CH42" i="1"/>
  <c r="CI42" i="1"/>
  <c r="CJ42" i="1"/>
  <c r="CL42" i="1"/>
  <c r="CM42" i="1"/>
  <c r="CN42" i="1"/>
  <c r="CQ42" i="1"/>
  <c r="CY42" i="1"/>
  <c r="U43" i="1"/>
  <c r="AC43" i="1"/>
  <c r="AD43" i="1"/>
  <c r="AE43" i="1" s="1"/>
  <c r="AF43" i="1"/>
  <c r="AG43" i="1"/>
  <c r="AJ43" i="1"/>
  <c r="AK43" i="1" s="1"/>
  <c r="AT43" i="1"/>
  <c r="AU43" i="1" s="1"/>
  <c r="AM43" i="1"/>
  <c r="AQ43" i="1"/>
  <c r="AR43" i="1" s="1"/>
  <c r="AS43" i="1"/>
  <c r="AW43" i="1"/>
  <c r="AX43" i="1" s="1"/>
  <c r="AY43" i="1"/>
  <c r="AZ43" i="1" s="1"/>
  <c r="BC43" i="1"/>
  <c r="BD43" i="1" s="1"/>
  <c r="BO43" i="1"/>
  <c r="BR42" i="1" a="1"/>
  <c r="BS42" i="1" a="1"/>
  <c r="BP43" i="1" a="1"/>
  <c r="BT42" i="1" a="1"/>
  <c r="BV42" i="1" a="1"/>
  <c r="BU42" i="1" a="1"/>
  <c r="AH43" i="1" l="1"/>
  <c r="Z43" i="1" s="1"/>
  <c r="AA43" i="1" s="1"/>
  <c r="BV42" i="1"/>
  <c r="BU42" i="1"/>
  <c r="BT42" i="1"/>
  <c r="BS42" i="1"/>
  <c r="BR42" i="1"/>
  <c r="CR42" i="1"/>
  <c r="CK42" i="1"/>
  <c r="CO42" i="1" s="1"/>
  <c r="BE43" i="1"/>
  <c r="CT42" i="1"/>
  <c r="CU42" i="1"/>
  <c r="CS42" i="1"/>
  <c r="BF43" i="1"/>
  <c r="BG43" i="1" s="1"/>
  <c r="BP43" i="1"/>
  <c r="BQ43" i="1" a="1"/>
  <c r="AV43" i="1" l="1"/>
  <c r="CW42" i="1"/>
  <c r="CX42" i="1" s="1"/>
  <c r="CV42" i="1"/>
  <c r="BH43" i="1"/>
  <c r="BI43" i="1" s="1"/>
  <c r="BQ43" i="1"/>
  <c r="CA43" i="1"/>
  <c r="CB43" i="1"/>
  <c r="CC43" i="1" s="1"/>
  <c r="CD43" i="1"/>
  <c r="CE43" i="1"/>
  <c r="CH43" i="1"/>
  <c r="CI43" i="1"/>
  <c r="CJ43" i="1"/>
  <c r="CL43" i="1"/>
  <c r="CM43" i="1"/>
  <c r="CN43" i="1"/>
  <c r="CQ43" i="1"/>
  <c r="CY43" i="1"/>
  <c r="U44" i="1"/>
  <c r="AC44" i="1"/>
  <c r="AD44" i="1"/>
  <c r="AE44" i="1" s="1"/>
  <c r="AF44" i="1"/>
  <c r="AG44" i="1"/>
  <c r="AJ44" i="1"/>
  <c r="AK44" i="1" s="1"/>
  <c r="AT44" i="1"/>
  <c r="AU44" i="1" s="1"/>
  <c r="AQ44" i="1"/>
  <c r="AR44" i="1" s="1"/>
  <c r="AS44" i="1"/>
  <c r="AW44" i="1"/>
  <c r="AX44" i="1" s="1"/>
  <c r="AY44" i="1"/>
  <c r="AZ44" i="1" s="1"/>
  <c r="BC44" i="1"/>
  <c r="BD44" i="1" s="1"/>
  <c r="BO44" i="1"/>
  <c r="BR43" i="1" a="1"/>
  <c r="BV43" i="1" a="1"/>
  <c r="BT43" i="1" a="1"/>
  <c r="BS43" i="1" a="1"/>
  <c r="BP44" i="1" a="1"/>
  <c r="BU43" i="1" a="1"/>
  <c r="AH44" i="1" l="1"/>
  <c r="Z44" i="1" s="1"/>
  <c r="AA44" i="1" s="1"/>
  <c r="BS43" i="1"/>
  <c r="BV43" i="1"/>
  <c r="BU43" i="1"/>
  <c r="BT43" i="1"/>
  <c r="BR43" i="1"/>
  <c r="BF44" i="1"/>
  <c r="BG44" i="1" s="1"/>
  <c r="CF43" i="1"/>
  <c r="CR43" i="1" s="1"/>
  <c r="BE44" i="1"/>
  <c r="BH44" i="1"/>
  <c r="BI44" i="1" s="1"/>
  <c r="CU43" i="1"/>
  <c r="CW43" i="1" s="1"/>
  <c r="CX43" i="1" s="1"/>
  <c r="CT43" i="1"/>
  <c r="CS43" i="1"/>
  <c r="CK43" i="1"/>
  <c r="CO43" i="1" s="1"/>
  <c r="AV44" i="1"/>
  <c r="AM44" i="1"/>
  <c r="BP44" i="1"/>
  <c r="BQ44" i="1" a="1"/>
  <c r="CV43" i="1" l="1"/>
  <c r="BQ44" i="1"/>
  <c r="CA44" i="1"/>
  <c r="CB44" i="1"/>
  <c r="CC44" i="1" s="1"/>
  <c r="CD44" i="1"/>
  <c r="CE44" i="1"/>
  <c r="CF44" i="1"/>
  <c r="CH44" i="1"/>
  <c r="CI44" i="1"/>
  <c r="CJ44" i="1"/>
  <c r="CL44" i="1"/>
  <c r="CM44" i="1"/>
  <c r="CN44" i="1"/>
  <c r="CQ44" i="1"/>
  <c r="CS44" i="1" s="1"/>
  <c r="CY44" i="1"/>
  <c r="U45" i="1"/>
  <c r="AC45" i="1"/>
  <c r="AD45" i="1"/>
  <c r="AE45" i="1" s="1"/>
  <c r="AF45" i="1"/>
  <c r="AG45" i="1"/>
  <c r="AJ45" i="1"/>
  <c r="AK45" i="1" s="1"/>
  <c r="AM45" i="1"/>
  <c r="AQ45" i="1"/>
  <c r="AR45" i="1" s="1"/>
  <c r="AS45" i="1"/>
  <c r="AW45" i="1"/>
  <c r="AX45" i="1" s="1"/>
  <c r="AY45" i="1"/>
  <c r="AZ45" i="1" s="1"/>
  <c r="BC45" i="1"/>
  <c r="BD45" i="1" s="1"/>
  <c r="BE45" i="1" s="1"/>
  <c r="BF45" i="1"/>
  <c r="BG45" i="1" s="1"/>
  <c r="BO45" i="1"/>
  <c r="BV44" i="1" a="1"/>
  <c r="BP45" i="1" a="1"/>
  <c r="BU44" i="1" a="1"/>
  <c r="BR44" i="1" a="1"/>
  <c r="BT44" i="1" a="1"/>
  <c r="BS44" i="1" a="1"/>
  <c r="BV44" i="1" l="1"/>
  <c r="BU44" i="1"/>
  <c r="BT44" i="1"/>
  <c r="BS44" i="1"/>
  <c r="BR44" i="1"/>
  <c r="CK44" i="1"/>
  <c r="CT44" i="1"/>
  <c r="CR44" i="1"/>
  <c r="CU44" i="1"/>
  <c r="CW44" i="1" s="1"/>
  <c r="CX44" i="1" s="1"/>
  <c r="AH45" i="1"/>
  <c r="Z45" i="1" s="1"/>
  <c r="AA45" i="1" s="1"/>
  <c r="CO44" i="1"/>
  <c r="BH45" i="1"/>
  <c r="BI45" i="1" s="1"/>
  <c r="AT45" i="1"/>
  <c r="AU45" i="1" s="1"/>
  <c r="BP45" i="1"/>
  <c r="BQ45" i="1" a="1"/>
  <c r="CV44" i="1" l="1"/>
  <c r="AV45" i="1"/>
  <c r="BQ45" i="1"/>
  <c r="CA45" i="1"/>
  <c r="CB45" i="1"/>
  <c r="CC45" i="1" s="1"/>
  <c r="CD45" i="1"/>
  <c r="CE45" i="1"/>
  <c r="CF45" i="1"/>
  <c r="CH45" i="1"/>
  <c r="CI45" i="1"/>
  <c r="CJ45" i="1"/>
  <c r="CL45" i="1"/>
  <c r="CM45" i="1"/>
  <c r="CN45" i="1"/>
  <c r="CQ45" i="1"/>
  <c r="CR45" i="1" s="1"/>
  <c r="CY45" i="1"/>
  <c r="U46" i="1"/>
  <c r="AC46" i="1"/>
  <c r="AD46" i="1"/>
  <c r="AE46" i="1" s="1"/>
  <c r="AF46" i="1"/>
  <c r="AG46" i="1"/>
  <c r="AJ46" i="1"/>
  <c r="AK46" i="1" s="1"/>
  <c r="AT46" i="1"/>
  <c r="AU46" i="1" s="1"/>
  <c r="AQ46" i="1"/>
  <c r="AR46" i="1" s="1"/>
  <c r="AS46" i="1"/>
  <c r="AW46" i="1"/>
  <c r="AX46" i="1" s="1"/>
  <c r="AY46" i="1"/>
  <c r="AZ46" i="1" s="1"/>
  <c r="BC46" i="1"/>
  <c r="BD46" i="1" s="1"/>
  <c r="BE46" i="1" s="1"/>
  <c r="BO46" i="1"/>
  <c r="BR45" i="1" a="1"/>
  <c r="BP46" i="1" a="1"/>
  <c r="BT45" i="1" a="1"/>
  <c r="BS45" i="1" a="1"/>
  <c r="BV45" i="1" a="1"/>
  <c r="BU45" i="1" a="1"/>
  <c r="BF46" i="1" l="1"/>
  <c r="BG46" i="1" s="1"/>
  <c r="BV45" i="1"/>
  <c r="BU45" i="1"/>
  <c r="BT45" i="1"/>
  <c r="BS45" i="1"/>
  <c r="BR45" i="1"/>
  <c r="CU45" i="1"/>
  <c r="CW45" i="1" s="1"/>
  <c r="CX45" i="1" s="1"/>
  <c r="CT45" i="1"/>
  <c r="CS45" i="1"/>
  <c r="AH46" i="1"/>
  <c r="Z46" i="1" s="1"/>
  <c r="AA46" i="1" s="1"/>
  <c r="CK45" i="1"/>
  <c r="CV45" i="1" s="1"/>
  <c r="CO45" i="1"/>
  <c r="AV46" i="1"/>
  <c r="AM46" i="1"/>
  <c r="BP46" i="1"/>
  <c r="CA46" i="1"/>
  <c r="CB46" i="1"/>
  <c r="CC46" i="1" s="1"/>
  <c r="CD46" i="1"/>
  <c r="CE46" i="1"/>
  <c r="CH46" i="1"/>
  <c r="CI46" i="1"/>
  <c r="CJ46" i="1"/>
  <c r="CL46" i="1"/>
  <c r="CM46" i="1"/>
  <c r="CN46" i="1"/>
  <c r="CQ46" i="1"/>
  <c r="CY46" i="1"/>
  <c r="U47" i="1"/>
  <c r="AC47" i="1"/>
  <c r="AD47" i="1"/>
  <c r="AE47" i="1" s="1"/>
  <c r="AF47" i="1"/>
  <c r="AG47" i="1"/>
  <c r="AJ47" i="1"/>
  <c r="AK47" i="1" s="1"/>
  <c r="AT47" i="1"/>
  <c r="AU47" i="1" s="1"/>
  <c r="AM47" i="1"/>
  <c r="AQ47" i="1"/>
  <c r="AR47" i="1" s="1"/>
  <c r="AS47" i="1"/>
  <c r="AW47" i="1"/>
  <c r="AX47" i="1" s="1"/>
  <c r="AY47" i="1"/>
  <c r="AZ47" i="1" s="1"/>
  <c r="BC47" i="1"/>
  <c r="BD47" i="1" s="1"/>
  <c r="BE47" i="1" s="1"/>
  <c r="BO47" i="1"/>
  <c r="BU46" i="1" a="1"/>
  <c r="BQ46" i="1" a="1"/>
  <c r="BR46" i="1" a="1"/>
  <c r="BV46" i="1" a="1"/>
  <c r="BP47" i="1" a="1"/>
  <c r="BS46" i="1" a="1"/>
  <c r="BT46" i="1" a="1"/>
  <c r="BH46" i="1" l="1"/>
  <c r="BI46" i="1" s="1"/>
  <c r="CF46" i="1"/>
  <c r="CR46" i="1" s="1"/>
  <c r="CK46" i="1"/>
  <c r="BR46" i="1"/>
  <c r="BT46" i="1"/>
  <c r="BV46" i="1"/>
  <c r="BS46" i="1"/>
  <c r="BU46" i="1"/>
  <c r="BQ46" i="1"/>
  <c r="AH47" i="1"/>
  <c r="Z47" i="1" s="1"/>
  <c r="AA47" i="1" s="1"/>
  <c r="BF47" i="1"/>
  <c r="BG47" i="1" s="1"/>
  <c r="CT46" i="1"/>
  <c r="CU46" i="1"/>
  <c r="CW46" i="1" s="1"/>
  <c r="CX46" i="1" s="1"/>
  <c r="CS46" i="1"/>
  <c r="CO46" i="1"/>
  <c r="BH47" i="1"/>
  <c r="BI47" i="1" s="1"/>
  <c r="AV47" i="1"/>
  <c r="BP47" i="1"/>
  <c r="BQ47" i="1" a="1"/>
  <c r="CV46" i="1" l="1"/>
  <c r="BQ47" i="1"/>
  <c r="CA47" i="1"/>
  <c r="CB47" i="1"/>
  <c r="CC47" i="1" s="1"/>
  <c r="CD47" i="1"/>
  <c r="CE47" i="1"/>
  <c r="CH47" i="1"/>
  <c r="CI47" i="1"/>
  <c r="CJ47" i="1"/>
  <c r="CL47" i="1"/>
  <c r="CM47" i="1"/>
  <c r="CN47" i="1"/>
  <c r="CQ47" i="1"/>
  <c r="CS47" i="1" s="1"/>
  <c r="CY47" i="1"/>
  <c r="U48" i="1"/>
  <c r="AC48" i="1"/>
  <c r="AD48" i="1"/>
  <c r="AE48" i="1" s="1"/>
  <c r="AF48" i="1"/>
  <c r="AG48" i="1"/>
  <c r="AJ48" i="1"/>
  <c r="AK48" i="1" s="1"/>
  <c r="AT48" i="1"/>
  <c r="AU48" i="1" s="1"/>
  <c r="AM48" i="1"/>
  <c r="AQ48" i="1"/>
  <c r="AR48" i="1" s="1"/>
  <c r="AS48" i="1"/>
  <c r="AW48" i="1"/>
  <c r="AX48" i="1" s="1"/>
  <c r="AY48" i="1"/>
  <c r="AZ48" i="1" s="1"/>
  <c r="BC48" i="1"/>
  <c r="BD48" i="1" s="1"/>
  <c r="BE48" i="1" s="1"/>
  <c r="BO48" i="1"/>
  <c r="BR47" i="1" a="1"/>
  <c r="BV47" i="1" a="1"/>
  <c r="BT47" i="1" a="1"/>
  <c r="BS47" i="1" a="1"/>
  <c r="BP48" i="1" a="1"/>
  <c r="BU47" i="1" a="1"/>
  <c r="CF47" i="1" l="1"/>
  <c r="BF48" i="1"/>
  <c r="BG48" i="1" s="1"/>
  <c r="BV47" i="1"/>
  <c r="BU47" i="1"/>
  <c r="BT47" i="1"/>
  <c r="BS47" i="1"/>
  <c r="BR47" i="1"/>
  <c r="AH48" i="1"/>
  <c r="Z48" i="1" s="1"/>
  <c r="AA48" i="1" s="1"/>
  <c r="CK47" i="1"/>
  <c r="CO47" i="1" s="1"/>
  <c r="CT47" i="1"/>
  <c r="CU47" i="1"/>
  <c r="BH48" i="1"/>
  <c r="BI48" i="1" s="1"/>
  <c r="AV48" i="1"/>
  <c r="CR47" i="1"/>
  <c r="BP48" i="1"/>
  <c r="BQ48" i="1" a="1"/>
  <c r="CV47" i="1" l="1"/>
  <c r="CW47" i="1"/>
  <c r="CX47" i="1" s="1"/>
  <c r="BQ48" i="1"/>
  <c r="CA48" i="1"/>
  <c r="CB48" i="1"/>
  <c r="CC48" i="1" s="1"/>
  <c r="CD48" i="1"/>
  <c r="CE48" i="1"/>
  <c r="CF48" i="1"/>
  <c r="CH48" i="1"/>
  <c r="CI48" i="1"/>
  <c r="CJ48" i="1"/>
  <c r="CL48" i="1"/>
  <c r="CM48" i="1"/>
  <c r="CN48" i="1"/>
  <c r="CQ48" i="1"/>
  <c r="CS48" i="1" s="1"/>
  <c r="CY48" i="1"/>
  <c r="U49" i="1"/>
  <c r="AC49" i="1"/>
  <c r="AD49" i="1"/>
  <c r="AE49" i="1" s="1"/>
  <c r="AF49" i="1"/>
  <c r="AG49" i="1"/>
  <c r="AJ49" i="1"/>
  <c r="AK49" i="1" s="1"/>
  <c r="AT49" i="1"/>
  <c r="AU49" i="1" s="1"/>
  <c r="AM49" i="1"/>
  <c r="AQ49" i="1"/>
  <c r="AR49" i="1" s="1"/>
  <c r="AS49" i="1"/>
  <c r="AW49" i="1"/>
  <c r="AX49" i="1" s="1"/>
  <c r="AY49" i="1"/>
  <c r="AZ49" i="1" s="1"/>
  <c r="BC49" i="1"/>
  <c r="BD49" i="1" s="1"/>
  <c r="BE49" i="1" s="1"/>
  <c r="BO49" i="1"/>
  <c r="BV48" i="1" a="1"/>
  <c r="BP49" i="1" a="1"/>
  <c r="BS48" i="1" a="1"/>
  <c r="BT48" i="1" a="1"/>
  <c r="BR48" i="1" a="1"/>
  <c r="BU48" i="1" a="1"/>
  <c r="CK48" i="1" l="1"/>
  <c r="BV48" i="1"/>
  <c r="BU48" i="1"/>
  <c r="BT48" i="1"/>
  <c r="BS48" i="1"/>
  <c r="BR48" i="1"/>
  <c r="AH49" i="1"/>
  <c r="Z49" i="1" s="1"/>
  <c r="AA49" i="1" s="1"/>
  <c r="BF49" i="1"/>
  <c r="BG49" i="1" s="1"/>
  <c r="CU48" i="1"/>
  <c r="CW48" i="1" s="1"/>
  <c r="CX48" i="1" s="1"/>
  <c r="BH49" i="1"/>
  <c r="BI49" i="1" s="1"/>
  <c r="CT48" i="1"/>
  <c r="AV49" i="1"/>
  <c r="CR48" i="1"/>
  <c r="BP49" i="1"/>
  <c r="CA49" i="1"/>
  <c r="CB49" i="1"/>
  <c r="CC49" i="1" s="1"/>
  <c r="CD49" i="1"/>
  <c r="CE49" i="1"/>
  <c r="CH49" i="1"/>
  <c r="CI49" i="1"/>
  <c r="CJ49" i="1"/>
  <c r="CL49" i="1"/>
  <c r="CM49" i="1"/>
  <c r="CN49" i="1"/>
  <c r="CQ49" i="1"/>
  <c r="CY49" i="1"/>
  <c r="U50" i="1"/>
  <c r="AC50" i="1"/>
  <c r="AD50" i="1"/>
  <c r="AE50" i="1" s="1"/>
  <c r="AF50" i="1"/>
  <c r="AG50" i="1"/>
  <c r="AJ50" i="1"/>
  <c r="AK50" i="1" s="1"/>
  <c r="AT50" i="1"/>
  <c r="AU50" i="1" s="1"/>
  <c r="AM50" i="1"/>
  <c r="AQ50" i="1"/>
  <c r="AR50" i="1" s="1"/>
  <c r="AS50" i="1"/>
  <c r="AW50" i="1"/>
  <c r="AX50" i="1" s="1"/>
  <c r="AY50" i="1"/>
  <c r="AZ50" i="1" s="1"/>
  <c r="BC50" i="1"/>
  <c r="BD50" i="1" s="1"/>
  <c r="BE50" i="1" s="1"/>
  <c r="BO50" i="1"/>
  <c r="BT49" i="1" a="1"/>
  <c r="BR49" i="1" a="1"/>
  <c r="BS49" i="1" a="1"/>
  <c r="BV49" i="1" a="1"/>
  <c r="BQ49" i="1" a="1"/>
  <c r="BU49" i="1" a="1"/>
  <c r="BP50" i="1" a="1"/>
  <c r="CF49" i="1" l="1"/>
  <c r="CV48" i="1"/>
  <c r="CO48" i="1"/>
  <c r="CR49" i="1"/>
  <c r="BS49" i="1"/>
  <c r="BR49" i="1"/>
  <c r="BT49" i="1"/>
  <c r="BQ49" i="1"/>
  <c r="BU49" i="1"/>
  <c r="BV49" i="1"/>
  <c r="BF50" i="1"/>
  <c r="BG50" i="1" s="1"/>
  <c r="CU49" i="1"/>
  <c r="CW49" i="1" s="1"/>
  <c r="CX49" i="1" s="1"/>
  <c r="CT49" i="1"/>
  <c r="CS49" i="1"/>
  <c r="AH50" i="1"/>
  <c r="Z50" i="1" s="1"/>
  <c r="AA50" i="1" s="1"/>
  <c r="CK49" i="1"/>
  <c r="CO49" i="1" s="1"/>
  <c r="BP50" i="1"/>
  <c r="BQ50" i="1" a="1"/>
  <c r="CV49" i="1" l="1"/>
  <c r="AV50" i="1"/>
  <c r="BH50" i="1"/>
  <c r="BI50" i="1" s="1"/>
  <c r="BQ50" i="1"/>
  <c r="CA50" i="1"/>
  <c r="CB50" i="1"/>
  <c r="CC50" i="1" s="1"/>
  <c r="CD50" i="1"/>
  <c r="CE50" i="1"/>
  <c r="CH50" i="1"/>
  <c r="CI50" i="1"/>
  <c r="CJ50" i="1"/>
  <c r="CL50" i="1"/>
  <c r="CM50" i="1"/>
  <c r="CN50" i="1"/>
  <c r="CQ50" i="1"/>
  <c r="CY50" i="1"/>
  <c r="U51" i="1"/>
  <c r="AC51" i="1"/>
  <c r="AD51" i="1"/>
  <c r="AE51" i="1" s="1"/>
  <c r="AF51" i="1"/>
  <c r="AG51" i="1"/>
  <c r="AJ51" i="1"/>
  <c r="AK51" i="1" s="1"/>
  <c r="AT51" i="1"/>
  <c r="AU51" i="1" s="1"/>
  <c r="AM51" i="1"/>
  <c r="AQ51" i="1"/>
  <c r="AR51" i="1" s="1"/>
  <c r="AS51" i="1"/>
  <c r="AW51" i="1"/>
  <c r="AX51" i="1" s="1"/>
  <c r="AY51" i="1"/>
  <c r="AZ51" i="1" s="1"/>
  <c r="BC51" i="1"/>
  <c r="BD51" i="1" s="1"/>
  <c r="BE51" i="1" s="1"/>
  <c r="BO51" i="1"/>
  <c r="BR50" i="1" a="1"/>
  <c r="BV50" i="1" a="1"/>
  <c r="BP51" i="1" a="1"/>
  <c r="BU50" i="1" a="1"/>
  <c r="BS50" i="1" a="1"/>
  <c r="BT50" i="1" a="1"/>
  <c r="BV50" i="1" l="1"/>
  <c r="BU50" i="1"/>
  <c r="BT50" i="1"/>
  <c r="BS50" i="1"/>
  <c r="BR50" i="1"/>
  <c r="BF51" i="1"/>
  <c r="BG51" i="1" s="1"/>
  <c r="CF50" i="1"/>
  <c r="CR50" i="1" s="1"/>
  <c r="CK50" i="1"/>
  <c r="CO50" i="1" s="1"/>
  <c r="CU50" i="1"/>
  <c r="CW50" i="1" s="1"/>
  <c r="CX50" i="1" s="1"/>
  <c r="CT50" i="1"/>
  <c r="CS50" i="1"/>
  <c r="AH51" i="1"/>
  <c r="Z51" i="1" s="1"/>
  <c r="AA51" i="1" s="1"/>
  <c r="CV50" i="1"/>
  <c r="BP51" i="1"/>
  <c r="BQ51" i="1" a="1"/>
  <c r="AV51" i="1" l="1"/>
  <c r="BH51" i="1"/>
  <c r="BI51" i="1" s="1"/>
  <c r="BQ51" i="1"/>
  <c r="CA51" i="1"/>
  <c r="CB51" i="1"/>
  <c r="CC51" i="1" s="1"/>
  <c r="CD51" i="1"/>
  <c r="CE51" i="1"/>
  <c r="CF51" i="1"/>
  <c r="CH51" i="1"/>
  <c r="CI51" i="1"/>
  <c r="CJ51" i="1"/>
  <c r="CL51" i="1"/>
  <c r="CM51" i="1"/>
  <c r="CN51" i="1"/>
  <c r="CQ51" i="1"/>
  <c r="CR51" i="1" s="1"/>
  <c r="CY51" i="1"/>
  <c r="U52" i="1"/>
  <c r="AC52" i="1"/>
  <c r="AD52" i="1"/>
  <c r="AE52" i="1" s="1"/>
  <c r="AF52" i="1"/>
  <c r="AG52" i="1"/>
  <c r="AJ52" i="1"/>
  <c r="AK52" i="1" s="1"/>
  <c r="AT52" i="1"/>
  <c r="AU52" i="1" s="1"/>
  <c r="AM52" i="1"/>
  <c r="AQ52" i="1"/>
  <c r="AR52" i="1" s="1"/>
  <c r="AS52" i="1"/>
  <c r="AW52" i="1"/>
  <c r="AX52" i="1" s="1"/>
  <c r="AY52" i="1"/>
  <c r="AZ52" i="1" s="1"/>
  <c r="BC52" i="1"/>
  <c r="BF52" i="1" s="1"/>
  <c r="BG52" i="1" s="1"/>
  <c r="BO52" i="1"/>
  <c r="BP52" i="1" a="1"/>
  <c r="BR51" i="1" a="1"/>
  <c r="BV51" i="1" a="1"/>
  <c r="BU51" i="1" a="1"/>
  <c r="BT51" i="1" a="1"/>
  <c r="BS51" i="1" a="1"/>
  <c r="BS51" i="1" l="1"/>
  <c r="BV51" i="1"/>
  <c r="BU51" i="1"/>
  <c r="BT51" i="1"/>
  <c r="BR51" i="1"/>
  <c r="BD52" i="1"/>
  <c r="BE52" i="1" s="1"/>
  <c r="CT51" i="1"/>
  <c r="CU51" i="1"/>
  <c r="CW51" i="1" s="1"/>
  <c r="CX51" i="1" s="1"/>
  <c r="CS51" i="1"/>
  <c r="AH52" i="1"/>
  <c r="Z52" i="1" s="1"/>
  <c r="AA52" i="1" s="1"/>
  <c r="CK51" i="1"/>
  <c r="CO51" i="1" s="1"/>
  <c r="BH52" i="1"/>
  <c r="BI52" i="1" s="1"/>
  <c r="BP52" i="1"/>
  <c r="BQ52" i="1" a="1"/>
  <c r="AV52" i="1" l="1"/>
  <c r="CV51" i="1"/>
  <c r="BQ52" i="1"/>
  <c r="CA52" i="1"/>
  <c r="CB52" i="1"/>
  <c r="CC52" i="1" s="1"/>
  <c r="CD52" i="1"/>
  <c r="CE52" i="1"/>
  <c r="CF52" i="1"/>
  <c r="CH52" i="1"/>
  <c r="CI52" i="1"/>
  <c r="CJ52" i="1"/>
  <c r="CL52" i="1"/>
  <c r="CM52" i="1"/>
  <c r="CN52" i="1"/>
  <c r="CQ52" i="1"/>
  <c r="CR52" i="1" s="1"/>
  <c r="CY52" i="1"/>
  <c r="U53" i="1"/>
  <c r="AC53" i="1"/>
  <c r="AD53" i="1"/>
  <c r="AE53" i="1" s="1"/>
  <c r="AF53" i="1"/>
  <c r="AG53" i="1"/>
  <c r="AJ53" i="1"/>
  <c r="AK53" i="1" s="1"/>
  <c r="AT53" i="1"/>
  <c r="AU53" i="1" s="1"/>
  <c r="AQ53" i="1"/>
  <c r="AR53" i="1" s="1"/>
  <c r="AS53" i="1"/>
  <c r="AW53" i="1"/>
  <c r="AX53" i="1" s="1"/>
  <c r="AY53" i="1"/>
  <c r="AZ53" i="1" s="1"/>
  <c r="BC53" i="1"/>
  <c r="BD53" i="1" s="1"/>
  <c r="BO53" i="1"/>
  <c r="BR52" i="1" a="1"/>
  <c r="BS52" i="1" a="1"/>
  <c r="BP53" i="1" a="1"/>
  <c r="BU52" i="1" a="1"/>
  <c r="BT52" i="1" a="1"/>
  <c r="BV52" i="1" a="1"/>
  <c r="BV52" i="1" l="1"/>
  <c r="BS52" i="1"/>
  <c r="BT52" i="1"/>
  <c r="BU52" i="1"/>
  <c r="BR52" i="1"/>
  <c r="BF53" i="1"/>
  <c r="BG53" i="1" s="1"/>
  <c r="CT52" i="1"/>
  <c r="CU52" i="1"/>
  <c r="CW52" i="1" s="1"/>
  <c r="CX52" i="1" s="1"/>
  <c r="CS52" i="1"/>
  <c r="BH53" i="1"/>
  <c r="BI53" i="1" s="1"/>
  <c r="CK52" i="1"/>
  <c r="AH53" i="1"/>
  <c r="Z53" i="1" s="1"/>
  <c r="AA53" i="1" s="1"/>
  <c r="BE53" i="1"/>
  <c r="AM53" i="1"/>
  <c r="CO52" i="1"/>
  <c r="CV52" i="1"/>
  <c r="AV53" i="1"/>
  <c r="BP53" i="1"/>
  <c r="CA53" i="1"/>
  <c r="CB53" i="1"/>
  <c r="CD53" i="1"/>
  <c r="CE53" i="1"/>
  <c r="CH53" i="1"/>
  <c r="CI53" i="1"/>
  <c r="CJ53" i="1"/>
  <c r="CL53" i="1"/>
  <c r="CM53" i="1"/>
  <c r="CN53" i="1"/>
  <c r="CQ53" i="1"/>
  <c r="CY53" i="1"/>
  <c r="U54" i="1"/>
  <c r="AC54" i="1"/>
  <c r="AD54" i="1"/>
  <c r="AE54" i="1" s="1"/>
  <c r="AF54" i="1"/>
  <c r="AG54" i="1"/>
  <c r="AJ54" i="1"/>
  <c r="AK54" i="1" s="1"/>
  <c r="AT54" i="1"/>
  <c r="AU54" i="1" s="1"/>
  <c r="AM54" i="1"/>
  <c r="AQ54" i="1"/>
  <c r="AR54" i="1" s="1"/>
  <c r="AS54" i="1"/>
  <c r="AW54" i="1"/>
  <c r="AX54" i="1" s="1"/>
  <c r="AY54" i="1"/>
  <c r="AZ54" i="1" s="1"/>
  <c r="BC54" i="1"/>
  <c r="BF54" i="1" s="1"/>
  <c r="BG54" i="1" s="1"/>
  <c r="BO54" i="1"/>
  <c r="BS53" i="1" a="1"/>
  <c r="BP54" i="1" a="1"/>
  <c r="BQ53" i="1" a="1"/>
  <c r="BT53" i="1" a="1"/>
  <c r="BR53" i="1" a="1"/>
  <c r="BU53" i="1" a="1"/>
  <c r="BV53" i="1" a="1"/>
  <c r="CF53" i="1" l="1"/>
  <c r="CR53" i="1" s="1"/>
  <c r="CC53" i="1"/>
  <c r="BR53" i="1"/>
  <c r="BQ53" i="1"/>
  <c r="BV53" i="1"/>
  <c r="BU53" i="1"/>
  <c r="BT53" i="1"/>
  <c r="BS53" i="1"/>
  <c r="BD54" i="1"/>
  <c r="BE54" i="1" s="1"/>
  <c r="CU53" i="1"/>
  <c r="CW53" i="1" s="1"/>
  <c r="CX53" i="1" s="1"/>
  <c r="CS53" i="1"/>
  <c r="CT53" i="1"/>
  <c r="CK53" i="1"/>
  <c r="CV53" i="1" s="1"/>
  <c r="CO53" i="1"/>
  <c r="AH54" i="1"/>
  <c r="Z54" i="1" s="1"/>
  <c r="AA54" i="1" s="1"/>
  <c r="BP54" i="1"/>
  <c r="BQ54" i="1" a="1"/>
  <c r="BH54" i="1" l="1"/>
  <c r="BI54" i="1" s="1"/>
  <c r="AV54" i="1"/>
  <c r="BQ54" i="1"/>
  <c r="CA54" i="1"/>
  <c r="CB54" i="1"/>
  <c r="CC54" i="1" s="1"/>
  <c r="CD54" i="1"/>
  <c r="CE54" i="1"/>
  <c r="CH54" i="1"/>
  <c r="CI54" i="1"/>
  <c r="CJ54" i="1"/>
  <c r="CL54" i="1"/>
  <c r="CM54" i="1"/>
  <c r="CN54" i="1"/>
  <c r="CQ54" i="1"/>
  <c r="CY54" i="1"/>
  <c r="U55" i="1"/>
  <c r="AC55" i="1"/>
  <c r="AD55" i="1"/>
  <c r="AE55" i="1" s="1"/>
  <c r="AF55" i="1"/>
  <c r="AG55" i="1"/>
  <c r="AJ55" i="1"/>
  <c r="AK55" i="1" s="1"/>
  <c r="AT55" i="1"/>
  <c r="AU55" i="1" s="1"/>
  <c r="AM55" i="1"/>
  <c r="AQ55" i="1"/>
  <c r="AR55" i="1" s="1"/>
  <c r="AS55" i="1"/>
  <c r="AW55" i="1"/>
  <c r="AX55" i="1" s="1"/>
  <c r="AY55" i="1"/>
  <c r="AZ55" i="1" s="1"/>
  <c r="BC55" i="1"/>
  <c r="BD55" i="1" s="1"/>
  <c r="BO55" i="1"/>
  <c r="BT54" i="1" a="1"/>
  <c r="BR54" i="1" a="1"/>
  <c r="BV54" i="1" a="1"/>
  <c r="BU54" i="1" a="1"/>
  <c r="BS54" i="1" a="1"/>
  <c r="BP55" i="1" a="1"/>
  <c r="BF55" i="1" l="1"/>
  <c r="BG55" i="1" s="1"/>
  <c r="CK54" i="1"/>
  <c r="CO54" i="1" s="1"/>
  <c r="BV54" i="1"/>
  <c r="BU54" i="1"/>
  <c r="BS54" i="1"/>
  <c r="BR54" i="1"/>
  <c r="BT54" i="1"/>
  <c r="CF54" i="1"/>
  <c r="CR54" i="1" s="1"/>
  <c r="CU54" i="1"/>
  <c r="CV54" i="1" s="1"/>
  <c r="CT54" i="1"/>
  <c r="CS54" i="1"/>
  <c r="CW54" i="1"/>
  <c r="CX54" i="1" s="1"/>
  <c r="BE55" i="1"/>
  <c r="AH55" i="1"/>
  <c r="Z55" i="1" s="1"/>
  <c r="AA55" i="1" s="1"/>
  <c r="BP55" i="1"/>
  <c r="BQ55" i="1" a="1"/>
  <c r="BH55" i="1" l="1"/>
  <c r="BI55" i="1" s="1"/>
  <c r="AV55" i="1"/>
  <c r="BQ55" i="1"/>
  <c r="CA55" i="1"/>
  <c r="CB55" i="1"/>
  <c r="CC55" i="1" s="1"/>
  <c r="CD55" i="1"/>
  <c r="CE55" i="1"/>
  <c r="CH55" i="1"/>
  <c r="CI55" i="1"/>
  <c r="CJ55" i="1"/>
  <c r="CL55" i="1"/>
  <c r="CM55" i="1"/>
  <c r="CN55" i="1"/>
  <c r="CQ55" i="1"/>
  <c r="CS55" i="1" s="1"/>
  <c r="CY55" i="1"/>
  <c r="U56" i="1"/>
  <c r="AC56" i="1"/>
  <c r="AD56" i="1"/>
  <c r="AE56" i="1" s="1"/>
  <c r="AF56" i="1"/>
  <c r="AG56" i="1"/>
  <c r="AJ56" i="1"/>
  <c r="AK56" i="1" s="1"/>
  <c r="AT56" i="1"/>
  <c r="AU56" i="1" s="1"/>
  <c r="AQ56" i="1"/>
  <c r="AR56" i="1" s="1"/>
  <c r="AS56" i="1"/>
  <c r="AW56" i="1"/>
  <c r="AX56" i="1" s="1"/>
  <c r="AY56" i="1"/>
  <c r="AZ56" i="1" s="1"/>
  <c r="BC56" i="1"/>
  <c r="BD56" i="1" s="1"/>
  <c r="BO56" i="1"/>
  <c r="BR55" i="1" a="1"/>
  <c r="BS55" i="1" a="1"/>
  <c r="BV55" i="1" a="1"/>
  <c r="BT55" i="1" a="1"/>
  <c r="BU55" i="1" a="1"/>
  <c r="BP56" i="1" a="1"/>
  <c r="CF55" i="1" l="1"/>
  <c r="BV55" i="1"/>
  <c r="BU55" i="1"/>
  <c r="BT55" i="1"/>
  <c r="BS55" i="1"/>
  <c r="BR55" i="1"/>
  <c r="BF56" i="1"/>
  <c r="BG56" i="1" s="1"/>
  <c r="CU55" i="1"/>
  <c r="CW55" i="1" s="1"/>
  <c r="CX55" i="1" s="1"/>
  <c r="AH56" i="1"/>
  <c r="Z56" i="1" s="1"/>
  <c r="AA56" i="1" s="1"/>
  <c r="BH56" i="1"/>
  <c r="BI56" i="1" s="1"/>
  <c r="CT55" i="1"/>
  <c r="CR55" i="1"/>
  <c r="BE56" i="1"/>
  <c r="AM56" i="1"/>
  <c r="CK55" i="1"/>
  <c r="CO55" i="1" s="1"/>
  <c r="AV56" i="1"/>
  <c r="BP56" i="1"/>
  <c r="CA56" i="1"/>
  <c r="CB56" i="1"/>
  <c r="CC56" i="1" s="1"/>
  <c r="CD56" i="1"/>
  <c r="CE56" i="1"/>
  <c r="CH56" i="1"/>
  <c r="CI56" i="1"/>
  <c r="CJ56" i="1"/>
  <c r="CL56" i="1"/>
  <c r="CM56" i="1"/>
  <c r="CN56" i="1"/>
  <c r="CQ56" i="1"/>
  <c r="CY56" i="1"/>
  <c r="U57" i="1"/>
  <c r="AC57" i="1"/>
  <c r="AD57" i="1"/>
  <c r="AE57" i="1" s="1"/>
  <c r="AF57" i="1"/>
  <c r="AG57" i="1"/>
  <c r="AJ57" i="1"/>
  <c r="AK57" i="1" s="1"/>
  <c r="AT57" i="1"/>
  <c r="AU57" i="1" s="1"/>
  <c r="AM57" i="1"/>
  <c r="AQ57" i="1"/>
  <c r="AR57" i="1" s="1"/>
  <c r="AS57" i="1"/>
  <c r="AW57" i="1"/>
  <c r="AX57" i="1" s="1"/>
  <c r="AY57" i="1"/>
  <c r="AZ57" i="1" s="1"/>
  <c r="BC57" i="1"/>
  <c r="BD57" i="1" s="1"/>
  <c r="BE57" i="1" s="1"/>
  <c r="BO57" i="1"/>
  <c r="BT56" i="1" a="1"/>
  <c r="BQ56" i="1" a="1"/>
  <c r="BU56" i="1" a="1"/>
  <c r="BS56" i="1" a="1"/>
  <c r="BP57" i="1" a="1"/>
  <c r="BR56" i="1" a="1"/>
  <c r="BV56" i="1" a="1"/>
  <c r="CV55" i="1" l="1"/>
  <c r="BF57" i="1"/>
  <c r="BG57" i="1" s="1"/>
  <c r="CF56" i="1"/>
  <c r="CR56" i="1" s="1"/>
  <c r="BU56" i="1"/>
  <c r="BR56" i="1"/>
  <c r="BQ56" i="1"/>
  <c r="BV56" i="1"/>
  <c r="BT56" i="1"/>
  <c r="BS56" i="1"/>
  <c r="AH57" i="1"/>
  <c r="Z57" i="1" s="1"/>
  <c r="AA57" i="1" s="1"/>
  <c r="CT56" i="1"/>
  <c r="CK56" i="1"/>
  <c r="CU56" i="1"/>
  <c r="CW56" i="1" s="1"/>
  <c r="CX56" i="1" s="1"/>
  <c r="CS56" i="1"/>
  <c r="CO56" i="1"/>
  <c r="BH57" i="1"/>
  <c r="BI57" i="1" s="1"/>
  <c r="AV57" i="1"/>
  <c r="BP57" i="1"/>
  <c r="BQ57" i="1" a="1"/>
  <c r="CV56" i="1" l="1"/>
  <c r="BQ57" i="1"/>
  <c r="CA57" i="1"/>
  <c r="CB57" i="1"/>
  <c r="CC57" i="1" s="1"/>
  <c r="CD57" i="1"/>
  <c r="CE57" i="1"/>
  <c r="CH57" i="1"/>
  <c r="CI57" i="1"/>
  <c r="CJ57" i="1"/>
  <c r="CL57" i="1"/>
  <c r="CM57" i="1"/>
  <c r="CN57" i="1"/>
  <c r="CQ57" i="1"/>
  <c r="CY57" i="1"/>
  <c r="U58" i="1"/>
  <c r="AC58" i="1"/>
  <c r="AD58" i="1"/>
  <c r="AE58" i="1" s="1"/>
  <c r="AF58" i="1"/>
  <c r="AG58" i="1"/>
  <c r="AJ58" i="1"/>
  <c r="AK58" i="1" s="1"/>
  <c r="AT58" i="1"/>
  <c r="AU58" i="1" s="1"/>
  <c r="AM58" i="1"/>
  <c r="AQ58" i="1"/>
  <c r="AR58" i="1" s="1"/>
  <c r="AS58" i="1"/>
  <c r="AW58" i="1"/>
  <c r="AX58" i="1"/>
  <c r="AY58" i="1"/>
  <c r="AZ58" i="1" s="1"/>
  <c r="BC58" i="1"/>
  <c r="BF58" i="1" s="1"/>
  <c r="BG58" i="1" s="1"/>
  <c r="BO58" i="1"/>
  <c r="BS57" i="1" a="1"/>
  <c r="BT57" i="1" a="1"/>
  <c r="BV57" i="1" a="1"/>
  <c r="BR57" i="1" a="1"/>
  <c r="BU57" i="1" a="1"/>
  <c r="BP58" i="1" a="1"/>
  <c r="CS57" i="1" l="1"/>
  <c r="BD58" i="1"/>
  <c r="BE58" i="1" s="1"/>
  <c r="CF57" i="1"/>
  <c r="CR57" i="1" s="1"/>
  <c r="BV57" i="1"/>
  <c r="BU57" i="1"/>
  <c r="BT57" i="1"/>
  <c r="BS57" i="1"/>
  <c r="BR57" i="1"/>
  <c r="CT57" i="1"/>
  <c r="CU57" i="1"/>
  <c r="CW57" i="1" s="1"/>
  <c r="CX57" i="1" s="1"/>
  <c r="AH58" i="1"/>
  <c r="Z58" i="1" s="1"/>
  <c r="AA58" i="1" s="1"/>
  <c r="CK57" i="1"/>
  <c r="CO57" i="1" s="1"/>
  <c r="AV58" i="1"/>
  <c r="BP58" i="1"/>
  <c r="CA58" i="1"/>
  <c r="CB58" i="1"/>
  <c r="CC58" i="1" s="1"/>
  <c r="CD58" i="1"/>
  <c r="CE58" i="1"/>
  <c r="CF58" i="1"/>
  <c r="CH58" i="1"/>
  <c r="CI58" i="1"/>
  <c r="CJ58" i="1"/>
  <c r="CL58" i="1"/>
  <c r="CM58" i="1"/>
  <c r="CN58" i="1"/>
  <c r="CQ58" i="1"/>
  <c r="CY58" i="1"/>
  <c r="U59" i="1"/>
  <c r="AC59" i="1"/>
  <c r="AD59" i="1"/>
  <c r="AE59" i="1" s="1"/>
  <c r="AF59" i="1"/>
  <c r="AG59" i="1"/>
  <c r="AJ59" i="1"/>
  <c r="AK59" i="1" s="1"/>
  <c r="AT59" i="1"/>
  <c r="AU59" i="1" s="1"/>
  <c r="AM59" i="1"/>
  <c r="AQ59" i="1"/>
  <c r="AR59" i="1" s="1"/>
  <c r="AS59" i="1"/>
  <c r="AW59" i="1"/>
  <c r="AX59" i="1" s="1"/>
  <c r="AY59" i="1"/>
  <c r="AZ59" i="1" s="1"/>
  <c r="BC59" i="1"/>
  <c r="BD59" i="1" s="1"/>
  <c r="BE59" i="1" s="1"/>
  <c r="BO59" i="1"/>
  <c r="BS58" i="1" a="1"/>
  <c r="BQ58" i="1" a="1"/>
  <c r="BU58" i="1" a="1"/>
  <c r="BP59" i="1" a="1"/>
  <c r="BV58" i="1" a="1"/>
  <c r="BR58" i="1" a="1"/>
  <c r="BT58" i="1" a="1"/>
  <c r="BH58" i="1" l="1"/>
  <c r="BI58" i="1" s="1"/>
  <c r="AH59" i="1"/>
  <c r="Z59" i="1" s="1"/>
  <c r="AA59" i="1" s="1"/>
  <c r="CR58" i="1"/>
  <c r="CV57" i="1"/>
  <c r="BQ58" i="1"/>
  <c r="BT58" i="1"/>
  <c r="BS58" i="1"/>
  <c r="BR58" i="1"/>
  <c r="BV58" i="1"/>
  <c r="BU58" i="1"/>
  <c r="CK58" i="1"/>
  <c r="CO58" i="1" s="1"/>
  <c r="CT58" i="1"/>
  <c r="CU58" i="1"/>
  <c r="CS58" i="1"/>
  <c r="BF59" i="1"/>
  <c r="BG59" i="1" s="1"/>
  <c r="AV59" i="1"/>
  <c r="BP59" i="1"/>
  <c r="BQ59" i="1" a="1"/>
  <c r="BH59" i="1" l="1"/>
  <c r="BI59" i="1" s="1"/>
  <c r="CW58" i="1"/>
  <c r="CX58" i="1" s="1"/>
  <c r="CV58" i="1"/>
  <c r="BQ59" i="1"/>
  <c r="CA59" i="1"/>
  <c r="CB59" i="1"/>
  <c r="CC59" i="1" s="1"/>
  <c r="CD59" i="1"/>
  <c r="CE59" i="1"/>
  <c r="CH59" i="1"/>
  <c r="CI59" i="1"/>
  <c r="CJ59" i="1"/>
  <c r="CL59" i="1"/>
  <c r="CM59" i="1"/>
  <c r="CN59" i="1"/>
  <c r="CQ59" i="1"/>
  <c r="CY59" i="1"/>
  <c r="U60" i="1"/>
  <c r="AC60" i="1"/>
  <c r="AD60" i="1"/>
  <c r="AE60" i="1" s="1"/>
  <c r="AF60" i="1"/>
  <c r="AG60" i="1"/>
  <c r="AJ60" i="1"/>
  <c r="AK60" i="1" s="1"/>
  <c r="AT60" i="1"/>
  <c r="AU60" i="1" s="1"/>
  <c r="AQ60" i="1"/>
  <c r="AR60" i="1" s="1"/>
  <c r="AS60" i="1"/>
  <c r="AW60" i="1"/>
  <c r="AX60" i="1" s="1"/>
  <c r="AY60" i="1"/>
  <c r="AZ60" i="1" s="1"/>
  <c r="BC60" i="1"/>
  <c r="BD60" i="1" s="1"/>
  <c r="BE60" i="1" s="1"/>
  <c r="BO60" i="1"/>
  <c r="BT59" i="1" a="1"/>
  <c r="BS59" i="1" a="1"/>
  <c r="BV59" i="1" a="1"/>
  <c r="BP60" i="1" a="1"/>
  <c r="BU59" i="1" a="1"/>
  <c r="BR59" i="1" a="1"/>
  <c r="AH60" i="1" l="1"/>
  <c r="Z60" i="1" s="1"/>
  <c r="AA60" i="1" s="1"/>
  <c r="CS59" i="1"/>
  <c r="BV59" i="1"/>
  <c r="BU59" i="1"/>
  <c r="BT59" i="1"/>
  <c r="BS59" i="1"/>
  <c r="BR59" i="1"/>
  <c r="BF60" i="1"/>
  <c r="BG60" i="1" s="1"/>
  <c r="CT59" i="1"/>
  <c r="CU59" i="1"/>
  <c r="CW59" i="1" s="1"/>
  <c r="CX59" i="1" s="1"/>
  <c r="CF59" i="1"/>
  <c r="CR59" i="1" s="1"/>
  <c r="CK59" i="1"/>
  <c r="CO59" i="1" s="1"/>
  <c r="AV60" i="1"/>
  <c r="AM60" i="1"/>
  <c r="BP60" i="1"/>
  <c r="BQ60" i="1" a="1"/>
  <c r="BH60" i="1" l="1"/>
  <c r="BI60" i="1" s="1"/>
  <c r="CV59" i="1"/>
  <c r="BQ60" i="1"/>
  <c r="CA60" i="1"/>
  <c r="CB60" i="1"/>
  <c r="CC60" i="1" s="1"/>
  <c r="CD60" i="1"/>
  <c r="CE60" i="1"/>
  <c r="CH60" i="1"/>
  <c r="CI60" i="1"/>
  <c r="CJ60" i="1"/>
  <c r="CL60" i="1"/>
  <c r="CM60" i="1"/>
  <c r="CN60" i="1"/>
  <c r="CQ60" i="1"/>
  <c r="CY60" i="1"/>
  <c r="U61" i="1"/>
  <c r="AC61" i="1"/>
  <c r="AD61" i="1"/>
  <c r="AE61" i="1" s="1"/>
  <c r="AF61" i="1"/>
  <c r="AG61" i="1"/>
  <c r="AJ61" i="1"/>
  <c r="AK61" i="1" s="1"/>
  <c r="AT61" i="1"/>
  <c r="AU61" i="1" s="1"/>
  <c r="AQ61" i="1"/>
  <c r="AR61" i="1" s="1"/>
  <c r="AS61" i="1"/>
  <c r="AW61" i="1"/>
  <c r="AX61" i="1" s="1"/>
  <c r="AY61" i="1"/>
  <c r="AZ61" i="1" s="1"/>
  <c r="BC61" i="1"/>
  <c r="BF61" i="1" s="1"/>
  <c r="BG61" i="1" s="1"/>
  <c r="BO61" i="1"/>
  <c r="BS60" i="1" a="1"/>
  <c r="BP61" i="1" a="1"/>
  <c r="BR60" i="1" a="1"/>
  <c r="BT60" i="1" a="1"/>
  <c r="BV60" i="1" a="1"/>
  <c r="BU60" i="1" a="1"/>
  <c r="CF60" i="1" l="1"/>
  <c r="CR60" i="1" s="1"/>
  <c r="BU60" i="1"/>
  <c r="BV60" i="1"/>
  <c r="BT60" i="1"/>
  <c r="BR60" i="1"/>
  <c r="BS60" i="1"/>
  <c r="BD61" i="1"/>
  <c r="BH61" i="1" s="1"/>
  <c r="BI61" i="1" s="1"/>
  <c r="CU60" i="1"/>
  <c r="CW60" i="1" s="1"/>
  <c r="CX60" i="1" s="1"/>
  <c r="CT60" i="1"/>
  <c r="CS60" i="1"/>
  <c r="CK60" i="1"/>
  <c r="AH61" i="1"/>
  <c r="Z61" i="1" s="1"/>
  <c r="AA61" i="1" s="1"/>
  <c r="AM61" i="1"/>
  <c r="BP61" i="1"/>
  <c r="BQ61" i="1" a="1"/>
  <c r="CV60" i="1" l="1"/>
  <c r="CO60" i="1"/>
  <c r="AV61" i="1"/>
  <c r="BE61" i="1"/>
  <c r="BQ61" i="1"/>
  <c r="CA61" i="1"/>
  <c r="CB61" i="1"/>
  <c r="CC61" i="1" s="1"/>
  <c r="CD61" i="1"/>
  <c r="CE61" i="1"/>
  <c r="CH61" i="1"/>
  <c r="CI61" i="1"/>
  <c r="CJ61" i="1"/>
  <c r="CL61" i="1"/>
  <c r="CM61" i="1"/>
  <c r="CN61" i="1"/>
  <c r="CQ61" i="1"/>
  <c r="CY61" i="1"/>
  <c r="U62" i="1"/>
  <c r="AC62" i="1"/>
  <c r="AD62" i="1"/>
  <c r="AE62" i="1" s="1"/>
  <c r="AF62" i="1"/>
  <c r="AG62" i="1"/>
  <c r="AJ62" i="1"/>
  <c r="AK62" i="1" s="1"/>
  <c r="AT62" i="1"/>
  <c r="AU62" i="1" s="1"/>
  <c r="AM62" i="1"/>
  <c r="AQ62" i="1"/>
  <c r="AR62" i="1" s="1"/>
  <c r="AS62" i="1"/>
  <c r="AW62" i="1"/>
  <c r="AX62" i="1" s="1"/>
  <c r="AY62" i="1"/>
  <c r="AZ62" i="1" s="1"/>
  <c r="BC62" i="1"/>
  <c r="BF62" i="1" s="1"/>
  <c r="BG62" i="1" s="1"/>
  <c r="BO62" i="1"/>
  <c r="BP62" i="1" a="1"/>
  <c r="BU61" i="1" a="1"/>
  <c r="BS61" i="1" a="1"/>
  <c r="BR61" i="1" a="1"/>
  <c r="BT61" i="1" a="1"/>
  <c r="BV61" i="1" a="1"/>
  <c r="CF61" i="1" l="1"/>
  <c r="CR61" i="1"/>
  <c r="BU61" i="1"/>
  <c r="BV61" i="1"/>
  <c r="BT61" i="1"/>
  <c r="BS61" i="1"/>
  <c r="BR61" i="1"/>
  <c r="BD62" i="1"/>
  <c r="BE62" i="1" s="1"/>
  <c r="CK61" i="1"/>
  <c r="CU61" i="1"/>
  <c r="CW61" i="1" s="1"/>
  <c r="CX61" i="1" s="1"/>
  <c r="CT61" i="1"/>
  <c r="AH62" i="1"/>
  <c r="Z62" i="1" s="1"/>
  <c r="AA62" i="1" s="1"/>
  <c r="CS61" i="1"/>
  <c r="CO61" i="1"/>
  <c r="CV61" i="1"/>
  <c r="BH62" i="1"/>
  <c r="BI62" i="1" s="1"/>
  <c r="AV62" i="1"/>
  <c r="BP62" i="1"/>
  <c r="CA62" i="1"/>
  <c r="CB62" i="1"/>
  <c r="CC62" i="1" s="1"/>
  <c r="CD62" i="1"/>
  <c r="CE62" i="1"/>
  <c r="CH62" i="1"/>
  <c r="CI62" i="1"/>
  <c r="CJ62" i="1"/>
  <c r="CL62" i="1"/>
  <c r="CM62" i="1"/>
  <c r="CN62" i="1"/>
  <c r="CQ62" i="1"/>
  <c r="CT62" i="1" s="1"/>
  <c r="CY62" i="1"/>
  <c r="U63" i="1"/>
  <c r="AC63" i="1"/>
  <c r="AD63" i="1"/>
  <c r="AE63" i="1" s="1"/>
  <c r="AF63" i="1"/>
  <c r="AG63" i="1"/>
  <c r="AJ63" i="1"/>
  <c r="AK63" i="1" s="1"/>
  <c r="AT63" i="1"/>
  <c r="AU63" i="1" s="1"/>
  <c r="AQ63" i="1"/>
  <c r="AR63" i="1" s="1"/>
  <c r="AS63" i="1"/>
  <c r="AW63" i="1"/>
  <c r="AX63" i="1" s="1"/>
  <c r="AY63" i="1"/>
  <c r="AZ63" i="1" s="1"/>
  <c r="BC63" i="1"/>
  <c r="BD63" i="1" s="1"/>
  <c r="BE63" i="1" s="1"/>
  <c r="BO63" i="1"/>
  <c r="BS62" i="1" a="1"/>
  <c r="BQ62" i="1" a="1"/>
  <c r="BP63" i="1" a="1"/>
  <c r="BU62" i="1" a="1"/>
  <c r="BR62" i="1" a="1"/>
  <c r="BT62" i="1" a="1"/>
  <c r="BV62" i="1" a="1"/>
  <c r="CF62" i="1" l="1"/>
  <c r="BU62" i="1"/>
  <c r="BS62" i="1"/>
  <c r="BR62" i="1"/>
  <c r="BQ62" i="1"/>
  <c r="BV62" i="1"/>
  <c r="BT62" i="1"/>
  <c r="CK62" i="1"/>
  <c r="CO62" i="1" s="1"/>
  <c r="BF63" i="1"/>
  <c r="BG63" i="1" s="1"/>
  <c r="CS62" i="1"/>
  <c r="CU62" i="1"/>
  <c r="CW62" i="1" s="1"/>
  <c r="CX62" i="1" s="1"/>
  <c r="CR62" i="1"/>
  <c r="AH63" i="1"/>
  <c r="Z63" i="1" s="1"/>
  <c r="AA63" i="1" s="1"/>
  <c r="AM63" i="1"/>
  <c r="BH63" i="1"/>
  <c r="BI63" i="1" s="1"/>
  <c r="AV63" i="1"/>
  <c r="BP63" i="1"/>
  <c r="CA63" i="1"/>
  <c r="CB63" i="1"/>
  <c r="CC63" i="1" s="1"/>
  <c r="CD63" i="1"/>
  <c r="CE63" i="1"/>
  <c r="CH63" i="1"/>
  <c r="CI63" i="1"/>
  <c r="CJ63" i="1"/>
  <c r="CL63" i="1"/>
  <c r="CM63" i="1"/>
  <c r="CN63" i="1"/>
  <c r="CQ63" i="1"/>
  <c r="CY63" i="1"/>
  <c r="U64" i="1"/>
  <c r="AC64" i="1"/>
  <c r="AD64" i="1"/>
  <c r="AE64" i="1" s="1"/>
  <c r="AF64" i="1"/>
  <c r="AG64" i="1"/>
  <c r="AJ64" i="1"/>
  <c r="AK64" i="1" s="1"/>
  <c r="AT64" i="1"/>
  <c r="AU64" i="1" s="1"/>
  <c r="AM64" i="1"/>
  <c r="AQ64" i="1"/>
  <c r="AR64" i="1" s="1"/>
  <c r="AS64" i="1"/>
  <c r="AW64" i="1"/>
  <c r="AX64" i="1" s="1"/>
  <c r="AY64" i="1"/>
  <c r="AZ64" i="1" s="1"/>
  <c r="BC64" i="1"/>
  <c r="BF64" i="1" s="1"/>
  <c r="BG64" i="1" s="1"/>
  <c r="BO64" i="1"/>
  <c r="BT63" i="1" a="1"/>
  <c r="BQ63" i="1" a="1"/>
  <c r="BR63" i="1" a="1"/>
  <c r="BU63" i="1" a="1"/>
  <c r="BP64" i="1" a="1"/>
  <c r="BS63" i="1" a="1"/>
  <c r="BV63" i="1" a="1"/>
  <c r="CF63" i="1" l="1"/>
  <c r="AH64" i="1"/>
  <c r="Z64" i="1" s="1"/>
  <c r="AA64" i="1" s="1"/>
  <c r="BD64" i="1"/>
  <c r="BE64" i="1" s="1"/>
  <c r="CV62" i="1"/>
  <c r="CR63" i="1"/>
  <c r="BS63" i="1"/>
  <c r="BR63" i="1"/>
  <c r="BQ63" i="1"/>
  <c r="BV63" i="1"/>
  <c r="BU63" i="1"/>
  <c r="BT63" i="1"/>
  <c r="CK63" i="1"/>
  <c r="CO63" i="1" s="1"/>
  <c r="CS63" i="1"/>
  <c r="CT63" i="1"/>
  <c r="CU63" i="1"/>
  <c r="CW63" i="1" s="1"/>
  <c r="CX63" i="1" s="1"/>
  <c r="AV64" i="1"/>
  <c r="BP64" i="1"/>
  <c r="BQ64" i="1" a="1"/>
  <c r="BH64" i="1" l="1"/>
  <c r="BI64" i="1" s="1"/>
  <c r="CV63" i="1"/>
  <c r="BQ64" i="1"/>
  <c r="CA64" i="1"/>
  <c r="CB64" i="1"/>
  <c r="CC64" i="1" s="1"/>
  <c r="CD64" i="1"/>
  <c r="CE64" i="1"/>
  <c r="CF64" i="1"/>
  <c r="CH64" i="1"/>
  <c r="CI64" i="1"/>
  <c r="CJ64" i="1"/>
  <c r="CL64" i="1"/>
  <c r="CM64" i="1"/>
  <c r="CN64" i="1"/>
  <c r="CQ64" i="1"/>
  <c r="CR64" i="1" s="1"/>
  <c r="CY64" i="1"/>
  <c r="U65" i="1"/>
  <c r="AC65" i="1"/>
  <c r="AD65" i="1"/>
  <c r="AE65" i="1" s="1"/>
  <c r="AF65" i="1"/>
  <c r="AG65" i="1"/>
  <c r="AJ65" i="1"/>
  <c r="AK65" i="1" s="1"/>
  <c r="AT65" i="1"/>
  <c r="AU65" i="1" s="1"/>
  <c r="AQ65" i="1"/>
  <c r="AR65" i="1" s="1"/>
  <c r="AS65" i="1"/>
  <c r="AW65" i="1"/>
  <c r="AX65" i="1" s="1"/>
  <c r="AY65" i="1"/>
  <c r="AZ65" i="1" s="1"/>
  <c r="BC65" i="1"/>
  <c r="BF65" i="1" s="1"/>
  <c r="BG65" i="1" s="1"/>
  <c r="BO65" i="1"/>
  <c r="BS64" i="1" a="1"/>
  <c r="BU64" i="1" a="1"/>
  <c r="BR64" i="1" a="1"/>
  <c r="BP65" i="1" a="1"/>
  <c r="BV64" i="1" a="1"/>
  <c r="BT64" i="1" a="1"/>
  <c r="BD65" i="1" l="1"/>
  <c r="BE65" i="1" s="1"/>
  <c r="AH65" i="1"/>
  <c r="Z65" i="1" s="1"/>
  <c r="AA65" i="1" s="1"/>
  <c r="BT64" i="1"/>
  <c r="BR64" i="1"/>
  <c r="BU64" i="1"/>
  <c r="BV64" i="1"/>
  <c r="BS64" i="1"/>
  <c r="CU64" i="1"/>
  <c r="CW64" i="1" s="1"/>
  <c r="CX64" i="1" s="1"/>
  <c r="CT64" i="1"/>
  <c r="CS64" i="1"/>
  <c r="CK64" i="1"/>
  <c r="CO64" i="1" s="1"/>
  <c r="AM65" i="1"/>
  <c r="AV65" i="1"/>
  <c r="BP65" i="1"/>
  <c r="BQ65" i="1" a="1"/>
  <c r="BH65" i="1" l="1"/>
  <c r="BI65" i="1" s="1"/>
  <c r="CV64" i="1"/>
  <c r="BQ65" i="1"/>
  <c r="CA65" i="1"/>
  <c r="CB65" i="1"/>
  <c r="CC65" i="1" s="1"/>
  <c r="CD65" i="1"/>
  <c r="CE65" i="1"/>
  <c r="CF65" i="1"/>
  <c r="CH65" i="1"/>
  <c r="CI65" i="1"/>
  <c r="CJ65" i="1"/>
  <c r="CL65" i="1"/>
  <c r="CM65" i="1"/>
  <c r="CN65" i="1"/>
  <c r="CQ65" i="1"/>
  <c r="CY65" i="1"/>
  <c r="U66" i="1"/>
  <c r="AC66" i="1"/>
  <c r="AD66" i="1"/>
  <c r="AE66" i="1" s="1"/>
  <c r="AF66" i="1"/>
  <c r="AG66" i="1"/>
  <c r="AJ66" i="1"/>
  <c r="AK66" i="1" s="1"/>
  <c r="AT66" i="1"/>
  <c r="AU66" i="1" s="1"/>
  <c r="AM66" i="1"/>
  <c r="AQ66" i="1"/>
  <c r="AR66" i="1" s="1"/>
  <c r="AS66" i="1"/>
  <c r="AW66" i="1"/>
  <c r="AX66" i="1" s="1"/>
  <c r="AY66" i="1"/>
  <c r="AZ66" i="1" s="1"/>
  <c r="BC66" i="1"/>
  <c r="BD66" i="1" s="1"/>
  <c r="BE66" i="1" s="1"/>
  <c r="BO66" i="1"/>
  <c r="BP66" i="1" a="1"/>
  <c r="BU65" i="1" a="1"/>
  <c r="BV65" i="1" a="1"/>
  <c r="BR65" i="1" a="1"/>
  <c r="BT65" i="1" a="1"/>
  <c r="BS65" i="1" a="1"/>
  <c r="BV65" i="1" l="1"/>
  <c r="BU65" i="1"/>
  <c r="BT65" i="1"/>
  <c r="BS65" i="1"/>
  <c r="BR65" i="1"/>
  <c r="CS65" i="1"/>
  <c r="CK65" i="1"/>
  <c r="CO65" i="1" s="1"/>
  <c r="CT65" i="1"/>
  <c r="CU65" i="1"/>
  <c r="CW65" i="1" s="1"/>
  <c r="CX65" i="1" s="1"/>
  <c r="AH66" i="1"/>
  <c r="Z66" i="1" s="1"/>
  <c r="AA66" i="1" s="1"/>
  <c r="BF66" i="1"/>
  <c r="BG66" i="1" s="1"/>
  <c r="CR65" i="1"/>
  <c r="AV66" i="1"/>
  <c r="BP66" i="1"/>
  <c r="BQ66" i="1" a="1"/>
  <c r="BH66" i="1" l="1"/>
  <c r="BI66" i="1" s="1"/>
  <c r="CV65" i="1"/>
  <c r="BQ66" i="1"/>
  <c r="CA66" i="1"/>
  <c r="CB66" i="1"/>
  <c r="CC66" i="1" s="1"/>
  <c r="CD66" i="1"/>
  <c r="CE66" i="1"/>
  <c r="CH66" i="1"/>
  <c r="CI66" i="1"/>
  <c r="CJ66" i="1"/>
  <c r="CL66" i="1"/>
  <c r="CM66" i="1"/>
  <c r="CN66" i="1"/>
  <c r="CQ66" i="1"/>
  <c r="CY66" i="1"/>
  <c r="U67" i="1"/>
  <c r="AC67" i="1"/>
  <c r="AD67" i="1"/>
  <c r="AE67" i="1" s="1"/>
  <c r="AF67" i="1"/>
  <c r="AG67" i="1"/>
  <c r="AJ67" i="1"/>
  <c r="AK67" i="1" s="1"/>
  <c r="AT67" i="1"/>
  <c r="AU67" i="1" s="1"/>
  <c r="AM67" i="1"/>
  <c r="AQ67" i="1"/>
  <c r="AR67" i="1" s="1"/>
  <c r="AS67" i="1"/>
  <c r="AW67" i="1"/>
  <c r="AX67" i="1" s="1"/>
  <c r="AY67" i="1"/>
  <c r="AZ67" i="1" s="1"/>
  <c r="BC67" i="1"/>
  <c r="BF67" i="1" s="1"/>
  <c r="BG67" i="1" s="1"/>
  <c r="BO67" i="1"/>
  <c r="BU66" i="1" a="1"/>
  <c r="BR66" i="1" a="1"/>
  <c r="BV66" i="1" a="1"/>
  <c r="BS66" i="1" a="1"/>
  <c r="BT66" i="1" a="1"/>
  <c r="BP67" i="1" a="1"/>
  <c r="BD67" i="1" l="1"/>
  <c r="BE67" i="1" s="1"/>
  <c r="BT66" i="1"/>
  <c r="BS66" i="1"/>
  <c r="BV66" i="1"/>
  <c r="BU66" i="1"/>
  <c r="BR66" i="1"/>
  <c r="CF66" i="1"/>
  <c r="CR66" i="1" s="1"/>
  <c r="CU66" i="1"/>
  <c r="CW66" i="1" s="1"/>
  <c r="CX66" i="1" s="1"/>
  <c r="CT66" i="1"/>
  <c r="CS66" i="1"/>
  <c r="CK66" i="1"/>
  <c r="CO66" i="1" s="1"/>
  <c r="AH67" i="1"/>
  <c r="Z67" i="1" s="1"/>
  <c r="AA67" i="1" s="1"/>
  <c r="BP67" i="1"/>
  <c r="CA67" i="1"/>
  <c r="CB67" i="1"/>
  <c r="CC67" i="1" s="1"/>
  <c r="CD67" i="1"/>
  <c r="CE67" i="1"/>
  <c r="CH67" i="1"/>
  <c r="CI67" i="1"/>
  <c r="CJ67" i="1"/>
  <c r="CL67" i="1"/>
  <c r="CM67" i="1"/>
  <c r="CN67" i="1"/>
  <c r="CQ67" i="1"/>
  <c r="CY67" i="1"/>
  <c r="U68" i="1"/>
  <c r="AC68" i="1"/>
  <c r="AD68" i="1"/>
  <c r="AE68" i="1" s="1"/>
  <c r="AF68" i="1"/>
  <c r="AG68" i="1"/>
  <c r="AJ68" i="1"/>
  <c r="AK68" i="1" s="1"/>
  <c r="AT68" i="1"/>
  <c r="AU68" i="1" s="1"/>
  <c r="AM68" i="1"/>
  <c r="AQ68" i="1"/>
  <c r="AR68" i="1" s="1"/>
  <c r="AS68" i="1"/>
  <c r="AW68" i="1"/>
  <c r="AX68" i="1" s="1"/>
  <c r="AY68" i="1"/>
  <c r="AZ68" i="1" s="1"/>
  <c r="BC68" i="1"/>
  <c r="BD68" i="1"/>
  <c r="BE68" i="1" s="1"/>
  <c r="BF68" i="1"/>
  <c r="BG68" i="1" s="1"/>
  <c r="BO68" i="1"/>
  <c r="BT67" i="1" a="1"/>
  <c r="BU67" i="1" a="1"/>
  <c r="BP68" i="1" a="1"/>
  <c r="BS67" i="1" a="1"/>
  <c r="BQ67" i="1" a="1"/>
  <c r="BV67" i="1" a="1"/>
  <c r="BR67" i="1" a="1"/>
  <c r="CF67" i="1" l="1"/>
  <c r="CR67" i="1" s="1"/>
  <c r="AV67" i="1"/>
  <c r="BH67" i="1"/>
  <c r="BI67" i="1" s="1"/>
  <c r="CV66" i="1"/>
  <c r="BS67" i="1"/>
  <c r="BR67" i="1"/>
  <c r="BQ67" i="1"/>
  <c r="BV67" i="1"/>
  <c r="BU67" i="1"/>
  <c r="BT67" i="1"/>
  <c r="AH68" i="1"/>
  <c r="Z68" i="1" s="1"/>
  <c r="AA68" i="1" s="1"/>
  <c r="CT67" i="1"/>
  <c r="CU67" i="1"/>
  <c r="CW67" i="1" s="1"/>
  <c r="CX67" i="1" s="1"/>
  <c r="CS67" i="1"/>
  <c r="CK67" i="1"/>
  <c r="CO67" i="1" s="1"/>
  <c r="BH68" i="1"/>
  <c r="BI68" i="1" s="1"/>
  <c r="AV68" i="1"/>
  <c r="BP68" i="1"/>
  <c r="CA68" i="1"/>
  <c r="CB68" i="1"/>
  <c r="CC68" i="1" s="1"/>
  <c r="CD68" i="1"/>
  <c r="CE68" i="1"/>
  <c r="CH68" i="1"/>
  <c r="CI68" i="1"/>
  <c r="CJ68" i="1"/>
  <c r="CL68" i="1"/>
  <c r="CM68" i="1"/>
  <c r="CN68" i="1"/>
  <c r="CQ68" i="1"/>
  <c r="CY68" i="1"/>
  <c r="U69" i="1"/>
  <c r="AC69" i="1"/>
  <c r="AD69" i="1"/>
  <c r="AE69" i="1" s="1"/>
  <c r="AF69" i="1"/>
  <c r="AG69" i="1"/>
  <c r="AJ69" i="1"/>
  <c r="AK69" i="1" s="1"/>
  <c r="AT69" i="1"/>
  <c r="AU69" i="1" s="1"/>
  <c r="AM69" i="1"/>
  <c r="AQ69" i="1"/>
  <c r="AR69" i="1" s="1"/>
  <c r="AS69" i="1"/>
  <c r="AW69" i="1"/>
  <c r="AX69" i="1" s="1"/>
  <c r="AY69" i="1"/>
  <c r="AZ69" i="1" s="1"/>
  <c r="BC69" i="1"/>
  <c r="BF69" i="1" s="1"/>
  <c r="BG69" i="1" s="1"/>
  <c r="BO69" i="1"/>
  <c r="BP69" i="1" a="1"/>
  <c r="BQ68" i="1" a="1"/>
  <c r="BR68" i="1" a="1"/>
  <c r="BS68" i="1" a="1"/>
  <c r="BU68" i="1" a="1"/>
  <c r="BT68" i="1" a="1"/>
  <c r="BV68" i="1" a="1"/>
  <c r="CV67" i="1" l="1"/>
  <c r="BD69" i="1"/>
  <c r="BE69" i="1" s="1"/>
  <c r="BS68" i="1"/>
  <c r="BR68" i="1"/>
  <c r="BQ68" i="1"/>
  <c r="BV68" i="1"/>
  <c r="BU68" i="1"/>
  <c r="BT68" i="1"/>
  <c r="CF68" i="1"/>
  <c r="CR68" i="1" s="1"/>
  <c r="CU68" i="1"/>
  <c r="CW68" i="1" s="1"/>
  <c r="CX68" i="1" s="1"/>
  <c r="CT68" i="1"/>
  <c r="CK68" i="1"/>
  <c r="CS68" i="1"/>
  <c r="AH69" i="1"/>
  <c r="Z69" i="1" s="1"/>
  <c r="AA69" i="1" s="1"/>
  <c r="CO68" i="1"/>
  <c r="CV68" i="1"/>
  <c r="BH69" i="1"/>
  <c r="BI69" i="1" s="1"/>
  <c r="AV69" i="1"/>
  <c r="BP69" i="1"/>
  <c r="CA69" i="1"/>
  <c r="CB69" i="1"/>
  <c r="CC69" i="1" s="1"/>
  <c r="CD69" i="1"/>
  <c r="CE69" i="1"/>
  <c r="CH69" i="1"/>
  <c r="CI69" i="1"/>
  <c r="CJ69" i="1"/>
  <c r="CL69" i="1"/>
  <c r="CM69" i="1"/>
  <c r="CN69" i="1"/>
  <c r="CQ69" i="1"/>
  <c r="CY69" i="1"/>
  <c r="U70" i="1"/>
  <c r="AC70" i="1"/>
  <c r="AD70" i="1"/>
  <c r="AE70" i="1" s="1"/>
  <c r="AF70" i="1"/>
  <c r="AG70" i="1"/>
  <c r="AJ70" i="1"/>
  <c r="AK70" i="1" s="1"/>
  <c r="AT70" i="1"/>
  <c r="AU70" i="1" s="1"/>
  <c r="AQ70" i="1"/>
  <c r="AR70" i="1" s="1"/>
  <c r="AS70" i="1"/>
  <c r="AW70" i="1"/>
  <c r="AX70" i="1" s="1"/>
  <c r="AY70" i="1"/>
  <c r="AZ70" i="1" s="1"/>
  <c r="BC70" i="1"/>
  <c r="BF70" i="1" s="1"/>
  <c r="BG70" i="1" s="1"/>
  <c r="BO70" i="1"/>
  <c r="BQ69" i="1" a="1"/>
  <c r="BP70" i="1" a="1"/>
  <c r="BS69" i="1" a="1"/>
  <c r="BV69" i="1" a="1"/>
  <c r="BT69" i="1" a="1"/>
  <c r="BR69" i="1" a="1"/>
  <c r="BU69" i="1" a="1"/>
  <c r="CF69" i="1" l="1"/>
  <c r="CR69" i="1" s="1"/>
  <c r="BR69" i="1"/>
  <c r="BQ69" i="1"/>
  <c r="BV69" i="1"/>
  <c r="BU69" i="1"/>
  <c r="BT69" i="1"/>
  <c r="BS69" i="1"/>
  <c r="CK69" i="1"/>
  <c r="CO69" i="1" s="1"/>
  <c r="BD70" i="1"/>
  <c r="BE70" i="1" s="1"/>
  <c r="CT69" i="1"/>
  <c r="AH70" i="1"/>
  <c r="Z70" i="1" s="1"/>
  <c r="AA70" i="1" s="1"/>
  <c r="CU69" i="1"/>
  <c r="CW69" i="1" s="1"/>
  <c r="CX69" i="1" s="1"/>
  <c r="CS69" i="1"/>
  <c r="BH70" i="1"/>
  <c r="BI70" i="1" s="1"/>
  <c r="AM70" i="1"/>
  <c r="AV70" i="1"/>
  <c r="BP70" i="1"/>
  <c r="BQ70" i="1" a="1"/>
  <c r="CV69" i="1" l="1"/>
  <c r="BQ70" i="1"/>
  <c r="CA70" i="1"/>
  <c r="CB70" i="1"/>
  <c r="CC70" i="1" s="1"/>
  <c r="CD70" i="1"/>
  <c r="CE70" i="1"/>
  <c r="CH70" i="1"/>
  <c r="CI70" i="1"/>
  <c r="CJ70" i="1"/>
  <c r="CL70" i="1"/>
  <c r="CM70" i="1"/>
  <c r="CN70" i="1"/>
  <c r="CQ70" i="1"/>
  <c r="CY70" i="1"/>
  <c r="U71" i="1"/>
  <c r="AC71" i="1"/>
  <c r="AD71" i="1"/>
  <c r="AE71" i="1" s="1"/>
  <c r="AF71" i="1"/>
  <c r="AG71" i="1"/>
  <c r="AJ71" i="1"/>
  <c r="AK71" i="1" s="1"/>
  <c r="AT71" i="1"/>
  <c r="AU71" i="1" s="1"/>
  <c r="AM71" i="1"/>
  <c r="AQ71" i="1"/>
  <c r="AR71" i="1" s="1"/>
  <c r="AS71" i="1"/>
  <c r="AW71" i="1"/>
  <c r="AX71" i="1" s="1"/>
  <c r="AY71" i="1"/>
  <c r="AZ71" i="1" s="1"/>
  <c r="BC71" i="1"/>
  <c r="BD71" i="1" s="1"/>
  <c r="BE71" i="1" s="1"/>
  <c r="BO71" i="1"/>
  <c r="BS70" i="1" a="1"/>
  <c r="BU70" i="1" a="1"/>
  <c r="BT70" i="1" a="1"/>
  <c r="BV70" i="1" a="1"/>
  <c r="BR70" i="1" a="1"/>
  <c r="BP71" i="1" a="1"/>
  <c r="CF70" i="1" l="1"/>
  <c r="CR70" i="1"/>
  <c r="CK70" i="1"/>
  <c r="BV70" i="1"/>
  <c r="BT70" i="1"/>
  <c r="BU70" i="1"/>
  <c r="BS70" i="1"/>
  <c r="BR70" i="1"/>
  <c r="AH71" i="1"/>
  <c r="Z71" i="1" s="1"/>
  <c r="AA71" i="1" s="1"/>
  <c r="BF71" i="1"/>
  <c r="BG71" i="1" s="1"/>
  <c r="CU70" i="1"/>
  <c r="CW70" i="1" s="1"/>
  <c r="CX70" i="1" s="1"/>
  <c r="CO70" i="1"/>
  <c r="CS70" i="1"/>
  <c r="CT70" i="1"/>
  <c r="BH71" i="1"/>
  <c r="BI71" i="1" s="1"/>
  <c r="AV71" i="1"/>
  <c r="BP71" i="1"/>
  <c r="BQ71" i="1" a="1"/>
  <c r="CV70" i="1" l="1"/>
  <c r="BQ71" i="1"/>
  <c r="CA71" i="1"/>
  <c r="CB71" i="1"/>
  <c r="CC71" i="1" s="1"/>
  <c r="CD71" i="1"/>
  <c r="CE71" i="1"/>
  <c r="CH71" i="1"/>
  <c r="CI71" i="1"/>
  <c r="CJ71" i="1"/>
  <c r="CL71" i="1"/>
  <c r="CM71" i="1"/>
  <c r="CN71" i="1"/>
  <c r="CQ71" i="1"/>
  <c r="CY71" i="1"/>
  <c r="U72" i="1"/>
  <c r="AC72" i="1"/>
  <c r="AD72" i="1"/>
  <c r="AE72" i="1" s="1"/>
  <c r="AF72" i="1"/>
  <c r="AG72" i="1"/>
  <c r="AJ72" i="1"/>
  <c r="AK72" i="1" s="1"/>
  <c r="AT72" i="1"/>
  <c r="AU72" i="1" s="1"/>
  <c r="AQ72" i="1"/>
  <c r="AR72" i="1" s="1"/>
  <c r="AS72" i="1"/>
  <c r="AW72" i="1"/>
  <c r="AX72" i="1" s="1"/>
  <c r="AY72" i="1"/>
  <c r="AZ72" i="1" s="1"/>
  <c r="BC72" i="1"/>
  <c r="BF72" i="1" s="1"/>
  <c r="BG72" i="1" s="1"/>
  <c r="BO72" i="1"/>
  <c r="BU71" i="1" a="1"/>
  <c r="BV71" i="1" a="1"/>
  <c r="BR71" i="1" a="1"/>
  <c r="BP72" i="1" a="1"/>
  <c r="BS71" i="1" a="1"/>
  <c r="BT71" i="1" a="1"/>
  <c r="BV71" i="1" l="1"/>
  <c r="BU71" i="1"/>
  <c r="BT71" i="1"/>
  <c r="BS71" i="1"/>
  <c r="BR71" i="1"/>
  <c r="CF71" i="1"/>
  <c r="CR71" i="1" s="1"/>
  <c r="CT71" i="1"/>
  <c r="CU71" i="1"/>
  <c r="CW71" i="1" s="1"/>
  <c r="CX71" i="1" s="1"/>
  <c r="CS71" i="1"/>
  <c r="AH72" i="1"/>
  <c r="Z72" i="1" s="1"/>
  <c r="AA72" i="1" s="1"/>
  <c r="CK71" i="1"/>
  <c r="BD72" i="1"/>
  <c r="BE72" i="1" s="1"/>
  <c r="CO71" i="1"/>
  <c r="BH72" i="1"/>
  <c r="BI72" i="1" s="1"/>
  <c r="AM72" i="1"/>
  <c r="BP72" i="1"/>
  <c r="BQ72" i="1" a="1"/>
  <c r="AV72" i="1" l="1"/>
  <c r="CV71" i="1"/>
  <c r="BQ72" i="1"/>
  <c r="CA72" i="1"/>
  <c r="CB72" i="1"/>
  <c r="CC72" i="1" s="1"/>
  <c r="CD72" i="1"/>
  <c r="CE72" i="1"/>
  <c r="CH72" i="1"/>
  <c r="CI72" i="1"/>
  <c r="CJ72" i="1"/>
  <c r="CL72" i="1"/>
  <c r="CM72" i="1"/>
  <c r="CN72" i="1"/>
  <c r="CQ72" i="1"/>
  <c r="CY72" i="1"/>
  <c r="U73" i="1"/>
  <c r="AC73" i="1"/>
  <c r="AD73" i="1"/>
  <c r="AE73" i="1" s="1"/>
  <c r="AF73" i="1"/>
  <c r="AG73" i="1"/>
  <c r="AJ73" i="1"/>
  <c r="AK73" i="1" s="1"/>
  <c r="AT73" i="1"/>
  <c r="AU73" i="1" s="1"/>
  <c r="AQ73" i="1"/>
  <c r="AR73" i="1" s="1"/>
  <c r="AS73" i="1"/>
  <c r="AW73" i="1"/>
  <c r="AX73" i="1" s="1"/>
  <c r="AY73" i="1"/>
  <c r="AZ73" i="1" s="1"/>
  <c r="BC73" i="1"/>
  <c r="BF73" i="1" s="1"/>
  <c r="BG73" i="1" s="1"/>
  <c r="BO73" i="1"/>
  <c r="BR72" i="1" a="1"/>
  <c r="BU72" i="1" a="1"/>
  <c r="BP73" i="1" a="1"/>
  <c r="BS72" i="1" a="1"/>
  <c r="BT72" i="1" a="1"/>
  <c r="BV72" i="1" a="1"/>
  <c r="BT72" i="1" l="1"/>
  <c r="BS72" i="1"/>
  <c r="BU72" i="1"/>
  <c r="BV72" i="1"/>
  <c r="BR72" i="1"/>
  <c r="CF72" i="1"/>
  <c r="CR72" i="1" s="1"/>
  <c r="CK72" i="1"/>
  <c r="AH73" i="1"/>
  <c r="Z73" i="1" s="1"/>
  <c r="AA73" i="1" s="1"/>
  <c r="BD73" i="1"/>
  <c r="BE73" i="1" s="1"/>
  <c r="CO72" i="1"/>
  <c r="CS72" i="1"/>
  <c r="CT72" i="1"/>
  <c r="CU72" i="1"/>
  <c r="CW72" i="1" s="1"/>
  <c r="CX72" i="1" s="1"/>
  <c r="AM73" i="1"/>
  <c r="AV73" i="1"/>
  <c r="BP73" i="1"/>
  <c r="BQ73" i="1" a="1"/>
  <c r="BH73" i="1" l="1"/>
  <c r="BI73" i="1" s="1"/>
  <c r="CV72" i="1"/>
  <c r="BQ73" i="1"/>
  <c r="CA73" i="1"/>
  <c r="CB73" i="1"/>
  <c r="CC73" i="1" s="1"/>
  <c r="CD73" i="1"/>
  <c r="CE73" i="1"/>
  <c r="CH73" i="1"/>
  <c r="CI73" i="1"/>
  <c r="CJ73" i="1"/>
  <c r="CL73" i="1"/>
  <c r="CM73" i="1"/>
  <c r="CN73" i="1"/>
  <c r="CQ73" i="1"/>
  <c r="CY73" i="1"/>
  <c r="U74" i="1"/>
  <c r="AC74" i="1"/>
  <c r="AD74" i="1"/>
  <c r="AE74" i="1" s="1"/>
  <c r="AF74" i="1"/>
  <c r="AG74" i="1"/>
  <c r="AJ74" i="1"/>
  <c r="AK74" i="1" s="1"/>
  <c r="AT74" i="1"/>
  <c r="AU74" i="1" s="1"/>
  <c r="AQ74" i="1"/>
  <c r="AR74" i="1" s="1"/>
  <c r="AS74" i="1"/>
  <c r="AW74" i="1"/>
  <c r="AX74" i="1" s="1"/>
  <c r="AY74" i="1"/>
  <c r="AZ74" i="1" s="1"/>
  <c r="BC74" i="1"/>
  <c r="BD74" i="1" s="1"/>
  <c r="BE74" i="1" s="1"/>
  <c r="BO74" i="1"/>
  <c r="BS73" i="1" a="1"/>
  <c r="BR73" i="1" a="1"/>
  <c r="BV73" i="1" a="1"/>
  <c r="BP74" i="1" a="1"/>
  <c r="BU73" i="1" a="1"/>
  <c r="BT73" i="1" a="1"/>
  <c r="CF73" i="1" l="1"/>
  <c r="CR73" i="1" s="1"/>
  <c r="BV73" i="1"/>
  <c r="BU73" i="1"/>
  <c r="BT73" i="1"/>
  <c r="BS73" i="1"/>
  <c r="BR73" i="1"/>
  <c r="CK73" i="1"/>
  <c r="CO73" i="1" s="1"/>
  <c r="BF74" i="1"/>
  <c r="BG74" i="1" s="1"/>
  <c r="AH74" i="1"/>
  <c r="Z74" i="1" s="1"/>
  <c r="AA74" i="1" s="1"/>
  <c r="CT73" i="1"/>
  <c r="CU73" i="1"/>
  <c r="CW73" i="1" s="1"/>
  <c r="CX73" i="1" s="1"/>
  <c r="CS73" i="1"/>
  <c r="AM74" i="1"/>
  <c r="BP74" i="1"/>
  <c r="BQ74" i="1" a="1"/>
  <c r="BH74" i="1" l="1"/>
  <c r="BI74" i="1" s="1"/>
  <c r="AV74" i="1"/>
  <c r="CV73" i="1"/>
  <c r="BQ74" i="1"/>
  <c r="CA74" i="1"/>
  <c r="CB74" i="1"/>
  <c r="CC74" i="1" s="1"/>
  <c r="CD74" i="1"/>
  <c r="CE74" i="1"/>
  <c r="CH74" i="1"/>
  <c r="CI74" i="1"/>
  <c r="CJ74" i="1"/>
  <c r="CL74" i="1"/>
  <c r="CM74" i="1"/>
  <c r="CN74" i="1"/>
  <c r="CQ74" i="1"/>
  <c r="CY74" i="1"/>
  <c r="U75" i="1"/>
  <c r="AC75" i="1"/>
  <c r="AD75" i="1"/>
  <c r="AE75" i="1" s="1"/>
  <c r="AF75" i="1"/>
  <c r="AG75" i="1"/>
  <c r="AJ75" i="1"/>
  <c r="AK75" i="1" s="1"/>
  <c r="AT75" i="1"/>
  <c r="AU75" i="1" s="1"/>
  <c r="AQ75" i="1"/>
  <c r="AR75" i="1" s="1"/>
  <c r="AS75" i="1"/>
  <c r="AW75" i="1"/>
  <c r="AX75" i="1" s="1"/>
  <c r="AY75" i="1"/>
  <c r="AZ75" i="1" s="1"/>
  <c r="BC75" i="1"/>
  <c r="BD75" i="1" s="1"/>
  <c r="BE75" i="1" s="1"/>
  <c r="BO75" i="1"/>
  <c r="BR74" i="1" a="1"/>
  <c r="BS74" i="1" a="1"/>
  <c r="BT74" i="1" a="1"/>
  <c r="BU74" i="1" a="1"/>
  <c r="BV74" i="1" a="1"/>
  <c r="BP75" i="1" a="1"/>
  <c r="AH75" i="1" l="1"/>
  <c r="Z75" i="1" s="1"/>
  <c r="AA75" i="1" s="1"/>
  <c r="BV74" i="1"/>
  <c r="BU74" i="1"/>
  <c r="BT74" i="1"/>
  <c r="BS74" i="1"/>
  <c r="BR74" i="1"/>
  <c r="CK74" i="1"/>
  <c r="CO74" i="1" s="1"/>
  <c r="CF74" i="1"/>
  <c r="CR74" i="1" s="1"/>
  <c r="BF75" i="1"/>
  <c r="BG75" i="1" s="1"/>
  <c r="CU74" i="1"/>
  <c r="CV74" i="1" s="1"/>
  <c r="CT74" i="1"/>
  <c r="CS74" i="1"/>
  <c r="BH75" i="1"/>
  <c r="BI75" i="1" s="1"/>
  <c r="AM75" i="1"/>
  <c r="AV75" i="1"/>
  <c r="BP75" i="1"/>
  <c r="CA75" i="1"/>
  <c r="CB75" i="1"/>
  <c r="CC75" i="1" s="1"/>
  <c r="CD75" i="1"/>
  <c r="CE75" i="1"/>
  <c r="CH75" i="1"/>
  <c r="CI75" i="1"/>
  <c r="CJ75" i="1"/>
  <c r="CL75" i="1"/>
  <c r="CM75" i="1"/>
  <c r="CN75" i="1"/>
  <c r="CQ75" i="1"/>
  <c r="CY75" i="1"/>
  <c r="U76" i="1"/>
  <c r="AC76" i="1"/>
  <c r="AD76" i="1"/>
  <c r="AE76" i="1" s="1"/>
  <c r="AF76" i="1"/>
  <c r="AG76" i="1"/>
  <c r="AJ76" i="1"/>
  <c r="AK76" i="1" s="1"/>
  <c r="AT76" i="1"/>
  <c r="AU76" i="1" s="1"/>
  <c r="AQ76" i="1"/>
  <c r="AR76" i="1" s="1"/>
  <c r="AS76" i="1"/>
  <c r="AW76" i="1"/>
  <c r="AX76" i="1" s="1"/>
  <c r="AY76" i="1"/>
  <c r="AZ76" i="1" s="1"/>
  <c r="BC76" i="1"/>
  <c r="BD76" i="1" s="1"/>
  <c r="BE76" i="1" s="1"/>
  <c r="BO76" i="1"/>
  <c r="BS75" i="1" a="1"/>
  <c r="BT75" i="1" a="1"/>
  <c r="BU75" i="1" a="1"/>
  <c r="BV75" i="1" a="1"/>
  <c r="BQ75" i="1" a="1"/>
  <c r="BR75" i="1" a="1"/>
  <c r="BP76" i="1" a="1"/>
  <c r="CW74" i="1" l="1"/>
  <c r="CX74" i="1" s="1"/>
  <c r="AH76" i="1"/>
  <c r="Z76" i="1" s="1"/>
  <c r="AA76" i="1" s="1"/>
  <c r="BS75" i="1"/>
  <c r="BR75" i="1"/>
  <c r="BQ75" i="1"/>
  <c r="BV75" i="1"/>
  <c r="BU75" i="1"/>
  <c r="BT75" i="1"/>
  <c r="CK75" i="1"/>
  <c r="CO75" i="1" s="1"/>
  <c r="CF75" i="1"/>
  <c r="CR75" i="1" s="1"/>
  <c r="BF76" i="1"/>
  <c r="BG76" i="1" s="1"/>
  <c r="CU75" i="1"/>
  <c r="CW75" i="1" s="1"/>
  <c r="CX75" i="1" s="1"/>
  <c r="CT75" i="1"/>
  <c r="CS75" i="1"/>
  <c r="AM76" i="1"/>
  <c r="BP76" i="1"/>
  <c r="BQ76" i="1" a="1"/>
  <c r="AV76" i="1" l="1"/>
  <c r="BH76" i="1"/>
  <c r="BI76" i="1" s="1"/>
  <c r="CV75" i="1"/>
  <c r="BQ76" i="1"/>
  <c r="CA76" i="1"/>
  <c r="CB76" i="1"/>
  <c r="CC76" i="1" s="1"/>
  <c r="CD76" i="1"/>
  <c r="CE76" i="1"/>
  <c r="CH76" i="1"/>
  <c r="CI76" i="1"/>
  <c r="CJ76" i="1"/>
  <c r="CL76" i="1"/>
  <c r="CM76" i="1"/>
  <c r="CN76" i="1"/>
  <c r="CQ76" i="1"/>
  <c r="CY76" i="1"/>
  <c r="U77" i="1"/>
  <c r="AC77" i="1"/>
  <c r="AD77" i="1"/>
  <c r="AE77" i="1" s="1"/>
  <c r="AF77" i="1"/>
  <c r="AG77" i="1"/>
  <c r="AJ77" i="1"/>
  <c r="AK77" i="1" s="1"/>
  <c r="AT77" i="1"/>
  <c r="AU77" i="1" s="1"/>
  <c r="AQ77" i="1"/>
  <c r="AR77" i="1" s="1"/>
  <c r="AS77" i="1"/>
  <c r="AW77" i="1"/>
  <c r="AX77" i="1" s="1"/>
  <c r="AY77" i="1"/>
  <c r="AZ77" i="1" s="1"/>
  <c r="BC77" i="1"/>
  <c r="BF77" i="1" s="1"/>
  <c r="BG77" i="1" s="1"/>
  <c r="BO77" i="1"/>
  <c r="BT76" i="1" a="1"/>
  <c r="BR76" i="1" a="1"/>
  <c r="BP77" i="1" a="1"/>
  <c r="BV76" i="1" a="1"/>
  <c r="BU76" i="1" a="1"/>
  <c r="BS76" i="1" a="1"/>
  <c r="CF76" i="1" l="1"/>
  <c r="CR76" i="1" s="1"/>
  <c r="CK76" i="1"/>
  <c r="CO76" i="1" s="1"/>
  <c r="BT76" i="1"/>
  <c r="BV76" i="1"/>
  <c r="BS76" i="1"/>
  <c r="BR76" i="1"/>
  <c r="BU76" i="1"/>
  <c r="BD77" i="1"/>
  <c r="BE77" i="1" s="1"/>
  <c r="CU76" i="1"/>
  <c r="CW76" i="1" s="1"/>
  <c r="CX76" i="1" s="1"/>
  <c r="CT76" i="1"/>
  <c r="CS76" i="1"/>
  <c r="AH77" i="1"/>
  <c r="Z77" i="1" s="1"/>
  <c r="AA77" i="1" s="1"/>
  <c r="BH77" i="1"/>
  <c r="BI77" i="1" s="1"/>
  <c r="AM77" i="1"/>
  <c r="BP77" i="1"/>
  <c r="BQ77" i="1" a="1"/>
  <c r="CV76" i="1" l="1"/>
  <c r="AV77" i="1"/>
  <c r="BQ77" i="1"/>
  <c r="CA77" i="1"/>
  <c r="CB77" i="1"/>
  <c r="CC77" i="1"/>
  <c r="CD77" i="1"/>
  <c r="CE77" i="1"/>
  <c r="CF77" i="1"/>
  <c r="CH77" i="1"/>
  <c r="CI77" i="1"/>
  <c r="CJ77" i="1"/>
  <c r="CL77" i="1"/>
  <c r="CM77" i="1"/>
  <c r="CN77" i="1"/>
  <c r="CQ77" i="1"/>
  <c r="CR77" i="1" s="1"/>
  <c r="CY77" i="1"/>
  <c r="U78" i="1"/>
  <c r="AC78" i="1"/>
  <c r="AD78" i="1"/>
  <c r="AE78" i="1" s="1"/>
  <c r="AF78" i="1"/>
  <c r="AG78" i="1"/>
  <c r="AJ78" i="1"/>
  <c r="AK78" i="1" s="1"/>
  <c r="AT78" i="1"/>
  <c r="AU78" i="1" s="1"/>
  <c r="AQ78" i="1"/>
  <c r="AR78" i="1" s="1"/>
  <c r="AS78" i="1"/>
  <c r="AW78" i="1"/>
  <c r="AX78" i="1" s="1"/>
  <c r="AY78" i="1"/>
  <c r="AZ78" i="1" s="1"/>
  <c r="BC78" i="1"/>
  <c r="BD78" i="1" s="1"/>
  <c r="BE78" i="1" s="1"/>
  <c r="BO78" i="1"/>
  <c r="BS77" i="1" a="1"/>
  <c r="BP78" i="1" a="1"/>
  <c r="BU77" i="1" a="1"/>
  <c r="BR77" i="1" a="1"/>
  <c r="BT77" i="1" a="1"/>
  <c r="BV77" i="1" a="1"/>
  <c r="BF78" i="1" l="1"/>
  <c r="BG78" i="1" s="1"/>
  <c r="BT77" i="1"/>
  <c r="BS77" i="1"/>
  <c r="BV77" i="1"/>
  <c r="BU77" i="1"/>
  <c r="BR77" i="1"/>
  <c r="CU77" i="1"/>
  <c r="CW77" i="1" s="1"/>
  <c r="CX77" i="1" s="1"/>
  <c r="CT77" i="1"/>
  <c r="CS77" i="1"/>
  <c r="CK77" i="1"/>
  <c r="AH78" i="1"/>
  <c r="Z78" i="1" s="1"/>
  <c r="AA78" i="1" s="1"/>
  <c r="AM78" i="1"/>
  <c r="BH78" i="1"/>
  <c r="BI78" i="1" s="1"/>
  <c r="CO77" i="1"/>
  <c r="BP78" i="1"/>
  <c r="BQ78" i="1" a="1"/>
  <c r="AV78" i="1" l="1"/>
  <c r="CV77" i="1"/>
  <c r="BQ78" i="1"/>
  <c r="CA78" i="1"/>
  <c r="CB78" i="1"/>
  <c r="CC78" i="1" s="1"/>
  <c r="CD78" i="1"/>
  <c r="CE78" i="1"/>
  <c r="CF78" i="1"/>
  <c r="CH78" i="1"/>
  <c r="CI78" i="1"/>
  <c r="CJ78" i="1"/>
  <c r="CL78" i="1"/>
  <c r="CM78" i="1"/>
  <c r="CN78" i="1"/>
  <c r="CQ78" i="1"/>
  <c r="CY78" i="1"/>
  <c r="U79" i="1"/>
  <c r="AC79" i="1"/>
  <c r="AD79" i="1"/>
  <c r="AE79" i="1" s="1"/>
  <c r="AF79" i="1"/>
  <c r="AG79" i="1"/>
  <c r="AJ79" i="1"/>
  <c r="AK79" i="1" s="1"/>
  <c r="AT79" i="1"/>
  <c r="AU79" i="1" s="1"/>
  <c r="AM79" i="1"/>
  <c r="AQ79" i="1"/>
  <c r="AR79" i="1" s="1"/>
  <c r="AS79" i="1"/>
  <c r="AW79" i="1"/>
  <c r="AX79" i="1" s="1"/>
  <c r="AY79" i="1"/>
  <c r="AZ79" i="1" s="1"/>
  <c r="BC79" i="1"/>
  <c r="BF79" i="1" s="1"/>
  <c r="BG79" i="1" s="1"/>
  <c r="BO79" i="1"/>
  <c r="BT78" i="1" a="1"/>
  <c r="BS78" i="1" a="1"/>
  <c r="BR78" i="1" a="1"/>
  <c r="BU78" i="1" a="1"/>
  <c r="BP79" i="1" a="1"/>
  <c r="BV78" i="1" a="1"/>
  <c r="BV78" i="1" l="1"/>
  <c r="BU78" i="1"/>
  <c r="BT78" i="1"/>
  <c r="BS78" i="1"/>
  <c r="BR78" i="1"/>
  <c r="CR78" i="1"/>
  <c r="CK78" i="1"/>
  <c r="CO78" i="1" s="1"/>
  <c r="CU78" i="1"/>
  <c r="BD79" i="1"/>
  <c r="BE79" i="1" s="1"/>
  <c r="CT78" i="1"/>
  <c r="AH79" i="1"/>
  <c r="Z79" i="1" s="1"/>
  <c r="AA79" i="1" s="1"/>
  <c r="CW78" i="1"/>
  <c r="CX78" i="1" s="1"/>
  <c r="CS78" i="1"/>
  <c r="BH79" i="1"/>
  <c r="BI79" i="1" s="1"/>
  <c r="AV79" i="1"/>
  <c r="BP79" i="1"/>
  <c r="BQ79" i="1" a="1"/>
  <c r="CV78" i="1" l="1"/>
  <c r="BQ79" i="1"/>
  <c r="CA79" i="1"/>
  <c r="CB79" i="1"/>
  <c r="CC79" i="1" s="1"/>
  <c r="CD79" i="1"/>
  <c r="CE79" i="1"/>
  <c r="CF79" i="1"/>
  <c r="CH79" i="1"/>
  <c r="CI79" i="1"/>
  <c r="CJ79" i="1"/>
  <c r="CL79" i="1"/>
  <c r="CM79" i="1"/>
  <c r="CN79" i="1"/>
  <c r="CQ79" i="1"/>
  <c r="CR79" i="1" s="1"/>
  <c r="CY79" i="1"/>
  <c r="U80" i="1"/>
  <c r="AC80" i="1"/>
  <c r="AD80" i="1"/>
  <c r="AE80" i="1" s="1"/>
  <c r="AF80" i="1"/>
  <c r="AG80" i="1"/>
  <c r="AJ80" i="1"/>
  <c r="AK80" i="1" s="1"/>
  <c r="AT80" i="1"/>
  <c r="AU80" i="1" s="1"/>
  <c r="AQ80" i="1"/>
  <c r="AR80" i="1" s="1"/>
  <c r="AS80" i="1"/>
  <c r="AW80" i="1"/>
  <c r="AX80" i="1" s="1"/>
  <c r="AY80" i="1"/>
  <c r="AZ80" i="1" s="1"/>
  <c r="BC80" i="1"/>
  <c r="BF80" i="1" s="1"/>
  <c r="BG80" i="1" s="1"/>
  <c r="BO80" i="1"/>
  <c r="BR79" i="1" a="1"/>
  <c r="BT79" i="1" a="1"/>
  <c r="BV79" i="1" a="1"/>
  <c r="BU79" i="1" a="1"/>
  <c r="BP80" i="1" a="1"/>
  <c r="BS79" i="1" a="1"/>
  <c r="BD80" i="1" l="1"/>
  <c r="BE80" i="1" s="1"/>
  <c r="BV79" i="1"/>
  <c r="BT79" i="1"/>
  <c r="BS79" i="1"/>
  <c r="BU79" i="1"/>
  <c r="BR79" i="1"/>
  <c r="CK79" i="1"/>
  <c r="CO79" i="1" s="1"/>
  <c r="CU79" i="1"/>
  <c r="CW79" i="1" s="1"/>
  <c r="CX79" i="1" s="1"/>
  <c r="CT79" i="1"/>
  <c r="CS79" i="1"/>
  <c r="AH80" i="1"/>
  <c r="Z80" i="1" s="1"/>
  <c r="AA80" i="1" s="1"/>
  <c r="BH80" i="1"/>
  <c r="BI80" i="1" s="1"/>
  <c r="AM80" i="1"/>
  <c r="BP80" i="1"/>
  <c r="BQ80" i="1" a="1"/>
  <c r="AV80" i="1" l="1"/>
  <c r="CV79" i="1"/>
  <c r="BQ80" i="1"/>
  <c r="CA80" i="1"/>
  <c r="CB80" i="1"/>
  <c r="CC80" i="1" s="1"/>
  <c r="CD80" i="1"/>
  <c r="CE80" i="1"/>
  <c r="CF80" i="1"/>
  <c r="CH80" i="1"/>
  <c r="CI80" i="1"/>
  <c r="CJ80" i="1"/>
  <c r="CL80" i="1"/>
  <c r="CM80" i="1"/>
  <c r="CN80" i="1"/>
  <c r="CQ80" i="1"/>
  <c r="CS80" i="1" s="1"/>
  <c r="CY80" i="1"/>
  <c r="U81" i="1"/>
  <c r="AC81" i="1"/>
  <c r="AD81" i="1"/>
  <c r="AE81" i="1" s="1"/>
  <c r="AF81" i="1"/>
  <c r="AG81" i="1"/>
  <c r="AJ81" i="1"/>
  <c r="AK81" i="1" s="1"/>
  <c r="AT81" i="1"/>
  <c r="AU81" i="1" s="1"/>
  <c r="AM81" i="1"/>
  <c r="AQ81" i="1"/>
  <c r="AR81" i="1" s="1"/>
  <c r="AS81" i="1"/>
  <c r="AW81" i="1"/>
  <c r="AX81" i="1" s="1"/>
  <c r="AY81" i="1"/>
  <c r="AZ81" i="1" s="1"/>
  <c r="BC81" i="1"/>
  <c r="BD81" i="1" s="1"/>
  <c r="BE81" i="1" s="1"/>
  <c r="BO81" i="1"/>
  <c r="BR80" i="1" a="1"/>
  <c r="BT80" i="1" a="1"/>
  <c r="BV80" i="1" a="1"/>
  <c r="BU80" i="1" a="1"/>
  <c r="BP81" i="1" a="1"/>
  <c r="BS80" i="1" a="1"/>
  <c r="BU80" i="1" l="1"/>
  <c r="BV80" i="1"/>
  <c r="BT80" i="1"/>
  <c r="BS80" i="1"/>
  <c r="BR80" i="1"/>
  <c r="CK80" i="1"/>
  <c r="CU80" i="1"/>
  <c r="CW80" i="1" s="1"/>
  <c r="CX80" i="1" s="1"/>
  <c r="CT80" i="1"/>
  <c r="CR80" i="1"/>
  <c r="BF81" i="1"/>
  <c r="BG81" i="1" s="1"/>
  <c r="AH81" i="1"/>
  <c r="Z81" i="1" s="1"/>
  <c r="AA81" i="1" s="1"/>
  <c r="BP81" i="1"/>
  <c r="BQ81" i="1" a="1"/>
  <c r="BH81" i="1" l="1"/>
  <c r="BI81" i="1" s="1"/>
  <c r="CV80" i="1"/>
  <c r="CO80" i="1"/>
  <c r="AV81" i="1"/>
  <c r="BQ81" i="1"/>
  <c r="CA81" i="1"/>
  <c r="CB81" i="1"/>
  <c r="CC81" i="1" s="1"/>
  <c r="CD81" i="1"/>
  <c r="CE81" i="1"/>
  <c r="CH81" i="1"/>
  <c r="CI81" i="1"/>
  <c r="CJ81" i="1"/>
  <c r="CL81" i="1"/>
  <c r="CM81" i="1"/>
  <c r="CN81" i="1"/>
  <c r="CQ81" i="1"/>
  <c r="CS81" i="1" s="1"/>
  <c r="CY81" i="1"/>
  <c r="U82" i="1"/>
  <c r="AC82" i="1"/>
  <c r="AD82" i="1"/>
  <c r="AE82" i="1" s="1"/>
  <c r="AF82" i="1"/>
  <c r="AG82" i="1"/>
  <c r="AJ82" i="1"/>
  <c r="AK82" i="1" s="1"/>
  <c r="AT82" i="1"/>
  <c r="AU82" i="1" s="1"/>
  <c r="AQ82" i="1"/>
  <c r="AR82" i="1" s="1"/>
  <c r="AS82" i="1"/>
  <c r="AW82" i="1"/>
  <c r="AX82" i="1" s="1"/>
  <c r="AY82" i="1"/>
  <c r="AZ82" i="1" s="1"/>
  <c r="BC82" i="1"/>
  <c r="BD82" i="1" s="1"/>
  <c r="BE82" i="1" s="1"/>
  <c r="BO82" i="1"/>
  <c r="BV81" i="1" a="1"/>
  <c r="BS81" i="1" a="1"/>
  <c r="BR81" i="1" a="1"/>
  <c r="BT81" i="1" a="1"/>
  <c r="BP82" i="1" a="1"/>
  <c r="BU81" i="1" a="1"/>
  <c r="BF82" i="1" l="1"/>
  <c r="BG82" i="1" s="1"/>
  <c r="BU81" i="1"/>
  <c r="BR81" i="1"/>
  <c r="BS81" i="1"/>
  <c r="BT81" i="1"/>
  <c r="BV81" i="1"/>
  <c r="CF81" i="1"/>
  <c r="CK81" i="1"/>
  <c r="BH82" i="1"/>
  <c r="BI82" i="1" s="1"/>
  <c r="AH82" i="1"/>
  <c r="Z82" i="1" s="1"/>
  <c r="AA82" i="1" s="1"/>
  <c r="CU81" i="1"/>
  <c r="CW81" i="1" s="1"/>
  <c r="CX81" i="1" s="1"/>
  <c r="CT81" i="1"/>
  <c r="CR81" i="1"/>
  <c r="AM82" i="1"/>
  <c r="CO81" i="1"/>
  <c r="CV81" i="1"/>
  <c r="AV82" i="1"/>
  <c r="BP82" i="1"/>
  <c r="CA82" i="1"/>
  <c r="CB82" i="1"/>
  <c r="CC82" i="1" s="1"/>
  <c r="CD82" i="1"/>
  <c r="CE82" i="1"/>
  <c r="CH82" i="1"/>
  <c r="CI82" i="1"/>
  <c r="CJ82" i="1"/>
  <c r="CL82" i="1"/>
  <c r="CM82" i="1"/>
  <c r="CN82" i="1"/>
  <c r="CQ82" i="1"/>
  <c r="CY82" i="1"/>
  <c r="U83" i="1"/>
  <c r="AC83" i="1"/>
  <c r="AD83" i="1"/>
  <c r="AE83" i="1" s="1"/>
  <c r="AF83" i="1"/>
  <c r="AG83" i="1"/>
  <c r="AJ83" i="1"/>
  <c r="AK83" i="1" s="1"/>
  <c r="AT83" i="1"/>
  <c r="AU83" i="1" s="1"/>
  <c r="AM83" i="1"/>
  <c r="AQ83" i="1"/>
  <c r="AR83" i="1" s="1"/>
  <c r="AS83" i="1"/>
  <c r="AW83" i="1"/>
  <c r="AX83" i="1" s="1"/>
  <c r="AY83" i="1"/>
  <c r="AZ83" i="1" s="1"/>
  <c r="BC83" i="1"/>
  <c r="BD83" i="1" s="1"/>
  <c r="BE83" i="1" s="1"/>
  <c r="BO83" i="1"/>
  <c r="BT82" i="1" a="1"/>
  <c r="BP83" i="1" a="1"/>
  <c r="BV82" i="1" a="1"/>
  <c r="BQ82" i="1" a="1"/>
  <c r="BR82" i="1" a="1"/>
  <c r="BU82" i="1" a="1"/>
  <c r="BS82" i="1" a="1"/>
  <c r="CF82" i="1" l="1"/>
  <c r="CR82" i="1" s="1"/>
  <c r="AH83" i="1"/>
  <c r="Z83" i="1" s="1"/>
  <c r="AA83" i="1" s="1"/>
  <c r="BQ82" i="1"/>
  <c r="BS82" i="1"/>
  <c r="BV82" i="1"/>
  <c r="BR82" i="1"/>
  <c r="BU82" i="1"/>
  <c r="BT82" i="1"/>
  <c r="BF83" i="1"/>
  <c r="BG83" i="1" s="1"/>
  <c r="CU82" i="1"/>
  <c r="CW82" i="1" s="1"/>
  <c r="CX82" i="1" s="1"/>
  <c r="CT82" i="1"/>
  <c r="CS82" i="1"/>
  <c r="CK82" i="1"/>
  <c r="CO82" i="1" s="1"/>
  <c r="BH83" i="1"/>
  <c r="BI83" i="1" s="1"/>
  <c r="AV83" i="1"/>
  <c r="BP83" i="1"/>
  <c r="BQ83" i="1" a="1"/>
  <c r="CV82" i="1" l="1"/>
  <c r="BQ83" i="1"/>
  <c r="CA83" i="1"/>
  <c r="CB83" i="1"/>
  <c r="CC83" i="1" s="1"/>
  <c r="CD83" i="1"/>
  <c r="CE83" i="1"/>
  <c r="CH83" i="1"/>
  <c r="CI83" i="1"/>
  <c r="CJ83" i="1"/>
  <c r="CL83" i="1"/>
  <c r="CM83" i="1"/>
  <c r="CN83" i="1"/>
  <c r="CQ83" i="1"/>
  <c r="CS83" i="1" s="1"/>
  <c r="CY83" i="1"/>
  <c r="U84" i="1"/>
  <c r="AC84" i="1"/>
  <c r="AD84" i="1"/>
  <c r="AE84" i="1" s="1"/>
  <c r="AF84" i="1"/>
  <c r="AG84" i="1"/>
  <c r="AJ84" i="1"/>
  <c r="AK84" i="1" s="1"/>
  <c r="AT84" i="1"/>
  <c r="AU84" i="1" s="1"/>
  <c r="AM84" i="1"/>
  <c r="AQ84" i="1"/>
  <c r="AR84" i="1" s="1"/>
  <c r="AS84" i="1"/>
  <c r="AW84" i="1"/>
  <c r="AX84" i="1" s="1"/>
  <c r="AY84" i="1"/>
  <c r="AZ84" i="1" s="1"/>
  <c r="BC84" i="1"/>
  <c r="BD84" i="1" s="1"/>
  <c r="BE84" i="1" s="1"/>
  <c r="BO84" i="1"/>
  <c r="BT83" i="1" a="1"/>
  <c r="BP84" i="1" a="1"/>
  <c r="BU83" i="1" a="1"/>
  <c r="BV83" i="1" a="1"/>
  <c r="BS83" i="1" a="1"/>
  <c r="BR83" i="1" a="1"/>
  <c r="BR83" i="1" l="1"/>
  <c r="BV83" i="1"/>
  <c r="BU83" i="1"/>
  <c r="BT83" i="1"/>
  <c r="BS83" i="1"/>
  <c r="CF83" i="1"/>
  <c r="CU83" i="1"/>
  <c r="CW83" i="1" s="1"/>
  <c r="CX83" i="1" s="1"/>
  <c r="CT83" i="1"/>
  <c r="BF84" i="1"/>
  <c r="BG84" i="1" s="1"/>
  <c r="CR83" i="1"/>
  <c r="AH84" i="1"/>
  <c r="Z84" i="1" s="1"/>
  <c r="AA84" i="1" s="1"/>
  <c r="CK83" i="1"/>
  <c r="AV84" i="1"/>
  <c r="BP84" i="1"/>
  <c r="BQ84" i="1" a="1"/>
  <c r="CV83" i="1" l="1"/>
  <c r="CO83" i="1"/>
  <c r="BH84" i="1"/>
  <c r="BI84" i="1" s="1"/>
  <c r="BQ84" i="1"/>
  <c r="CA84" i="1"/>
  <c r="CB84" i="1"/>
  <c r="CC84" i="1" s="1"/>
  <c r="CD84" i="1"/>
  <c r="CE84" i="1"/>
  <c r="CH84" i="1"/>
  <c r="CI84" i="1"/>
  <c r="CJ84" i="1"/>
  <c r="CL84" i="1"/>
  <c r="CM84" i="1"/>
  <c r="CN84" i="1"/>
  <c r="CQ84" i="1"/>
  <c r="CY84" i="1"/>
  <c r="U85" i="1"/>
  <c r="AC85" i="1"/>
  <c r="AD85" i="1"/>
  <c r="AE85" i="1" s="1"/>
  <c r="AF85" i="1"/>
  <c r="AG85" i="1"/>
  <c r="AJ85" i="1"/>
  <c r="AK85" i="1" s="1"/>
  <c r="AT85" i="1"/>
  <c r="AU85" i="1" s="1"/>
  <c r="AQ85" i="1"/>
  <c r="AR85" i="1" s="1"/>
  <c r="AS85" i="1"/>
  <c r="AW85" i="1"/>
  <c r="AX85" i="1" s="1"/>
  <c r="AY85" i="1"/>
  <c r="AZ85" i="1" s="1"/>
  <c r="BC85" i="1"/>
  <c r="BF85" i="1" s="1"/>
  <c r="BG85" i="1" s="1"/>
  <c r="BO85" i="1"/>
  <c r="BR84" i="1" a="1"/>
  <c r="BT84" i="1" a="1"/>
  <c r="BU84" i="1" a="1"/>
  <c r="BV84" i="1" a="1"/>
  <c r="BS84" i="1" a="1"/>
  <c r="BP85" i="1" a="1"/>
  <c r="BV84" i="1" l="1"/>
  <c r="BU84" i="1"/>
  <c r="BT84" i="1"/>
  <c r="BS84" i="1"/>
  <c r="BR84" i="1"/>
  <c r="CF84" i="1"/>
  <c r="CR84" i="1" s="1"/>
  <c r="CK84" i="1"/>
  <c r="CO84" i="1" s="1"/>
  <c r="CU84" i="1"/>
  <c r="CW84" i="1" s="1"/>
  <c r="CX84" i="1" s="1"/>
  <c r="CT84" i="1"/>
  <c r="AH85" i="1"/>
  <c r="Z85" i="1" s="1"/>
  <c r="AA85" i="1" s="1"/>
  <c r="BD85" i="1"/>
  <c r="BE85" i="1" s="1"/>
  <c r="CS84" i="1"/>
  <c r="AM85" i="1"/>
  <c r="AV85" i="1"/>
  <c r="BP85" i="1"/>
  <c r="BQ85" i="1" a="1"/>
  <c r="BH85" i="1" l="1"/>
  <c r="BI85" i="1" s="1"/>
  <c r="CV84" i="1"/>
  <c r="BQ85" i="1"/>
  <c r="CA85" i="1"/>
  <c r="CB85" i="1"/>
  <c r="CC85" i="1" s="1"/>
  <c r="CD85" i="1"/>
  <c r="CE85" i="1"/>
  <c r="CH85" i="1"/>
  <c r="CI85" i="1"/>
  <c r="CJ85" i="1"/>
  <c r="CL85" i="1"/>
  <c r="CM85" i="1"/>
  <c r="CN85" i="1"/>
  <c r="CQ85" i="1"/>
  <c r="CY85" i="1"/>
  <c r="U86" i="1"/>
  <c r="AC86" i="1"/>
  <c r="AD86" i="1"/>
  <c r="AE86" i="1" s="1"/>
  <c r="AF86" i="1"/>
  <c r="AG86" i="1"/>
  <c r="AJ86" i="1"/>
  <c r="AK86" i="1" s="1"/>
  <c r="AT86" i="1"/>
  <c r="AU86" i="1" s="1"/>
  <c r="AM86" i="1"/>
  <c r="AQ86" i="1"/>
  <c r="AR86" i="1" s="1"/>
  <c r="AS86" i="1"/>
  <c r="AW86" i="1"/>
  <c r="AX86" i="1" s="1"/>
  <c r="AY86" i="1"/>
  <c r="AZ86" i="1" s="1"/>
  <c r="BC86" i="1"/>
  <c r="BD86" i="1" s="1"/>
  <c r="BE86" i="1" s="1"/>
  <c r="BO86" i="1"/>
  <c r="BR85" i="1" a="1"/>
  <c r="BT85" i="1" a="1"/>
  <c r="BU85" i="1" a="1"/>
  <c r="BV85" i="1" a="1"/>
  <c r="BP86" i="1" a="1"/>
  <c r="BS85" i="1" a="1"/>
  <c r="CF85" i="1" l="1"/>
  <c r="CR85" i="1"/>
  <c r="BF86" i="1"/>
  <c r="BG86" i="1" s="1"/>
  <c r="BV85" i="1"/>
  <c r="BU85" i="1"/>
  <c r="BT85" i="1"/>
  <c r="BS85" i="1"/>
  <c r="BR85" i="1"/>
  <c r="CU85" i="1"/>
  <c r="CW85" i="1" s="1"/>
  <c r="CX85" i="1" s="1"/>
  <c r="CT85" i="1"/>
  <c r="CS85" i="1"/>
  <c r="CK85" i="1"/>
  <c r="AH86" i="1"/>
  <c r="Z86" i="1" s="1"/>
  <c r="AA86" i="1" s="1"/>
  <c r="CO85" i="1"/>
  <c r="BP86" i="1"/>
  <c r="BQ86" i="1" a="1"/>
  <c r="AV86" i="1" l="1"/>
  <c r="BH86" i="1"/>
  <c r="BI86" i="1" s="1"/>
  <c r="CV85" i="1"/>
  <c r="BQ86" i="1"/>
  <c r="CA86" i="1"/>
  <c r="CB86" i="1"/>
  <c r="CC86" i="1" s="1"/>
  <c r="CD86" i="1"/>
  <c r="CE86" i="1"/>
  <c r="CH86" i="1"/>
  <c r="CI86" i="1"/>
  <c r="CJ86" i="1"/>
  <c r="CL86" i="1"/>
  <c r="CM86" i="1"/>
  <c r="CN86" i="1"/>
  <c r="CQ86" i="1"/>
  <c r="CY86" i="1"/>
  <c r="U87" i="1"/>
  <c r="AC87" i="1"/>
  <c r="AD87" i="1"/>
  <c r="AE87" i="1" s="1"/>
  <c r="AF87" i="1"/>
  <c r="AG87" i="1"/>
  <c r="AJ87" i="1"/>
  <c r="AK87" i="1" s="1"/>
  <c r="AT87" i="1"/>
  <c r="AU87" i="1" s="1"/>
  <c r="AQ87" i="1"/>
  <c r="AR87" i="1" s="1"/>
  <c r="AS87" i="1"/>
  <c r="AW87" i="1"/>
  <c r="AX87" i="1" s="1"/>
  <c r="AY87" i="1"/>
  <c r="AZ87" i="1" s="1"/>
  <c r="BC87" i="1"/>
  <c r="BD87" i="1" s="1"/>
  <c r="BE87" i="1" s="1"/>
  <c r="BO87" i="1"/>
  <c r="BS86" i="1" a="1"/>
  <c r="BV86" i="1" a="1"/>
  <c r="BU86" i="1" a="1"/>
  <c r="BR86" i="1" a="1"/>
  <c r="BP87" i="1" a="1"/>
  <c r="BT86" i="1" a="1"/>
  <c r="CF86" i="1" l="1"/>
  <c r="CR86" i="1" s="1"/>
  <c r="BF87" i="1"/>
  <c r="BG87" i="1" s="1"/>
  <c r="BU86" i="1"/>
  <c r="BT86" i="1"/>
  <c r="BV86" i="1"/>
  <c r="BS86" i="1"/>
  <c r="BR86" i="1"/>
  <c r="AH87" i="1"/>
  <c r="Z87" i="1" s="1"/>
  <c r="AA87" i="1" s="1"/>
  <c r="CU86" i="1"/>
  <c r="CW86" i="1" s="1"/>
  <c r="CX86" i="1" s="1"/>
  <c r="CT86" i="1"/>
  <c r="CS86" i="1"/>
  <c r="CK86" i="1"/>
  <c r="CO86" i="1"/>
  <c r="BH87" i="1"/>
  <c r="BI87" i="1" s="1"/>
  <c r="AM87" i="1"/>
  <c r="BP87" i="1"/>
  <c r="BQ87" i="1" a="1"/>
  <c r="AV87" i="1" l="1"/>
  <c r="CV86" i="1"/>
  <c r="BQ87" i="1"/>
  <c r="CA87" i="1"/>
  <c r="CB87" i="1"/>
  <c r="CC87" i="1" s="1"/>
  <c r="CD87" i="1"/>
  <c r="CE87" i="1"/>
  <c r="CF87" i="1"/>
  <c r="CH87" i="1"/>
  <c r="CI87" i="1"/>
  <c r="CJ87" i="1"/>
  <c r="CL87" i="1"/>
  <c r="CM87" i="1"/>
  <c r="CN87" i="1"/>
  <c r="CQ87" i="1"/>
  <c r="CS87" i="1" s="1"/>
  <c r="CY87" i="1"/>
  <c r="U88" i="1"/>
  <c r="AC88" i="1"/>
  <c r="AD88" i="1"/>
  <c r="AE88" i="1" s="1"/>
  <c r="AF88" i="1"/>
  <c r="AG88" i="1"/>
  <c r="AJ88" i="1"/>
  <c r="AK88" i="1" s="1"/>
  <c r="AT88" i="1"/>
  <c r="AU88" i="1" s="1"/>
  <c r="AQ88" i="1"/>
  <c r="AR88" i="1" s="1"/>
  <c r="AS88" i="1"/>
  <c r="AW88" i="1"/>
  <c r="AX88" i="1" s="1"/>
  <c r="AY88" i="1"/>
  <c r="AZ88" i="1" s="1"/>
  <c r="BC88" i="1"/>
  <c r="BD88" i="1" s="1"/>
  <c r="BE88" i="1" s="1"/>
  <c r="BO88" i="1"/>
  <c r="BR87" i="1" a="1"/>
  <c r="BT87" i="1" a="1"/>
  <c r="BU87" i="1" a="1"/>
  <c r="BS87" i="1" a="1"/>
  <c r="BV87" i="1" a="1"/>
  <c r="BP88" i="1" a="1"/>
  <c r="BF88" i="1" l="1"/>
  <c r="BG88" i="1" s="1"/>
  <c r="BV87" i="1"/>
  <c r="BU87" i="1"/>
  <c r="BT87" i="1"/>
  <c r="BS87" i="1"/>
  <c r="BR87" i="1"/>
  <c r="AH88" i="1"/>
  <c r="Z88" i="1" s="1"/>
  <c r="AA88" i="1" s="1"/>
  <c r="CK87" i="1"/>
  <c r="CU87" i="1"/>
  <c r="CW87" i="1" s="1"/>
  <c r="CX87" i="1" s="1"/>
  <c r="CT87" i="1"/>
  <c r="CR87" i="1"/>
  <c r="AM88" i="1"/>
  <c r="BP88" i="1"/>
  <c r="BQ88" i="1" a="1"/>
  <c r="BH88" i="1" l="1"/>
  <c r="BI88" i="1" s="1"/>
  <c r="CV87" i="1"/>
  <c r="AV88" i="1"/>
  <c r="CO87" i="1"/>
  <c r="BQ88" i="1"/>
  <c r="CA88" i="1"/>
  <c r="CB88" i="1"/>
  <c r="CC88" i="1" s="1"/>
  <c r="CD88" i="1"/>
  <c r="CE88" i="1"/>
  <c r="CF88" i="1"/>
  <c r="CH88" i="1"/>
  <c r="CI88" i="1"/>
  <c r="CJ88" i="1"/>
  <c r="CL88" i="1"/>
  <c r="CM88" i="1"/>
  <c r="CN88" i="1"/>
  <c r="CQ88" i="1"/>
  <c r="CY88" i="1"/>
  <c r="U89" i="1"/>
  <c r="AC89" i="1"/>
  <c r="AD89" i="1"/>
  <c r="AE89" i="1" s="1"/>
  <c r="AF89" i="1"/>
  <c r="AG89" i="1"/>
  <c r="AJ89" i="1"/>
  <c r="AK89" i="1" s="1"/>
  <c r="AT89" i="1"/>
  <c r="AU89" i="1" s="1"/>
  <c r="AM89" i="1"/>
  <c r="AQ89" i="1"/>
  <c r="AR89" i="1" s="1"/>
  <c r="AS89" i="1"/>
  <c r="AW89" i="1"/>
  <c r="AX89" i="1" s="1"/>
  <c r="AY89" i="1"/>
  <c r="AZ89" i="1" s="1"/>
  <c r="BC89" i="1"/>
  <c r="BD89" i="1" s="1"/>
  <c r="BE89" i="1" s="1"/>
  <c r="BO89" i="1"/>
  <c r="BV88" i="1" a="1"/>
  <c r="BU88" i="1" a="1"/>
  <c r="BT88" i="1" a="1"/>
  <c r="BS88" i="1" a="1"/>
  <c r="BP89" i="1" a="1"/>
  <c r="BR88" i="1" a="1"/>
  <c r="CR88" i="1" l="1"/>
  <c r="BF89" i="1"/>
  <c r="BG89" i="1" s="1"/>
  <c r="BV88" i="1"/>
  <c r="BU88" i="1"/>
  <c r="BT88" i="1"/>
  <c r="BS88" i="1"/>
  <c r="BR88" i="1"/>
  <c r="AH89" i="1"/>
  <c r="Z89" i="1" s="1"/>
  <c r="AA89" i="1" s="1"/>
  <c r="CU88" i="1"/>
  <c r="CW88" i="1" s="1"/>
  <c r="CX88" i="1" s="1"/>
  <c r="CK88" i="1"/>
  <c r="CO88" i="1" s="1"/>
  <c r="CS88" i="1"/>
  <c r="CT88" i="1"/>
  <c r="BH89" i="1"/>
  <c r="BI89" i="1" s="1"/>
  <c r="AV89" i="1"/>
  <c r="BP89" i="1"/>
  <c r="CQ89" i="1"/>
  <c r="U90" i="1"/>
  <c r="AC90" i="1"/>
  <c r="AD90" i="1"/>
  <c r="AE90" i="1" s="1"/>
  <c r="AF90" i="1"/>
  <c r="AG90" i="1"/>
  <c r="AJ90" i="1"/>
  <c r="AK90" i="1" s="1"/>
  <c r="AT90" i="1"/>
  <c r="AU90" i="1" s="1"/>
  <c r="AQ90" i="1"/>
  <c r="AR90" i="1" s="1"/>
  <c r="AS90" i="1"/>
  <c r="AW90" i="1"/>
  <c r="AX90" i="1" s="1"/>
  <c r="AY90" i="1"/>
  <c r="AZ90" i="1" s="1"/>
  <c r="BC90" i="1"/>
  <c r="BF90" i="1" s="1"/>
  <c r="BG90" i="1" s="1"/>
  <c r="BO90" i="1"/>
  <c r="BQ89" i="1" a="1"/>
  <c r="BU89" i="1" a="1"/>
  <c r="BR89" i="1" a="1"/>
  <c r="BS89" i="1" a="1"/>
  <c r="BP90" i="1" a="1"/>
  <c r="BV89" i="1" a="1"/>
  <c r="BT89" i="1" a="1"/>
  <c r="CV88" i="1" l="1"/>
  <c r="BT89" i="1"/>
  <c r="BS89" i="1"/>
  <c r="BR89" i="1"/>
  <c r="BQ89" i="1"/>
  <c r="BV89" i="1"/>
  <c r="BU89" i="1"/>
  <c r="BD90" i="1"/>
  <c r="BE90" i="1" s="1"/>
  <c r="AM90" i="1"/>
  <c r="AH90" i="1"/>
  <c r="Z90" i="1" s="1"/>
  <c r="AA90" i="1" s="1"/>
  <c r="BP90" i="1"/>
  <c r="CQ90" i="1"/>
  <c r="U91" i="1"/>
  <c r="AC91" i="1"/>
  <c r="AD91" i="1"/>
  <c r="AE91" i="1" s="1"/>
  <c r="AF91" i="1"/>
  <c r="AG91" i="1"/>
  <c r="AJ91" i="1"/>
  <c r="AK91" i="1" s="1"/>
  <c r="AT91" i="1"/>
  <c r="AU91" i="1" s="1"/>
  <c r="AM91" i="1"/>
  <c r="AQ91" i="1"/>
  <c r="AR91" i="1" s="1"/>
  <c r="AS91" i="1"/>
  <c r="AW91" i="1"/>
  <c r="AX91" i="1" s="1"/>
  <c r="AY91" i="1"/>
  <c r="AZ91" i="1" s="1"/>
  <c r="BC91" i="1"/>
  <c r="BF91" i="1" s="1"/>
  <c r="BG91" i="1" s="1"/>
  <c r="BO91" i="1"/>
  <c r="BR90" i="1" a="1"/>
  <c r="BT90" i="1" a="1"/>
  <c r="BV90" i="1" a="1"/>
  <c r="BP91" i="1" a="1"/>
  <c r="BQ90" i="1" a="1"/>
  <c r="BU90" i="1" a="1"/>
  <c r="BS90" i="1" a="1"/>
  <c r="BH90" i="1" l="1"/>
  <c r="BI90" i="1" s="1"/>
  <c r="AV90" i="1"/>
  <c r="BU90" i="1"/>
  <c r="BT90" i="1"/>
  <c r="BS90" i="1"/>
  <c r="BR90" i="1"/>
  <c r="BQ90" i="1"/>
  <c r="BV90" i="1"/>
  <c r="BD91" i="1"/>
  <c r="BE91" i="1" s="1"/>
  <c r="AH91" i="1"/>
  <c r="BP91" i="1"/>
  <c r="BQ91" i="1" a="1"/>
  <c r="BH91" i="1" l="1"/>
  <c r="BI91" i="1" s="1"/>
  <c r="AV91" i="1"/>
  <c r="Z91" i="1"/>
  <c r="AA91" i="1" s="1"/>
  <c r="BQ91" i="1"/>
  <c r="CQ91" i="1"/>
  <c r="U92" i="1"/>
  <c r="AC92" i="1"/>
  <c r="AD92" i="1"/>
  <c r="AE92" i="1" s="1"/>
  <c r="AF92" i="1"/>
  <c r="AG92" i="1"/>
  <c r="AJ92" i="1"/>
  <c r="AK92" i="1" s="1"/>
  <c r="AT92" i="1"/>
  <c r="AU92" i="1" s="1"/>
  <c r="AM92" i="1"/>
  <c r="AQ92" i="1"/>
  <c r="AR92" i="1" s="1"/>
  <c r="AS92" i="1"/>
  <c r="AW92" i="1"/>
  <c r="AX92" i="1" s="1"/>
  <c r="AY92" i="1"/>
  <c r="AZ92" i="1" s="1"/>
  <c r="BC92" i="1"/>
  <c r="BD92" i="1" s="1"/>
  <c r="BE92" i="1" s="1"/>
  <c r="BO92" i="1"/>
  <c r="BT91" i="1" a="1"/>
  <c r="BV91" i="1" a="1"/>
  <c r="BR91" i="1" a="1"/>
  <c r="BP92" i="1" a="1"/>
  <c r="BS91" i="1" a="1"/>
  <c r="BU91" i="1" a="1"/>
  <c r="BF92" i="1" l="1"/>
  <c r="BG92" i="1" s="1"/>
  <c r="BV91" i="1"/>
  <c r="BU91" i="1"/>
  <c r="BT91" i="1"/>
  <c r="BS91" i="1"/>
  <c r="BR91" i="1"/>
  <c r="AH92" i="1"/>
  <c r="Z92" i="1" s="1"/>
  <c r="AA92" i="1" s="1"/>
  <c r="BP92" i="1"/>
  <c r="BQ92" i="1" a="1"/>
  <c r="BH92" i="1" l="1"/>
  <c r="BI92" i="1" s="1"/>
  <c r="AV92" i="1"/>
  <c r="BQ92" i="1"/>
  <c r="CQ92" i="1"/>
  <c r="U93" i="1"/>
  <c r="AC93" i="1"/>
  <c r="AD93" i="1"/>
  <c r="AE93" i="1" s="1"/>
  <c r="AF93" i="1"/>
  <c r="AG93" i="1"/>
  <c r="AJ93" i="1"/>
  <c r="AK93" i="1" s="1"/>
  <c r="AT93" i="1"/>
  <c r="AU93" i="1" s="1"/>
  <c r="AQ93" i="1"/>
  <c r="AR93" i="1" s="1"/>
  <c r="AS93" i="1"/>
  <c r="AW93" i="1"/>
  <c r="AX93" i="1" s="1"/>
  <c r="AY93" i="1"/>
  <c r="AZ93" i="1" s="1"/>
  <c r="BC93" i="1"/>
  <c r="BD93" i="1" s="1"/>
  <c r="BO93" i="1"/>
  <c r="BP93" i="1" a="1"/>
  <c r="BS92" i="1" a="1"/>
  <c r="BT92" i="1" a="1"/>
  <c r="BV92" i="1" a="1"/>
  <c r="BR92" i="1" a="1"/>
  <c r="BU92" i="1" a="1"/>
  <c r="BF93" i="1" l="1"/>
  <c r="BG93" i="1" s="1"/>
  <c r="BT92" i="1"/>
  <c r="BV92" i="1"/>
  <c r="BS92" i="1"/>
  <c r="BU92" i="1"/>
  <c r="BR92" i="1"/>
  <c r="AH93" i="1"/>
  <c r="Z93" i="1" s="1"/>
  <c r="AA93" i="1" s="1"/>
  <c r="BE93" i="1"/>
  <c r="AM93" i="1"/>
  <c r="AV93" i="1"/>
  <c r="BP93" i="1"/>
  <c r="CQ93" i="1"/>
  <c r="U94" i="1"/>
  <c r="AC94" i="1"/>
  <c r="AD94" i="1"/>
  <c r="AE94" i="1" s="1"/>
  <c r="AF94" i="1"/>
  <c r="AG94" i="1"/>
  <c r="AJ94" i="1"/>
  <c r="AK94" i="1" s="1"/>
  <c r="AT94" i="1"/>
  <c r="AU94" i="1" s="1"/>
  <c r="AQ94" i="1"/>
  <c r="AR94" i="1" s="1"/>
  <c r="AS94" i="1"/>
  <c r="AW94" i="1"/>
  <c r="AX94" i="1" s="1"/>
  <c r="AY94" i="1"/>
  <c r="AZ94" i="1" s="1"/>
  <c r="BC94" i="1"/>
  <c r="BD94" i="1" s="1"/>
  <c r="BE94" i="1" s="1"/>
  <c r="BO94" i="1"/>
  <c r="BR93" i="1" a="1"/>
  <c r="BU93" i="1" a="1"/>
  <c r="BP94" i="1" a="1"/>
  <c r="BT93" i="1" a="1"/>
  <c r="BQ93" i="1" a="1"/>
  <c r="BV93" i="1" a="1"/>
  <c r="BS93" i="1" a="1"/>
  <c r="BH93" i="1" l="1"/>
  <c r="BI93" i="1" s="1"/>
  <c r="BT93" i="1"/>
  <c r="BV93" i="1"/>
  <c r="BU93" i="1"/>
  <c r="BS93" i="1"/>
  <c r="BR93" i="1"/>
  <c r="BQ93" i="1"/>
  <c r="BF94" i="1"/>
  <c r="BG94" i="1" s="1"/>
  <c r="AM94" i="1"/>
  <c r="BH94" i="1"/>
  <c r="BI94" i="1" s="1"/>
  <c r="AH94" i="1"/>
  <c r="BP94" i="1"/>
  <c r="BQ94" i="1" a="1"/>
  <c r="AV94" i="1" l="1"/>
  <c r="Z94" i="1"/>
  <c r="AA94" i="1" s="1"/>
  <c r="BQ94" i="1"/>
  <c r="CQ94" i="1"/>
  <c r="U95" i="1"/>
  <c r="AC95" i="1"/>
  <c r="AD95" i="1"/>
  <c r="AE95" i="1" s="1"/>
  <c r="AF95" i="1"/>
  <c r="AG95" i="1"/>
  <c r="AJ95" i="1"/>
  <c r="AK95" i="1" s="1"/>
  <c r="AT95" i="1"/>
  <c r="AU95" i="1" s="1"/>
  <c r="AQ95" i="1"/>
  <c r="AR95" i="1" s="1"/>
  <c r="AS95" i="1"/>
  <c r="AW95" i="1"/>
  <c r="AX95" i="1" s="1"/>
  <c r="AY95" i="1"/>
  <c r="AZ95" i="1" s="1"/>
  <c r="BC95" i="1"/>
  <c r="BF95" i="1" s="1"/>
  <c r="BG95" i="1" s="1"/>
  <c r="BO95" i="1"/>
  <c r="BR94" i="1" a="1"/>
  <c r="BP95" i="1" a="1"/>
  <c r="BV94" i="1" a="1"/>
  <c r="BU94" i="1" a="1"/>
  <c r="BS94" i="1" a="1"/>
  <c r="BT94" i="1" a="1"/>
  <c r="BV94" i="1" l="1"/>
  <c r="BT94" i="1"/>
  <c r="BS94" i="1"/>
  <c r="BU94" i="1"/>
  <c r="BR94" i="1"/>
  <c r="BD95" i="1"/>
  <c r="BE95" i="1" s="1"/>
  <c r="AH95" i="1"/>
  <c r="Z95" i="1" s="1"/>
  <c r="AA95" i="1" s="1"/>
  <c r="AM95" i="1"/>
  <c r="BP95" i="1"/>
  <c r="BQ95" i="1" a="1"/>
  <c r="BH95" i="1" l="1"/>
  <c r="BI95" i="1" s="1"/>
  <c r="AV95" i="1"/>
  <c r="BQ95" i="1"/>
  <c r="CQ95" i="1"/>
  <c r="U96" i="1"/>
  <c r="AC96" i="1"/>
  <c r="AD96" i="1"/>
  <c r="AE96" i="1" s="1"/>
  <c r="AF96" i="1"/>
  <c r="AG96" i="1"/>
  <c r="AJ96" i="1"/>
  <c r="AK96" i="1" s="1"/>
  <c r="AT96" i="1"/>
  <c r="AU96" i="1" s="1"/>
  <c r="AQ96" i="1"/>
  <c r="AR96" i="1" s="1"/>
  <c r="AS96" i="1"/>
  <c r="AW96" i="1"/>
  <c r="AX96" i="1" s="1"/>
  <c r="AY96" i="1"/>
  <c r="AZ96" i="1" s="1"/>
  <c r="BC96" i="1"/>
  <c r="BF96" i="1" s="1"/>
  <c r="BG96" i="1" s="1"/>
  <c r="BO96" i="1"/>
  <c r="BU95" i="1" a="1"/>
  <c r="BS95" i="1" a="1"/>
  <c r="BV95" i="1" a="1"/>
  <c r="BP96" i="1" a="1"/>
  <c r="BT95" i="1" a="1"/>
  <c r="BR95" i="1" a="1"/>
  <c r="BU95" i="1" l="1"/>
  <c r="BT95" i="1"/>
  <c r="BV95" i="1"/>
  <c r="BS95" i="1"/>
  <c r="BR95" i="1"/>
  <c r="BD96" i="1"/>
  <c r="BE96" i="1" s="1"/>
  <c r="AH96" i="1"/>
  <c r="Z96" i="1" s="1"/>
  <c r="AA96" i="1" s="1"/>
  <c r="AM96" i="1"/>
  <c r="BP96" i="1"/>
  <c r="CQ96" i="1"/>
  <c r="U97" i="1"/>
  <c r="AC97" i="1"/>
  <c r="AD97" i="1"/>
  <c r="AE97" i="1" s="1"/>
  <c r="AF97" i="1"/>
  <c r="AG97" i="1"/>
  <c r="AJ97" i="1"/>
  <c r="AK97" i="1" s="1"/>
  <c r="AT97" i="1"/>
  <c r="AU97" i="1" s="1"/>
  <c r="AM97" i="1"/>
  <c r="AQ97" i="1"/>
  <c r="AR97" i="1" s="1"/>
  <c r="AS97" i="1"/>
  <c r="AW97" i="1"/>
  <c r="AX97" i="1" s="1"/>
  <c r="AY97" i="1"/>
  <c r="AZ97" i="1" s="1"/>
  <c r="BC97" i="1"/>
  <c r="BD97" i="1" s="1"/>
  <c r="BO97" i="1"/>
  <c r="BU96" i="1" a="1"/>
  <c r="BS96" i="1" a="1"/>
  <c r="BR96" i="1" a="1"/>
  <c r="BT96" i="1" a="1"/>
  <c r="BQ96" i="1" a="1"/>
  <c r="BP97" i="1" a="1"/>
  <c r="BV96" i="1" a="1"/>
  <c r="BH96" i="1" l="1"/>
  <c r="BI96" i="1" s="1"/>
  <c r="AV96" i="1"/>
  <c r="BU96" i="1"/>
  <c r="BV96" i="1"/>
  <c r="BT96" i="1"/>
  <c r="BS96" i="1"/>
  <c r="BR96" i="1"/>
  <c r="BQ96" i="1"/>
  <c r="BF97" i="1"/>
  <c r="BG97" i="1" s="1"/>
  <c r="AH97" i="1"/>
  <c r="Z97" i="1" s="1"/>
  <c r="AA97" i="1" s="1"/>
  <c r="BH97" i="1"/>
  <c r="BI97" i="1" s="1"/>
  <c r="BE97" i="1"/>
  <c r="BP97" i="1"/>
  <c r="BQ97" i="1" a="1"/>
  <c r="AV97" i="1" l="1"/>
  <c r="BQ97" i="1"/>
  <c r="CQ97" i="1"/>
  <c r="U98" i="1"/>
  <c r="AC98" i="1"/>
  <c r="AD98" i="1"/>
  <c r="AE98" i="1" s="1"/>
  <c r="AF98" i="1"/>
  <c r="AG98" i="1"/>
  <c r="AJ98" i="1"/>
  <c r="AK98" i="1" s="1"/>
  <c r="AT98" i="1"/>
  <c r="AU98" i="1" s="1"/>
  <c r="AM98" i="1"/>
  <c r="AQ98" i="1"/>
  <c r="AR98" i="1" s="1"/>
  <c r="AS98" i="1"/>
  <c r="AW98" i="1"/>
  <c r="AX98" i="1" s="1"/>
  <c r="AY98" i="1"/>
  <c r="AZ98" i="1" s="1"/>
  <c r="BC98" i="1"/>
  <c r="BD98" i="1" s="1"/>
  <c r="BE98" i="1" s="1"/>
  <c r="BO98" i="1"/>
  <c r="BT97" i="1" a="1"/>
  <c r="BV97" i="1" a="1"/>
  <c r="BP98" i="1" a="1"/>
  <c r="BR97" i="1" a="1"/>
  <c r="BS97" i="1" a="1"/>
  <c r="BU97" i="1" a="1"/>
  <c r="BF98" i="1" l="1"/>
  <c r="BG98" i="1" s="1"/>
  <c r="BS97" i="1"/>
  <c r="BU97" i="1"/>
  <c r="BV97" i="1"/>
  <c r="BT97" i="1"/>
  <c r="BR97" i="1"/>
  <c r="AH98" i="1"/>
  <c r="Z98" i="1" s="1"/>
  <c r="AA98" i="1" s="1"/>
  <c r="BP98" i="1"/>
  <c r="CQ98" i="1"/>
  <c r="U99" i="1"/>
  <c r="AC99" i="1"/>
  <c r="AD99" i="1"/>
  <c r="AE99" i="1" s="1"/>
  <c r="AF99" i="1"/>
  <c r="AG99" i="1"/>
  <c r="AJ99" i="1"/>
  <c r="AK99" i="1" s="1"/>
  <c r="AT99" i="1"/>
  <c r="AU99" i="1" s="1"/>
  <c r="AQ99" i="1"/>
  <c r="AR99" i="1" s="1"/>
  <c r="AS99" i="1"/>
  <c r="AW99" i="1"/>
  <c r="AX99" i="1" s="1"/>
  <c r="AY99" i="1"/>
  <c r="AZ99" i="1" s="1"/>
  <c r="BC99" i="1"/>
  <c r="BD99" i="1" s="1"/>
  <c r="BO99" i="1"/>
  <c r="BV98" i="1" a="1"/>
  <c r="BP99" i="1" a="1"/>
  <c r="BU98" i="1" a="1"/>
  <c r="BR98" i="1" a="1"/>
  <c r="BQ98" i="1" a="1"/>
  <c r="BT98" i="1" a="1"/>
  <c r="BS98" i="1" a="1"/>
  <c r="BH98" i="1" l="1"/>
  <c r="BI98" i="1" s="1"/>
  <c r="AV98" i="1"/>
  <c r="BT98" i="1"/>
  <c r="BS98" i="1"/>
  <c r="BU98" i="1"/>
  <c r="BR98" i="1"/>
  <c r="BV98" i="1"/>
  <c r="BQ98" i="1"/>
  <c r="AH99" i="1"/>
  <c r="Z99" i="1" s="1"/>
  <c r="AA99" i="1" s="1"/>
  <c r="BF99" i="1"/>
  <c r="BG99" i="1" s="1"/>
  <c r="BE99" i="1"/>
  <c r="AM99" i="1"/>
  <c r="AV99" i="1"/>
  <c r="BP99" i="1"/>
  <c r="BQ99" i="1" a="1"/>
  <c r="BH99" i="1" l="1"/>
  <c r="BI99" i="1" s="1"/>
  <c r="BQ99" i="1"/>
  <c r="CQ99" i="1"/>
  <c r="U100" i="1"/>
  <c r="AC100" i="1"/>
  <c r="AD100" i="1"/>
  <c r="AE100" i="1" s="1"/>
  <c r="AF100" i="1"/>
  <c r="AG100" i="1"/>
  <c r="AJ100" i="1"/>
  <c r="AK100" i="1" s="1"/>
  <c r="AQ100" i="1"/>
  <c r="AR100" i="1" s="1"/>
  <c r="AS100" i="1"/>
  <c r="AW100" i="1"/>
  <c r="AX100" i="1" s="1"/>
  <c r="AY100" i="1"/>
  <c r="AZ100" i="1" s="1"/>
  <c r="BC100" i="1"/>
  <c r="BD100" i="1" s="1"/>
  <c r="BO100" i="1"/>
  <c r="BR99" i="1" a="1"/>
  <c r="BP100" i="1" a="1"/>
  <c r="BU99" i="1" a="1"/>
  <c r="BT99" i="1" a="1"/>
  <c r="BV99" i="1" a="1"/>
  <c r="BS99" i="1" a="1"/>
  <c r="BV99" i="1" l="1"/>
  <c r="BU99" i="1"/>
  <c r="BT99" i="1"/>
  <c r="BS99" i="1"/>
  <c r="BR99" i="1"/>
  <c r="BF100" i="1"/>
  <c r="BG100" i="1" s="1"/>
  <c r="BE100" i="1"/>
  <c r="AT100" i="1"/>
  <c r="AU100" i="1" s="1"/>
  <c r="AM100" i="1"/>
  <c r="AH100" i="1"/>
  <c r="Z100" i="1" s="1"/>
  <c r="AA100" i="1" s="1"/>
  <c r="BP100" i="1"/>
  <c r="BQ100" i="1" a="1"/>
  <c r="BH100" i="1" l="1"/>
  <c r="BI100" i="1" s="1"/>
  <c r="AV100" i="1"/>
  <c r="BQ100" i="1"/>
  <c r="CQ100" i="1"/>
  <c r="U101" i="1"/>
  <c r="AC101" i="1"/>
  <c r="AD101" i="1"/>
  <c r="AE101" i="1" s="1"/>
  <c r="AF101" i="1"/>
  <c r="AG101" i="1"/>
  <c r="AJ101" i="1"/>
  <c r="AK101" i="1" s="1"/>
  <c r="AT101" i="1"/>
  <c r="AU101" i="1" s="1"/>
  <c r="AQ101" i="1"/>
  <c r="AR101" i="1" s="1"/>
  <c r="AS101" i="1"/>
  <c r="AW101" i="1"/>
  <c r="AX101" i="1" s="1"/>
  <c r="AY101" i="1"/>
  <c r="AZ101" i="1" s="1"/>
  <c r="BC101" i="1"/>
  <c r="BD101" i="1" s="1"/>
  <c r="BE101" i="1" s="1"/>
  <c r="BO101" i="1"/>
  <c r="BR100" i="1" a="1"/>
  <c r="BV100" i="1" a="1"/>
  <c r="BU100" i="1" a="1"/>
  <c r="BS100" i="1" a="1"/>
  <c r="BT100" i="1" a="1"/>
  <c r="BP101" i="1" a="1"/>
  <c r="BF101" i="1" l="1"/>
  <c r="BG101" i="1" s="1"/>
  <c r="BU100" i="1"/>
  <c r="BV100" i="1"/>
  <c r="BT100" i="1"/>
  <c r="BS100" i="1"/>
  <c r="BR100" i="1"/>
  <c r="AH101" i="1"/>
  <c r="Z101" i="1" s="1"/>
  <c r="AA101" i="1" s="1"/>
  <c r="AM101" i="1"/>
  <c r="BP101" i="1"/>
  <c r="CQ101" i="1"/>
  <c r="U102" i="1"/>
  <c r="AC102" i="1"/>
  <c r="AD102" i="1"/>
  <c r="AE102" i="1" s="1"/>
  <c r="AF102" i="1"/>
  <c r="AG102" i="1"/>
  <c r="AJ102" i="1"/>
  <c r="AK102" i="1" s="1"/>
  <c r="AT102" i="1"/>
  <c r="AU102" i="1" s="1"/>
  <c r="AM102" i="1"/>
  <c r="AQ102" i="1"/>
  <c r="AR102" i="1" s="1"/>
  <c r="AS102" i="1"/>
  <c r="AW102" i="1"/>
  <c r="AX102" i="1" s="1"/>
  <c r="AY102" i="1"/>
  <c r="AZ102" i="1" s="1"/>
  <c r="BC102" i="1"/>
  <c r="BF102" i="1" s="1"/>
  <c r="BG102" i="1" s="1"/>
  <c r="BO102" i="1"/>
  <c r="BP102" i="1" a="1"/>
  <c r="BT101" i="1" a="1"/>
  <c r="BS101" i="1" a="1"/>
  <c r="BV101" i="1" a="1"/>
  <c r="BQ101" i="1" a="1"/>
  <c r="BR101" i="1" a="1"/>
  <c r="BU101" i="1" a="1"/>
  <c r="BH101" i="1" l="1"/>
  <c r="BI101" i="1" s="1"/>
  <c r="AV101" i="1"/>
  <c r="BV101" i="1"/>
  <c r="BU101" i="1"/>
  <c r="BS101" i="1"/>
  <c r="BR101" i="1"/>
  <c r="BQ101" i="1"/>
  <c r="BT101" i="1"/>
  <c r="BD102" i="1"/>
  <c r="BE102" i="1" s="1"/>
  <c r="AH102" i="1"/>
  <c r="Z102" i="1" s="1"/>
  <c r="AA102" i="1" s="1"/>
  <c r="BP102" i="1"/>
  <c r="CQ102" i="1"/>
  <c r="U103" i="1"/>
  <c r="AC103" i="1"/>
  <c r="AD103" i="1"/>
  <c r="AE103" i="1" s="1"/>
  <c r="AF103" i="1"/>
  <c r="AT103" i="1" s="1"/>
  <c r="AU103" i="1" s="1"/>
  <c r="AG103" i="1"/>
  <c r="AJ103" i="1"/>
  <c r="AK103" i="1" s="1"/>
  <c r="AQ103" i="1"/>
  <c r="AR103" i="1" s="1"/>
  <c r="AS103" i="1"/>
  <c r="AW103" i="1"/>
  <c r="AX103" i="1" s="1"/>
  <c r="AY103" i="1"/>
  <c r="AZ103" i="1" s="1"/>
  <c r="BC103" i="1"/>
  <c r="BF103" i="1" s="1"/>
  <c r="BG103" i="1" s="1"/>
  <c r="BO103" i="1"/>
  <c r="BP103" i="1" a="1"/>
  <c r="BV102" i="1" a="1"/>
  <c r="BR102" i="1" a="1"/>
  <c r="BT102" i="1" a="1"/>
  <c r="BQ102" i="1" a="1"/>
  <c r="BS102" i="1" a="1"/>
  <c r="BU102" i="1" a="1"/>
  <c r="BH102" i="1" l="1"/>
  <c r="BI102" i="1" s="1"/>
  <c r="AV102" i="1"/>
  <c r="BV102" i="1"/>
  <c r="BU102" i="1"/>
  <c r="BT102" i="1"/>
  <c r="BS102" i="1"/>
  <c r="BR102" i="1"/>
  <c r="BQ102" i="1"/>
  <c r="BD103" i="1"/>
  <c r="AH103" i="1"/>
  <c r="Z103" i="1" s="1"/>
  <c r="AA103" i="1" s="1"/>
  <c r="AM103" i="1"/>
  <c r="BP103" i="1"/>
  <c r="BQ103" i="1" a="1"/>
  <c r="BE103" i="1" l="1"/>
  <c r="BH103" i="1"/>
  <c r="BI103" i="1" s="1"/>
  <c r="AV103" i="1"/>
  <c r="BQ103" i="1"/>
  <c r="CQ103" i="1"/>
  <c r="U104" i="1"/>
  <c r="AC104" i="1"/>
  <c r="AD104" i="1"/>
  <c r="AE104" i="1" s="1"/>
  <c r="AF104" i="1"/>
  <c r="AG104" i="1"/>
  <c r="AJ104" i="1"/>
  <c r="AK104" i="1" s="1"/>
  <c r="AQ104" i="1"/>
  <c r="AR104" i="1" s="1"/>
  <c r="AS104" i="1"/>
  <c r="AW104" i="1"/>
  <c r="AX104" i="1" s="1"/>
  <c r="AY104" i="1"/>
  <c r="AZ104" i="1" s="1"/>
  <c r="BC104" i="1"/>
  <c r="BF104" i="1" s="1"/>
  <c r="BG104" i="1" s="1"/>
  <c r="BO104" i="1"/>
  <c r="BU103" i="1" a="1"/>
  <c r="BP104" i="1" a="1"/>
  <c r="BS103" i="1" a="1"/>
  <c r="BT103" i="1" a="1"/>
  <c r="BV103" i="1" a="1"/>
  <c r="BR103" i="1" a="1"/>
  <c r="BD104" i="1" l="1"/>
  <c r="BE104" i="1" s="1"/>
  <c r="BV103" i="1"/>
  <c r="BU103" i="1"/>
  <c r="BT103" i="1"/>
  <c r="BS103" i="1"/>
  <c r="BR103" i="1"/>
  <c r="AH104" i="1"/>
  <c r="Z104" i="1" s="1"/>
  <c r="AA104" i="1" s="1"/>
  <c r="AT104" i="1"/>
  <c r="AU104" i="1" s="1"/>
  <c r="AM104" i="1"/>
  <c r="BP104" i="1"/>
  <c r="BQ104" i="1" a="1"/>
  <c r="BH104" i="1" l="1"/>
  <c r="BI104" i="1" s="1"/>
  <c r="AV104" i="1"/>
  <c r="BQ104" i="1"/>
  <c r="CQ104" i="1"/>
  <c r="U105" i="1"/>
  <c r="AC105" i="1"/>
  <c r="AD105" i="1"/>
  <c r="AE105" i="1" s="1"/>
  <c r="AF105" i="1"/>
  <c r="AG105" i="1"/>
  <c r="AJ105" i="1"/>
  <c r="AK105" i="1" s="1"/>
  <c r="AT105" i="1"/>
  <c r="AU105" i="1" s="1"/>
  <c r="AQ105" i="1"/>
  <c r="AR105" i="1" s="1"/>
  <c r="AS105" i="1"/>
  <c r="AW105" i="1"/>
  <c r="AX105" i="1" s="1"/>
  <c r="AY105" i="1"/>
  <c r="AZ105" i="1" s="1"/>
  <c r="BC105" i="1"/>
  <c r="BF105" i="1" s="1"/>
  <c r="BG105" i="1" s="1"/>
  <c r="BO105" i="1"/>
  <c r="BP105" i="1" a="1"/>
  <c r="BR104" i="1" a="1"/>
  <c r="BS104" i="1" a="1"/>
  <c r="BT104" i="1" a="1"/>
  <c r="BU104" i="1" a="1"/>
  <c r="BV104" i="1" a="1"/>
  <c r="BV104" i="1" l="1"/>
  <c r="BS104" i="1"/>
  <c r="BU104" i="1"/>
  <c r="BT104" i="1"/>
  <c r="BR104" i="1"/>
  <c r="AH105" i="1"/>
  <c r="Z105" i="1" s="1"/>
  <c r="AA105" i="1" s="1"/>
  <c r="BD105" i="1"/>
  <c r="AM105" i="1"/>
  <c r="BP105" i="1"/>
  <c r="BQ105" i="1" a="1"/>
  <c r="AV105" i="1" l="1"/>
  <c r="BE105" i="1"/>
  <c r="BH105" i="1"/>
  <c r="BI105" i="1" s="1"/>
  <c r="BQ105" i="1"/>
  <c r="CQ105" i="1"/>
  <c r="U106" i="1"/>
  <c r="AC106" i="1"/>
  <c r="AD106" i="1"/>
  <c r="AE106" i="1" s="1"/>
  <c r="AF106" i="1"/>
  <c r="AG106" i="1"/>
  <c r="AJ106" i="1"/>
  <c r="AK106" i="1" s="1"/>
  <c r="AT106" i="1"/>
  <c r="AU106" i="1" s="1"/>
  <c r="AQ106" i="1"/>
  <c r="AR106" i="1" s="1"/>
  <c r="AS106" i="1"/>
  <c r="AW106" i="1"/>
  <c r="AX106" i="1" s="1"/>
  <c r="AY106" i="1"/>
  <c r="AZ106" i="1" s="1"/>
  <c r="BC106" i="1"/>
  <c r="BD106" i="1" s="1"/>
  <c r="BE106" i="1" s="1"/>
  <c r="BO106" i="1"/>
  <c r="BT105" i="1" a="1"/>
  <c r="BP106" i="1" a="1"/>
  <c r="BV105" i="1" a="1"/>
  <c r="BU105" i="1" a="1"/>
  <c r="BR105" i="1" a="1"/>
  <c r="BS105" i="1" a="1"/>
  <c r="BV105" i="1" l="1"/>
  <c r="BS105" i="1"/>
  <c r="BT105" i="1"/>
  <c r="BU105" i="1"/>
  <c r="BR105" i="1"/>
  <c r="AH106" i="1"/>
  <c r="Z106" i="1" s="1"/>
  <c r="AA106" i="1" s="1"/>
  <c r="BF106" i="1"/>
  <c r="BG106" i="1" s="1"/>
  <c r="AM106" i="1"/>
  <c r="BP106" i="1"/>
  <c r="CQ106" i="1"/>
  <c r="U107" i="1"/>
  <c r="AC107" i="1"/>
  <c r="AD107" i="1"/>
  <c r="AE107" i="1" s="1"/>
  <c r="AF107" i="1"/>
  <c r="AG107" i="1"/>
  <c r="AJ107" i="1"/>
  <c r="AK107" i="1" s="1"/>
  <c r="AT107" i="1"/>
  <c r="AU107" i="1" s="1"/>
  <c r="AQ107" i="1"/>
  <c r="AR107" i="1" s="1"/>
  <c r="AS107" i="1"/>
  <c r="AW107" i="1"/>
  <c r="AX107" i="1" s="1"/>
  <c r="AY107" i="1"/>
  <c r="AZ107" i="1" s="1"/>
  <c r="BC107" i="1"/>
  <c r="BD107" i="1" s="1"/>
  <c r="BE107" i="1" s="1"/>
  <c r="BO107" i="1"/>
  <c r="BR106" i="1" a="1"/>
  <c r="BP107" i="1" a="1"/>
  <c r="BU106" i="1" a="1"/>
  <c r="BT106" i="1" a="1"/>
  <c r="BV106" i="1" a="1"/>
  <c r="BS106" i="1" a="1"/>
  <c r="BQ106" i="1" a="1"/>
  <c r="AV106" i="1" l="1"/>
  <c r="BF107" i="1"/>
  <c r="BG107" i="1" s="1"/>
  <c r="BH106" i="1"/>
  <c r="BI106" i="1" s="1"/>
  <c r="BT106" i="1"/>
  <c r="BU106" i="1"/>
  <c r="BS106" i="1"/>
  <c r="BQ106" i="1"/>
  <c r="BV106" i="1"/>
  <c r="BR106" i="1"/>
  <c r="AH107" i="1"/>
  <c r="Z107" i="1" s="1"/>
  <c r="AA107" i="1" s="1"/>
  <c r="AM107" i="1"/>
  <c r="BP107" i="1"/>
  <c r="CQ107" i="1"/>
  <c r="U108" i="1"/>
  <c r="AC108" i="1"/>
  <c r="AD108" i="1"/>
  <c r="AE108" i="1" s="1"/>
  <c r="AF108" i="1"/>
  <c r="AG108" i="1"/>
  <c r="AJ108" i="1"/>
  <c r="AK108" i="1" s="1"/>
  <c r="AQ108" i="1"/>
  <c r="AR108" i="1" s="1"/>
  <c r="AS108" i="1"/>
  <c r="AW108" i="1"/>
  <c r="AX108" i="1" s="1"/>
  <c r="AY108" i="1"/>
  <c r="AZ108" i="1" s="1"/>
  <c r="BC108" i="1"/>
  <c r="BD108" i="1" s="1"/>
  <c r="BO108" i="1"/>
  <c r="BU107" i="1" a="1"/>
  <c r="BQ107" i="1" a="1"/>
  <c r="BS107" i="1" a="1"/>
  <c r="BP108" i="1" a="1"/>
  <c r="BT107" i="1" a="1"/>
  <c r="BR107" i="1" a="1"/>
  <c r="BV107" i="1" a="1"/>
  <c r="AV107" i="1" l="1"/>
  <c r="BH107" i="1"/>
  <c r="BI107" i="1" s="1"/>
  <c r="BF108" i="1"/>
  <c r="BG108" i="1" s="1"/>
  <c r="BV107" i="1"/>
  <c r="BU107" i="1"/>
  <c r="BT107" i="1"/>
  <c r="BS107" i="1"/>
  <c r="BQ107" i="1"/>
  <c r="BR107" i="1"/>
  <c r="BH108" i="1"/>
  <c r="BI108" i="1" s="1"/>
  <c r="BE108" i="1"/>
  <c r="AT108" i="1"/>
  <c r="AU108" i="1" s="1"/>
  <c r="AM108" i="1"/>
  <c r="AH108" i="1"/>
  <c r="Z108" i="1" s="1"/>
  <c r="AA108" i="1" s="1"/>
  <c r="BP108" i="1"/>
  <c r="BQ108" i="1" a="1"/>
  <c r="AV108" i="1" l="1"/>
  <c r="BQ108" i="1"/>
  <c r="CQ108" i="1"/>
  <c r="U109" i="1"/>
  <c r="AC109" i="1"/>
  <c r="AD109" i="1"/>
  <c r="AE109" i="1" s="1"/>
  <c r="AF109" i="1"/>
  <c r="AG109" i="1"/>
  <c r="AJ109" i="1"/>
  <c r="AK109" i="1" s="1"/>
  <c r="AT109" i="1"/>
  <c r="AU109" i="1" s="1"/>
  <c r="AQ109" i="1"/>
  <c r="AR109" i="1" s="1"/>
  <c r="AS109" i="1"/>
  <c r="AW109" i="1"/>
  <c r="AX109" i="1" s="1"/>
  <c r="AY109" i="1"/>
  <c r="AZ109" i="1" s="1"/>
  <c r="BC109" i="1"/>
  <c r="BF109" i="1" s="1"/>
  <c r="BG109" i="1" s="1"/>
  <c r="BO109" i="1"/>
  <c r="BV108" i="1" a="1"/>
  <c r="BT108" i="1" a="1"/>
  <c r="BP109" i="1" a="1"/>
  <c r="BR108" i="1" a="1"/>
  <c r="BU108" i="1" a="1"/>
  <c r="BS108" i="1" a="1"/>
  <c r="BV108" i="1" l="1"/>
  <c r="BT108" i="1"/>
  <c r="BU108" i="1"/>
  <c r="BS108" i="1"/>
  <c r="BR108" i="1"/>
  <c r="AH109" i="1"/>
  <c r="Z109" i="1" s="1"/>
  <c r="AA109" i="1" s="1"/>
  <c r="BD109" i="1"/>
  <c r="BE109" i="1" s="1"/>
  <c r="AM109" i="1"/>
  <c r="BP109" i="1"/>
  <c r="BQ109" i="1" a="1"/>
  <c r="AV109" i="1" l="1"/>
  <c r="BH109" i="1"/>
  <c r="BI109" i="1" s="1"/>
  <c r="BQ109" i="1"/>
  <c r="CQ109" i="1"/>
  <c r="U110" i="1"/>
  <c r="AC110" i="1"/>
  <c r="AD110" i="1"/>
  <c r="AE110" i="1" s="1"/>
  <c r="AF110" i="1"/>
  <c r="AG110" i="1"/>
  <c r="AJ110" i="1"/>
  <c r="AK110" i="1" s="1"/>
  <c r="AQ110" i="1"/>
  <c r="AR110" i="1" s="1"/>
  <c r="AS110" i="1"/>
  <c r="AW110" i="1"/>
  <c r="AX110" i="1" s="1"/>
  <c r="AY110" i="1"/>
  <c r="AZ110" i="1" s="1"/>
  <c r="BC110" i="1"/>
  <c r="BD110" i="1" s="1"/>
  <c r="BE110" i="1" s="1"/>
  <c r="BO110" i="1"/>
  <c r="BS109" i="1" a="1"/>
  <c r="BT109" i="1" a="1"/>
  <c r="BR109" i="1" a="1"/>
  <c r="BP110" i="1" a="1"/>
  <c r="BV109" i="1" a="1"/>
  <c r="BU109" i="1" a="1"/>
  <c r="BV109" i="1" l="1"/>
  <c r="BU109" i="1"/>
  <c r="BT109" i="1"/>
  <c r="BS109" i="1"/>
  <c r="BR109" i="1"/>
  <c r="BF110" i="1"/>
  <c r="BG110" i="1" s="1"/>
  <c r="AH110" i="1"/>
  <c r="Z110" i="1" s="1"/>
  <c r="AA110" i="1" s="1"/>
  <c r="AT110" i="1"/>
  <c r="AU110" i="1" s="1"/>
  <c r="BH110" i="1"/>
  <c r="BI110" i="1" s="1"/>
  <c r="AM110" i="1"/>
  <c r="BP110" i="1"/>
  <c r="CQ110" i="1"/>
  <c r="U111" i="1"/>
  <c r="AC111" i="1"/>
  <c r="AD111" i="1"/>
  <c r="AE111" i="1" s="1"/>
  <c r="AF111" i="1"/>
  <c r="AG111" i="1"/>
  <c r="AJ111" i="1"/>
  <c r="AK111" i="1" s="1"/>
  <c r="AT111" i="1"/>
  <c r="AU111" i="1" s="1"/>
  <c r="AQ111" i="1"/>
  <c r="AR111" i="1" s="1"/>
  <c r="AS111" i="1"/>
  <c r="AW111" i="1"/>
  <c r="AX111" i="1" s="1"/>
  <c r="AY111" i="1"/>
  <c r="AZ111" i="1" s="1"/>
  <c r="BC111" i="1"/>
  <c r="BD111" i="1" s="1"/>
  <c r="BE111" i="1" s="1"/>
  <c r="BO111" i="1"/>
  <c r="BQ110" i="1" a="1"/>
  <c r="BV110" i="1" a="1"/>
  <c r="BU110" i="1" a="1"/>
  <c r="BS110" i="1" a="1"/>
  <c r="BT110" i="1" a="1"/>
  <c r="BP111" i="1" a="1"/>
  <c r="BR110" i="1" a="1"/>
  <c r="AV110" i="1" l="1"/>
  <c r="BU110" i="1"/>
  <c r="BT110" i="1"/>
  <c r="BS110" i="1"/>
  <c r="BR110" i="1"/>
  <c r="BQ110" i="1"/>
  <c r="BV110" i="1"/>
  <c r="AH111" i="1"/>
  <c r="Z111" i="1" s="1"/>
  <c r="AA111" i="1" s="1"/>
  <c r="BF111" i="1"/>
  <c r="BG111" i="1" s="1"/>
  <c r="AM111" i="1"/>
  <c r="BH111" i="1"/>
  <c r="BI111" i="1" s="1"/>
  <c r="AV111" i="1"/>
  <c r="BP111" i="1"/>
  <c r="CQ111" i="1"/>
  <c r="U112" i="1"/>
  <c r="AC112" i="1"/>
  <c r="AD112" i="1"/>
  <c r="AE112" i="1" s="1"/>
  <c r="AF112" i="1"/>
  <c r="AG112" i="1"/>
  <c r="AJ112" i="1"/>
  <c r="AK112" i="1" s="1"/>
  <c r="AT112" i="1"/>
  <c r="AU112" i="1" s="1"/>
  <c r="AQ112" i="1"/>
  <c r="AR112" i="1" s="1"/>
  <c r="AS112" i="1"/>
  <c r="AW112" i="1"/>
  <c r="AX112" i="1" s="1"/>
  <c r="AY112" i="1"/>
  <c r="AZ112" i="1" s="1"/>
  <c r="BC112" i="1"/>
  <c r="BF112" i="1" s="1"/>
  <c r="BG112" i="1" s="1"/>
  <c r="BO112" i="1"/>
  <c r="BQ111" i="1" a="1"/>
  <c r="BV111" i="1" a="1"/>
  <c r="BU111" i="1" a="1"/>
  <c r="BT111" i="1" a="1"/>
  <c r="BS111" i="1" a="1"/>
  <c r="BR111" i="1" a="1"/>
  <c r="BP112" i="1" a="1"/>
  <c r="BD112" i="1" l="1"/>
  <c r="BE112" i="1" s="1"/>
  <c r="BR111" i="1"/>
  <c r="BU111" i="1"/>
  <c r="BT111" i="1"/>
  <c r="BS111" i="1"/>
  <c r="BQ111" i="1"/>
  <c r="BV111" i="1"/>
  <c r="AH112" i="1"/>
  <c r="Z112" i="1" s="1"/>
  <c r="AA112" i="1" s="1"/>
  <c r="AM112" i="1"/>
  <c r="BP112" i="1"/>
  <c r="CQ112" i="1"/>
  <c r="U113" i="1"/>
  <c r="AC113" i="1"/>
  <c r="AD113" i="1"/>
  <c r="AE113" i="1" s="1"/>
  <c r="AF113" i="1"/>
  <c r="AG113" i="1"/>
  <c r="AJ113" i="1"/>
  <c r="AK113" i="1" s="1"/>
  <c r="AT113" i="1"/>
  <c r="AU113" i="1" s="1"/>
  <c r="AQ113" i="1"/>
  <c r="AR113" i="1" s="1"/>
  <c r="AS113" i="1"/>
  <c r="AW113" i="1"/>
  <c r="AX113" i="1" s="1"/>
  <c r="AY113" i="1"/>
  <c r="AZ113" i="1" s="1"/>
  <c r="BC113" i="1"/>
  <c r="BD113" i="1" s="1"/>
  <c r="BE113" i="1" s="1"/>
  <c r="BO113" i="1"/>
  <c r="BV112" i="1" a="1"/>
  <c r="BP113" i="1" a="1"/>
  <c r="BT112" i="1" a="1"/>
  <c r="BQ112" i="1" a="1"/>
  <c r="BS112" i="1" a="1"/>
  <c r="BU112" i="1" a="1"/>
  <c r="BR112" i="1" a="1"/>
  <c r="BH112" i="1" l="1"/>
  <c r="BI112" i="1" s="1"/>
  <c r="AV112" i="1"/>
  <c r="BU112" i="1"/>
  <c r="BT112" i="1"/>
  <c r="BQ112" i="1"/>
  <c r="BS112" i="1"/>
  <c r="BV112" i="1"/>
  <c r="BR112" i="1"/>
  <c r="AH113" i="1"/>
  <c r="Z113" i="1" s="1"/>
  <c r="AA113" i="1" s="1"/>
  <c r="BF113" i="1"/>
  <c r="BG113" i="1" s="1"/>
  <c r="AM113" i="1"/>
  <c r="BP113" i="1"/>
  <c r="BQ113" i="1" a="1"/>
  <c r="AV113" i="1" l="1"/>
  <c r="BH113" i="1"/>
  <c r="BI113" i="1" s="1"/>
  <c r="BQ113" i="1"/>
  <c r="CQ113" i="1"/>
  <c r="U114" i="1"/>
  <c r="AC114" i="1"/>
  <c r="AD114" i="1"/>
  <c r="AE114" i="1" s="1"/>
  <c r="AF114" i="1"/>
  <c r="AG114" i="1"/>
  <c r="AJ114" i="1"/>
  <c r="AK114" i="1" s="1"/>
  <c r="AT114" i="1"/>
  <c r="AU114" i="1" s="1"/>
  <c r="AQ114" i="1"/>
  <c r="AR114" i="1" s="1"/>
  <c r="AS114" i="1"/>
  <c r="AW114" i="1"/>
  <c r="AX114" i="1" s="1"/>
  <c r="AY114" i="1"/>
  <c r="AZ114" i="1" s="1"/>
  <c r="BC114" i="1"/>
  <c r="BD114" i="1" s="1"/>
  <c r="BE114" i="1" s="1"/>
  <c r="BO114" i="1"/>
  <c r="BU113" i="1" a="1"/>
  <c r="BP114" i="1" a="1"/>
  <c r="BR113" i="1" a="1"/>
  <c r="BT113" i="1" a="1"/>
  <c r="BV113" i="1" a="1"/>
  <c r="BS113" i="1" a="1"/>
  <c r="BV113" i="1" l="1"/>
  <c r="BR113" i="1"/>
  <c r="BU113" i="1"/>
  <c r="BT113" i="1"/>
  <c r="BS113" i="1"/>
  <c r="BF114" i="1"/>
  <c r="BG114" i="1" s="1"/>
  <c r="AH114" i="1"/>
  <c r="Z114" i="1" s="1"/>
  <c r="AA114" i="1" s="1"/>
  <c r="AM114" i="1"/>
  <c r="BP114" i="1"/>
  <c r="CQ114" i="1"/>
  <c r="U115" i="1"/>
  <c r="AC115" i="1"/>
  <c r="AD115" i="1"/>
  <c r="AE115" i="1" s="1"/>
  <c r="AF115" i="1"/>
  <c r="AG115" i="1"/>
  <c r="AJ115" i="1"/>
  <c r="AK115" i="1" s="1"/>
  <c r="AT115" i="1"/>
  <c r="AU115" i="1" s="1"/>
  <c r="AM115" i="1"/>
  <c r="AQ115" i="1"/>
  <c r="AR115" i="1" s="1"/>
  <c r="AS115" i="1"/>
  <c r="AW115" i="1"/>
  <c r="AX115" i="1" s="1"/>
  <c r="AY115" i="1"/>
  <c r="AZ115" i="1" s="1"/>
  <c r="BC115" i="1"/>
  <c r="BF115" i="1" s="1"/>
  <c r="BG115" i="1" s="1"/>
  <c r="BO115" i="1"/>
  <c r="BQ114" i="1" a="1"/>
  <c r="BS114" i="1" a="1"/>
  <c r="BP115" i="1" a="1"/>
  <c r="BV114" i="1" a="1"/>
  <c r="BR114" i="1" a="1"/>
  <c r="BU114" i="1" a="1"/>
  <c r="BT114" i="1" a="1"/>
  <c r="BH114" i="1" l="1"/>
  <c r="BI114" i="1" s="1"/>
  <c r="AV114" i="1"/>
  <c r="BV114" i="1"/>
  <c r="BU114" i="1"/>
  <c r="BT114" i="1"/>
  <c r="BS114" i="1"/>
  <c r="BR114" i="1"/>
  <c r="BQ114" i="1"/>
  <c r="BD115" i="1"/>
  <c r="BE115" i="1" s="1"/>
  <c r="AH115" i="1"/>
  <c r="Z115" i="1" s="1"/>
  <c r="AA115" i="1" s="1"/>
  <c r="BP115" i="1"/>
  <c r="BQ115" i="1" a="1"/>
  <c r="BH115" i="1" l="1"/>
  <c r="BI115" i="1" s="1"/>
  <c r="AV115" i="1"/>
  <c r="BQ115" i="1"/>
  <c r="CQ115" i="1"/>
  <c r="U116" i="1"/>
  <c r="AC116" i="1"/>
  <c r="AD116" i="1"/>
  <c r="AE116" i="1" s="1"/>
  <c r="AF116" i="1"/>
  <c r="AG116" i="1"/>
  <c r="AJ116" i="1"/>
  <c r="AK116" i="1" s="1"/>
  <c r="AT116" i="1"/>
  <c r="AU116" i="1" s="1"/>
  <c r="AQ116" i="1"/>
  <c r="AR116" i="1" s="1"/>
  <c r="AS116" i="1"/>
  <c r="AW116" i="1"/>
  <c r="AX116" i="1" s="1"/>
  <c r="AY116" i="1"/>
  <c r="AZ116" i="1" s="1"/>
  <c r="BC116" i="1"/>
  <c r="BD116" i="1" s="1"/>
  <c r="BE116" i="1" s="1"/>
  <c r="BO116" i="1"/>
  <c r="BR115" i="1" a="1"/>
  <c r="BS115" i="1" a="1"/>
  <c r="BP116" i="1" a="1"/>
  <c r="BT115" i="1" a="1"/>
  <c r="BV115" i="1" a="1"/>
  <c r="BU115" i="1" a="1"/>
  <c r="BV115" i="1" l="1"/>
  <c r="BU115" i="1"/>
  <c r="BR115" i="1"/>
  <c r="BT115" i="1"/>
  <c r="BS115" i="1"/>
  <c r="AH116" i="1"/>
  <c r="Z116" i="1" s="1"/>
  <c r="AA116" i="1" s="1"/>
  <c r="BF116" i="1"/>
  <c r="BG116" i="1" s="1"/>
  <c r="AM116" i="1"/>
  <c r="BP116" i="1"/>
  <c r="CQ116" i="1"/>
  <c r="U117" i="1"/>
  <c r="AC117" i="1"/>
  <c r="AD117" i="1"/>
  <c r="AE117" i="1" s="1"/>
  <c r="AF117" i="1"/>
  <c r="AG117" i="1"/>
  <c r="AJ117" i="1"/>
  <c r="AK117" i="1" s="1"/>
  <c r="AT117" i="1"/>
  <c r="AU117" i="1" s="1"/>
  <c r="AQ117" i="1"/>
  <c r="AR117" i="1" s="1"/>
  <c r="AS117" i="1"/>
  <c r="AW117" i="1"/>
  <c r="AX117" i="1" s="1"/>
  <c r="AY117" i="1"/>
  <c r="AZ117" i="1" s="1"/>
  <c r="BC117" i="1"/>
  <c r="BD117" i="1" s="1"/>
  <c r="BO117" i="1"/>
  <c r="BR116" i="1" a="1"/>
  <c r="BQ116" i="1" a="1"/>
  <c r="BS116" i="1" a="1"/>
  <c r="BV116" i="1" a="1"/>
  <c r="BU116" i="1" a="1"/>
  <c r="BP117" i="1" a="1"/>
  <c r="BT116" i="1" a="1"/>
  <c r="AV116" i="1" l="1"/>
  <c r="BH116" i="1"/>
  <c r="BI116" i="1" s="1"/>
  <c r="BU116" i="1"/>
  <c r="BT116" i="1"/>
  <c r="BS116" i="1"/>
  <c r="BQ116" i="1"/>
  <c r="BV116" i="1"/>
  <c r="BR116" i="1"/>
  <c r="BF117" i="1"/>
  <c r="BG117" i="1" s="1"/>
  <c r="AH117" i="1"/>
  <c r="Z117" i="1" s="1"/>
  <c r="AA117" i="1" s="1"/>
  <c r="AM117" i="1"/>
  <c r="BE117" i="1"/>
  <c r="BH117" i="1"/>
  <c r="BI117" i="1" s="1"/>
  <c r="BP117" i="1"/>
  <c r="BQ117" i="1" a="1"/>
  <c r="AV117" i="1" l="1"/>
  <c r="BQ117" i="1"/>
  <c r="CQ117" i="1"/>
  <c r="U118" i="1"/>
  <c r="AC118" i="1"/>
  <c r="AD118" i="1"/>
  <c r="AE118" i="1" s="1"/>
  <c r="AF118" i="1"/>
  <c r="AG118" i="1"/>
  <c r="AJ118" i="1"/>
  <c r="AK118" i="1" s="1"/>
  <c r="AT118" i="1"/>
  <c r="AU118" i="1" s="1"/>
  <c r="AM118" i="1"/>
  <c r="AQ118" i="1"/>
  <c r="AR118" i="1" s="1"/>
  <c r="AS118" i="1"/>
  <c r="AW118" i="1"/>
  <c r="AX118" i="1" s="1"/>
  <c r="AY118" i="1"/>
  <c r="AZ118" i="1" s="1"/>
  <c r="BC118" i="1"/>
  <c r="BD118" i="1" s="1"/>
  <c r="BO118" i="1"/>
  <c r="BS117" i="1" a="1"/>
  <c r="BV117" i="1" a="1"/>
  <c r="BT117" i="1" a="1"/>
  <c r="BU117" i="1" a="1"/>
  <c r="BR117" i="1" a="1"/>
  <c r="BP118" i="1" a="1"/>
  <c r="BV117" i="1" l="1"/>
  <c r="BU117" i="1"/>
  <c r="BT117" i="1"/>
  <c r="BS117" i="1"/>
  <c r="BR117" i="1"/>
  <c r="AH118" i="1"/>
  <c r="Z118" i="1" s="1"/>
  <c r="AA118" i="1" s="1"/>
  <c r="BF118" i="1"/>
  <c r="BG118" i="1" s="1"/>
  <c r="BE118" i="1"/>
  <c r="AV118" i="1"/>
  <c r="BP118" i="1"/>
  <c r="CQ118" i="1"/>
  <c r="U119" i="1"/>
  <c r="AC119" i="1"/>
  <c r="AD119" i="1"/>
  <c r="AE119" i="1" s="1"/>
  <c r="AF119" i="1"/>
  <c r="AG119" i="1"/>
  <c r="AJ119" i="1"/>
  <c r="AK119" i="1" s="1"/>
  <c r="AT119" i="1"/>
  <c r="AU119" i="1" s="1"/>
  <c r="AM119" i="1"/>
  <c r="AQ119" i="1"/>
  <c r="AR119" i="1" s="1"/>
  <c r="AS119" i="1"/>
  <c r="AW119" i="1"/>
  <c r="AX119" i="1" s="1"/>
  <c r="AY119" i="1"/>
  <c r="AZ119" i="1" s="1"/>
  <c r="BC119" i="1"/>
  <c r="BD119" i="1" s="1"/>
  <c r="BE119" i="1" s="1"/>
  <c r="BO119" i="1"/>
  <c r="BT118" i="1" a="1"/>
  <c r="BQ118" i="1" a="1"/>
  <c r="BV118" i="1" a="1"/>
  <c r="BP119" i="1" a="1"/>
  <c r="BS118" i="1" a="1"/>
  <c r="BR118" i="1" a="1"/>
  <c r="BU118" i="1" a="1"/>
  <c r="BH118" i="1" l="1"/>
  <c r="BI118" i="1" s="1"/>
  <c r="BQ118" i="1"/>
  <c r="BS118" i="1"/>
  <c r="BV118" i="1"/>
  <c r="BU118" i="1"/>
  <c r="BT118" i="1"/>
  <c r="BR118" i="1"/>
  <c r="BF119" i="1"/>
  <c r="BG119" i="1" s="1"/>
  <c r="AH119" i="1"/>
  <c r="Z119" i="1" s="1"/>
  <c r="AA119" i="1" s="1"/>
  <c r="BP119" i="1"/>
  <c r="CQ119" i="1"/>
  <c r="U120" i="1"/>
  <c r="AC120" i="1"/>
  <c r="AD120" i="1"/>
  <c r="AE120" i="1" s="1"/>
  <c r="AF120" i="1"/>
  <c r="AG120" i="1"/>
  <c r="AJ120" i="1"/>
  <c r="AK120" i="1" s="1"/>
  <c r="AT120" i="1"/>
  <c r="AU120" i="1" s="1"/>
  <c r="AQ120" i="1"/>
  <c r="AR120" i="1" s="1"/>
  <c r="AS120" i="1"/>
  <c r="AW120" i="1"/>
  <c r="AX120" i="1" s="1"/>
  <c r="AY120" i="1"/>
  <c r="AZ120" i="1" s="1"/>
  <c r="BC120" i="1"/>
  <c r="BD120" i="1" s="1"/>
  <c r="BE120" i="1" s="1"/>
  <c r="BO120" i="1"/>
  <c r="BS119" i="1" a="1"/>
  <c r="BV119" i="1" a="1"/>
  <c r="BT119" i="1" a="1"/>
  <c r="BU119" i="1" a="1"/>
  <c r="BP120" i="1" a="1"/>
  <c r="BQ119" i="1" a="1"/>
  <c r="BR119" i="1" a="1"/>
  <c r="BH119" i="1" l="1"/>
  <c r="BI119" i="1" s="1"/>
  <c r="AV119" i="1"/>
  <c r="BR119" i="1"/>
  <c r="BT119" i="1"/>
  <c r="BQ119" i="1"/>
  <c r="BV119" i="1"/>
  <c r="BU119" i="1"/>
  <c r="BS119" i="1"/>
  <c r="AH120" i="1"/>
  <c r="Z120" i="1" s="1"/>
  <c r="AA120" i="1" s="1"/>
  <c r="BF120" i="1"/>
  <c r="BG120" i="1" s="1"/>
  <c r="AM120" i="1"/>
  <c r="BP120" i="1"/>
  <c r="CQ120" i="1"/>
  <c r="U121" i="1"/>
  <c r="AC121" i="1"/>
  <c r="AD121" i="1"/>
  <c r="AE121" i="1" s="1"/>
  <c r="AF121" i="1"/>
  <c r="AG121" i="1"/>
  <c r="AJ121" i="1"/>
  <c r="AK121" i="1" s="1"/>
  <c r="AQ121" i="1"/>
  <c r="AR121" i="1" s="1"/>
  <c r="AS121" i="1"/>
  <c r="AW121" i="1"/>
  <c r="AX121" i="1" s="1"/>
  <c r="AY121" i="1"/>
  <c r="AZ121" i="1" s="1"/>
  <c r="BC121" i="1"/>
  <c r="BD121" i="1" s="1"/>
  <c r="BO121" i="1"/>
  <c r="BR120" i="1" a="1"/>
  <c r="BS120" i="1" a="1"/>
  <c r="BP121" i="1" a="1"/>
  <c r="BQ120" i="1" a="1"/>
  <c r="BT120" i="1" a="1"/>
  <c r="BU120" i="1" a="1"/>
  <c r="BV120" i="1" a="1"/>
  <c r="AV120" i="1" l="1"/>
  <c r="BH120" i="1"/>
  <c r="BI120" i="1" s="1"/>
  <c r="BF121" i="1"/>
  <c r="BG121" i="1" s="1"/>
  <c r="BS120" i="1"/>
  <c r="BU120" i="1"/>
  <c r="BQ120" i="1"/>
  <c r="BT120" i="1"/>
  <c r="BR120" i="1"/>
  <c r="BV120" i="1"/>
  <c r="BH121" i="1"/>
  <c r="BI121" i="1" s="1"/>
  <c r="BE121" i="1"/>
  <c r="AT121" i="1"/>
  <c r="AU121" i="1" s="1"/>
  <c r="AM121" i="1"/>
  <c r="AH121" i="1"/>
  <c r="Z121" i="1" s="1"/>
  <c r="AA121" i="1" s="1"/>
  <c r="BP121" i="1"/>
  <c r="BQ121" i="1" a="1"/>
  <c r="AV121" i="1" l="1"/>
  <c r="BQ121" i="1"/>
  <c r="CQ121" i="1"/>
  <c r="U122" i="1"/>
  <c r="AC122" i="1"/>
  <c r="AD122" i="1"/>
  <c r="AE122" i="1" s="1"/>
  <c r="AF122" i="1"/>
  <c r="AG122" i="1"/>
  <c r="AJ122" i="1"/>
  <c r="AK122" i="1" s="1"/>
  <c r="AT122" i="1"/>
  <c r="AU122" i="1" s="1"/>
  <c r="AQ122" i="1"/>
  <c r="AR122" i="1" s="1"/>
  <c r="AS122" i="1"/>
  <c r="AW122" i="1"/>
  <c r="AX122" i="1" s="1"/>
  <c r="AY122" i="1"/>
  <c r="AZ122" i="1" s="1"/>
  <c r="BC122" i="1"/>
  <c r="BD122" i="1" s="1"/>
  <c r="BE122" i="1" s="1"/>
  <c r="BO122" i="1"/>
  <c r="BV121" i="1" a="1"/>
  <c r="BU121" i="1" a="1"/>
  <c r="BS121" i="1" a="1"/>
  <c r="BP122" i="1" a="1"/>
  <c r="BR121" i="1" a="1"/>
  <c r="BT121" i="1" a="1"/>
  <c r="BV121" i="1" l="1"/>
  <c r="BU121" i="1"/>
  <c r="BT121" i="1"/>
  <c r="BS121" i="1"/>
  <c r="BR121" i="1"/>
  <c r="BF122" i="1"/>
  <c r="BG122" i="1" s="1"/>
  <c r="AH122" i="1"/>
  <c r="Z122" i="1" s="1"/>
  <c r="AA122" i="1" s="1"/>
  <c r="AM122" i="1"/>
  <c r="BP122" i="1"/>
  <c r="BQ122" i="1" a="1"/>
  <c r="BH122" i="1" l="1"/>
  <c r="BI122" i="1" s="1"/>
  <c r="AV122" i="1"/>
  <c r="BQ122" i="1"/>
  <c r="CQ122" i="1"/>
  <c r="U123" i="1"/>
  <c r="AC123" i="1"/>
  <c r="AD123" i="1"/>
  <c r="AE123" i="1" s="1"/>
  <c r="AF123" i="1"/>
  <c r="AG123" i="1"/>
  <c r="AJ123" i="1"/>
  <c r="AK123" i="1" s="1"/>
  <c r="AT123" i="1"/>
  <c r="AU123" i="1" s="1"/>
  <c r="AQ123" i="1"/>
  <c r="AR123" i="1" s="1"/>
  <c r="AS123" i="1"/>
  <c r="AW123" i="1"/>
  <c r="AX123" i="1" s="1"/>
  <c r="AY123" i="1"/>
  <c r="AZ123" i="1" s="1"/>
  <c r="BC123" i="1"/>
  <c r="BD123" i="1" s="1"/>
  <c r="BE123" i="1" s="1"/>
  <c r="BO123" i="1"/>
  <c r="BU122" i="1" a="1"/>
  <c r="BT122" i="1" a="1"/>
  <c r="BS122" i="1" a="1"/>
  <c r="BV122" i="1" a="1"/>
  <c r="BR122" i="1" a="1"/>
  <c r="BP123" i="1" a="1"/>
  <c r="BT122" i="1" l="1"/>
  <c r="BS122" i="1"/>
  <c r="BV122" i="1"/>
  <c r="BU122" i="1"/>
  <c r="BR122" i="1"/>
  <c r="BF123" i="1"/>
  <c r="BG123" i="1" s="1"/>
  <c r="AH123" i="1"/>
  <c r="Z123" i="1" s="1"/>
  <c r="AA123" i="1" s="1"/>
  <c r="AM123" i="1"/>
  <c r="BP123" i="1"/>
  <c r="CQ123" i="1"/>
  <c r="U124" i="1"/>
  <c r="AC124" i="1"/>
  <c r="AD124" i="1"/>
  <c r="AE124" i="1" s="1"/>
  <c r="AF124" i="1"/>
  <c r="AG124" i="1"/>
  <c r="AJ124" i="1"/>
  <c r="AK124" i="1" s="1"/>
  <c r="AT124" i="1"/>
  <c r="AU124" i="1" s="1"/>
  <c r="AQ124" i="1"/>
  <c r="AR124" i="1" s="1"/>
  <c r="AS124" i="1"/>
  <c r="AW124" i="1"/>
  <c r="AX124" i="1" s="1"/>
  <c r="AY124" i="1"/>
  <c r="AZ124" i="1" s="1"/>
  <c r="BC124" i="1"/>
  <c r="BD124" i="1" s="1"/>
  <c r="BO124" i="1"/>
  <c r="BQ123" i="1" a="1"/>
  <c r="BS123" i="1" a="1"/>
  <c r="BU123" i="1" a="1"/>
  <c r="BP124" i="1" a="1"/>
  <c r="BT123" i="1" a="1"/>
  <c r="BR123" i="1" a="1"/>
  <c r="BV123" i="1" a="1"/>
  <c r="AV123" i="1" l="1"/>
  <c r="BH123" i="1"/>
  <c r="BI123" i="1" s="1"/>
  <c r="BU123" i="1"/>
  <c r="BS123" i="1"/>
  <c r="BT123" i="1"/>
  <c r="BV123" i="1"/>
  <c r="BQ123" i="1"/>
  <c r="BR123" i="1"/>
  <c r="AH124" i="1"/>
  <c r="Z124" i="1" s="1"/>
  <c r="AA124" i="1" s="1"/>
  <c r="BE124" i="1"/>
  <c r="BF124" i="1"/>
  <c r="BG124" i="1" s="1"/>
  <c r="AM124" i="1"/>
  <c r="AV124" i="1"/>
  <c r="BP124" i="1"/>
  <c r="BQ124" i="1" a="1"/>
  <c r="BH124" i="1" l="1"/>
  <c r="BI124" i="1" s="1"/>
  <c r="BQ124" i="1"/>
  <c r="CQ124" i="1"/>
  <c r="U125" i="1"/>
  <c r="AC125" i="1"/>
  <c r="AD125" i="1"/>
  <c r="AE125" i="1" s="1"/>
  <c r="AF125" i="1"/>
  <c r="AG125" i="1"/>
  <c r="AJ125" i="1"/>
  <c r="AK125" i="1" s="1"/>
  <c r="AQ125" i="1"/>
  <c r="AR125" i="1" s="1"/>
  <c r="AS125" i="1"/>
  <c r="AW125" i="1"/>
  <c r="AX125" i="1" s="1"/>
  <c r="AY125" i="1"/>
  <c r="AZ125" i="1" s="1"/>
  <c r="BC125" i="1"/>
  <c r="BF125" i="1" s="1"/>
  <c r="BG125" i="1" s="1"/>
  <c r="BO125" i="1"/>
  <c r="BU124" i="1" a="1"/>
  <c r="BT124" i="1" a="1"/>
  <c r="BP125" i="1" a="1"/>
  <c r="BR124" i="1" a="1"/>
  <c r="BS124" i="1" a="1"/>
  <c r="BV124" i="1" a="1"/>
  <c r="BV124" i="1" l="1"/>
  <c r="BU124" i="1"/>
  <c r="BT124" i="1"/>
  <c r="BS124" i="1"/>
  <c r="BR124" i="1"/>
  <c r="BD125" i="1"/>
  <c r="BE125" i="1" s="1"/>
  <c r="AH125" i="1"/>
  <c r="Z125" i="1" s="1"/>
  <c r="AA125" i="1" s="1"/>
  <c r="BH125" i="1"/>
  <c r="BI125" i="1" s="1"/>
  <c r="AT125" i="1"/>
  <c r="AU125" i="1" s="1"/>
  <c r="AM125" i="1"/>
  <c r="BP125" i="1"/>
  <c r="BQ125" i="1" a="1"/>
  <c r="AV125" i="1" l="1"/>
  <c r="BQ125" i="1"/>
  <c r="CQ125" i="1"/>
  <c r="U126" i="1"/>
  <c r="AC126" i="1"/>
  <c r="AD126" i="1"/>
  <c r="AE126" i="1" s="1"/>
  <c r="AF126" i="1"/>
  <c r="AG126" i="1"/>
  <c r="AJ126" i="1"/>
  <c r="AK126" i="1" s="1"/>
  <c r="AT126" i="1"/>
  <c r="AU126" i="1" s="1"/>
  <c r="AQ126" i="1"/>
  <c r="AR126" i="1" s="1"/>
  <c r="AS126" i="1"/>
  <c r="AW126" i="1"/>
  <c r="AX126" i="1" s="1"/>
  <c r="AY126" i="1"/>
  <c r="AZ126" i="1" s="1"/>
  <c r="BC126" i="1"/>
  <c r="BD126" i="1" s="1"/>
  <c r="BE126" i="1" s="1"/>
  <c r="BO126" i="1"/>
  <c r="BT125" i="1" a="1"/>
  <c r="BR125" i="1" a="1"/>
  <c r="BP126" i="1" a="1"/>
  <c r="BS125" i="1" a="1"/>
  <c r="BV125" i="1" a="1"/>
  <c r="BU125" i="1" a="1"/>
  <c r="BV125" i="1" l="1"/>
  <c r="BU125" i="1"/>
  <c r="BT125" i="1"/>
  <c r="BR125" i="1"/>
  <c r="BS125" i="1"/>
  <c r="BF126" i="1"/>
  <c r="BG126" i="1" s="1"/>
  <c r="AH126" i="1"/>
  <c r="Z126" i="1" s="1"/>
  <c r="AA126" i="1" s="1"/>
  <c r="AM126" i="1"/>
  <c r="BH126" i="1"/>
  <c r="BI126" i="1" s="1"/>
  <c r="AV126" i="1"/>
  <c r="BP126" i="1"/>
  <c r="CQ126" i="1"/>
  <c r="U127" i="1"/>
  <c r="AC127" i="1"/>
  <c r="AD127" i="1"/>
  <c r="AE127" i="1" s="1"/>
  <c r="AF127" i="1"/>
  <c r="AG127" i="1"/>
  <c r="AJ127" i="1"/>
  <c r="AK127" i="1" s="1"/>
  <c r="AT127" i="1"/>
  <c r="AU127" i="1" s="1"/>
  <c r="AQ127" i="1"/>
  <c r="AR127" i="1" s="1"/>
  <c r="AS127" i="1"/>
  <c r="AW127" i="1"/>
  <c r="AX127" i="1" s="1"/>
  <c r="AY127" i="1"/>
  <c r="AZ127" i="1" s="1"/>
  <c r="BC127" i="1"/>
  <c r="BF127" i="1" s="1"/>
  <c r="BG127" i="1" s="1"/>
  <c r="BO127" i="1"/>
  <c r="BP127" i="1" a="1"/>
  <c r="BQ126" i="1" a="1"/>
  <c r="BU126" i="1" a="1"/>
  <c r="BS126" i="1" a="1"/>
  <c r="BT126" i="1" a="1"/>
  <c r="BR126" i="1" a="1"/>
  <c r="BV126" i="1" a="1"/>
  <c r="BT126" i="1" l="1"/>
  <c r="BS126" i="1"/>
  <c r="BV126" i="1"/>
  <c r="BU126" i="1"/>
  <c r="BR126" i="1"/>
  <c r="BQ126" i="1"/>
  <c r="AH127" i="1"/>
  <c r="Z127" i="1" s="1"/>
  <c r="AA127" i="1" s="1"/>
  <c r="BD127" i="1"/>
  <c r="BE127" i="1" s="1"/>
  <c r="AM127" i="1"/>
  <c r="AV127" i="1"/>
  <c r="BP127" i="1"/>
  <c r="CQ127" i="1"/>
  <c r="U128" i="1"/>
  <c r="AC128" i="1"/>
  <c r="AD128" i="1"/>
  <c r="AE128" i="1" s="1"/>
  <c r="AF128" i="1"/>
  <c r="AG128" i="1"/>
  <c r="AJ128" i="1"/>
  <c r="AK128" i="1" s="1"/>
  <c r="AT128" i="1"/>
  <c r="AU128" i="1" s="1"/>
  <c r="AQ128" i="1"/>
  <c r="AR128" i="1" s="1"/>
  <c r="AS128" i="1"/>
  <c r="AW128" i="1"/>
  <c r="AX128" i="1" s="1"/>
  <c r="AY128" i="1"/>
  <c r="AZ128" i="1" s="1"/>
  <c r="BC128" i="1"/>
  <c r="BD128" i="1" s="1"/>
  <c r="BO128" i="1"/>
  <c r="BU127" i="1" a="1"/>
  <c r="BT127" i="1" a="1"/>
  <c r="BV127" i="1" a="1"/>
  <c r="BP128" i="1" a="1"/>
  <c r="BR127" i="1" a="1"/>
  <c r="BS127" i="1" a="1"/>
  <c r="BQ127" i="1" a="1"/>
  <c r="BH127" i="1" l="1"/>
  <c r="BI127" i="1" s="1"/>
  <c r="BT127" i="1"/>
  <c r="BS127" i="1"/>
  <c r="BQ127" i="1"/>
  <c r="BR127" i="1"/>
  <c r="BU127" i="1"/>
  <c r="BV127" i="1"/>
  <c r="BF128" i="1"/>
  <c r="BG128" i="1" s="1"/>
  <c r="AH128" i="1"/>
  <c r="Z128" i="1" s="1"/>
  <c r="AA128" i="1" s="1"/>
  <c r="BE128" i="1"/>
  <c r="AM128" i="1"/>
  <c r="BP128" i="1"/>
  <c r="BQ128" i="1" a="1"/>
  <c r="AV128" i="1" l="1"/>
  <c r="BH128" i="1"/>
  <c r="BI128" i="1" s="1"/>
  <c r="BQ128" i="1"/>
  <c r="CQ128" i="1"/>
  <c r="U129" i="1"/>
  <c r="AC129" i="1"/>
  <c r="AD129" i="1"/>
  <c r="AE129" i="1" s="1"/>
  <c r="AF129" i="1"/>
  <c r="AG129" i="1"/>
  <c r="AJ129" i="1"/>
  <c r="AK129" i="1" s="1"/>
  <c r="AT129" i="1"/>
  <c r="AU129" i="1" s="1"/>
  <c r="AQ129" i="1"/>
  <c r="AR129" i="1" s="1"/>
  <c r="AS129" i="1"/>
  <c r="AW129" i="1"/>
  <c r="AX129" i="1" s="1"/>
  <c r="AY129" i="1"/>
  <c r="AZ129" i="1" s="1"/>
  <c r="BC129" i="1"/>
  <c r="BD129" i="1" s="1"/>
  <c r="BO129" i="1"/>
  <c r="BP129" i="1" a="1"/>
  <c r="BV128" i="1" a="1"/>
  <c r="BS128" i="1" a="1"/>
  <c r="BT128" i="1" a="1"/>
  <c r="BU128" i="1" a="1"/>
  <c r="BR128" i="1" a="1"/>
  <c r="BV128" i="1" l="1"/>
  <c r="BU128" i="1"/>
  <c r="BT128" i="1"/>
  <c r="BS128" i="1"/>
  <c r="BR128" i="1"/>
  <c r="AH129" i="1"/>
  <c r="Z129" i="1" s="1"/>
  <c r="AA129" i="1" s="1"/>
  <c r="BF129" i="1"/>
  <c r="BG129" i="1" s="1"/>
  <c r="AV129" i="1"/>
  <c r="BE129" i="1"/>
  <c r="AM129" i="1"/>
  <c r="BP129" i="1"/>
  <c r="BQ129" i="1" a="1"/>
  <c r="BH129" i="1" l="1"/>
  <c r="BI129" i="1" s="1"/>
  <c r="BQ129" i="1"/>
  <c r="CQ129" i="1"/>
  <c r="U130" i="1"/>
  <c r="AC130" i="1"/>
  <c r="AD130" i="1"/>
  <c r="AE130" i="1" s="1"/>
  <c r="AF130" i="1"/>
  <c r="AG130" i="1"/>
  <c r="AJ130" i="1"/>
  <c r="AK130" i="1" s="1"/>
  <c r="AT130" i="1"/>
  <c r="AU130" i="1" s="1"/>
  <c r="AQ130" i="1"/>
  <c r="AR130" i="1" s="1"/>
  <c r="AS130" i="1"/>
  <c r="AW130" i="1"/>
  <c r="AX130" i="1" s="1"/>
  <c r="AY130" i="1"/>
  <c r="AZ130" i="1" s="1"/>
  <c r="BC130" i="1"/>
  <c r="BD130" i="1" s="1"/>
  <c r="BO130" i="1"/>
  <c r="BS129" i="1" a="1"/>
  <c r="BT129" i="1" a="1"/>
  <c r="BV129" i="1" a="1"/>
  <c r="BP130" i="1" a="1"/>
  <c r="BR129" i="1" a="1"/>
  <c r="BU129" i="1" a="1"/>
  <c r="BV129" i="1" l="1"/>
  <c r="BU129" i="1"/>
  <c r="BT129" i="1"/>
  <c r="BR129" i="1"/>
  <c r="BS129" i="1"/>
  <c r="BF130" i="1"/>
  <c r="BG130" i="1" s="1"/>
  <c r="AH130" i="1"/>
  <c r="Z130" i="1" s="1"/>
  <c r="AA130" i="1" s="1"/>
  <c r="BE130" i="1"/>
  <c r="AM130" i="1"/>
  <c r="BP130" i="1"/>
  <c r="CQ130" i="1"/>
  <c r="U131" i="1"/>
  <c r="AC131" i="1"/>
  <c r="AD131" i="1"/>
  <c r="AE131" i="1" s="1"/>
  <c r="AF131" i="1"/>
  <c r="AG131" i="1"/>
  <c r="AJ131" i="1"/>
  <c r="AK131" i="1" s="1"/>
  <c r="AT131" i="1"/>
  <c r="AU131" i="1" s="1"/>
  <c r="AQ131" i="1"/>
  <c r="AR131" i="1" s="1"/>
  <c r="AS131" i="1"/>
  <c r="AW131" i="1"/>
  <c r="AX131" i="1" s="1"/>
  <c r="AY131" i="1"/>
  <c r="AZ131" i="1" s="1"/>
  <c r="BC131" i="1"/>
  <c r="BD131" i="1" s="1"/>
  <c r="BE131" i="1" s="1"/>
  <c r="BO131" i="1"/>
  <c r="BQ130" i="1" a="1"/>
  <c r="BU130" i="1" a="1"/>
  <c r="BV130" i="1" a="1"/>
  <c r="BR130" i="1" a="1"/>
  <c r="BS130" i="1" a="1"/>
  <c r="BT130" i="1" a="1"/>
  <c r="BP131" i="1" a="1"/>
  <c r="BH130" i="1" l="1"/>
  <c r="BI130" i="1" s="1"/>
  <c r="AV130" i="1"/>
  <c r="BU130" i="1"/>
  <c r="BT130" i="1"/>
  <c r="BS130" i="1"/>
  <c r="BR130" i="1"/>
  <c r="BQ130" i="1"/>
  <c r="BV130" i="1"/>
  <c r="AH131" i="1"/>
  <c r="Z131" i="1" s="1"/>
  <c r="AA131" i="1" s="1"/>
  <c r="BF131" i="1"/>
  <c r="BG131" i="1" s="1"/>
  <c r="AM131" i="1"/>
  <c r="AV131" i="1"/>
  <c r="BP131" i="1"/>
  <c r="BQ131" i="1" a="1"/>
  <c r="BH131" i="1" l="1"/>
  <c r="BI131" i="1" s="1"/>
  <c r="BQ131" i="1"/>
  <c r="CQ131" i="1"/>
  <c r="U132" i="1"/>
  <c r="AC132" i="1"/>
  <c r="AD132" i="1"/>
  <c r="AE132" i="1" s="1"/>
  <c r="AF132" i="1"/>
  <c r="AG132" i="1"/>
  <c r="AJ132" i="1"/>
  <c r="AK132" i="1" s="1"/>
  <c r="AQ132" i="1"/>
  <c r="AR132" i="1" s="1"/>
  <c r="AS132" i="1"/>
  <c r="AW132" i="1"/>
  <c r="AX132" i="1" s="1"/>
  <c r="AY132" i="1"/>
  <c r="AZ132" i="1" s="1"/>
  <c r="BC132" i="1"/>
  <c r="BF132" i="1" s="1"/>
  <c r="BG132" i="1" s="1"/>
  <c r="BO132" i="1"/>
  <c r="BP132" i="1" a="1"/>
  <c r="BS131" i="1" a="1"/>
  <c r="BR131" i="1" a="1"/>
  <c r="BV131" i="1" a="1"/>
  <c r="BU131" i="1" a="1"/>
  <c r="BT131" i="1" a="1"/>
  <c r="BD132" i="1" l="1"/>
  <c r="BE132" i="1" s="1"/>
  <c r="BV131" i="1"/>
  <c r="BU131" i="1"/>
  <c r="BR131" i="1"/>
  <c r="BT131" i="1"/>
  <c r="BS131" i="1"/>
  <c r="AH132" i="1"/>
  <c r="Z132" i="1" s="1"/>
  <c r="AA132" i="1" s="1"/>
  <c r="AT132" i="1"/>
  <c r="AU132" i="1" s="1"/>
  <c r="BH132" i="1"/>
  <c r="BI132" i="1" s="1"/>
  <c r="AM132" i="1"/>
  <c r="BP132" i="1"/>
  <c r="BQ132" i="1" a="1"/>
  <c r="AV132" i="1" l="1"/>
  <c r="BQ132" i="1"/>
  <c r="CQ132" i="1"/>
  <c r="U133" i="1"/>
  <c r="AC133" i="1"/>
  <c r="AD133" i="1"/>
  <c r="AE133" i="1" s="1"/>
  <c r="AF133" i="1"/>
  <c r="AG133" i="1"/>
  <c r="AJ133" i="1"/>
  <c r="AK133" i="1" s="1"/>
  <c r="AT133" i="1"/>
  <c r="AU133" i="1" s="1"/>
  <c r="AQ133" i="1"/>
  <c r="AR133" i="1" s="1"/>
  <c r="AS133" i="1"/>
  <c r="AW133" i="1"/>
  <c r="AX133" i="1" s="1"/>
  <c r="AY133" i="1"/>
  <c r="AZ133" i="1" s="1"/>
  <c r="BC133" i="1"/>
  <c r="BD133" i="1" s="1"/>
  <c r="BE133" i="1" s="1"/>
  <c r="BO133" i="1"/>
  <c r="BT132" i="1" a="1"/>
  <c r="BV132" i="1" a="1"/>
  <c r="BR132" i="1" a="1"/>
  <c r="BU132" i="1" a="1"/>
  <c r="BP133" i="1" a="1"/>
  <c r="BS132" i="1" a="1"/>
  <c r="BV132" i="1" l="1"/>
  <c r="BT132" i="1"/>
  <c r="BR132" i="1"/>
  <c r="BU132" i="1"/>
  <c r="BS132" i="1"/>
  <c r="BF133" i="1"/>
  <c r="BG133" i="1" s="1"/>
  <c r="AH133" i="1"/>
  <c r="Z133" i="1" s="1"/>
  <c r="AA133" i="1" s="1"/>
  <c r="BH133" i="1"/>
  <c r="BI133" i="1" s="1"/>
  <c r="AM133" i="1"/>
  <c r="AV133" i="1"/>
  <c r="BP133" i="1"/>
  <c r="CQ133" i="1"/>
  <c r="U134" i="1"/>
  <c r="AC134" i="1"/>
  <c r="AD134" i="1"/>
  <c r="AE134" i="1" s="1"/>
  <c r="AF134" i="1"/>
  <c r="AG134" i="1"/>
  <c r="AJ134" i="1"/>
  <c r="AK134" i="1" s="1"/>
  <c r="AT134" i="1"/>
  <c r="AU134" i="1" s="1"/>
  <c r="AM134" i="1"/>
  <c r="AQ134" i="1"/>
  <c r="AR134" i="1" s="1"/>
  <c r="AS134" i="1"/>
  <c r="AW134" i="1"/>
  <c r="AX134" i="1" s="1"/>
  <c r="AY134" i="1"/>
  <c r="AZ134" i="1" s="1"/>
  <c r="BC134" i="1"/>
  <c r="BF134" i="1" s="1"/>
  <c r="BG134" i="1" s="1"/>
  <c r="BO134" i="1"/>
  <c r="BR133" i="1" a="1"/>
  <c r="BS133" i="1" a="1"/>
  <c r="BV133" i="1" a="1"/>
  <c r="BT133" i="1" a="1"/>
  <c r="BQ133" i="1" a="1"/>
  <c r="BP134" i="1" a="1"/>
  <c r="BU133" i="1" a="1"/>
  <c r="BD134" i="1" l="1"/>
  <c r="BE134" i="1" s="1"/>
  <c r="BV133" i="1"/>
  <c r="BT133" i="1"/>
  <c r="BS133" i="1"/>
  <c r="BQ133" i="1"/>
  <c r="BU133" i="1"/>
  <c r="BR133" i="1"/>
  <c r="AH134" i="1"/>
  <c r="Z134" i="1" s="1"/>
  <c r="AA134" i="1" s="1"/>
  <c r="BP134" i="1"/>
  <c r="CQ134" i="1"/>
  <c r="U135" i="1"/>
  <c r="AC135" i="1"/>
  <c r="AD135" i="1"/>
  <c r="AE135" i="1" s="1"/>
  <c r="AF135" i="1"/>
  <c r="AG135" i="1"/>
  <c r="AJ135" i="1"/>
  <c r="AK135" i="1" s="1"/>
  <c r="AT135" i="1"/>
  <c r="AU135" i="1" s="1"/>
  <c r="AQ135" i="1"/>
  <c r="AR135" i="1" s="1"/>
  <c r="AS135" i="1"/>
  <c r="AW135" i="1"/>
  <c r="AX135" i="1" s="1"/>
  <c r="AY135" i="1"/>
  <c r="AZ135" i="1" s="1"/>
  <c r="BC135" i="1"/>
  <c r="BF135" i="1" s="1"/>
  <c r="BG135" i="1" s="1"/>
  <c r="BO135" i="1"/>
  <c r="BQ134" i="1" a="1"/>
  <c r="BS134" i="1" a="1"/>
  <c r="BP135" i="1" a="1"/>
  <c r="BT134" i="1" a="1"/>
  <c r="BU134" i="1" a="1"/>
  <c r="BV134" i="1" a="1"/>
  <c r="BR134" i="1" a="1"/>
  <c r="BH134" i="1" l="1"/>
  <c r="BI134" i="1" s="1"/>
  <c r="AV134" i="1"/>
  <c r="BV134" i="1"/>
  <c r="BU134" i="1"/>
  <c r="BT134" i="1"/>
  <c r="BS134" i="1"/>
  <c r="BR134" i="1"/>
  <c r="BQ134" i="1"/>
  <c r="AH135" i="1"/>
  <c r="Z135" i="1" s="1"/>
  <c r="AA135" i="1" s="1"/>
  <c r="BD135" i="1"/>
  <c r="BE135" i="1" s="1"/>
  <c r="AM135" i="1"/>
  <c r="AV135" i="1"/>
  <c r="BP135" i="1"/>
  <c r="BQ135" i="1" a="1"/>
  <c r="BH135" i="1" l="1"/>
  <c r="BI135" i="1" s="1"/>
  <c r="BQ135" i="1"/>
  <c r="CQ135" i="1"/>
  <c r="U136" i="1"/>
  <c r="AC136" i="1"/>
  <c r="AD136" i="1"/>
  <c r="AE136" i="1" s="1"/>
  <c r="AF136" i="1"/>
  <c r="AG136" i="1"/>
  <c r="AJ136" i="1"/>
  <c r="AK136" i="1" s="1"/>
  <c r="AT136" i="1"/>
  <c r="AU136" i="1" s="1"/>
  <c r="AM136" i="1"/>
  <c r="AQ136" i="1"/>
  <c r="AR136" i="1" s="1"/>
  <c r="AS136" i="1"/>
  <c r="AW136" i="1"/>
  <c r="AX136" i="1" s="1"/>
  <c r="AY136" i="1"/>
  <c r="AZ136" i="1" s="1"/>
  <c r="BC136" i="1"/>
  <c r="BF136" i="1" s="1"/>
  <c r="BG136" i="1" s="1"/>
  <c r="BO136" i="1"/>
  <c r="BU135" i="1" a="1"/>
  <c r="BV135" i="1" a="1"/>
  <c r="BT135" i="1" a="1"/>
  <c r="BR135" i="1" a="1"/>
  <c r="BP136" i="1" a="1"/>
  <c r="BS135" i="1" a="1"/>
  <c r="BV135" i="1" l="1"/>
  <c r="BU135" i="1"/>
  <c r="BR135" i="1"/>
  <c r="BT135" i="1"/>
  <c r="BS135" i="1"/>
  <c r="AH136" i="1"/>
  <c r="Z136" i="1" s="1"/>
  <c r="AA136" i="1" s="1"/>
  <c r="BD136" i="1"/>
  <c r="BE136" i="1" s="1"/>
  <c r="BP136" i="1"/>
  <c r="CQ136" i="1"/>
  <c r="U137" i="1"/>
  <c r="AC137" i="1"/>
  <c r="AD137" i="1"/>
  <c r="AE137" i="1" s="1"/>
  <c r="AF137" i="1"/>
  <c r="AG137" i="1"/>
  <c r="AJ137" i="1"/>
  <c r="AK137" i="1" s="1"/>
  <c r="AT137" i="1"/>
  <c r="AU137" i="1" s="1"/>
  <c r="AQ137" i="1"/>
  <c r="AR137" i="1" s="1"/>
  <c r="AS137" i="1"/>
  <c r="AW137" i="1"/>
  <c r="AX137" i="1" s="1"/>
  <c r="AY137" i="1"/>
  <c r="AZ137" i="1" s="1"/>
  <c r="BC137" i="1"/>
  <c r="BF137" i="1" s="1"/>
  <c r="BG137" i="1" s="1"/>
  <c r="BO137" i="1"/>
  <c r="BR136" i="1" a="1"/>
  <c r="BV136" i="1" a="1"/>
  <c r="BS136" i="1" a="1"/>
  <c r="BP137" i="1" a="1"/>
  <c r="BU136" i="1" a="1"/>
  <c r="BT136" i="1" a="1"/>
  <c r="BQ136" i="1" a="1"/>
  <c r="AV136" i="1" l="1"/>
  <c r="BH136" i="1"/>
  <c r="BI136" i="1" s="1"/>
  <c r="BU136" i="1"/>
  <c r="BS136" i="1"/>
  <c r="BQ136" i="1"/>
  <c r="BV136" i="1"/>
  <c r="BT136" i="1"/>
  <c r="BR136" i="1"/>
  <c r="AH137" i="1"/>
  <c r="Z137" i="1" s="1"/>
  <c r="AA137" i="1" s="1"/>
  <c r="BD137" i="1"/>
  <c r="BE137" i="1" s="1"/>
  <c r="AM137" i="1"/>
  <c r="BP137" i="1"/>
  <c r="BQ137" i="1" a="1"/>
  <c r="AV137" i="1" l="1"/>
  <c r="BH137" i="1"/>
  <c r="BI137" i="1" s="1"/>
  <c r="BQ137" i="1"/>
  <c r="CQ137" i="1"/>
  <c r="U138" i="1"/>
  <c r="AC138" i="1"/>
  <c r="AD138" i="1"/>
  <c r="AE138" i="1" s="1"/>
  <c r="AF138" i="1"/>
  <c r="AG138" i="1"/>
  <c r="AJ138" i="1"/>
  <c r="AK138" i="1" s="1"/>
  <c r="AT138" i="1"/>
  <c r="AU138" i="1" s="1"/>
  <c r="AQ138" i="1"/>
  <c r="AR138" i="1" s="1"/>
  <c r="AS138" i="1"/>
  <c r="AW138" i="1"/>
  <c r="AX138" i="1" s="1"/>
  <c r="AY138" i="1"/>
  <c r="AZ138" i="1" s="1"/>
  <c r="BC138" i="1"/>
  <c r="BD138" i="1" s="1"/>
  <c r="BE138" i="1" s="1"/>
  <c r="BF138" i="1"/>
  <c r="BG138" i="1" s="1"/>
  <c r="BO138" i="1"/>
  <c r="BR137" i="1" a="1"/>
  <c r="BV137" i="1" a="1"/>
  <c r="BS137" i="1" a="1"/>
  <c r="BT137" i="1" a="1"/>
  <c r="BP138" i="1" a="1"/>
  <c r="BU137" i="1" a="1"/>
  <c r="BU137" i="1" l="1"/>
  <c r="BT137" i="1"/>
  <c r="BS137" i="1"/>
  <c r="BV137" i="1"/>
  <c r="BR137" i="1"/>
  <c r="AH138" i="1"/>
  <c r="Z138" i="1" s="1"/>
  <c r="AA138" i="1" s="1"/>
  <c r="BH138" i="1"/>
  <c r="BI138" i="1" s="1"/>
  <c r="AM138" i="1"/>
  <c r="AV138" i="1"/>
  <c r="BP138" i="1"/>
  <c r="CQ138" i="1"/>
  <c r="U139" i="1"/>
  <c r="AC139" i="1"/>
  <c r="AD139" i="1"/>
  <c r="AE139" i="1" s="1"/>
  <c r="AF139" i="1"/>
  <c r="AG139" i="1"/>
  <c r="AJ139" i="1"/>
  <c r="AK139" i="1" s="1"/>
  <c r="AT139" i="1"/>
  <c r="AU139" i="1" s="1"/>
  <c r="AQ139" i="1"/>
  <c r="AR139" i="1" s="1"/>
  <c r="AS139" i="1"/>
  <c r="AW139" i="1"/>
  <c r="AX139" i="1" s="1"/>
  <c r="AY139" i="1"/>
  <c r="AZ139" i="1" s="1"/>
  <c r="BC139" i="1"/>
  <c r="BD139" i="1"/>
  <c r="BE139" i="1" s="1"/>
  <c r="BF139" i="1"/>
  <c r="BG139" i="1" s="1"/>
  <c r="BO139" i="1"/>
  <c r="BS138" i="1" a="1"/>
  <c r="BU138" i="1" a="1"/>
  <c r="BP139" i="1" a="1"/>
  <c r="BR138" i="1" a="1"/>
  <c r="BT138" i="1" a="1"/>
  <c r="BQ138" i="1" a="1"/>
  <c r="BV138" i="1" a="1"/>
  <c r="BV138" i="1" l="1"/>
  <c r="BT138" i="1"/>
  <c r="BR138" i="1"/>
  <c r="BU138" i="1"/>
  <c r="BS138" i="1"/>
  <c r="BQ138" i="1"/>
  <c r="AH139" i="1"/>
  <c r="Z139" i="1" s="1"/>
  <c r="AA139" i="1" s="1"/>
  <c r="BH139" i="1"/>
  <c r="BI139" i="1" s="1"/>
  <c r="AM139" i="1"/>
  <c r="AV139" i="1"/>
  <c r="BP139" i="1"/>
  <c r="CQ139" i="1"/>
  <c r="U140" i="1"/>
  <c r="AC140" i="1"/>
  <c r="AD140" i="1"/>
  <c r="AE140" i="1" s="1"/>
  <c r="AF140" i="1"/>
  <c r="AG140" i="1"/>
  <c r="AJ140" i="1"/>
  <c r="AK140" i="1" s="1"/>
  <c r="AT140" i="1"/>
  <c r="AU140" i="1" s="1"/>
  <c r="AM140" i="1"/>
  <c r="AQ140" i="1"/>
  <c r="AR140" i="1" s="1"/>
  <c r="AS140" i="1"/>
  <c r="AW140" i="1"/>
  <c r="AX140" i="1" s="1"/>
  <c r="AY140" i="1"/>
  <c r="AZ140" i="1" s="1"/>
  <c r="BC140" i="1"/>
  <c r="BF140" i="1" s="1"/>
  <c r="BG140" i="1" s="1"/>
  <c r="BO140" i="1"/>
  <c r="BS139" i="1" a="1"/>
  <c r="BQ139" i="1" a="1"/>
  <c r="BV139" i="1" a="1"/>
  <c r="BR139" i="1" a="1"/>
  <c r="BU139" i="1" a="1"/>
  <c r="BT139" i="1" a="1"/>
  <c r="BP140" i="1" a="1"/>
  <c r="BV139" i="1" l="1"/>
  <c r="BT139" i="1"/>
  <c r="BR139" i="1"/>
  <c r="BU139" i="1"/>
  <c r="BS139" i="1"/>
  <c r="BQ139" i="1"/>
  <c r="AH140" i="1"/>
  <c r="Z140" i="1" s="1"/>
  <c r="AA140" i="1" s="1"/>
  <c r="BD140" i="1"/>
  <c r="BE140" i="1" s="1"/>
  <c r="AV140" i="1"/>
  <c r="BP140" i="1"/>
  <c r="BQ140" i="1" a="1"/>
  <c r="BH140" i="1" l="1"/>
  <c r="BI140" i="1" s="1"/>
  <c r="BQ140" i="1"/>
  <c r="CQ140" i="1"/>
  <c r="U141" i="1"/>
  <c r="AC141" i="1"/>
  <c r="AD141" i="1"/>
  <c r="AE141" i="1" s="1"/>
  <c r="AF141" i="1"/>
  <c r="AG141" i="1"/>
  <c r="AJ141" i="1"/>
  <c r="AK141" i="1" s="1"/>
  <c r="AT141" i="1"/>
  <c r="AU141" i="1" s="1"/>
  <c r="AQ141" i="1"/>
  <c r="AR141" i="1" s="1"/>
  <c r="AS141" i="1"/>
  <c r="AW141" i="1"/>
  <c r="AX141" i="1" s="1"/>
  <c r="AY141" i="1"/>
  <c r="AZ141" i="1" s="1"/>
  <c r="BC141" i="1"/>
  <c r="BD141" i="1" s="1"/>
  <c r="BO141" i="1"/>
  <c r="BP141" i="1" a="1"/>
  <c r="BT140" i="1" a="1"/>
  <c r="BS140" i="1" a="1"/>
  <c r="BR140" i="1" a="1"/>
  <c r="BU140" i="1" a="1"/>
  <c r="BV140" i="1" a="1"/>
  <c r="BF141" i="1" l="1"/>
  <c r="BG141" i="1" s="1"/>
  <c r="BU140" i="1"/>
  <c r="BV140" i="1"/>
  <c r="BT140" i="1"/>
  <c r="BS140" i="1"/>
  <c r="BR140" i="1"/>
  <c r="BH141" i="1"/>
  <c r="BI141" i="1" s="1"/>
  <c r="BE141" i="1"/>
  <c r="AH141" i="1"/>
  <c r="Z141" i="1" s="1"/>
  <c r="AA141" i="1" s="1"/>
  <c r="AM141" i="1"/>
  <c r="BP141" i="1"/>
  <c r="BQ141" i="1" a="1"/>
  <c r="AV141" i="1" l="1"/>
  <c r="BQ141" i="1"/>
  <c r="CQ141" i="1"/>
  <c r="U142" i="1"/>
  <c r="AC142" i="1"/>
  <c r="AD142" i="1"/>
  <c r="AE142" i="1" s="1"/>
  <c r="AF142" i="1"/>
  <c r="AG142" i="1"/>
  <c r="AJ142" i="1"/>
  <c r="AK142" i="1" s="1"/>
  <c r="AT142" i="1"/>
  <c r="AU142" i="1" s="1"/>
  <c r="AQ142" i="1"/>
  <c r="AR142" i="1" s="1"/>
  <c r="AS142" i="1"/>
  <c r="AW142" i="1"/>
  <c r="AX142" i="1" s="1"/>
  <c r="AY142" i="1"/>
  <c r="AZ142" i="1" s="1"/>
  <c r="BC142" i="1"/>
  <c r="BD142" i="1" s="1"/>
  <c r="BO142" i="1"/>
  <c r="BT141" i="1" a="1"/>
  <c r="BS141" i="1" a="1"/>
  <c r="BP142" i="1" a="1"/>
  <c r="BR141" i="1" a="1"/>
  <c r="BV141" i="1" a="1"/>
  <c r="BU141" i="1" a="1"/>
  <c r="BV141" i="1" l="1"/>
  <c r="BU141" i="1"/>
  <c r="BT141" i="1"/>
  <c r="BS141" i="1"/>
  <c r="BR141" i="1"/>
  <c r="BF142" i="1"/>
  <c r="BG142" i="1" s="1"/>
  <c r="BE142" i="1"/>
  <c r="AH142" i="1"/>
  <c r="Z142" i="1" s="1"/>
  <c r="AA142" i="1" s="1"/>
  <c r="AM142" i="1"/>
  <c r="BP142" i="1"/>
  <c r="CQ142" i="1"/>
  <c r="U143" i="1"/>
  <c r="AC143" i="1"/>
  <c r="AD143" i="1"/>
  <c r="AE143" i="1" s="1"/>
  <c r="AF143" i="1"/>
  <c r="AG143" i="1"/>
  <c r="AJ143" i="1"/>
  <c r="AK143" i="1" s="1"/>
  <c r="AT143" i="1"/>
  <c r="AU143" i="1" s="1"/>
  <c r="AQ143" i="1"/>
  <c r="AR143" i="1" s="1"/>
  <c r="AS143" i="1"/>
  <c r="AW143" i="1"/>
  <c r="AX143" i="1" s="1"/>
  <c r="AY143" i="1"/>
  <c r="AZ143" i="1" s="1"/>
  <c r="BC143" i="1"/>
  <c r="BD143" i="1" s="1"/>
  <c r="BO143" i="1"/>
  <c r="BV142" i="1" a="1"/>
  <c r="BT142" i="1" a="1"/>
  <c r="BQ142" i="1" a="1"/>
  <c r="BP143" i="1" a="1"/>
  <c r="BR142" i="1" a="1"/>
  <c r="BU142" i="1" a="1"/>
  <c r="BS142" i="1" a="1"/>
  <c r="BH142" i="1" l="1"/>
  <c r="BI142" i="1" s="1"/>
  <c r="AV142" i="1"/>
  <c r="BU142" i="1"/>
  <c r="BT142" i="1"/>
  <c r="BR142" i="1"/>
  <c r="BS142" i="1"/>
  <c r="BQ142" i="1"/>
  <c r="BV142" i="1"/>
  <c r="BF143" i="1"/>
  <c r="BG143" i="1" s="1"/>
  <c r="AH143" i="1"/>
  <c r="Z143" i="1" s="1"/>
  <c r="AA143" i="1" s="1"/>
  <c r="AM143" i="1"/>
  <c r="BE143" i="1"/>
  <c r="BH143" i="1"/>
  <c r="BI143" i="1" s="1"/>
  <c r="BP143" i="1"/>
  <c r="CQ143" i="1"/>
  <c r="U144" i="1"/>
  <c r="AC144" i="1"/>
  <c r="AD144" i="1"/>
  <c r="AE144" i="1" s="1"/>
  <c r="AF144" i="1"/>
  <c r="AG144" i="1"/>
  <c r="AJ144" i="1"/>
  <c r="AK144" i="1" s="1"/>
  <c r="AT144" i="1"/>
  <c r="AU144" i="1" s="1"/>
  <c r="AQ144" i="1"/>
  <c r="AR144" i="1" s="1"/>
  <c r="AS144" i="1"/>
  <c r="AW144" i="1"/>
  <c r="AX144" i="1" s="1"/>
  <c r="AY144" i="1"/>
  <c r="AZ144" i="1" s="1"/>
  <c r="BC144" i="1"/>
  <c r="BD144" i="1" s="1"/>
  <c r="BE144" i="1" s="1"/>
  <c r="BO144" i="1"/>
  <c r="BT143" i="1" a="1"/>
  <c r="BQ143" i="1" a="1"/>
  <c r="BV143" i="1" a="1"/>
  <c r="BR143" i="1" a="1"/>
  <c r="BP144" i="1" a="1"/>
  <c r="BU143" i="1" a="1"/>
  <c r="BS143" i="1" a="1"/>
  <c r="BF144" i="1" l="1"/>
  <c r="BG144" i="1" s="1"/>
  <c r="AV143" i="1"/>
  <c r="BS143" i="1"/>
  <c r="BR143" i="1"/>
  <c r="BV143" i="1"/>
  <c r="BU143" i="1"/>
  <c r="BT143" i="1"/>
  <c r="BQ143" i="1"/>
  <c r="AH144" i="1"/>
  <c r="Z144" i="1" s="1"/>
  <c r="AA144" i="1" s="1"/>
  <c r="BH144" i="1"/>
  <c r="BI144" i="1" s="1"/>
  <c r="AM144" i="1"/>
  <c r="BP144" i="1"/>
  <c r="CQ144" i="1"/>
  <c r="U145" i="1"/>
  <c r="AC145" i="1"/>
  <c r="AD145" i="1"/>
  <c r="AE145" i="1" s="1"/>
  <c r="AF145" i="1"/>
  <c r="AG145" i="1"/>
  <c r="AJ145" i="1"/>
  <c r="AK145" i="1" s="1"/>
  <c r="AT145" i="1"/>
  <c r="AU145" i="1" s="1"/>
  <c r="AQ145" i="1"/>
  <c r="AR145" i="1" s="1"/>
  <c r="AS145" i="1"/>
  <c r="AW145" i="1"/>
  <c r="AX145" i="1" s="1"/>
  <c r="AY145" i="1"/>
  <c r="AZ145" i="1" s="1"/>
  <c r="BC145" i="1"/>
  <c r="BD145" i="1" s="1"/>
  <c r="BO145" i="1"/>
  <c r="BQ144" i="1" a="1"/>
  <c r="BV144" i="1" a="1"/>
  <c r="BU144" i="1" a="1"/>
  <c r="BT144" i="1" a="1"/>
  <c r="BP145" i="1" a="1"/>
  <c r="BR144" i="1" a="1"/>
  <c r="BS144" i="1" a="1"/>
  <c r="AV144" i="1" l="1"/>
  <c r="BU144" i="1"/>
  <c r="BT144" i="1"/>
  <c r="BR144" i="1"/>
  <c r="BV144" i="1"/>
  <c r="BS144" i="1"/>
  <c r="BQ144" i="1"/>
  <c r="BF145" i="1"/>
  <c r="BG145" i="1" s="1"/>
  <c r="AH145" i="1"/>
  <c r="Z145" i="1" s="1"/>
  <c r="AA145" i="1" s="1"/>
  <c r="BE145" i="1"/>
  <c r="AM145" i="1"/>
  <c r="BP145" i="1"/>
  <c r="BQ145" i="1" a="1"/>
  <c r="AV145" i="1" l="1"/>
  <c r="BH145" i="1"/>
  <c r="BI145" i="1" s="1"/>
  <c r="BQ145" i="1"/>
  <c r="CQ145" i="1"/>
  <c r="U146" i="1"/>
  <c r="AC146" i="1"/>
  <c r="AD146" i="1"/>
  <c r="AE146" i="1" s="1"/>
  <c r="AF146" i="1"/>
  <c r="AG146" i="1"/>
  <c r="AJ146" i="1"/>
  <c r="AK146" i="1" s="1"/>
  <c r="AT146" i="1"/>
  <c r="AU146" i="1" s="1"/>
  <c r="AM146" i="1"/>
  <c r="AQ146" i="1"/>
  <c r="AR146" i="1" s="1"/>
  <c r="AS146" i="1"/>
  <c r="AW146" i="1"/>
  <c r="AX146" i="1" s="1"/>
  <c r="AY146" i="1"/>
  <c r="AZ146" i="1" s="1"/>
  <c r="BC146" i="1"/>
  <c r="BD146" i="1" s="1"/>
  <c r="BE146" i="1" s="1"/>
  <c r="BO146" i="1"/>
  <c r="BR145" i="1" a="1"/>
  <c r="BT145" i="1" a="1"/>
  <c r="BS145" i="1" a="1"/>
  <c r="BP146" i="1" a="1"/>
  <c r="BU145" i="1" a="1"/>
  <c r="BV145" i="1" a="1"/>
  <c r="BF146" i="1" l="1"/>
  <c r="BG146" i="1" s="1"/>
  <c r="AH146" i="1"/>
  <c r="Z146" i="1" s="1"/>
  <c r="AA146" i="1" s="1"/>
  <c r="BV145" i="1"/>
  <c r="BU145" i="1"/>
  <c r="BT145" i="1"/>
  <c r="BS145" i="1"/>
  <c r="BR145" i="1"/>
  <c r="BH146" i="1"/>
  <c r="BI146" i="1" s="1"/>
  <c r="BP146" i="1"/>
  <c r="CQ146" i="1"/>
  <c r="U147" i="1"/>
  <c r="AC147" i="1"/>
  <c r="AD147" i="1"/>
  <c r="AE147" i="1" s="1"/>
  <c r="AF147" i="1"/>
  <c r="AG147" i="1"/>
  <c r="AJ147" i="1"/>
  <c r="AK147" i="1" s="1"/>
  <c r="AT147" i="1"/>
  <c r="AU147" i="1" s="1"/>
  <c r="AQ147" i="1"/>
  <c r="AR147" i="1" s="1"/>
  <c r="AS147" i="1"/>
  <c r="AW147" i="1"/>
  <c r="AX147" i="1" s="1"/>
  <c r="AY147" i="1"/>
  <c r="AZ147" i="1" s="1"/>
  <c r="BC147" i="1"/>
  <c r="BF147" i="1" s="1"/>
  <c r="BG147" i="1" s="1"/>
  <c r="BO147" i="1"/>
  <c r="BS146" i="1" a="1"/>
  <c r="BQ146" i="1" a="1"/>
  <c r="BP147" i="1" a="1"/>
  <c r="BU146" i="1" a="1"/>
  <c r="BR146" i="1" a="1"/>
  <c r="BT146" i="1" a="1"/>
  <c r="BV146" i="1" a="1"/>
  <c r="AV146" i="1" l="1"/>
  <c r="BV146" i="1"/>
  <c r="BU146" i="1"/>
  <c r="BT146" i="1"/>
  <c r="BS146" i="1"/>
  <c r="BR146" i="1"/>
  <c r="BQ146" i="1"/>
  <c r="AH147" i="1"/>
  <c r="Z147" i="1" s="1"/>
  <c r="AA147" i="1" s="1"/>
  <c r="BD147" i="1"/>
  <c r="BE147" i="1" s="1"/>
  <c r="AM147" i="1"/>
  <c r="BP147" i="1"/>
  <c r="BQ147" i="1" a="1"/>
  <c r="AV147" i="1" l="1"/>
  <c r="BH147" i="1"/>
  <c r="BI147" i="1" s="1"/>
  <c r="BQ147" i="1"/>
  <c r="CQ147" i="1"/>
  <c r="U148" i="1"/>
  <c r="AC148" i="1"/>
  <c r="AD148" i="1"/>
  <c r="AE148" i="1" s="1"/>
  <c r="AF148" i="1"/>
  <c r="AG148" i="1"/>
  <c r="AJ148" i="1"/>
  <c r="AK148" i="1" s="1"/>
  <c r="AT148" i="1"/>
  <c r="AU148" i="1" s="1"/>
  <c r="AQ148" i="1"/>
  <c r="AR148" i="1" s="1"/>
  <c r="AS148" i="1"/>
  <c r="AW148" i="1"/>
  <c r="AX148" i="1" s="1"/>
  <c r="AY148" i="1"/>
  <c r="AZ148" i="1" s="1"/>
  <c r="BC148" i="1"/>
  <c r="BD148" i="1" s="1"/>
  <c r="BO148" i="1"/>
  <c r="BR147" i="1" a="1"/>
  <c r="BT147" i="1" a="1"/>
  <c r="BU147" i="1" a="1"/>
  <c r="BS147" i="1" a="1"/>
  <c r="BP148" i="1" a="1"/>
  <c r="BV147" i="1" a="1"/>
  <c r="BV147" i="1" l="1"/>
  <c r="BU147" i="1"/>
  <c r="BT147" i="1"/>
  <c r="BS147" i="1"/>
  <c r="BR147" i="1"/>
  <c r="BF148" i="1"/>
  <c r="BG148" i="1" s="1"/>
  <c r="BE148" i="1"/>
  <c r="AM148" i="1"/>
  <c r="AH148" i="1"/>
  <c r="Z148" i="1" s="1"/>
  <c r="AA148" i="1" s="1"/>
  <c r="BP148" i="1"/>
  <c r="BQ148" i="1" a="1"/>
  <c r="BH148" i="1" l="1"/>
  <c r="BI148" i="1" s="1"/>
  <c r="AV148" i="1"/>
  <c r="BQ148" i="1"/>
  <c r="CQ148" i="1"/>
  <c r="U149" i="1"/>
  <c r="AC149" i="1"/>
  <c r="AD149" i="1"/>
  <c r="AE149" i="1" s="1"/>
  <c r="AF149" i="1"/>
  <c r="AG149" i="1"/>
  <c r="AJ149" i="1"/>
  <c r="AK149" i="1" s="1"/>
  <c r="AT149" i="1"/>
  <c r="AU149" i="1" s="1"/>
  <c r="AM149" i="1"/>
  <c r="AQ149" i="1"/>
  <c r="AR149" i="1" s="1"/>
  <c r="AS149" i="1"/>
  <c r="AW149" i="1"/>
  <c r="AX149" i="1" s="1"/>
  <c r="AY149" i="1"/>
  <c r="AZ149" i="1" s="1"/>
  <c r="BC149" i="1"/>
  <c r="BF149" i="1" s="1"/>
  <c r="BG149" i="1" s="1"/>
  <c r="BO149" i="1"/>
  <c r="BP149" i="1" a="1"/>
  <c r="BV148" i="1" a="1"/>
  <c r="BT148" i="1" a="1"/>
  <c r="BU148" i="1" a="1"/>
  <c r="BR148" i="1" a="1"/>
  <c r="BS148" i="1" a="1"/>
  <c r="BV148" i="1" l="1"/>
  <c r="BU148" i="1"/>
  <c r="BT148" i="1"/>
  <c r="BS148" i="1"/>
  <c r="BR148" i="1"/>
  <c r="AH149" i="1"/>
  <c r="Z149" i="1" s="1"/>
  <c r="AA149" i="1" s="1"/>
  <c r="BD149" i="1"/>
  <c r="BE149" i="1" s="1"/>
  <c r="AV149" i="1"/>
  <c r="BP149" i="1"/>
  <c r="BQ149" i="1" a="1"/>
  <c r="BH149" i="1" l="1"/>
  <c r="BI149" i="1" s="1"/>
  <c r="BQ149" i="1"/>
  <c r="CQ149" i="1"/>
  <c r="U150" i="1"/>
  <c r="AC150" i="1"/>
  <c r="AD150" i="1"/>
  <c r="AE150" i="1" s="1"/>
  <c r="AF150" i="1"/>
  <c r="AG150" i="1"/>
  <c r="AJ150" i="1"/>
  <c r="AK150" i="1" s="1"/>
  <c r="AT150" i="1"/>
  <c r="AU150" i="1" s="1"/>
  <c r="AM150" i="1"/>
  <c r="AQ150" i="1"/>
  <c r="AR150" i="1" s="1"/>
  <c r="AS150" i="1"/>
  <c r="AW150" i="1"/>
  <c r="AX150" i="1" s="1"/>
  <c r="AY150" i="1"/>
  <c r="AZ150" i="1" s="1"/>
  <c r="BC150" i="1"/>
  <c r="BF150" i="1" s="1"/>
  <c r="BG150" i="1" s="1"/>
  <c r="BO150" i="1"/>
  <c r="BP150" i="1" a="1"/>
  <c r="BS149" i="1" a="1"/>
  <c r="BT149" i="1" a="1"/>
  <c r="BU149" i="1" a="1"/>
  <c r="BR149" i="1" a="1"/>
  <c r="BV149" i="1" a="1"/>
  <c r="BV149" i="1" l="1"/>
  <c r="BU149" i="1"/>
  <c r="BT149" i="1"/>
  <c r="BS149" i="1"/>
  <c r="BR149" i="1"/>
  <c r="BD150" i="1"/>
  <c r="BH150" i="1" s="1"/>
  <c r="BI150" i="1" s="1"/>
  <c r="AH150" i="1"/>
  <c r="Z150" i="1" s="1"/>
  <c r="AA150" i="1" s="1"/>
  <c r="BP150" i="1"/>
  <c r="BQ150" i="1" a="1"/>
  <c r="BE150" i="1" l="1"/>
  <c r="AV150" i="1"/>
  <c r="BQ150" i="1"/>
  <c r="CQ150" i="1"/>
  <c r="U151" i="1"/>
  <c r="AC151" i="1"/>
  <c r="AD151" i="1"/>
  <c r="AE151" i="1" s="1"/>
  <c r="AF151" i="1"/>
  <c r="AG151" i="1"/>
  <c r="AJ151" i="1"/>
  <c r="AK151" i="1" s="1"/>
  <c r="AT151" i="1"/>
  <c r="AU151" i="1" s="1"/>
  <c r="AQ151" i="1"/>
  <c r="AR151" i="1" s="1"/>
  <c r="AS151" i="1"/>
  <c r="AW151" i="1"/>
  <c r="AX151" i="1" s="1"/>
  <c r="AY151" i="1"/>
  <c r="AZ151" i="1" s="1"/>
  <c r="BC151" i="1"/>
  <c r="BD151" i="1" s="1"/>
  <c r="BE151" i="1" s="1"/>
  <c r="BO151" i="1"/>
  <c r="BR150" i="1" a="1"/>
  <c r="BV150" i="1" a="1"/>
  <c r="BT150" i="1" a="1"/>
  <c r="BU150" i="1" a="1"/>
  <c r="BP151" i="1" a="1"/>
  <c r="BS150" i="1" a="1"/>
  <c r="BV150" i="1" l="1"/>
  <c r="BU150" i="1"/>
  <c r="BT150" i="1"/>
  <c r="BS150" i="1"/>
  <c r="BR150" i="1"/>
  <c r="BF151" i="1"/>
  <c r="BG151" i="1" s="1"/>
  <c r="AH151" i="1"/>
  <c r="Z151" i="1" s="1"/>
  <c r="AA151" i="1" s="1"/>
  <c r="AM151" i="1"/>
  <c r="BP151" i="1"/>
  <c r="CQ151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AQ6" i="1"/>
  <c r="AR6" i="1" s="1"/>
  <c r="BO6" i="1"/>
  <c r="BC6" i="1"/>
  <c r="BF6" i="1" s="1"/>
  <c r="BG6" i="1" s="1"/>
  <c r="CB6" i="1"/>
  <c r="D3" i="1"/>
  <c r="BQ6" i="1" a="1"/>
  <c r="BU6" i="1" a="1"/>
  <c r="BS151" i="1" a="1"/>
  <c r="BR151" i="1" a="1"/>
  <c r="BR6" i="1" a="1"/>
  <c r="BS6" i="1" a="1"/>
  <c r="BV151" i="1" a="1"/>
  <c r="BT151" i="1" a="1"/>
  <c r="AA3" i="12" a="1"/>
  <c r="BV6" i="1" a="1"/>
  <c r="BU151" i="1" a="1"/>
  <c r="BQ151" i="1" a="1"/>
  <c r="A3" i="12" a="1"/>
  <c r="D2" i="1"/>
  <c r="BT6" i="1" a="1"/>
  <c r="AV151" i="1" l="1"/>
  <c r="BH151" i="1"/>
  <c r="BI151" i="1" s="1"/>
  <c r="BS151" i="1"/>
  <c r="BQ151" i="1"/>
  <c r="BU151" i="1"/>
  <c r="BV151" i="1"/>
  <c r="BT151" i="1"/>
  <c r="BR151" i="1"/>
  <c r="AA3" i="12"/>
  <c r="A3" i="12"/>
  <c r="BV6" i="1"/>
  <c r="BU6" i="1"/>
  <c r="BQ6" i="1"/>
  <c r="BR6" i="1"/>
  <c r="BS6" i="1"/>
  <c r="BT6" i="1"/>
  <c r="BD6" i="1"/>
  <c r="Y2" i="1"/>
  <c r="CQ6" i="1"/>
  <c r="AY6" i="1"/>
  <c r="AZ6" i="1" s="1"/>
  <c r="AW6" i="1"/>
  <c r="AX6" i="1" s="1"/>
  <c r="AS6" i="1"/>
  <c r="AJ6" i="1"/>
  <c r="AK6" i="1" s="1"/>
  <c r="BH6" i="1" l="1"/>
  <c r="BE6" i="1"/>
  <c r="V6" i="1" l="1"/>
  <c r="AB6" i="1" s="1"/>
  <c r="AG6" i="1"/>
  <c r="AF6" i="1"/>
  <c r="CE6" i="1"/>
  <c r="CD6" i="1"/>
  <c r="CA6" i="1"/>
  <c r="U6" i="1"/>
  <c r="CN6" i="1"/>
  <c r="CM6" i="1"/>
  <c r="CL6" i="1"/>
  <c r="CJ6" i="1"/>
  <c r="CI6" i="1"/>
  <c r="CY6" i="1"/>
  <c r="CH6" i="1"/>
  <c r="A3" i="13" a="1"/>
  <c r="BP6" i="1" a="1"/>
  <c r="A3" i="13" l="1"/>
  <c r="AT6" i="1"/>
  <c r="AU6" i="1" s="1"/>
  <c r="AM6" i="1"/>
  <c r="BP6" i="1"/>
  <c r="AD6" i="1"/>
  <c r="AE6" i="1" s="1"/>
  <c r="BI6" i="1"/>
  <c r="AC6" i="1"/>
  <c r="AH6" i="1"/>
  <c r="CK6" i="1"/>
  <c r="CO6" i="1" s="1"/>
  <c r="CT6" i="1"/>
  <c r="CU6" i="1"/>
  <c r="Z6" i="1" l="1"/>
  <c r="AA6" i="1" s="1"/>
  <c r="AE2" i="1"/>
  <c r="AE3" i="1"/>
  <c r="AV6" i="1"/>
  <c r="AC3" i="1"/>
  <c r="AC2" i="1"/>
  <c r="CV6" i="1"/>
  <c r="CW6" i="1"/>
  <c r="CX6" i="1" s="1"/>
  <c r="BA170" i="1" l="1"/>
  <c r="BB170" i="1" s="1"/>
  <c r="BA192" i="1"/>
  <c r="BB192" i="1" s="1"/>
  <c r="BA214" i="1"/>
  <c r="BB214" i="1" s="1"/>
  <c r="BJ165" i="1"/>
  <c r="BJ187" i="1"/>
  <c r="BJ209" i="1"/>
  <c r="BL159" i="1"/>
  <c r="BM159" i="1" s="1"/>
  <c r="BL181" i="1"/>
  <c r="BM181" i="1" s="1"/>
  <c r="BL203" i="1"/>
  <c r="BM203" i="1" s="1"/>
  <c r="BA171" i="1"/>
  <c r="BB171" i="1" s="1"/>
  <c r="BA193" i="1"/>
  <c r="BB193" i="1" s="1"/>
  <c r="BA215" i="1"/>
  <c r="BB215" i="1" s="1"/>
  <c r="BJ166" i="1"/>
  <c r="BJ188" i="1"/>
  <c r="BJ210" i="1"/>
  <c r="BL160" i="1"/>
  <c r="BM160" i="1" s="1"/>
  <c r="BL182" i="1"/>
  <c r="BM182" i="1" s="1"/>
  <c r="BL204" i="1"/>
  <c r="BM204" i="1" s="1"/>
  <c r="BA172" i="1"/>
  <c r="BB172" i="1" s="1"/>
  <c r="BA194" i="1"/>
  <c r="BB194" i="1" s="1"/>
  <c r="BA216" i="1"/>
  <c r="BB216" i="1" s="1"/>
  <c r="BJ167" i="1"/>
  <c r="BJ189" i="1"/>
  <c r="BJ211" i="1"/>
  <c r="BL161" i="1"/>
  <c r="BM161" i="1" s="1"/>
  <c r="BL183" i="1"/>
  <c r="BM183" i="1" s="1"/>
  <c r="BL205" i="1"/>
  <c r="BM205" i="1" s="1"/>
  <c r="BA173" i="1"/>
  <c r="BB173" i="1" s="1"/>
  <c r="BA195" i="1"/>
  <c r="BB195" i="1" s="1"/>
  <c r="BA217" i="1"/>
  <c r="BB217" i="1" s="1"/>
  <c r="BJ168" i="1"/>
  <c r="BJ190" i="1"/>
  <c r="BJ212" i="1"/>
  <c r="BL162" i="1"/>
  <c r="BM162" i="1" s="1"/>
  <c r="BL184" i="1"/>
  <c r="BM184" i="1" s="1"/>
  <c r="BL206" i="1"/>
  <c r="BM206" i="1" s="1"/>
  <c r="BA152" i="1"/>
  <c r="BB152" i="1" s="1"/>
  <c r="BA174" i="1"/>
  <c r="BB174" i="1" s="1"/>
  <c r="BA196" i="1"/>
  <c r="BB196" i="1" s="1"/>
  <c r="BA218" i="1"/>
  <c r="BB218" i="1" s="1"/>
  <c r="BJ169" i="1"/>
  <c r="BJ191" i="1"/>
  <c r="BJ213" i="1"/>
  <c r="BL163" i="1"/>
  <c r="BM163" i="1" s="1"/>
  <c r="BL185" i="1"/>
  <c r="BM185" i="1" s="1"/>
  <c r="BL207" i="1"/>
  <c r="BM207" i="1" s="1"/>
  <c r="BA153" i="1"/>
  <c r="BB153" i="1" s="1"/>
  <c r="BA175" i="1"/>
  <c r="BB175" i="1" s="1"/>
  <c r="BA197" i="1"/>
  <c r="BB197" i="1" s="1"/>
  <c r="BA219" i="1"/>
  <c r="BB219" i="1" s="1"/>
  <c r="BJ170" i="1"/>
  <c r="BJ192" i="1"/>
  <c r="BK192" i="1" s="1"/>
  <c r="BJ214" i="1"/>
  <c r="BK214" i="1" s="1"/>
  <c r="BL164" i="1"/>
  <c r="BM164" i="1" s="1"/>
  <c r="BL186" i="1"/>
  <c r="BM186" i="1" s="1"/>
  <c r="BL208" i="1"/>
  <c r="BM208" i="1" s="1"/>
  <c r="BA154" i="1"/>
  <c r="BB154" i="1" s="1"/>
  <c r="BA176" i="1"/>
  <c r="BB176" i="1" s="1"/>
  <c r="BA198" i="1"/>
  <c r="BB198" i="1" s="1"/>
  <c r="BA220" i="1"/>
  <c r="BB220" i="1" s="1"/>
  <c r="BJ171" i="1"/>
  <c r="BJ193" i="1"/>
  <c r="BJ215" i="1"/>
  <c r="BL165" i="1"/>
  <c r="BM165" i="1" s="1"/>
  <c r="BL187" i="1"/>
  <c r="BM187" i="1" s="1"/>
  <c r="BL209" i="1"/>
  <c r="BM209" i="1" s="1"/>
  <c r="BA155" i="1"/>
  <c r="BB155" i="1" s="1"/>
  <c r="BA177" i="1"/>
  <c r="BB177" i="1" s="1"/>
  <c r="BA199" i="1"/>
  <c r="BB199" i="1" s="1"/>
  <c r="BJ172" i="1"/>
  <c r="BJ194" i="1"/>
  <c r="BJ216" i="1"/>
  <c r="BL166" i="1"/>
  <c r="BM166" i="1" s="1"/>
  <c r="BL188" i="1"/>
  <c r="BM188" i="1" s="1"/>
  <c r="BL210" i="1"/>
  <c r="BM210" i="1" s="1"/>
  <c r="BA156" i="1"/>
  <c r="BB156" i="1" s="1"/>
  <c r="BA178" i="1"/>
  <c r="BB178" i="1" s="1"/>
  <c r="BA200" i="1"/>
  <c r="BB200" i="1" s="1"/>
  <c r="BJ173" i="1"/>
  <c r="BJ195" i="1"/>
  <c r="BJ217" i="1"/>
  <c r="BL167" i="1"/>
  <c r="BM167" i="1" s="1"/>
  <c r="BL189" i="1"/>
  <c r="BM189" i="1" s="1"/>
  <c r="BL211" i="1"/>
  <c r="BM211" i="1" s="1"/>
  <c r="BA157" i="1"/>
  <c r="BB157" i="1" s="1"/>
  <c r="BA179" i="1"/>
  <c r="BB179" i="1" s="1"/>
  <c r="BA201" i="1"/>
  <c r="BB201" i="1" s="1"/>
  <c r="BJ152" i="1"/>
  <c r="BJ174" i="1"/>
  <c r="BJ196" i="1"/>
  <c r="BJ218" i="1"/>
  <c r="BL168" i="1"/>
  <c r="BM168" i="1" s="1"/>
  <c r="BL190" i="1"/>
  <c r="BM190" i="1" s="1"/>
  <c r="BL212" i="1"/>
  <c r="BM212" i="1" s="1"/>
  <c r="BA164" i="1"/>
  <c r="BB164" i="1" s="1"/>
  <c r="BA186" i="1"/>
  <c r="BB186" i="1" s="1"/>
  <c r="BA208" i="1"/>
  <c r="BB208" i="1" s="1"/>
  <c r="BA181" i="1"/>
  <c r="BB181" i="1" s="1"/>
  <c r="BJ180" i="1"/>
  <c r="BL158" i="1"/>
  <c r="BM158" i="1" s="1"/>
  <c r="BL200" i="1"/>
  <c r="BM200" i="1" s="1"/>
  <c r="BA183" i="1"/>
  <c r="BB183" i="1" s="1"/>
  <c r="BJ182" i="1"/>
  <c r="BL170" i="1"/>
  <c r="BM170" i="1" s="1"/>
  <c r="BL202" i="1"/>
  <c r="BM202" i="1" s="1"/>
  <c r="BA184" i="1"/>
  <c r="BB184" i="1" s="1"/>
  <c r="BJ183" i="1"/>
  <c r="BL171" i="1"/>
  <c r="BM171" i="1" s="1"/>
  <c r="BL213" i="1"/>
  <c r="BM213" i="1" s="1"/>
  <c r="BA185" i="1"/>
  <c r="BB185" i="1" s="1"/>
  <c r="BJ184" i="1"/>
  <c r="BL172" i="1"/>
  <c r="BM172" i="1" s="1"/>
  <c r="BL214" i="1"/>
  <c r="BM214" i="1" s="1"/>
  <c r="BA187" i="1"/>
  <c r="BB187" i="1" s="1"/>
  <c r="BJ153" i="1"/>
  <c r="BJ185" i="1"/>
  <c r="BL173" i="1"/>
  <c r="BM173" i="1" s="1"/>
  <c r="BL215" i="1"/>
  <c r="BM215" i="1" s="1"/>
  <c r="BA188" i="1"/>
  <c r="BB188" i="1" s="1"/>
  <c r="BJ154" i="1"/>
  <c r="BJ186" i="1"/>
  <c r="BL174" i="1"/>
  <c r="BM174" i="1" s="1"/>
  <c r="BL216" i="1"/>
  <c r="BM216" i="1" s="1"/>
  <c r="BA189" i="1"/>
  <c r="BB189" i="1" s="1"/>
  <c r="BJ155" i="1"/>
  <c r="BJ197" i="1"/>
  <c r="BL175" i="1"/>
  <c r="BM175" i="1" s="1"/>
  <c r="BL217" i="1"/>
  <c r="BM217" i="1" s="1"/>
  <c r="BA190" i="1"/>
  <c r="BB190" i="1" s="1"/>
  <c r="BJ156" i="1"/>
  <c r="BJ198" i="1"/>
  <c r="BL176" i="1"/>
  <c r="BM176" i="1" s="1"/>
  <c r="BL218" i="1"/>
  <c r="BM218" i="1" s="1"/>
  <c r="BA165" i="1"/>
  <c r="BB165" i="1" s="1"/>
  <c r="BA209" i="1"/>
  <c r="BB209" i="1" s="1"/>
  <c r="BJ164" i="1"/>
  <c r="BJ206" i="1"/>
  <c r="BL152" i="1"/>
  <c r="BM152" i="1" s="1"/>
  <c r="BL194" i="1"/>
  <c r="BM194" i="1" s="1"/>
  <c r="BA166" i="1"/>
  <c r="BB166" i="1" s="1"/>
  <c r="BJ199" i="1"/>
  <c r="BL192" i="1"/>
  <c r="BM192" i="1" s="1"/>
  <c r="BA167" i="1"/>
  <c r="BB167" i="1" s="1"/>
  <c r="BJ200" i="1"/>
  <c r="BL193" i="1"/>
  <c r="BM193" i="1" s="1"/>
  <c r="BJ162" i="1"/>
  <c r="BA168" i="1"/>
  <c r="BB168" i="1" s="1"/>
  <c r="BJ201" i="1"/>
  <c r="BL195" i="1"/>
  <c r="BM195" i="1" s="1"/>
  <c r="BL156" i="1"/>
  <c r="BM156" i="1" s="1"/>
  <c r="BA169" i="1"/>
  <c r="BB169" i="1" s="1"/>
  <c r="BJ202" i="1"/>
  <c r="BL196" i="1"/>
  <c r="BM196" i="1" s="1"/>
  <c r="BA210" i="1"/>
  <c r="BB210" i="1" s="1"/>
  <c r="BA180" i="1"/>
  <c r="BB180" i="1" s="1"/>
  <c r="BJ203" i="1"/>
  <c r="BL197" i="1"/>
  <c r="BM197" i="1" s="1"/>
  <c r="BA182" i="1"/>
  <c r="BB182" i="1" s="1"/>
  <c r="BJ204" i="1"/>
  <c r="BL198" i="1"/>
  <c r="BM198" i="1" s="1"/>
  <c r="BJ157" i="1"/>
  <c r="BL220" i="1"/>
  <c r="BM220" i="1" s="1"/>
  <c r="BL154" i="1"/>
  <c r="BM154" i="1" s="1"/>
  <c r="BA191" i="1"/>
  <c r="BB191" i="1" s="1"/>
  <c r="BJ205" i="1"/>
  <c r="BL199" i="1"/>
  <c r="BM199" i="1" s="1"/>
  <c r="BA204" i="1"/>
  <c r="BB204" i="1" s="1"/>
  <c r="BA207" i="1"/>
  <c r="BB207" i="1" s="1"/>
  <c r="BJ161" i="1"/>
  <c r="BA212" i="1"/>
  <c r="BB212" i="1" s="1"/>
  <c r="BA202" i="1"/>
  <c r="BB202" i="1" s="1"/>
  <c r="BJ207" i="1"/>
  <c r="BL201" i="1"/>
  <c r="BM201" i="1" s="1"/>
  <c r="BJ219" i="1"/>
  <c r="BK219" i="1" s="1"/>
  <c r="BL155" i="1"/>
  <c r="BM155" i="1" s="1"/>
  <c r="BA203" i="1"/>
  <c r="BB203" i="1" s="1"/>
  <c r="BJ208" i="1"/>
  <c r="BL219" i="1"/>
  <c r="BM219" i="1" s="1"/>
  <c r="BA205" i="1"/>
  <c r="BB205" i="1" s="1"/>
  <c r="BJ158" i="1"/>
  <c r="BJ220" i="1"/>
  <c r="BA206" i="1"/>
  <c r="BB206" i="1" s="1"/>
  <c r="BJ159" i="1"/>
  <c r="BL153" i="1"/>
  <c r="BM153" i="1" s="1"/>
  <c r="BJ160" i="1"/>
  <c r="BA211" i="1"/>
  <c r="BB211" i="1" s="1"/>
  <c r="BL157" i="1"/>
  <c r="BM157" i="1" s="1"/>
  <c r="BJ177" i="1"/>
  <c r="BL169" i="1"/>
  <c r="BM169" i="1" s="1"/>
  <c r="BL177" i="1"/>
  <c r="BM177" i="1" s="1"/>
  <c r="BA213" i="1"/>
  <c r="BB213" i="1" s="1"/>
  <c r="BL178" i="1"/>
  <c r="BM178" i="1" s="1"/>
  <c r="BL179" i="1"/>
  <c r="BM179" i="1" s="1"/>
  <c r="BA158" i="1"/>
  <c r="BB158" i="1" s="1"/>
  <c r="BL180" i="1"/>
  <c r="BM180" i="1" s="1"/>
  <c r="BA159" i="1"/>
  <c r="BB159" i="1" s="1"/>
  <c r="BL191" i="1"/>
  <c r="BM191" i="1" s="1"/>
  <c r="BJ176" i="1"/>
  <c r="BJ178" i="1"/>
  <c r="BA160" i="1"/>
  <c r="BB160" i="1" s="1"/>
  <c r="BA161" i="1"/>
  <c r="BB161" i="1" s="1"/>
  <c r="BJ163" i="1"/>
  <c r="BA163" i="1"/>
  <c r="BB163" i="1" s="1"/>
  <c r="BA162" i="1"/>
  <c r="BB162" i="1" s="1"/>
  <c r="BJ175" i="1"/>
  <c r="BJ179" i="1"/>
  <c r="BJ181" i="1"/>
  <c r="BL7" i="1"/>
  <c r="BM7" i="1" s="1"/>
  <c r="BJ7" i="1"/>
  <c r="BA7" i="1"/>
  <c r="BB7" i="1" s="1"/>
  <c r="BL8" i="1"/>
  <c r="BM8" i="1" s="1"/>
  <c r="BJ8" i="1"/>
  <c r="BA8" i="1"/>
  <c r="BB8" i="1" s="1"/>
  <c r="BA9" i="1"/>
  <c r="BB9" i="1" s="1"/>
  <c r="BJ9" i="1"/>
  <c r="BL9" i="1"/>
  <c r="BM9" i="1" s="1"/>
  <c r="BJ10" i="1"/>
  <c r="BL10" i="1"/>
  <c r="BM10" i="1" s="1"/>
  <c r="BA10" i="1"/>
  <c r="BB10" i="1" s="1"/>
  <c r="BA11" i="1"/>
  <c r="BB11" i="1" s="1"/>
  <c r="BJ11" i="1"/>
  <c r="BL11" i="1"/>
  <c r="BM11" i="1" s="1"/>
  <c r="BJ12" i="1"/>
  <c r="BA12" i="1"/>
  <c r="BB12" i="1" s="1"/>
  <c r="BL12" i="1"/>
  <c r="BM12" i="1" s="1"/>
  <c r="BA13" i="1"/>
  <c r="BB13" i="1" s="1"/>
  <c r="BL13" i="1"/>
  <c r="BM13" i="1" s="1"/>
  <c r="BJ13" i="1"/>
  <c r="BJ14" i="1"/>
  <c r="BA14" i="1"/>
  <c r="BB14" i="1" s="1"/>
  <c r="BL14" i="1"/>
  <c r="BM14" i="1" s="1"/>
  <c r="BJ15" i="1"/>
  <c r="BL15" i="1"/>
  <c r="BM15" i="1" s="1"/>
  <c r="BA15" i="1"/>
  <c r="BB15" i="1" s="1"/>
  <c r="BA16" i="1"/>
  <c r="BB16" i="1" s="1"/>
  <c r="BJ16" i="1"/>
  <c r="BL16" i="1"/>
  <c r="BM16" i="1" s="1"/>
  <c r="BL17" i="1"/>
  <c r="BM17" i="1" s="1"/>
  <c r="BA17" i="1"/>
  <c r="BB17" i="1" s="1"/>
  <c r="BJ17" i="1"/>
  <c r="BJ18" i="1"/>
  <c r="BL18" i="1"/>
  <c r="BM18" i="1" s="1"/>
  <c r="BA18" i="1"/>
  <c r="BB18" i="1" s="1"/>
  <c r="BJ19" i="1"/>
  <c r="BL19" i="1"/>
  <c r="BM19" i="1" s="1"/>
  <c r="BA19" i="1"/>
  <c r="BB19" i="1" s="1"/>
  <c r="BA20" i="1"/>
  <c r="BB20" i="1" s="1"/>
  <c r="BL20" i="1"/>
  <c r="BM20" i="1" s="1"/>
  <c r="BJ20" i="1"/>
  <c r="BA21" i="1"/>
  <c r="BB21" i="1" s="1"/>
  <c r="BJ21" i="1"/>
  <c r="BL21" i="1"/>
  <c r="BM21" i="1" s="1"/>
  <c r="BA22" i="1"/>
  <c r="BB22" i="1" s="1"/>
  <c r="BL22" i="1"/>
  <c r="BM22" i="1" s="1"/>
  <c r="BJ22" i="1"/>
  <c r="BJ23" i="1"/>
  <c r="BL23" i="1"/>
  <c r="BM23" i="1" s="1"/>
  <c r="BA23" i="1"/>
  <c r="BB23" i="1" s="1"/>
  <c r="BJ24" i="1"/>
  <c r="BA24" i="1"/>
  <c r="BB24" i="1" s="1"/>
  <c r="BL24" i="1"/>
  <c r="BM24" i="1" s="1"/>
  <c r="BA25" i="1"/>
  <c r="BB25" i="1" s="1"/>
  <c r="BJ25" i="1"/>
  <c r="BL25" i="1"/>
  <c r="BM25" i="1" s="1"/>
  <c r="BA26" i="1"/>
  <c r="BB26" i="1" s="1"/>
  <c r="BJ26" i="1"/>
  <c r="BL26" i="1"/>
  <c r="BM26" i="1" s="1"/>
  <c r="BA27" i="1"/>
  <c r="BB27" i="1" s="1"/>
  <c r="BL27" i="1"/>
  <c r="BM27" i="1" s="1"/>
  <c r="BJ27" i="1"/>
  <c r="BJ28" i="1"/>
  <c r="BL28" i="1"/>
  <c r="BM28" i="1" s="1"/>
  <c r="BA28" i="1"/>
  <c r="BB28" i="1" s="1"/>
  <c r="BA29" i="1"/>
  <c r="BB29" i="1" s="1"/>
  <c r="BL29" i="1"/>
  <c r="BM29" i="1" s="1"/>
  <c r="BJ29" i="1"/>
  <c r="BJ30" i="1"/>
  <c r="BL30" i="1"/>
  <c r="BM30" i="1" s="1"/>
  <c r="BA30" i="1"/>
  <c r="BB30" i="1" s="1"/>
  <c r="BA31" i="1"/>
  <c r="BB31" i="1" s="1"/>
  <c r="BJ31" i="1"/>
  <c r="BL31" i="1"/>
  <c r="BM31" i="1" s="1"/>
  <c r="BA32" i="1"/>
  <c r="BB32" i="1" s="1"/>
  <c r="BJ32" i="1"/>
  <c r="BL32" i="1"/>
  <c r="BM32" i="1" s="1"/>
  <c r="BA33" i="1"/>
  <c r="BB33" i="1" s="1"/>
  <c r="BJ33" i="1"/>
  <c r="BL33" i="1"/>
  <c r="BM33" i="1" s="1"/>
  <c r="BA34" i="1"/>
  <c r="BB34" i="1" s="1"/>
  <c r="BJ34" i="1"/>
  <c r="BL34" i="1"/>
  <c r="BM34" i="1" s="1"/>
  <c r="BJ35" i="1"/>
  <c r="BA35" i="1"/>
  <c r="BB35" i="1" s="1"/>
  <c r="BL35" i="1"/>
  <c r="BM35" i="1" s="1"/>
  <c r="BJ36" i="1"/>
  <c r="BL36" i="1"/>
  <c r="BM36" i="1" s="1"/>
  <c r="BA36" i="1"/>
  <c r="BB36" i="1" s="1"/>
  <c r="BL37" i="1"/>
  <c r="BM37" i="1" s="1"/>
  <c r="BA37" i="1"/>
  <c r="BB37" i="1" s="1"/>
  <c r="BJ37" i="1"/>
  <c r="BJ38" i="1"/>
  <c r="BA38" i="1"/>
  <c r="BB38" i="1" s="1"/>
  <c r="BL38" i="1"/>
  <c r="BM38" i="1" s="1"/>
  <c r="BJ39" i="1"/>
  <c r="BA39" i="1"/>
  <c r="BB39" i="1" s="1"/>
  <c r="BL39" i="1"/>
  <c r="BM39" i="1" s="1"/>
  <c r="BL40" i="1"/>
  <c r="BM40" i="1" s="1"/>
  <c r="BA40" i="1"/>
  <c r="BB40" i="1" s="1"/>
  <c r="BJ40" i="1"/>
  <c r="BA41" i="1"/>
  <c r="BB41" i="1" s="1"/>
  <c r="BJ41" i="1"/>
  <c r="BL41" i="1"/>
  <c r="BM41" i="1" s="1"/>
  <c r="BL42" i="1"/>
  <c r="BM42" i="1" s="1"/>
  <c r="BA42" i="1"/>
  <c r="BB42" i="1" s="1"/>
  <c r="BJ42" i="1"/>
  <c r="BJ43" i="1"/>
  <c r="BA43" i="1"/>
  <c r="BB43" i="1" s="1"/>
  <c r="BL43" i="1"/>
  <c r="BM43" i="1" s="1"/>
  <c r="BL44" i="1"/>
  <c r="BM44" i="1" s="1"/>
  <c r="BA44" i="1"/>
  <c r="BB44" i="1" s="1"/>
  <c r="BJ44" i="1"/>
  <c r="BJ45" i="1"/>
  <c r="BL45" i="1"/>
  <c r="BM45" i="1" s="1"/>
  <c r="BA45" i="1"/>
  <c r="BB45" i="1" s="1"/>
  <c r="BJ46" i="1"/>
  <c r="BA46" i="1"/>
  <c r="BB46" i="1" s="1"/>
  <c r="BL46" i="1"/>
  <c r="BM46" i="1" s="1"/>
  <c r="BJ47" i="1"/>
  <c r="BA47" i="1"/>
  <c r="BB47" i="1" s="1"/>
  <c r="BL47" i="1"/>
  <c r="BM47" i="1" s="1"/>
  <c r="BA48" i="1"/>
  <c r="BB48" i="1" s="1"/>
  <c r="BJ48" i="1"/>
  <c r="BL48" i="1"/>
  <c r="BM48" i="1" s="1"/>
  <c r="BA49" i="1"/>
  <c r="BB49" i="1" s="1"/>
  <c r="BL49" i="1"/>
  <c r="BM49" i="1" s="1"/>
  <c r="BJ49" i="1"/>
  <c r="BL50" i="1"/>
  <c r="BM50" i="1" s="1"/>
  <c r="BA50" i="1"/>
  <c r="BB50" i="1" s="1"/>
  <c r="BJ50" i="1"/>
  <c r="BA51" i="1"/>
  <c r="BB51" i="1" s="1"/>
  <c r="BJ51" i="1"/>
  <c r="BL51" i="1"/>
  <c r="BM51" i="1" s="1"/>
  <c r="BA52" i="1"/>
  <c r="BB52" i="1" s="1"/>
  <c r="BL52" i="1"/>
  <c r="BM52" i="1" s="1"/>
  <c r="BJ52" i="1"/>
  <c r="BA53" i="1"/>
  <c r="BB53" i="1" s="1"/>
  <c r="BJ53" i="1"/>
  <c r="BL53" i="1"/>
  <c r="BM53" i="1" s="1"/>
  <c r="BA54" i="1"/>
  <c r="BB54" i="1" s="1"/>
  <c r="BJ54" i="1"/>
  <c r="BL54" i="1"/>
  <c r="BM54" i="1" s="1"/>
  <c r="BA55" i="1"/>
  <c r="BB55" i="1" s="1"/>
  <c r="BJ55" i="1"/>
  <c r="BL55" i="1"/>
  <c r="BM55" i="1" s="1"/>
  <c r="BJ56" i="1"/>
  <c r="BA56" i="1"/>
  <c r="BB56" i="1" s="1"/>
  <c r="BL56" i="1"/>
  <c r="BM56" i="1" s="1"/>
  <c r="BJ57" i="1"/>
  <c r="BA57" i="1"/>
  <c r="BB57" i="1" s="1"/>
  <c r="BL57" i="1"/>
  <c r="BM57" i="1" s="1"/>
  <c r="BA58" i="1"/>
  <c r="BB58" i="1" s="1"/>
  <c r="BJ58" i="1"/>
  <c r="BL58" i="1"/>
  <c r="BM58" i="1" s="1"/>
  <c r="BJ59" i="1"/>
  <c r="BA59" i="1"/>
  <c r="BB59" i="1" s="1"/>
  <c r="BL59" i="1"/>
  <c r="BM59" i="1" s="1"/>
  <c r="BA60" i="1"/>
  <c r="BB60" i="1" s="1"/>
  <c r="BL60" i="1"/>
  <c r="BM60" i="1" s="1"/>
  <c r="BJ60" i="1"/>
  <c r="BJ61" i="1"/>
  <c r="BL61" i="1"/>
  <c r="BM61" i="1" s="1"/>
  <c r="BA61" i="1"/>
  <c r="BB61" i="1" s="1"/>
  <c r="BA62" i="1"/>
  <c r="BB62" i="1" s="1"/>
  <c r="BL62" i="1"/>
  <c r="BM62" i="1" s="1"/>
  <c r="BJ62" i="1"/>
  <c r="BA63" i="1"/>
  <c r="BB63" i="1" s="1"/>
  <c r="BJ63" i="1"/>
  <c r="BL63" i="1"/>
  <c r="BM63" i="1" s="1"/>
  <c r="BA64" i="1"/>
  <c r="BB64" i="1" s="1"/>
  <c r="BL64" i="1"/>
  <c r="BM64" i="1" s="1"/>
  <c r="BJ64" i="1"/>
  <c r="BL65" i="1"/>
  <c r="BM65" i="1" s="1"/>
  <c r="BA65" i="1"/>
  <c r="BB65" i="1" s="1"/>
  <c r="BJ65" i="1"/>
  <c r="BL66" i="1"/>
  <c r="BM66" i="1" s="1"/>
  <c r="BA66" i="1"/>
  <c r="BB66" i="1" s="1"/>
  <c r="BJ66" i="1"/>
  <c r="BA67" i="1"/>
  <c r="BB67" i="1" s="1"/>
  <c r="BJ67" i="1"/>
  <c r="BL67" i="1"/>
  <c r="BM67" i="1" s="1"/>
  <c r="BA68" i="1"/>
  <c r="BB68" i="1" s="1"/>
  <c r="BJ68" i="1"/>
  <c r="BL68" i="1"/>
  <c r="BM68" i="1" s="1"/>
  <c r="BA69" i="1"/>
  <c r="BB69" i="1" s="1"/>
  <c r="BL69" i="1"/>
  <c r="BM69" i="1" s="1"/>
  <c r="BJ69" i="1"/>
  <c r="BA70" i="1"/>
  <c r="BB70" i="1" s="1"/>
  <c r="BJ70" i="1"/>
  <c r="BL70" i="1"/>
  <c r="BM70" i="1" s="1"/>
  <c r="BJ71" i="1"/>
  <c r="BA71" i="1"/>
  <c r="BB71" i="1" s="1"/>
  <c r="BL71" i="1"/>
  <c r="BM71" i="1" s="1"/>
  <c r="BA72" i="1"/>
  <c r="BB72" i="1" s="1"/>
  <c r="BJ72" i="1"/>
  <c r="BL72" i="1"/>
  <c r="BM72" i="1" s="1"/>
  <c r="BA73" i="1"/>
  <c r="BB73" i="1" s="1"/>
  <c r="BL73" i="1"/>
  <c r="BM73" i="1" s="1"/>
  <c r="BJ73" i="1"/>
  <c r="BA74" i="1"/>
  <c r="BB74" i="1" s="1"/>
  <c r="BJ74" i="1"/>
  <c r="BL74" i="1"/>
  <c r="BM74" i="1" s="1"/>
  <c r="BA75" i="1"/>
  <c r="BB75" i="1" s="1"/>
  <c r="BL75" i="1"/>
  <c r="BM75" i="1" s="1"/>
  <c r="BJ75" i="1"/>
  <c r="BA76" i="1"/>
  <c r="BB76" i="1" s="1"/>
  <c r="BL76" i="1"/>
  <c r="BM76" i="1" s="1"/>
  <c r="BJ76" i="1"/>
  <c r="BA77" i="1"/>
  <c r="BB77" i="1" s="1"/>
  <c r="BJ77" i="1"/>
  <c r="BL77" i="1"/>
  <c r="BM77" i="1" s="1"/>
  <c r="BA78" i="1"/>
  <c r="BB78" i="1" s="1"/>
  <c r="BL78" i="1"/>
  <c r="BM78" i="1" s="1"/>
  <c r="BJ78" i="1"/>
  <c r="BA79" i="1"/>
  <c r="BB79" i="1" s="1"/>
  <c r="BJ79" i="1"/>
  <c r="BL79" i="1"/>
  <c r="BM79" i="1" s="1"/>
  <c r="BL80" i="1"/>
  <c r="BM80" i="1" s="1"/>
  <c r="BA80" i="1"/>
  <c r="BB80" i="1" s="1"/>
  <c r="BJ80" i="1"/>
  <c r="BA81" i="1"/>
  <c r="BB81" i="1" s="1"/>
  <c r="BL81" i="1"/>
  <c r="BM81" i="1" s="1"/>
  <c r="BJ81" i="1"/>
  <c r="BA82" i="1"/>
  <c r="BB82" i="1" s="1"/>
  <c r="BL82" i="1"/>
  <c r="BM82" i="1" s="1"/>
  <c r="BJ82" i="1"/>
  <c r="BA83" i="1"/>
  <c r="BB83" i="1" s="1"/>
  <c r="BL83" i="1"/>
  <c r="BM83" i="1" s="1"/>
  <c r="BJ83" i="1"/>
  <c r="BA84" i="1"/>
  <c r="BB84" i="1" s="1"/>
  <c r="BJ84" i="1"/>
  <c r="BL84" i="1"/>
  <c r="BM84" i="1" s="1"/>
  <c r="BL85" i="1"/>
  <c r="BM85" i="1" s="1"/>
  <c r="BA85" i="1"/>
  <c r="BB85" i="1" s="1"/>
  <c r="BJ85" i="1"/>
  <c r="BA86" i="1"/>
  <c r="BB86" i="1" s="1"/>
  <c r="BL86" i="1"/>
  <c r="BM86" i="1" s="1"/>
  <c r="BJ86" i="1"/>
  <c r="BA87" i="1"/>
  <c r="BB87" i="1" s="1"/>
  <c r="BJ87" i="1"/>
  <c r="BL87" i="1"/>
  <c r="BM87" i="1" s="1"/>
  <c r="BA88" i="1"/>
  <c r="BB88" i="1" s="1"/>
  <c r="BJ88" i="1"/>
  <c r="BL88" i="1"/>
  <c r="BM88" i="1" s="1"/>
  <c r="BL89" i="1"/>
  <c r="BM89" i="1" s="1"/>
  <c r="BA89" i="1"/>
  <c r="BB89" i="1" s="1"/>
  <c r="BJ89" i="1"/>
  <c r="BA90" i="1"/>
  <c r="BB90" i="1" s="1"/>
  <c r="BL90" i="1"/>
  <c r="BM90" i="1" s="1"/>
  <c r="BJ90" i="1"/>
  <c r="BJ91" i="1"/>
  <c r="BA91" i="1"/>
  <c r="BB91" i="1" s="1"/>
  <c r="BL91" i="1"/>
  <c r="BM91" i="1" s="1"/>
  <c r="BL92" i="1"/>
  <c r="BM92" i="1" s="1"/>
  <c r="BA92" i="1"/>
  <c r="BB92" i="1" s="1"/>
  <c r="BJ92" i="1"/>
  <c r="BL93" i="1"/>
  <c r="BM93" i="1" s="1"/>
  <c r="BA93" i="1"/>
  <c r="BB93" i="1" s="1"/>
  <c r="BJ93" i="1"/>
  <c r="BA94" i="1"/>
  <c r="BB94" i="1" s="1"/>
  <c r="BL94" i="1"/>
  <c r="BM94" i="1" s="1"/>
  <c r="BJ94" i="1"/>
  <c r="BA95" i="1"/>
  <c r="BB95" i="1" s="1"/>
  <c r="BJ95" i="1"/>
  <c r="BL95" i="1"/>
  <c r="BM95" i="1" s="1"/>
  <c r="BA96" i="1"/>
  <c r="BB96" i="1" s="1"/>
  <c r="BJ96" i="1"/>
  <c r="BL96" i="1"/>
  <c r="BM96" i="1" s="1"/>
  <c r="BA97" i="1"/>
  <c r="BB97" i="1" s="1"/>
  <c r="BJ97" i="1"/>
  <c r="BL97" i="1"/>
  <c r="BM97" i="1" s="1"/>
  <c r="BJ98" i="1"/>
  <c r="BL98" i="1"/>
  <c r="BM98" i="1" s="1"/>
  <c r="BA98" i="1"/>
  <c r="BB98" i="1" s="1"/>
  <c r="BL99" i="1"/>
  <c r="BM99" i="1" s="1"/>
  <c r="BA99" i="1"/>
  <c r="BB99" i="1" s="1"/>
  <c r="BJ99" i="1"/>
  <c r="BL100" i="1"/>
  <c r="BM100" i="1" s="1"/>
  <c r="BA100" i="1"/>
  <c r="BB100" i="1" s="1"/>
  <c r="BJ100" i="1"/>
  <c r="BL101" i="1"/>
  <c r="BM101" i="1" s="1"/>
  <c r="BA101" i="1"/>
  <c r="BB101" i="1" s="1"/>
  <c r="BJ101" i="1"/>
  <c r="BL102" i="1"/>
  <c r="BM102" i="1" s="1"/>
  <c r="BA102" i="1"/>
  <c r="BB102" i="1" s="1"/>
  <c r="BJ102" i="1"/>
  <c r="BA103" i="1"/>
  <c r="BB103" i="1" s="1"/>
  <c r="BL103" i="1"/>
  <c r="BM103" i="1" s="1"/>
  <c r="BJ103" i="1"/>
  <c r="BL104" i="1"/>
  <c r="BM104" i="1" s="1"/>
  <c r="BA104" i="1"/>
  <c r="BB104" i="1" s="1"/>
  <c r="BJ104" i="1"/>
  <c r="BA105" i="1"/>
  <c r="BB105" i="1" s="1"/>
  <c r="BJ105" i="1"/>
  <c r="BL105" i="1"/>
  <c r="BM105" i="1" s="1"/>
  <c r="BA106" i="1"/>
  <c r="BB106" i="1" s="1"/>
  <c r="BJ106" i="1"/>
  <c r="BL106" i="1"/>
  <c r="BM106" i="1" s="1"/>
  <c r="BA107" i="1"/>
  <c r="BB107" i="1" s="1"/>
  <c r="BJ107" i="1"/>
  <c r="BL107" i="1"/>
  <c r="BM107" i="1" s="1"/>
  <c r="BL108" i="1"/>
  <c r="BM108" i="1" s="1"/>
  <c r="BJ108" i="1"/>
  <c r="BA108" i="1"/>
  <c r="BB108" i="1" s="1"/>
  <c r="BA109" i="1"/>
  <c r="BB109" i="1" s="1"/>
  <c r="BJ109" i="1"/>
  <c r="BL109" i="1"/>
  <c r="BM109" i="1" s="1"/>
  <c r="BA110" i="1"/>
  <c r="BB110" i="1" s="1"/>
  <c r="BJ110" i="1"/>
  <c r="BL110" i="1"/>
  <c r="BM110" i="1" s="1"/>
  <c r="BA111" i="1"/>
  <c r="BB111" i="1" s="1"/>
  <c r="BJ111" i="1"/>
  <c r="BL111" i="1"/>
  <c r="BM111" i="1" s="1"/>
  <c r="BJ112" i="1"/>
  <c r="BL112" i="1"/>
  <c r="BM112" i="1" s="1"/>
  <c r="BA112" i="1"/>
  <c r="BB112" i="1" s="1"/>
  <c r="BA113" i="1"/>
  <c r="BB113" i="1" s="1"/>
  <c r="BL113" i="1"/>
  <c r="BM113" i="1" s="1"/>
  <c r="BJ113" i="1"/>
  <c r="BA114" i="1"/>
  <c r="BB114" i="1" s="1"/>
  <c r="BJ114" i="1"/>
  <c r="BL114" i="1"/>
  <c r="BM114" i="1" s="1"/>
  <c r="BL115" i="1"/>
  <c r="BM115" i="1" s="1"/>
  <c r="BJ115" i="1"/>
  <c r="BA115" i="1"/>
  <c r="BB115" i="1" s="1"/>
  <c r="BA116" i="1"/>
  <c r="BB116" i="1" s="1"/>
  <c r="BJ116" i="1"/>
  <c r="BL116" i="1"/>
  <c r="BM116" i="1" s="1"/>
  <c r="BA117" i="1"/>
  <c r="BB117" i="1" s="1"/>
  <c r="BL117" i="1"/>
  <c r="BM117" i="1" s="1"/>
  <c r="BJ117" i="1"/>
  <c r="BA118" i="1"/>
  <c r="BB118" i="1" s="1"/>
  <c r="BL118" i="1"/>
  <c r="BM118" i="1" s="1"/>
  <c r="BJ118" i="1"/>
  <c r="BJ119" i="1"/>
  <c r="BL119" i="1"/>
  <c r="BM119" i="1" s="1"/>
  <c r="BA119" i="1"/>
  <c r="BB119" i="1" s="1"/>
  <c r="BJ120" i="1"/>
  <c r="BL120" i="1"/>
  <c r="BM120" i="1" s="1"/>
  <c r="BA120" i="1"/>
  <c r="BB120" i="1" s="1"/>
  <c r="BL121" i="1"/>
  <c r="BM121" i="1" s="1"/>
  <c r="BA121" i="1"/>
  <c r="BB121" i="1" s="1"/>
  <c r="BJ121" i="1"/>
  <c r="BJ122" i="1"/>
  <c r="BA122" i="1"/>
  <c r="BB122" i="1" s="1"/>
  <c r="BL122" i="1"/>
  <c r="BM122" i="1" s="1"/>
  <c r="BJ123" i="1"/>
  <c r="BL123" i="1"/>
  <c r="BM123" i="1" s="1"/>
  <c r="BA123" i="1"/>
  <c r="BB123" i="1" s="1"/>
  <c r="BA124" i="1"/>
  <c r="BB124" i="1" s="1"/>
  <c r="BJ124" i="1"/>
  <c r="BL124" i="1"/>
  <c r="BM124" i="1" s="1"/>
  <c r="BA125" i="1"/>
  <c r="BB125" i="1" s="1"/>
  <c r="BL125" i="1"/>
  <c r="BM125" i="1" s="1"/>
  <c r="BJ125" i="1"/>
  <c r="BA126" i="1"/>
  <c r="BB126" i="1" s="1"/>
  <c r="BL126" i="1"/>
  <c r="BM126" i="1" s="1"/>
  <c r="BJ126" i="1"/>
  <c r="BA127" i="1"/>
  <c r="BB127" i="1" s="1"/>
  <c r="BJ127" i="1"/>
  <c r="BL127" i="1"/>
  <c r="BM127" i="1" s="1"/>
  <c r="BA128" i="1"/>
  <c r="BB128" i="1" s="1"/>
  <c r="BJ128" i="1"/>
  <c r="BL128" i="1"/>
  <c r="BM128" i="1" s="1"/>
  <c r="BA129" i="1"/>
  <c r="BB129" i="1" s="1"/>
  <c r="BJ129" i="1"/>
  <c r="BL129" i="1"/>
  <c r="BM129" i="1" s="1"/>
  <c r="BA130" i="1"/>
  <c r="BB130" i="1" s="1"/>
  <c r="BL130" i="1"/>
  <c r="BM130" i="1" s="1"/>
  <c r="BJ130" i="1"/>
  <c r="BL131" i="1"/>
  <c r="BM131" i="1" s="1"/>
  <c r="BJ131" i="1"/>
  <c r="BA131" i="1"/>
  <c r="BB131" i="1" s="1"/>
  <c r="BA132" i="1"/>
  <c r="BB132" i="1" s="1"/>
  <c r="BJ132" i="1"/>
  <c r="BL132" i="1"/>
  <c r="BM132" i="1" s="1"/>
  <c r="BA133" i="1"/>
  <c r="BB133" i="1" s="1"/>
  <c r="BL133" i="1"/>
  <c r="BM133" i="1" s="1"/>
  <c r="BJ133" i="1"/>
  <c r="BA134" i="1"/>
  <c r="BB134" i="1" s="1"/>
  <c r="BL134" i="1"/>
  <c r="BM134" i="1" s="1"/>
  <c r="BJ134" i="1"/>
  <c r="BA135" i="1"/>
  <c r="BB135" i="1" s="1"/>
  <c r="BJ135" i="1"/>
  <c r="BL135" i="1"/>
  <c r="BM135" i="1" s="1"/>
  <c r="BA136" i="1"/>
  <c r="BB136" i="1" s="1"/>
  <c r="BL136" i="1"/>
  <c r="BM136" i="1" s="1"/>
  <c r="BJ136" i="1"/>
  <c r="BL137" i="1"/>
  <c r="BM137" i="1" s="1"/>
  <c r="BA137" i="1"/>
  <c r="BB137" i="1" s="1"/>
  <c r="BJ137" i="1"/>
  <c r="BJ138" i="1"/>
  <c r="BL138" i="1"/>
  <c r="BM138" i="1" s="1"/>
  <c r="BA138" i="1"/>
  <c r="BB138" i="1" s="1"/>
  <c r="BA139" i="1"/>
  <c r="BB139" i="1" s="1"/>
  <c r="BJ139" i="1"/>
  <c r="BL139" i="1"/>
  <c r="BM139" i="1" s="1"/>
  <c r="BL140" i="1"/>
  <c r="BM140" i="1" s="1"/>
  <c r="BJ140" i="1"/>
  <c r="BA140" i="1"/>
  <c r="BB140" i="1" s="1"/>
  <c r="BJ141" i="1"/>
  <c r="BA141" i="1"/>
  <c r="BB141" i="1" s="1"/>
  <c r="BL141" i="1"/>
  <c r="BM141" i="1" s="1"/>
  <c r="BA142" i="1"/>
  <c r="BB142" i="1" s="1"/>
  <c r="BJ142" i="1"/>
  <c r="BL142" i="1"/>
  <c r="BM142" i="1" s="1"/>
  <c r="BA143" i="1"/>
  <c r="BB143" i="1" s="1"/>
  <c r="BJ143" i="1"/>
  <c r="BL143" i="1"/>
  <c r="BM143" i="1" s="1"/>
  <c r="BA144" i="1"/>
  <c r="BB144" i="1" s="1"/>
  <c r="BJ144" i="1"/>
  <c r="BL144" i="1"/>
  <c r="BM144" i="1" s="1"/>
  <c r="BA145" i="1"/>
  <c r="BB145" i="1" s="1"/>
  <c r="BJ145" i="1"/>
  <c r="BL145" i="1"/>
  <c r="BM145" i="1" s="1"/>
  <c r="BA146" i="1"/>
  <c r="BB146" i="1" s="1"/>
  <c r="BL146" i="1"/>
  <c r="BM146" i="1" s="1"/>
  <c r="BJ146" i="1"/>
  <c r="BA147" i="1"/>
  <c r="BB147" i="1" s="1"/>
  <c r="BJ147" i="1"/>
  <c r="BL147" i="1"/>
  <c r="BM147" i="1" s="1"/>
  <c r="BA148" i="1"/>
  <c r="BB148" i="1" s="1"/>
  <c r="BL148" i="1"/>
  <c r="BM148" i="1" s="1"/>
  <c r="BJ148" i="1"/>
  <c r="BA149" i="1"/>
  <c r="BB149" i="1" s="1"/>
  <c r="BJ149" i="1"/>
  <c r="BL149" i="1"/>
  <c r="BM149" i="1" s="1"/>
  <c r="BJ150" i="1"/>
  <c r="BL150" i="1"/>
  <c r="BM150" i="1" s="1"/>
  <c r="BA150" i="1"/>
  <c r="BB150" i="1" s="1"/>
  <c r="BA151" i="1"/>
  <c r="BB151" i="1" s="1"/>
  <c r="BJ151" i="1"/>
  <c r="BL151" i="1"/>
  <c r="BM151" i="1" s="1"/>
  <c r="BL6" i="1"/>
  <c r="BJ6" i="1"/>
  <c r="BA6" i="1"/>
  <c r="BB6" i="1" s="1"/>
  <c r="AA3" i="1"/>
  <c r="AA2" i="1"/>
  <c r="CS6" i="1"/>
  <c r="BK68" i="1" l="1"/>
  <c r="BK170" i="1"/>
  <c r="BK88" i="1"/>
  <c r="BN64" i="1"/>
  <c r="BN50" i="1"/>
  <c r="BK84" i="1"/>
  <c r="BK48" i="1"/>
  <c r="BN28" i="1"/>
  <c r="BK207" i="1"/>
  <c r="BK21" i="1"/>
  <c r="BN170" i="1"/>
  <c r="BK212" i="1"/>
  <c r="BK157" i="1"/>
  <c r="BK190" i="1"/>
  <c r="BN202" i="1"/>
  <c r="BK168" i="1"/>
  <c r="BN196" i="1"/>
  <c r="BK17" i="1"/>
  <c r="BN10" i="1"/>
  <c r="BN159" i="1"/>
  <c r="BK179" i="1"/>
  <c r="BK163" i="1"/>
  <c r="BK220" i="1"/>
  <c r="BN192" i="1"/>
  <c r="BN197" i="1"/>
  <c r="BK73" i="1"/>
  <c r="BK184" i="1"/>
  <c r="BN200" i="1"/>
  <c r="BK166" i="1"/>
  <c r="BN109" i="1"/>
  <c r="BK218" i="1"/>
  <c r="BN174" i="1"/>
  <c r="BN189" i="1"/>
  <c r="BK196" i="1"/>
  <c r="BK176" i="1"/>
  <c r="BN184" i="1"/>
  <c r="BK188" i="1"/>
  <c r="BN206" i="1"/>
  <c r="BK161" i="1"/>
  <c r="BK201" i="1"/>
  <c r="BK183" i="1"/>
  <c r="BN181" i="1"/>
  <c r="BK50" i="1"/>
  <c r="BN162" i="1"/>
  <c r="BK216" i="1"/>
  <c r="BN169" i="1"/>
  <c r="BK177" i="1"/>
  <c r="BN152" i="1"/>
  <c r="BK41" i="1"/>
  <c r="BK205" i="1"/>
  <c r="BK162" i="1"/>
  <c r="BK152" i="1"/>
  <c r="BK210" i="1"/>
  <c r="BK172" i="1"/>
  <c r="BN201" i="1"/>
  <c r="BN199" i="1"/>
  <c r="BN153" i="1"/>
  <c r="BK174" i="1"/>
  <c r="BK155" i="1"/>
  <c r="BN157" i="1"/>
  <c r="BN177" i="1"/>
  <c r="BK11" i="1"/>
  <c r="BN155" i="1"/>
  <c r="BN186" i="1"/>
  <c r="BK194" i="1"/>
  <c r="BK158" i="1"/>
  <c r="BN164" i="1"/>
  <c r="BK204" i="1"/>
  <c r="BK199" i="1"/>
  <c r="BK193" i="1"/>
  <c r="BK213" i="1"/>
  <c r="BK178" i="1"/>
  <c r="BN166" i="1"/>
  <c r="BK217" i="1"/>
  <c r="BK171" i="1"/>
  <c r="BN168" i="1"/>
  <c r="BN212" i="1"/>
  <c r="BN213" i="1"/>
  <c r="BK180" i="1"/>
  <c r="BK195" i="1"/>
  <c r="BK169" i="1"/>
  <c r="BN208" i="1"/>
  <c r="BK173" i="1"/>
  <c r="BK153" i="1"/>
  <c r="BK130" i="1"/>
  <c r="BK198" i="1"/>
  <c r="BN179" i="1"/>
  <c r="BK101" i="1"/>
  <c r="BN165" i="1"/>
  <c r="BN209" i="1"/>
  <c r="BN187" i="1"/>
  <c r="BK156" i="1"/>
  <c r="BK215" i="1"/>
  <c r="BN185" i="1"/>
  <c r="BK197" i="1"/>
  <c r="BN160" i="1"/>
  <c r="BN175" i="1"/>
  <c r="BK181" i="1"/>
  <c r="BN211" i="1"/>
  <c r="BK203" i="1"/>
  <c r="BK211" i="1"/>
  <c r="BK208" i="1"/>
  <c r="BN163" i="1"/>
  <c r="BN180" i="1"/>
  <c r="BK189" i="1"/>
  <c r="BK191" i="1"/>
  <c r="BN69" i="1"/>
  <c r="BN218" i="1"/>
  <c r="BN214" i="1"/>
  <c r="BN194" i="1"/>
  <c r="BN158" i="1"/>
  <c r="BK167" i="1"/>
  <c r="BN215" i="1"/>
  <c r="BN219" i="1"/>
  <c r="BK105" i="1"/>
  <c r="BN171" i="1"/>
  <c r="BN172" i="1"/>
  <c r="BN190" i="1"/>
  <c r="BN195" i="1"/>
  <c r="BN191" i="1"/>
  <c r="BK175" i="1"/>
  <c r="BN217" i="1"/>
  <c r="BK209" i="1"/>
  <c r="BK200" i="1"/>
  <c r="BK160" i="1"/>
  <c r="BN207" i="1"/>
  <c r="BN178" i="1"/>
  <c r="BK187" i="1"/>
  <c r="BN216" i="1"/>
  <c r="BK206" i="1"/>
  <c r="BK186" i="1"/>
  <c r="BK182" i="1"/>
  <c r="BN156" i="1"/>
  <c r="BN220" i="1"/>
  <c r="BK165" i="1"/>
  <c r="BN204" i="1"/>
  <c r="BN182" i="1"/>
  <c r="BN17" i="1"/>
  <c r="BK202" i="1"/>
  <c r="BK164" i="1"/>
  <c r="BK154" i="1"/>
  <c r="BN205" i="1"/>
  <c r="BN198" i="1"/>
  <c r="BN103" i="1"/>
  <c r="BK159" i="1"/>
  <c r="BN210" i="1"/>
  <c r="BN188" i="1"/>
  <c r="BN183" i="1"/>
  <c r="BN176" i="1"/>
  <c r="BK185" i="1"/>
  <c r="BN167" i="1"/>
  <c r="BN146" i="1"/>
  <c r="BK103" i="1"/>
  <c r="BK96" i="1"/>
  <c r="BK74" i="1"/>
  <c r="BK67" i="1"/>
  <c r="BK31" i="1"/>
  <c r="BN173" i="1"/>
  <c r="BN193" i="1"/>
  <c r="BN161" i="1"/>
  <c r="BN203" i="1"/>
  <c r="BN154" i="1"/>
  <c r="BK95" i="1"/>
  <c r="BK116" i="1"/>
  <c r="BK75" i="1"/>
  <c r="BN68" i="1"/>
  <c r="BK40" i="1"/>
  <c r="BK26" i="1"/>
  <c r="BK80" i="1"/>
  <c r="BK66" i="1"/>
  <c r="BN59" i="1"/>
  <c r="BK107" i="1"/>
  <c r="BK143" i="1"/>
  <c r="BK92" i="1"/>
  <c r="BK128" i="1"/>
  <c r="BK99" i="1"/>
  <c r="BK42" i="1"/>
  <c r="BN118" i="1"/>
  <c r="BK86" i="1"/>
  <c r="BN15" i="1"/>
  <c r="BN99" i="1"/>
  <c r="BK134" i="1"/>
  <c r="BK127" i="1"/>
  <c r="BK72" i="1"/>
  <c r="BK44" i="1"/>
  <c r="BN121" i="1"/>
  <c r="BK149" i="1"/>
  <c r="BN91" i="1"/>
  <c r="BK77" i="1"/>
  <c r="BK121" i="1"/>
  <c r="BN108" i="1"/>
  <c r="BN70" i="1"/>
  <c r="BN147" i="1"/>
  <c r="BK125" i="1"/>
  <c r="BK118" i="1"/>
  <c r="BK63" i="1"/>
  <c r="BN20" i="1"/>
  <c r="BK109" i="1"/>
  <c r="BK102" i="1"/>
  <c r="BK32" i="1"/>
  <c r="BN18" i="1"/>
  <c r="BK113" i="1"/>
  <c r="BN65" i="1"/>
  <c r="BK51" i="1"/>
  <c r="BN119" i="1"/>
  <c r="BN112" i="1"/>
  <c r="BK147" i="1"/>
  <c r="BK69" i="1"/>
  <c r="BK111" i="1"/>
  <c r="BK83" i="1"/>
  <c r="BN138" i="1"/>
  <c r="BK90" i="1"/>
  <c r="BN36" i="1"/>
  <c r="BK97" i="1"/>
  <c r="BN90" i="1"/>
  <c r="BN83" i="1"/>
  <c r="BN29" i="1"/>
  <c r="BN106" i="1"/>
  <c r="BK129" i="1"/>
  <c r="BN40" i="1"/>
  <c r="BN44" i="1"/>
  <c r="BN34" i="1"/>
  <c r="BN81" i="1"/>
  <c r="BK20" i="1"/>
  <c r="BK94" i="1"/>
  <c r="BK81" i="1"/>
  <c r="BK142" i="1"/>
  <c r="BK114" i="1"/>
  <c r="BN87" i="1"/>
  <c r="BN67" i="1"/>
  <c r="BK54" i="1"/>
  <c r="BK56" i="1"/>
  <c r="BN42" i="1"/>
  <c r="BK29" i="1"/>
  <c r="BK22" i="1"/>
  <c r="BN140" i="1"/>
  <c r="BN100" i="1"/>
  <c r="BK87" i="1"/>
  <c r="BN62" i="1"/>
  <c r="BK55" i="1"/>
  <c r="BN48" i="1"/>
  <c r="BN35" i="1"/>
  <c r="BN22" i="1"/>
  <c r="BN92" i="1"/>
  <c r="BN79" i="1"/>
  <c r="BN19" i="1"/>
  <c r="BN53" i="1"/>
  <c r="BN131" i="1"/>
  <c r="BN66" i="1"/>
  <c r="BK104" i="1"/>
  <c r="BN85" i="1"/>
  <c r="BN71" i="1"/>
  <c r="BK53" i="1"/>
  <c r="BK144" i="1"/>
  <c r="BN130" i="1"/>
  <c r="BK65" i="1"/>
  <c r="BK46" i="1"/>
  <c r="BK33" i="1"/>
  <c r="BK140" i="1"/>
  <c r="BN95" i="1"/>
  <c r="BK76" i="1"/>
  <c r="BK151" i="1"/>
  <c r="BN88" i="1"/>
  <c r="BN76" i="1"/>
  <c r="BN52" i="1"/>
  <c r="BN21" i="1"/>
  <c r="BN148" i="1"/>
  <c r="BK52" i="1"/>
  <c r="BN151" i="1"/>
  <c r="BK145" i="1"/>
  <c r="BK132" i="1"/>
  <c r="BN94" i="1"/>
  <c r="BK70" i="1"/>
  <c r="BK64" i="1"/>
  <c r="BK34" i="1"/>
  <c r="BN16" i="1"/>
  <c r="BK122" i="1"/>
  <c r="BK23" i="1"/>
  <c r="BK106" i="1"/>
  <c r="BN75" i="1"/>
  <c r="BN51" i="1"/>
  <c r="BN33" i="1"/>
  <c r="BK9" i="1"/>
  <c r="BK150" i="1"/>
  <c r="BN129" i="1"/>
  <c r="BK91" i="1"/>
  <c r="BN149" i="1"/>
  <c r="BN143" i="1"/>
  <c r="BK8" i="1"/>
  <c r="BN12" i="1"/>
  <c r="BK12" i="1"/>
  <c r="BN80" i="1"/>
  <c r="BK38" i="1"/>
  <c r="BN122" i="1"/>
  <c r="BK115" i="1"/>
  <c r="BK36" i="1"/>
  <c r="BN123" i="1"/>
  <c r="BN98" i="1"/>
  <c r="BN74" i="1"/>
  <c r="BK62" i="1"/>
  <c r="BN56" i="1"/>
  <c r="BN38" i="1"/>
  <c r="BK14" i="1"/>
  <c r="BK35" i="1"/>
  <c r="BN136" i="1"/>
  <c r="BK117" i="1"/>
  <c r="BN43" i="1"/>
  <c r="BN37" i="1"/>
  <c r="BN13" i="1"/>
  <c r="BK45" i="1"/>
  <c r="BN142" i="1"/>
  <c r="BK136" i="1"/>
  <c r="BK110" i="1"/>
  <c r="BN104" i="1"/>
  <c r="BN55" i="1"/>
  <c r="BK37" i="1"/>
  <c r="BN31" i="1"/>
  <c r="BK13" i="1"/>
  <c r="BK138" i="1"/>
  <c r="BN127" i="1"/>
  <c r="BK137" i="1"/>
  <c r="BN27" i="1"/>
  <c r="BN11" i="1"/>
  <c r="BN116" i="1"/>
  <c r="BN72" i="1"/>
  <c r="BN105" i="1"/>
  <c r="BK61" i="1"/>
  <c r="BN61" i="1"/>
  <c r="BK39" i="1"/>
  <c r="BK28" i="1"/>
  <c r="BK148" i="1"/>
  <c r="BN132" i="1"/>
  <c r="BN126" i="1"/>
  <c r="BN110" i="1"/>
  <c r="BK93" i="1"/>
  <c r="BN82" i="1"/>
  <c r="BK60" i="1"/>
  <c r="BN49" i="1"/>
  <c r="BN137" i="1"/>
  <c r="BK126" i="1"/>
  <c r="BN115" i="1"/>
  <c r="BN93" i="1"/>
  <c r="BK82" i="1"/>
  <c r="BN77" i="1"/>
  <c r="BN60" i="1"/>
  <c r="BK49" i="1"/>
  <c r="BK27" i="1"/>
  <c r="BK16" i="1"/>
  <c r="BN9" i="1"/>
  <c r="BK146" i="1"/>
  <c r="BK141" i="1"/>
  <c r="BN135" i="1"/>
  <c r="BK124" i="1"/>
  <c r="BK119" i="1"/>
  <c r="BN97" i="1"/>
  <c r="BN86" i="1"/>
  <c r="BN58" i="1"/>
  <c r="BN25" i="1"/>
  <c r="BK43" i="1"/>
  <c r="BK135" i="1"/>
  <c r="BN124" i="1"/>
  <c r="BN113" i="1"/>
  <c r="BN107" i="1"/>
  <c r="BN102" i="1"/>
  <c r="BN96" i="1"/>
  <c r="BK85" i="1"/>
  <c r="BN63" i="1"/>
  <c r="BK58" i="1"/>
  <c r="BK47" i="1"/>
  <c r="BK25" i="1"/>
  <c r="BN14" i="1"/>
  <c r="BK98" i="1"/>
  <c r="BN141" i="1"/>
  <c r="BK59" i="1"/>
  <c r="BN39" i="1"/>
  <c r="BN120" i="1"/>
  <c r="BN47" i="1"/>
  <c r="BN145" i="1"/>
  <c r="BN46" i="1"/>
  <c r="BN41" i="1"/>
  <c r="BK30" i="1"/>
  <c r="BK19" i="1"/>
  <c r="BN8" i="1"/>
  <c r="BN114" i="1"/>
  <c r="BN26" i="1"/>
  <c r="BN150" i="1"/>
  <c r="BN117" i="1"/>
  <c r="BN101" i="1"/>
  <c r="BN84" i="1"/>
  <c r="BK79" i="1"/>
  <c r="BK57" i="1"/>
  <c r="BN24" i="1"/>
  <c r="BK71" i="1"/>
  <c r="BN125" i="1"/>
  <c r="BK108" i="1"/>
  <c r="BN30" i="1"/>
  <c r="BK139" i="1"/>
  <c r="BN134" i="1"/>
  <c r="BN128" i="1"/>
  <c r="BK123" i="1"/>
  <c r="BK112" i="1"/>
  <c r="BN57" i="1"/>
  <c r="BK24" i="1"/>
  <c r="BK7" i="1"/>
  <c r="BK10" i="1"/>
  <c r="BK15" i="1"/>
  <c r="BK133" i="1"/>
  <c r="BK100" i="1"/>
  <c r="BK89" i="1"/>
  <c r="BK78" i="1"/>
  <c r="BN73" i="1"/>
  <c r="BN23" i="1"/>
  <c r="BK131" i="1"/>
  <c r="BK120" i="1"/>
  <c r="BN54" i="1"/>
  <c r="BN32" i="1"/>
  <c r="BN144" i="1"/>
  <c r="BN139" i="1"/>
  <c r="BN133" i="1"/>
  <c r="BN111" i="1"/>
  <c r="BN89" i="1"/>
  <c r="BN78" i="1"/>
  <c r="BN45" i="1"/>
  <c r="BK18" i="1"/>
  <c r="BN7" i="1"/>
  <c r="BN6" i="1"/>
  <c r="BK6" i="1"/>
  <c r="BM6" i="1"/>
  <c r="CF6" i="1"/>
  <c r="CR6" i="1" s="1"/>
  <c r="C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tc={0E4DC829-45F6-4AED-A06D-617C53C1251D}</author>
    <author>tc={8A6C2E2A-ED59-4BCE-97B5-007E26736931}</author>
  </authors>
  <commentList>
    <comment ref="U5" authorId="0" shapeId="0" xr:uid="{0E4DC829-45F6-4AED-A06D-617C53C1251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Deamnd-T</t>
      </text>
    </comment>
    <comment ref="AE5" authorId="1" shapeId="0" xr:uid="{8A6C2E2A-ED59-4BCE-97B5-007E2673693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<sst xmlns="http://schemas.openxmlformats.org/spreadsheetml/2006/main" count="490" uniqueCount="164">
  <si>
    <t>In-Tok</t>
  </si>
  <si>
    <t>Out-Tok</t>
  </si>
  <si>
    <t>RPS</t>
  </si>
  <si>
    <t>PHR</t>
  </si>
  <si>
    <t>TTFT</t>
  </si>
  <si>
    <t>Prefill</t>
  </si>
  <si>
    <t>L_TTFT</t>
  </si>
  <si>
    <t>L_P95_TTFT</t>
  </si>
  <si>
    <t>L_P98_TTFT</t>
  </si>
  <si>
    <t>ITL</t>
  </si>
  <si>
    <t>E2E</t>
  </si>
  <si>
    <t>PPS</t>
  </si>
  <si>
    <t>GPS</t>
  </si>
  <si>
    <t>Run</t>
  </si>
  <si>
    <t>MaxRun</t>
  </si>
  <si>
    <t>Kvcache</t>
  </si>
  <si>
    <t>MaxKvcache</t>
  </si>
  <si>
    <t>Demand-T</t>
  </si>
  <si>
    <t>Supply</t>
  </si>
  <si>
    <t>Mrate</t>
  </si>
  <si>
    <t>OTS</t>
  </si>
  <si>
    <t>OTS-D</t>
  </si>
  <si>
    <t>S/D</t>
  </si>
  <si>
    <t>e2e sat</t>
  </si>
  <si>
    <t>GPS*ITL</t>
  </si>
  <si>
    <t>PPS*PREFILL/IL</t>
  </si>
  <si>
    <t>N</t>
  </si>
  <si>
    <t>PPS/IL</t>
  </si>
  <si>
    <t>GPS/OL</t>
  </si>
  <si>
    <t>RUN/E2E</t>
  </si>
  <si>
    <t>N/E2E</t>
  </si>
  <si>
    <t xml:space="preserve">   </t>
  </si>
  <si>
    <t>Tokens load</t>
  </si>
  <si>
    <t>C(R)</t>
  </si>
  <si>
    <t>C(MaxR)</t>
  </si>
  <si>
    <t>C(N)</t>
  </si>
  <si>
    <t>N(maxT)</t>
  </si>
  <si>
    <t>N%</t>
  </si>
  <si>
    <t>Column1</t>
  </si>
  <si>
    <t>Column2</t>
  </si>
  <si>
    <t>relative cache</t>
  </si>
  <si>
    <t xml:space="preserve">   2</t>
  </si>
  <si>
    <t>Demand</t>
  </si>
  <si>
    <t>tok/sec</t>
  </si>
  <si>
    <t>tok/req</t>
  </si>
  <si>
    <t>In/sec</t>
  </si>
  <si>
    <t>Out/sec</t>
  </si>
  <si>
    <t>Requests</t>
  </si>
  <si>
    <t>Average Out-Token Load</t>
  </si>
  <si>
    <t>N2</t>
  </si>
  <si>
    <t>Current Supply</t>
  </si>
  <si>
    <t>TTFT%</t>
  </si>
  <si>
    <t>Prefill%</t>
  </si>
  <si>
    <t>estPrefill</t>
  </si>
  <si>
    <t>estTTFT</t>
  </si>
  <si>
    <t>estE2E</t>
  </si>
  <si>
    <t>E2E%</t>
  </si>
  <si>
    <t>estRPS</t>
  </si>
  <si>
    <t>RPS(IL)</t>
  </si>
  <si>
    <t>RPS(IL)%</t>
  </si>
  <si>
    <t>RPS(OL)</t>
  </si>
  <si>
    <t>RPS(OL)%</t>
  </si>
  <si>
    <t>Maximal KV cache Load</t>
  </si>
  <si>
    <t>Row Labels</t>
  </si>
  <si>
    <t>Column Labels</t>
  </si>
  <si>
    <t>Nprefill</t>
  </si>
  <si>
    <t>Ndecode</t>
  </si>
  <si>
    <t>(All)</t>
  </si>
  <si>
    <t>No queue</t>
  </si>
  <si>
    <t>Est Max Tok</t>
  </si>
  <si>
    <t>tok(N)</t>
  </si>
  <si>
    <t>MaxTok(N)</t>
  </si>
  <si>
    <t>tok(Run)</t>
  </si>
  <si>
    <t>MaxTok(Run)</t>
  </si>
  <si>
    <t>Average of ITL</t>
  </si>
  <si>
    <t>Ratio</t>
  </si>
  <si>
    <t>Estimated Token Load</t>
  </si>
  <si>
    <t>tok(MaxRun)</t>
  </si>
  <si>
    <t>MaxTok(MaxRun)</t>
  </si>
  <si>
    <t>E2E-sat</t>
  </si>
  <si>
    <t>N%2</t>
  </si>
  <si>
    <t>KV%</t>
  </si>
  <si>
    <t>Max N Threshold</t>
  </si>
  <si>
    <t>Nmax</t>
  </si>
  <si>
    <t>max # of concurrent decodes</t>
  </si>
  <si>
    <t>ETE at saturation</t>
  </si>
  <si>
    <t>ETE(Ratio, KV%)</t>
  </si>
  <si>
    <t>-&gt;</t>
  </si>
  <si>
    <t>ETE(KV%)</t>
  </si>
  <si>
    <t>~linear</t>
  </si>
  <si>
    <t>fixed ratio</t>
  </si>
  <si>
    <t>max RPS at saturation, how many request of same type can be served by a single instance</t>
  </si>
  <si>
    <t>S</t>
  </si>
  <si>
    <t>S(In-Tok)</t>
  </si>
  <si>
    <t>S(Out-Tok)</t>
  </si>
  <si>
    <t>Liittle</t>
  </si>
  <si>
    <t>Nmax / ETE</t>
  </si>
  <si>
    <t>Nmax(Tokens)</t>
  </si>
  <si>
    <t># of instances needed</t>
  </si>
  <si>
    <t>RPS/S</t>
  </si>
  <si>
    <t>Running * Size / KV</t>
  </si>
  <si>
    <t>KV / Size</t>
  </si>
  <si>
    <t>RPS success</t>
  </si>
  <si>
    <t>est-Tok/Req</t>
  </si>
  <si>
    <t>err%-Tok/Req</t>
  </si>
  <si>
    <t>est-N-max</t>
  </si>
  <si>
    <t>N-max</t>
  </si>
  <si>
    <t>est-In-Tok3</t>
  </si>
  <si>
    <t>err%-In-Tok3</t>
  </si>
  <si>
    <t>est-Out-Tok3</t>
  </si>
  <si>
    <t>err%-Out-Tok3</t>
  </si>
  <si>
    <t>est-Tok/Req3</t>
  </si>
  <si>
    <t>err%-Tok/Req3</t>
  </si>
  <si>
    <t>est-N-max3</t>
  </si>
  <si>
    <t>err%-N-max3</t>
  </si>
  <si>
    <t>est-N-max2</t>
  </si>
  <si>
    <t>[@Kvcache]</t>
  </si>
  <si>
    <t>[@ITL]</t>
  </si>
  <si>
    <t>[@[tok/req]]</t>
  </si>
  <si>
    <t>Buckets</t>
  </si>
  <si>
    <t>B-tok/req</t>
  </si>
  <si>
    <t>B-ITL</t>
  </si>
  <si>
    <t>B-Kvcache</t>
  </si>
  <si>
    <t>B2-Kvcache</t>
  </si>
  <si>
    <t>Column28</t>
  </si>
  <si>
    <t>Column29</t>
  </si>
  <si>
    <t>Column30</t>
  </si>
  <si>
    <t>Column31</t>
  </si>
  <si>
    <t>[@Run]</t>
  </si>
  <si>
    <t>B-Run</t>
  </si>
  <si>
    <t>estDecode</t>
  </si>
  <si>
    <t>param</t>
  </si>
  <si>
    <t>[@Ratio]</t>
  </si>
  <si>
    <t>B-Ratio</t>
  </si>
  <si>
    <t>B-In-Tok</t>
  </si>
  <si>
    <t>[@[In-Tok]]</t>
  </si>
  <si>
    <t>Experiment</t>
  </si>
  <si>
    <t>1-15K,300</t>
  </si>
  <si>
    <t>5K,100-1800</t>
  </si>
  <si>
    <t>3K,100-1800</t>
  </si>
  <si>
    <t>5K,300</t>
  </si>
  <si>
    <t>5K,500</t>
  </si>
  <si>
    <t>5K,1K</t>
  </si>
  <si>
    <t>5K,200</t>
  </si>
  <si>
    <t>6K,100</t>
  </si>
  <si>
    <t>Average of Prefill</t>
  </si>
  <si>
    <t>Average of Run</t>
  </si>
  <si>
    <t>Prefill/TTFT</t>
  </si>
  <si>
    <t>X</t>
  </si>
  <si>
    <t>Y</t>
  </si>
  <si>
    <t>ITL[6k,100]</t>
  </si>
  <si>
    <t>EST</t>
  </si>
  <si>
    <t>AVG</t>
  </si>
  <si>
    <t>1-15k,300</t>
  </si>
  <si>
    <t>5k,100-1800</t>
  </si>
  <si>
    <t>5k,500</t>
  </si>
  <si>
    <t>5k,200</t>
  </si>
  <si>
    <t>date</t>
  </si>
  <si>
    <t>11/03/2026 Total</t>
  </si>
  <si>
    <t>23/03/2026 Total</t>
  </si>
  <si>
    <t>GPSestErr</t>
  </si>
  <si>
    <t>estITL</t>
  </si>
  <si>
    <t>estITL%</t>
  </si>
  <si>
    <t>=([@[KV%]]*[@[MaxTok(Run)]]/([@RPS]*[@[tok/req]])-[@Prefill])/[@[Out-Tok]]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</si>
</sst>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_-;\-* #,##0.0_-;_-* &quot;-&quot;??_-;_-@_-"/>
    <numFmt numFmtId="167" formatCode="0.0%"/>
    <numFmt numFmtId="168" formatCode="0.000"/>
    <numFmt numFmtId="169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1" applyNumberFormat="1" applyFont="1"/>
    <xf numFmtId="9" fontId="0" fillId="0" borderId="0" xfId="2" applyFont="1"/>
    <xf numFmtId="43" fontId="0" fillId="0" borderId="0" xfId="1" applyFont="1"/>
    <xf numFmtId="43" fontId="4" fillId="0" borderId="0" xfId="1" applyFont="1"/>
    <xf numFmtId="43" fontId="1" fillId="0" borderId="0" xfId="1" applyFont="1"/>
    <xf numFmtId="43" fontId="4" fillId="2" borderId="0" xfId="1" applyFont="1" applyFill="1"/>
    <xf numFmtId="43" fontId="3" fillId="0" borderId="0" xfId="1" applyFont="1"/>
    <xf numFmtId="165" fontId="0" fillId="0" borderId="0" xfId="1" applyNumberFormat="1" applyFont="1"/>
    <xf numFmtId="165" fontId="1" fillId="0" borderId="0" xfId="1" applyNumberFormat="1" applyFont="1"/>
    <xf numFmtId="164" fontId="1" fillId="0" borderId="0" xfId="1" applyNumberFormat="1" applyFont="1"/>
    <xf numFmtId="164" fontId="4" fillId="0" borderId="0" xfId="1" applyNumberFormat="1" applyFont="1"/>
    <xf numFmtId="164" fontId="4" fillId="2" borderId="0" xfId="1" applyNumberFormat="1" applyFont="1" applyFill="1"/>
    <xf numFmtId="164" fontId="0" fillId="0" borderId="1" xfId="1" applyNumberFormat="1" applyFont="1" applyBorder="1"/>
    <xf numFmtId="43" fontId="0" fillId="0" borderId="1" xfId="1" applyFont="1" applyBorder="1"/>
    <xf numFmtId="165" fontId="0" fillId="0" borderId="1" xfId="1" applyNumberFormat="1" applyFont="1" applyBorder="1"/>
    <xf numFmtId="43" fontId="4" fillId="2" borderId="1" xfId="1" applyFont="1" applyFill="1" applyBorder="1"/>
    <xf numFmtId="164" fontId="4" fillId="2" borderId="1" xfId="1" applyNumberFormat="1" applyFont="1" applyFill="1" applyBorder="1"/>
    <xf numFmtId="164" fontId="0" fillId="0" borderId="0" xfId="1" applyNumberFormat="1" applyFont="1" applyBorder="1"/>
    <xf numFmtId="43" fontId="0" fillId="0" borderId="2" xfId="1" applyFont="1" applyBorder="1"/>
    <xf numFmtId="43" fontId="0" fillId="0" borderId="0" xfId="1" applyFont="1" applyBorder="1"/>
    <xf numFmtId="43" fontId="0" fillId="0" borderId="3" xfId="1" applyFont="1" applyBorder="1"/>
    <xf numFmtId="164" fontId="1" fillId="0" borderId="0" xfId="1" applyNumberFormat="1" applyFont="1" applyBorder="1"/>
    <xf numFmtId="164" fontId="3" fillId="0" borderId="0" xfId="1" applyNumberFormat="1" applyFont="1" applyBorder="1"/>
    <xf numFmtId="164" fontId="0" fillId="0" borderId="4" xfId="1" applyNumberFormat="1" applyFont="1" applyBorder="1"/>
    <xf numFmtId="164" fontId="1" fillId="0" borderId="4" xfId="1" applyNumberFormat="1" applyFont="1" applyBorder="1"/>
    <xf numFmtId="43" fontId="1" fillId="0" borderId="0" xfId="1" applyFont="1" applyBorder="1"/>
    <xf numFmtId="164" fontId="0" fillId="0" borderId="6" xfId="1" applyNumberFormat="1" applyFont="1" applyBorder="1"/>
    <xf numFmtId="164" fontId="3" fillId="0" borderId="4" xfId="1" applyNumberFormat="1" applyFont="1" applyBorder="1"/>
    <xf numFmtId="43" fontId="3" fillId="0" borderId="0" xfId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9" fontId="0" fillId="0" borderId="0" xfId="2" applyFont="1" applyBorder="1"/>
    <xf numFmtId="164" fontId="0" fillId="0" borderId="5" xfId="1" applyNumberFormat="1" applyFont="1" applyBorder="1"/>
    <xf numFmtId="164" fontId="1" fillId="0" borderId="5" xfId="1" applyNumberFormat="1" applyFont="1" applyBorder="1"/>
    <xf numFmtId="164" fontId="0" fillId="0" borderId="7" xfId="1" applyNumberFormat="1" applyFont="1" applyBorder="1"/>
    <xf numFmtId="164" fontId="3" fillId="0" borderId="5" xfId="1" applyNumberFormat="1" applyFont="1" applyBorder="1"/>
    <xf numFmtId="164" fontId="0" fillId="0" borderId="10" xfId="1" applyNumberFormat="1" applyFont="1" applyBorder="1"/>
    <xf numFmtId="164" fontId="0" fillId="0" borderId="0" xfId="1" applyNumberFormat="1" applyFont="1" applyAlignment="1">
      <alignment wrapText="1"/>
    </xf>
    <xf numFmtId="9" fontId="1" fillId="0" borderId="0" xfId="2" applyFont="1"/>
    <xf numFmtId="9" fontId="0" fillId="0" borderId="1" xfId="2" applyFont="1" applyBorder="1"/>
    <xf numFmtId="9" fontId="3" fillId="0" borderId="0" xfId="2" applyFont="1" applyBorder="1"/>
    <xf numFmtId="43" fontId="0" fillId="0" borderId="0" xfId="2" applyNumberFormat="1" applyFont="1"/>
    <xf numFmtId="43" fontId="0" fillId="0" borderId="1" xfId="2" applyNumberFormat="1" applyFont="1" applyBorder="1"/>
    <xf numFmtId="164" fontId="1" fillId="0" borderId="0" xfId="1" applyNumberFormat="1" applyFont="1" applyBorder="1" applyAlignment="1">
      <alignment horizontal="center"/>
    </xf>
    <xf numFmtId="166" fontId="0" fillId="0" borderId="0" xfId="1" applyNumberFormat="1" applyFont="1"/>
    <xf numFmtId="166" fontId="0" fillId="0" borderId="0" xfId="1" applyNumberFormat="1" applyFont="1" applyBorder="1"/>
    <xf numFmtId="166" fontId="3" fillId="0" borderId="0" xfId="1" applyNumberFormat="1" applyFont="1" applyBorder="1"/>
    <xf numFmtId="164" fontId="2" fillId="0" borderId="0" xfId="1" applyNumberFormat="1" applyFont="1"/>
    <xf numFmtId="43" fontId="2" fillId="0" borderId="0" xfId="1" applyFont="1"/>
    <xf numFmtId="165" fontId="2" fillId="0" borderId="0" xfId="1" applyNumberFormat="1" applyFont="1"/>
    <xf numFmtId="164" fontId="2" fillId="0" borderId="4" xfId="1" applyNumberFormat="1" applyFont="1" applyBorder="1"/>
    <xf numFmtId="164" fontId="2" fillId="0" borderId="0" xfId="1" applyNumberFormat="1" applyFont="1" applyBorder="1"/>
    <xf numFmtId="164" fontId="2" fillId="0" borderId="5" xfId="1" applyNumberFormat="1" applyFont="1" applyBorder="1"/>
    <xf numFmtId="43" fontId="2" fillId="0" borderId="0" xfId="1" applyFont="1" applyBorder="1"/>
    <xf numFmtId="9" fontId="2" fillId="0" borderId="0" xfId="2" applyFont="1"/>
    <xf numFmtId="43" fontId="2" fillId="0" borderId="0" xfId="2" applyNumberFormat="1" applyFont="1"/>
    <xf numFmtId="43" fontId="0" fillId="0" borderId="0" xfId="1" applyFont="1" applyAlignment="1">
      <alignment wrapText="1"/>
    </xf>
    <xf numFmtId="43" fontId="0" fillId="0" borderId="0" xfId="0" applyNumberFormat="1"/>
    <xf numFmtId="0" fontId="0" fillId="0" borderId="0" xfId="0" pivotButton="1"/>
    <xf numFmtId="164" fontId="0" fillId="0" borderId="0" xfId="1" applyNumberFormat="1" applyFont="1" applyAlignment="1"/>
    <xf numFmtId="9" fontId="1" fillId="0" borderId="0" xfId="2" applyFont="1" applyBorder="1"/>
    <xf numFmtId="165" fontId="0" fillId="0" borderId="0" xfId="1" applyNumberFormat="1" applyFont="1" applyBorder="1"/>
    <xf numFmtId="165" fontId="3" fillId="0" borderId="0" xfId="1" applyNumberFormat="1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3" fillId="0" borderId="10" xfId="1" applyNumberFormat="1" applyFont="1" applyBorder="1"/>
    <xf numFmtId="43" fontId="0" fillId="0" borderId="0" xfId="2" applyNumberFormat="1" applyFont="1" applyBorder="1"/>
    <xf numFmtId="43" fontId="3" fillId="0" borderId="0" xfId="2" applyNumberFormat="1" applyFont="1" applyBorder="1"/>
    <xf numFmtId="43" fontId="4" fillId="2" borderId="0" xfId="1" applyFont="1" applyFill="1" applyBorder="1"/>
    <xf numFmtId="164" fontId="4" fillId="2" borderId="0" xfId="1" applyNumberFormat="1" applyFont="1" applyFill="1" applyBorder="1"/>
    <xf numFmtId="165" fontId="0" fillId="0" borderId="0" xfId="0" applyNumberFormat="1"/>
    <xf numFmtId="43" fontId="2" fillId="0" borderId="4" xfId="1" applyFont="1" applyBorder="1"/>
    <xf numFmtId="43" fontId="0" fillId="0" borderId="4" xfId="1" applyFont="1" applyBorder="1"/>
    <xf numFmtId="43" fontId="0" fillId="0" borderId="6" xfId="1" applyFont="1" applyBorder="1"/>
    <xf numFmtId="43" fontId="3" fillId="0" borderId="4" xfId="1" applyFont="1" applyBorder="1"/>
    <xf numFmtId="43" fontId="0" fillId="0" borderId="8" xfId="1" applyFont="1" applyBorder="1"/>
    <xf numFmtId="164" fontId="1" fillId="0" borderId="15" xfId="1" applyNumberFormat="1" applyFont="1" applyBorder="1"/>
    <xf numFmtId="164" fontId="1" fillId="0" borderId="16" xfId="1" applyNumberFormat="1" applyFont="1" applyBorder="1"/>
    <xf numFmtId="43" fontId="1" fillId="0" borderId="15" xfId="1" applyFont="1" applyBorder="1"/>
    <xf numFmtId="43" fontId="1" fillId="0" borderId="16" xfId="1" applyFont="1" applyBorder="1"/>
    <xf numFmtId="165" fontId="1" fillId="0" borderId="16" xfId="1" applyNumberFormat="1" applyFont="1" applyBorder="1"/>
    <xf numFmtId="43" fontId="1" fillId="0" borderId="17" xfId="1" applyFont="1" applyBorder="1"/>
    <xf numFmtId="165" fontId="2" fillId="0" borderId="0" xfId="1" applyNumberFormat="1" applyFont="1" applyBorder="1"/>
    <xf numFmtId="9" fontId="2" fillId="0" borderId="0" xfId="2" applyFont="1" applyBorder="1"/>
    <xf numFmtId="43" fontId="2" fillId="0" borderId="0" xfId="2" applyNumberFormat="1" applyFont="1" applyBorder="1"/>
    <xf numFmtId="9" fontId="2" fillId="0" borderId="5" xfId="2" applyFont="1" applyBorder="1"/>
    <xf numFmtId="9" fontId="0" fillId="0" borderId="5" xfId="2" applyFont="1" applyBorder="1"/>
    <xf numFmtId="9" fontId="3" fillId="0" borderId="5" xfId="2" applyFont="1" applyBorder="1"/>
    <xf numFmtId="43" fontId="0" fillId="0" borderId="9" xfId="1" applyFont="1" applyBorder="1"/>
    <xf numFmtId="165" fontId="0" fillId="0" borderId="9" xfId="1" applyNumberFormat="1" applyFont="1" applyBorder="1"/>
    <xf numFmtId="9" fontId="0" fillId="0" borderId="9" xfId="2" applyFont="1" applyBorder="1"/>
    <xf numFmtId="43" fontId="0" fillId="0" borderId="9" xfId="2" applyNumberFormat="1" applyFont="1" applyBorder="1"/>
    <xf numFmtId="9" fontId="0" fillId="0" borderId="10" xfId="2" applyFont="1" applyBorder="1"/>
    <xf numFmtId="43" fontId="5" fillId="0" borderId="18" xfId="1" applyFont="1" applyBorder="1"/>
    <xf numFmtId="164" fontId="5" fillId="0" borderId="18" xfId="1" applyNumberFormat="1" applyFont="1" applyBorder="1"/>
    <xf numFmtId="164" fontId="2" fillId="0" borderId="15" xfId="1" applyNumberFormat="1" applyFont="1" applyBorder="1"/>
    <xf numFmtId="164" fontId="2" fillId="0" borderId="16" xfId="1" applyNumberFormat="1" applyFont="1" applyBorder="1"/>
    <xf numFmtId="43" fontId="2" fillId="0" borderId="16" xfId="1" applyFont="1" applyBorder="1"/>
    <xf numFmtId="165" fontId="2" fillId="0" borderId="16" xfId="1" applyNumberFormat="1" applyFont="1" applyBorder="1"/>
    <xf numFmtId="164" fontId="2" fillId="0" borderId="17" xfId="1" applyNumberFormat="1" applyFont="1" applyBorder="1"/>
    <xf numFmtId="43" fontId="2" fillId="0" borderId="15" xfId="1" applyFont="1" applyBorder="1"/>
    <xf numFmtId="9" fontId="2" fillId="0" borderId="16" xfId="2" applyFont="1" applyBorder="1"/>
    <xf numFmtId="43" fontId="2" fillId="0" borderId="16" xfId="2" applyNumberFormat="1" applyFont="1" applyBorder="1"/>
    <xf numFmtId="9" fontId="2" fillId="0" borderId="17" xfId="2" applyFont="1" applyBorder="1"/>
    <xf numFmtId="43" fontId="4" fillId="2" borderId="16" xfId="1" applyFont="1" applyFill="1" applyBorder="1"/>
    <xf numFmtId="164" fontId="4" fillId="2" borderId="16" xfId="1" applyNumberFormat="1" applyFont="1" applyFill="1" applyBorder="1"/>
    <xf numFmtId="43" fontId="4" fillId="2" borderId="17" xfId="1" applyFont="1" applyFill="1" applyBorder="1"/>
    <xf numFmtId="43" fontId="4" fillId="2" borderId="5" xfId="1" applyFont="1" applyFill="1" applyBorder="1"/>
    <xf numFmtId="164" fontId="1" fillId="0" borderId="9" xfId="1" applyNumberFormat="1" applyFont="1" applyBorder="1"/>
    <xf numFmtId="43" fontId="4" fillId="2" borderId="9" xfId="1" applyFont="1" applyFill="1" applyBorder="1"/>
    <xf numFmtId="164" fontId="4" fillId="2" borderId="9" xfId="1" applyNumberFormat="1" applyFont="1" applyFill="1" applyBorder="1"/>
    <xf numFmtId="43" fontId="4" fillId="2" borderId="10" xfId="1" applyFont="1" applyFill="1" applyBorder="1"/>
    <xf numFmtId="164" fontId="0" fillId="0" borderId="16" xfId="1" applyNumberFormat="1" applyFont="1" applyBorder="1"/>
    <xf numFmtId="43" fontId="0" fillId="0" borderId="16" xfId="1" applyFont="1" applyBorder="1"/>
    <xf numFmtId="43" fontId="3" fillId="0" borderId="9" xfId="1" applyFont="1" applyBorder="1"/>
    <xf numFmtId="165" fontId="3" fillId="0" borderId="9" xfId="1" applyNumberFormat="1" applyFont="1" applyBorder="1"/>
    <xf numFmtId="43" fontId="3" fillId="0" borderId="8" xfId="1" applyFont="1" applyBorder="1"/>
    <xf numFmtId="9" fontId="3" fillId="0" borderId="9" xfId="2" applyFont="1" applyBorder="1"/>
    <xf numFmtId="43" fontId="3" fillId="0" borderId="9" xfId="2" applyNumberFormat="1" applyFont="1" applyBorder="1"/>
    <xf numFmtId="9" fontId="3" fillId="0" borderId="10" xfId="2" applyFont="1" applyBorder="1"/>
    <xf numFmtId="43" fontId="0" fillId="0" borderId="5" xfId="1" applyFont="1" applyBorder="1"/>
    <xf numFmtId="9" fontId="1" fillId="0" borderId="16" xfId="2" applyFont="1" applyBorder="1"/>
    <xf numFmtId="9" fontId="0" fillId="0" borderId="16" xfId="2" applyFont="1" applyBorder="1"/>
    <xf numFmtId="43" fontId="0" fillId="0" borderId="16" xfId="2" applyNumberFormat="1" applyFont="1" applyBorder="1"/>
    <xf numFmtId="164" fontId="1" fillId="0" borderId="8" xfId="1" applyNumberFormat="1" applyFont="1" applyBorder="1" applyAlignment="1">
      <alignment horizontal="center"/>
    </xf>
    <xf numFmtId="164" fontId="1" fillId="0" borderId="19" xfId="1" applyNumberFormat="1" applyFont="1" applyBorder="1"/>
    <xf numFmtId="164" fontId="1" fillId="0" borderId="14" xfId="1" applyNumberFormat="1" applyFont="1" applyBorder="1"/>
    <xf numFmtId="164" fontId="2" fillId="0" borderId="16" xfId="2" applyNumberFormat="1" applyFont="1" applyBorder="1"/>
    <xf numFmtId="164" fontId="0" fillId="0" borderId="0" xfId="2" applyNumberFormat="1" applyFont="1" applyBorder="1"/>
    <xf numFmtId="164" fontId="0" fillId="0" borderId="9" xfId="2" applyNumberFormat="1" applyFont="1" applyBorder="1"/>
    <xf numFmtId="164" fontId="3" fillId="0" borderId="0" xfId="2" applyNumberFormat="1" applyFont="1" applyBorder="1"/>
    <xf numFmtId="164" fontId="3" fillId="0" borderId="9" xfId="2" applyNumberFormat="1" applyFont="1" applyBorder="1"/>
    <xf numFmtId="164" fontId="0" fillId="0" borderId="0" xfId="2" applyNumberFormat="1" applyFont="1"/>
    <xf numFmtId="164" fontId="0" fillId="0" borderId="16" xfId="2" applyNumberFormat="1" applyFont="1" applyBorder="1"/>
    <xf numFmtId="164" fontId="2" fillId="0" borderId="0" xfId="2" applyNumberFormat="1" applyFont="1"/>
    <xf numFmtId="164" fontId="2" fillId="0" borderId="0" xfId="2" applyNumberFormat="1" applyFont="1" applyBorder="1"/>
    <xf numFmtId="164" fontId="2" fillId="0" borderId="8" xfId="1" applyNumberFormat="1" applyFont="1" applyBorder="1"/>
    <xf numFmtId="164" fontId="2" fillId="0" borderId="9" xfId="1" applyNumberFormat="1" applyFont="1" applyBorder="1"/>
    <xf numFmtId="43" fontId="2" fillId="0" borderId="9" xfId="1" applyFont="1" applyBorder="1"/>
    <xf numFmtId="165" fontId="2" fillId="0" borderId="9" xfId="1" applyNumberFormat="1" applyFont="1" applyBorder="1"/>
    <xf numFmtId="164" fontId="2" fillId="0" borderId="10" xfId="1" applyNumberFormat="1" applyFont="1" applyBorder="1"/>
    <xf numFmtId="43" fontId="2" fillId="0" borderId="8" xfId="1" applyFont="1" applyBorder="1"/>
    <xf numFmtId="9" fontId="2" fillId="0" borderId="9" xfId="2" applyFont="1" applyBorder="1"/>
    <xf numFmtId="43" fontId="2" fillId="0" borderId="9" xfId="2" applyNumberFormat="1" applyFont="1" applyBorder="1"/>
    <xf numFmtId="9" fontId="2" fillId="0" borderId="10" xfId="2" applyFont="1" applyBorder="1"/>
    <xf numFmtId="164" fontId="2" fillId="0" borderId="9" xfId="2" applyNumberFormat="1" applyFont="1" applyBorder="1"/>
    <xf numFmtId="9" fontId="0" fillId="0" borderId="0" xfId="0" applyNumberFormat="1" applyAlignment="1">
      <alignment horizontal="left"/>
    </xf>
    <xf numFmtId="0" fontId="0" fillId="0" borderId="0" xfId="0" quotePrefix="1"/>
    <xf numFmtId="166" fontId="2" fillId="0" borderId="16" xfId="1" applyNumberFormat="1" applyFont="1" applyBorder="1"/>
    <xf numFmtId="166" fontId="0" fillId="0" borderId="9" xfId="1" applyNumberFormat="1" applyFont="1" applyBorder="1"/>
    <xf numFmtId="166" fontId="3" fillId="0" borderId="9" xfId="1" applyNumberFormat="1" applyFont="1" applyBorder="1"/>
    <xf numFmtId="166" fontId="2" fillId="0" borderId="0" xfId="1" applyNumberFormat="1" applyFont="1"/>
    <xf numFmtId="166" fontId="0" fillId="0" borderId="16" xfId="1" applyNumberFormat="1" applyFont="1" applyBorder="1"/>
    <xf numFmtId="166" fontId="2" fillId="0" borderId="16" xfId="2" applyNumberFormat="1" applyFont="1" applyBorder="1"/>
    <xf numFmtId="166" fontId="0" fillId="0" borderId="0" xfId="2" applyNumberFormat="1" applyFont="1" applyBorder="1"/>
    <xf numFmtId="166" fontId="0" fillId="0" borderId="9" xfId="2" applyNumberFormat="1" applyFont="1" applyBorder="1"/>
    <xf numFmtId="166" fontId="3" fillId="0" borderId="0" xfId="2" applyNumberFormat="1" applyFont="1" applyBorder="1"/>
    <xf numFmtId="166" fontId="3" fillId="0" borderId="9" xfId="2" applyNumberFormat="1" applyFont="1" applyBorder="1"/>
    <xf numFmtId="166" fontId="2" fillId="0" borderId="0" xfId="2" applyNumberFormat="1" applyFont="1"/>
    <xf numFmtId="166" fontId="0" fillId="0" borderId="0" xfId="2" applyNumberFormat="1" applyFont="1"/>
    <xf numFmtId="166" fontId="0" fillId="0" borderId="16" xfId="2" applyNumberFormat="1" applyFont="1" applyBorder="1"/>
    <xf numFmtId="10" fontId="2" fillId="0" borderId="16" xfId="2" applyNumberFormat="1" applyFont="1" applyBorder="1"/>
    <xf numFmtId="10" fontId="0" fillId="0" borderId="0" xfId="2" applyNumberFormat="1" applyFont="1" applyBorder="1"/>
    <xf numFmtId="10" fontId="0" fillId="0" borderId="9" xfId="2" applyNumberFormat="1" applyFont="1" applyBorder="1"/>
    <xf numFmtId="10" fontId="3" fillId="0" borderId="0" xfId="2" applyNumberFormat="1" applyFont="1" applyBorder="1"/>
    <xf numFmtId="10" fontId="3" fillId="0" borderId="9" xfId="2" applyNumberFormat="1" applyFont="1" applyBorder="1"/>
    <xf numFmtId="10" fontId="2" fillId="0" borderId="0" xfId="2" applyNumberFormat="1" applyFont="1"/>
    <xf numFmtId="10" fontId="0" fillId="0" borderId="0" xfId="2" applyNumberFormat="1" applyFont="1"/>
    <xf numFmtId="10" fontId="0" fillId="0" borderId="16" xfId="2" applyNumberFormat="1" applyFont="1" applyBorder="1"/>
    <xf numFmtId="43" fontId="0" fillId="3" borderId="0" xfId="1" applyFont="1" applyFill="1"/>
    <xf numFmtId="43" fontId="1" fillId="3" borderId="0" xfId="1" applyFont="1" applyFill="1"/>
    <xf numFmtId="43" fontId="2" fillId="3" borderId="16" xfId="2" applyNumberFormat="1" applyFont="1" applyFill="1" applyBorder="1"/>
    <xf numFmtId="43" fontId="0" fillId="3" borderId="0" xfId="2" applyNumberFormat="1" applyFont="1" applyFill="1" applyBorder="1"/>
    <xf numFmtId="43" fontId="0" fillId="3" borderId="9" xfId="2" applyNumberFormat="1" applyFont="1" applyFill="1" applyBorder="1"/>
    <xf numFmtId="43" fontId="3" fillId="3" borderId="0" xfId="2" applyNumberFormat="1" applyFont="1" applyFill="1" applyBorder="1"/>
    <xf numFmtId="43" fontId="3" fillId="3" borderId="9" xfId="2" applyNumberFormat="1" applyFont="1" applyFill="1" applyBorder="1"/>
    <xf numFmtId="43" fontId="2" fillId="3" borderId="0" xfId="2" applyNumberFormat="1" applyFont="1" applyFill="1"/>
    <xf numFmtId="43" fontId="0" fillId="3" borderId="0" xfId="2" applyNumberFormat="1" applyFont="1" applyFill="1"/>
    <xf numFmtId="43" fontId="0" fillId="3" borderId="16" xfId="2" applyNumberFormat="1" applyFont="1" applyFill="1" applyBorder="1"/>
    <xf numFmtId="165" fontId="0" fillId="0" borderId="0" xfId="2" applyNumberFormat="1" applyFont="1" applyBorder="1"/>
    <xf numFmtId="165" fontId="0" fillId="0" borderId="9" xfId="2" applyNumberFormat="1" applyFont="1" applyBorder="1"/>
    <xf numFmtId="165" fontId="3" fillId="0" borderId="0" xfId="2" applyNumberFormat="1" applyFont="1" applyBorder="1"/>
    <xf numFmtId="165" fontId="3" fillId="0" borderId="9" xfId="2" applyNumberFormat="1" applyFont="1" applyBorder="1"/>
    <xf numFmtId="165" fontId="2" fillId="0" borderId="0" xfId="2" applyNumberFormat="1" applyFont="1"/>
    <xf numFmtId="165" fontId="0" fillId="0" borderId="0" xfId="2" applyNumberFormat="1" applyFont="1"/>
    <xf numFmtId="165" fontId="0" fillId="0" borderId="16" xfId="2" applyNumberFormat="1" applyFont="1" applyBorder="1"/>
    <xf numFmtId="43" fontId="0" fillId="0" borderId="0" xfId="1" quotePrefix="1" applyFon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3" fillId="0" borderId="0" xfId="0" applyNumberFormat="1" applyFont="1"/>
    <xf numFmtId="1" fontId="3" fillId="0" borderId="0" xfId="0" applyNumberFormat="1" applyFont="1"/>
    <xf numFmtId="169" fontId="3" fillId="0" borderId="0" xfId="0" applyNumberFormat="1" applyFont="1"/>
    <xf numFmtId="10" fontId="3" fillId="0" borderId="0" xfId="2" applyNumberFormat="1" applyFont="1"/>
    <xf numFmtId="166" fontId="3" fillId="0" borderId="0" xfId="1" applyNumberFormat="1" applyFont="1"/>
    <xf numFmtId="165" fontId="3" fillId="0" borderId="0" xfId="1" applyNumberFormat="1" applyFont="1"/>
    <xf numFmtId="10" fontId="0" fillId="0" borderId="0" xfId="0" applyNumberFormat="1"/>
    <xf numFmtId="165" fontId="2" fillId="0" borderId="16" xfId="2" applyNumberFormat="1" applyFont="1" applyBorder="1"/>
    <xf numFmtId="49" fontId="0" fillId="0" borderId="0" xfId="2" quotePrefix="1" applyNumberFormat="1" applyFont="1" applyBorder="1"/>
    <xf numFmtId="49" fontId="2" fillId="0" borderId="16" xfId="2" applyNumberFormat="1" applyFont="1" applyBorder="1"/>
    <xf numFmtId="49" fontId="0" fillId="0" borderId="0" xfId="2" applyNumberFormat="1" applyFont="1" applyBorder="1"/>
    <xf numFmtId="49" fontId="0" fillId="0" borderId="9" xfId="2" applyNumberFormat="1" applyFont="1" applyBorder="1"/>
    <xf numFmtId="49" fontId="3" fillId="0" borderId="0" xfId="2" applyNumberFormat="1" applyFont="1" applyBorder="1"/>
    <xf numFmtId="49" fontId="3" fillId="0" borderId="9" xfId="2" applyNumberFormat="1" applyFont="1" applyBorder="1"/>
    <xf numFmtId="49" fontId="2" fillId="0" borderId="0" xfId="2" applyNumberFormat="1" applyFont="1"/>
    <xf numFmtId="49" fontId="0" fillId="0" borderId="0" xfId="2" applyNumberFormat="1" applyFont="1"/>
    <xf numFmtId="164" fontId="0" fillId="0" borderId="0" xfId="0" applyNumberFormat="1"/>
    <xf numFmtId="164" fontId="3" fillId="0" borderId="0" xfId="1" applyNumberFormat="1" applyFont="1"/>
    <xf numFmtId="10" fontId="0" fillId="0" borderId="1" xfId="2" applyNumberFormat="1" applyFont="1" applyBorder="1"/>
    <xf numFmtId="10" fontId="2" fillId="0" borderId="0" xfId="2" applyNumberFormat="1" applyFont="1" applyBorder="1"/>
    <xf numFmtId="10" fontId="2" fillId="0" borderId="9" xfId="2" applyNumberFormat="1" applyFont="1" applyBorder="1"/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10" fontId="0" fillId="0" borderId="0" xfId="1" applyNumberFormat="1" applyFont="1"/>
    <xf numFmtId="168" fontId="0" fillId="0" borderId="0" xfId="2" applyNumberFormat="1" applyFont="1"/>
    <xf numFmtId="14" fontId="0" fillId="0" borderId="0" xfId="2" applyNumberFormat="1" applyFont="1"/>
    <xf numFmtId="14" fontId="2" fillId="0" borderId="0" xfId="2" applyNumberFormat="1" applyFont="1" applyBorder="1"/>
    <xf numFmtId="14" fontId="0" fillId="0" borderId="0" xfId="0" applyNumberFormat="1"/>
    <xf numFmtId="167" fontId="0" fillId="0" borderId="0" xfId="0" applyNumberFormat="1" applyAlignment="1">
      <alignment horizontal="left"/>
    </xf>
    <xf numFmtId="0" fontId="0" fillId="4" borderId="0" xfId="0" applyFill="1"/>
    <xf numFmtId="14" fontId="0" fillId="4" borderId="0" xfId="0" applyNumberFormat="1" applyFill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wrapText="1"/>
    </xf>
    <xf numFmtId="164" fontId="1" fillId="0" borderId="11" xfId="1" applyNumberFormat="1" applyFont="1" applyBorder="1" applyAlignment="1">
      <alignment horizontal="center"/>
    </xf>
    <xf numFmtId="164" fontId="1" fillId="0" borderId="12" xfId="1" applyNumberFormat="1" applyFont="1" applyBorder="1" applyAlignment="1">
      <alignment horizontal="center"/>
    </xf>
    <xf numFmtId="164" fontId="1" fillId="0" borderId="13" xfId="1" applyNumberFormat="1" applyFont="1" applyBorder="1" applyAlignment="1">
      <alignment horizontal="center"/>
    </xf>
    <xf numFmtId="43" fontId="1" fillId="0" borderId="11" xfId="1" applyFont="1" applyBorder="1" applyAlignment="1">
      <alignment horizontal="center"/>
    </xf>
    <xf numFmtId="43" fontId="1" fillId="0" borderId="12" xfId="1" applyFont="1" applyBorder="1" applyAlignment="1">
      <alignment horizontal="center"/>
    </xf>
    <xf numFmtId="43" fontId="1" fillId="0" borderId="13" xfId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9"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FFC000"/>
        </left>
        <vertical/>
        <horizontal/>
      </border>
    </dxf>
    <dxf>
      <border>
        <left style="thin">
          <color rgb="FFFF0000"/>
        </left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-* #,##0_-;\-* #,##0_-;_-* &quot;-&quot;??_-;_-@_-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4" formatCode="0.00%"/>
    </dxf>
    <dxf>
      <numFmt numFmtId="14" formatCode="0.0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numFmt numFmtId="165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border diagonalUp="0" diagonalDown="0" outline="0">
        <left/>
        <right style="medium">
          <color indexed="64"/>
        </right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165" formatCode="_-* #,##0.000_-;\-* #,##0.000_-;_-* &quot;-&quot;??_-;_-@_-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[DTA-AVG-H100_BS-65000__analyze.xlsx]pivot-ITL!PivotTable1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</c:pivotFmt>
      <c:pivotFmt>
        <c:idx val="6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'pivot-ITL'!$B$8:$B$10</c:f>
              <c:strCache>
                <c:ptCount val="1"/>
                <c:pt idx="0">
                  <c:v>23/03/2026 - 1-15K,300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'pivot-ITL'!$B$11:$B$225</c:f>
              <c:numCache>
                <c:formatCode>_-* #,##0.000_-;\-* #,##0.000_-;_-* "-"??_-;_-@_-</c:formatCode>
                <c:ptCount val="215"/>
                <c:pt idx="1">
                  <c:v>6.6212960266655973E-3</c:v>
                </c:pt>
                <c:pt idx="5">
                  <c:v>7.490851774883912E-3</c:v>
                </c:pt>
                <c:pt idx="9">
                  <c:v>8.1016796352175388E-3</c:v>
                </c:pt>
                <c:pt idx="18">
                  <c:v>9.0222427353906856E-3</c:v>
                </c:pt>
                <c:pt idx="34">
                  <c:v>1.1071213533300241E-2</c:v>
                </c:pt>
                <c:pt idx="46">
                  <c:v>1.2433206767652884E-2</c:v>
                </c:pt>
                <c:pt idx="58">
                  <c:v>1.584888159105512E-2</c:v>
                </c:pt>
                <c:pt idx="92">
                  <c:v>2.3421438229960803E-2</c:v>
                </c:pt>
                <c:pt idx="101">
                  <c:v>2.7628285836238893E-2</c:v>
                </c:pt>
                <c:pt idx="141">
                  <c:v>3.9794129214593008E-2</c:v>
                </c:pt>
                <c:pt idx="164">
                  <c:v>4.381452327098001E-2</c:v>
                </c:pt>
                <c:pt idx="198">
                  <c:v>5.524709918565901E-2</c:v>
                </c:pt>
                <c:pt idx="201">
                  <c:v>5.3300864370715025E-2</c:v>
                </c:pt>
                <c:pt idx="202">
                  <c:v>5.3554148032525548E-2</c:v>
                </c:pt>
                <c:pt idx="204">
                  <c:v>5.3560281516683059E-2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686-4EF6-8EE5-A5E5A82AF4C3}"/>
            </c:ext>
          </c:extLst>
        </c:ser>
        <c:ser>
          <c:idx val="1"/>
          <c:order val="1"/>
          <c:tx>
            <c:strRef>
              <c:f>'pivot-ITL'!$C$8:$C$10</c:f>
              <c:strCache>
                <c:ptCount val="1"/>
                <c:pt idx="0">
                  <c:v>23/03/2026 - 5K,100-1800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'pivot-ITL'!$C$11:$C$225</c:f>
              <c:numCache>
                <c:formatCode>_-* #,##0.000_-;\-* #,##0.000_-;_-* "-"??_-;_-@_-</c:formatCode>
                <c:ptCount val="215"/>
                <c:pt idx="7">
                  <c:v>9.6815497098528564E-3</c:v>
                </c:pt>
                <c:pt idx="16">
                  <c:v>9.9585361931964558E-3</c:v>
                </c:pt>
                <c:pt idx="36">
                  <c:v>1.1780866166576431E-2</c:v>
                </c:pt>
                <c:pt idx="40">
                  <c:v>1.1676885233167225E-2</c:v>
                </c:pt>
                <c:pt idx="56">
                  <c:v>1.2692933260667404E-2</c:v>
                </c:pt>
                <c:pt idx="64">
                  <c:v>1.2816159787474895E-2</c:v>
                </c:pt>
                <c:pt idx="88">
                  <c:v>1.622387482705575E-2</c:v>
                </c:pt>
                <c:pt idx="93">
                  <c:v>1.6070387078168404E-2</c:v>
                </c:pt>
                <c:pt idx="106">
                  <c:v>1.764151540892438E-2</c:v>
                </c:pt>
                <c:pt idx="115">
                  <c:v>1.9379795176355886E-2</c:v>
                </c:pt>
                <c:pt idx="118">
                  <c:v>1.8738186022315861E-2</c:v>
                </c:pt>
                <c:pt idx="119">
                  <c:v>1.9518618470788347E-2</c:v>
                </c:pt>
                <c:pt idx="158">
                  <c:v>2.5104176271498566E-2</c:v>
                </c:pt>
                <c:pt idx="162">
                  <c:v>2.5419000666195721E-2</c:v>
                </c:pt>
                <c:pt idx="169">
                  <c:v>2.4985119127032752E-2</c:v>
                </c:pt>
                <c:pt idx="175">
                  <c:v>2.464593313940986E-2</c:v>
                </c:pt>
                <c:pt idx="176">
                  <c:v>2.5266111224386646E-2</c:v>
                </c:pt>
                <c:pt idx="184">
                  <c:v>2.6117112964388428E-2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2F-467E-987B-8CB05B14897B}"/>
            </c:ext>
          </c:extLst>
        </c:ser>
        <c:ser>
          <c:idx val="2"/>
          <c:order val="2"/>
          <c:tx>
            <c:strRef>
              <c:f>'pivot-ITL'!$D$8:$D$10</c:f>
              <c:strCache>
                <c:ptCount val="1"/>
                <c:pt idx="0">
                  <c:v>23/03/2026 - 5K,200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'pivot-ITL'!$D$11:$D$225</c:f>
              <c:numCache>
                <c:formatCode>_-* #,##0.000_-;\-* #,##0.000_-;_-* "-"??_-;_-@_-</c:formatCode>
                <c:ptCount val="215"/>
                <c:pt idx="21">
                  <c:v>9.6212234184526301E-3</c:v>
                </c:pt>
                <c:pt idx="22">
                  <c:v>1.1228162871936714E-2</c:v>
                </c:pt>
                <c:pt idx="24">
                  <c:v>1.086438303311912E-2</c:v>
                </c:pt>
                <c:pt idx="29">
                  <c:v>1.1404410581020489E-2</c:v>
                </c:pt>
                <c:pt idx="37">
                  <c:v>1.3399499060221923E-2</c:v>
                </c:pt>
                <c:pt idx="41">
                  <c:v>1.3324501686882279E-2</c:v>
                </c:pt>
                <c:pt idx="48">
                  <c:v>1.5942548324487743E-2</c:v>
                </c:pt>
                <c:pt idx="57">
                  <c:v>1.6929177718728747E-2</c:v>
                </c:pt>
                <c:pt idx="65">
                  <c:v>1.8620865082390158E-2</c:v>
                </c:pt>
                <c:pt idx="66">
                  <c:v>1.9950350457762972E-2</c:v>
                </c:pt>
                <c:pt idx="68">
                  <c:v>2.3321659898174307E-2</c:v>
                </c:pt>
                <c:pt idx="83">
                  <c:v>2.4031371159684622E-2</c:v>
                </c:pt>
                <c:pt idx="90">
                  <c:v>2.7285715660388569E-2</c:v>
                </c:pt>
                <c:pt idx="116">
                  <c:v>3.6565374451086839E-2</c:v>
                </c:pt>
                <c:pt idx="130">
                  <c:v>4.0983470643534484E-2</c:v>
                </c:pt>
                <c:pt idx="144">
                  <c:v>4.4880637599709949E-2</c:v>
                </c:pt>
                <c:pt idx="149">
                  <c:v>4.6968770324398397E-2</c:v>
                </c:pt>
                <c:pt idx="151">
                  <c:v>4.943304710785449E-2</c:v>
                </c:pt>
                <c:pt idx="187">
                  <c:v>6.0949067151273024E-2</c:v>
                </c:pt>
                <c:pt idx="189">
                  <c:v>6.0201198214723778E-2</c:v>
                </c:pt>
                <c:pt idx="190">
                  <c:v>6.2837029255082055E-2</c:v>
                </c:pt>
                <c:pt idx="195">
                  <c:v>6.4225564259963633E-2</c:v>
                </c:pt>
                <c:pt idx="196">
                  <c:v>6.6213860636296473E-2</c:v>
                </c:pt>
                <c:pt idx="200">
                  <c:v>6.5766690236459535E-2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2F-467E-987B-8CB05B14897B}"/>
            </c:ext>
          </c:extLst>
        </c:ser>
        <c:ser>
          <c:idx val="3"/>
          <c:order val="3"/>
          <c:tx>
            <c:strRef>
              <c:f>'pivot-ITL'!$E$8:$E$10</c:f>
              <c:strCache>
                <c:ptCount val="1"/>
                <c:pt idx="0">
                  <c:v>23/03/2026 - 5K,500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'pivot-ITL'!$E$11:$E$225</c:f>
              <c:numCache>
                <c:formatCode>_-* #,##0.000_-;\-* #,##0.000_-;_-* "-"??_-;_-@_-</c:formatCode>
                <c:ptCount val="215"/>
                <c:pt idx="53">
                  <c:v>1.2235912914705667E-2</c:v>
                </c:pt>
                <c:pt idx="73">
                  <c:v>1.503680506743626E-2</c:v>
                </c:pt>
                <c:pt idx="74">
                  <c:v>1.4532837509576783E-2</c:v>
                </c:pt>
                <c:pt idx="78">
                  <c:v>1.5750199519474317E-2</c:v>
                </c:pt>
                <c:pt idx="86">
                  <c:v>1.7185741715384034E-2</c:v>
                </c:pt>
                <c:pt idx="109">
                  <c:v>2.1036300817882225E-2</c:v>
                </c:pt>
                <c:pt idx="131">
                  <c:v>2.5932778876334803E-2</c:v>
                </c:pt>
                <c:pt idx="133">
                  <c:v>2.6226145819888858E-2</c:v>
                </c:pt>
                <c:pt idx="160">
                  <c:v>3.2075457319147974E-2</c:v>
                </c:pt>
                <c:pt idx="177">
                  <c:v>3.5467753659058965E-2</c:v>
                </c:pt>
                <c:pt idx="179">
                  <c:v>3.6406629601579137E-2</c:v>
                </c:pt>
                <c:pt idx="192">
                  <c:v>3.8827688708399657E-2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2F-467E-987B-8CB05B14897B}"/>
            </c:ext>
          </c:extLst>
        </c:ser>
        <c:ser>
          <c:idx val="4"/>
          <c:order val="4"/>
          <c:tx>
            <c:strRef>
              <c:f>'pivot-ITL'!$G$8:$G$10</c:f>
              <c:strCache>
                <c:ptCount val="1"/>
                <c:pt idx="0">
                  <c:v>11/03/2026 - 1-15K,300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'pivot-ITL'!$G$11:$G$225</c:f>
              <c:numCache>
                <c:formatCode>_-* #,##0.000_-;\-* #,##0.000_-;_-* "-"??_-;_-@_-</c:formatCode>
                <c:ptCount val="215"/>
                <c:pt idx="0">
                  <c:v>6.596198861928409E-3</c:v>
                </c:pt>
                <c:pt idx="2">
                  <c:v>7.0278514508279053E-3</c:v>
                </c:pt>
                <c:pt idx="4">
                  <c:v>7.280404097911467E-3</c:v>
                </c:pt>
                <c:pt idx="8">
                  <c:v>8.0706952791960666E-3</c:v>
                </c:pt>
                <c:pt idx="10">
                  <c:v>8.2483981479025952E-3</c:v>
                </c:pt>
                <c:pt idx="15">
                  <c:v>9.0297684207135426E-3</c:v>
                </c:pt>
                <c:pt idx="17">
                  <c:v>9.3669171539898718E-3</c:v>
                </c:pt>
                <c:pt idx="30">
                  <c:v>1.0746412006416907E-2</c:v>
                </c:pt>
                <c:pt idx="49">
                  <c:v>1.3768167139153839E-2</c:v>
                </c:pt>
                <c:pt idx="50">
                  <c:v>1.3314866237425725E-2</c:v>
                </c:pt>
                <c:pt idx="60">
                  <c:v>1.555310791801642E-2</c:v>
                </c:pt>
                <c:pt idx="67">
                  <c:v>1.6170001649484025E-2</c:v>
                </c:pt>
                <c:pt idx="85">
                  <c:v>2.0987859075821697E-2</c:v>
                </c:pt>
                <c:pt idx="97">
                  <c:v>2.3725058598717791E-2</c:v>
                </c:pt>
                <c:pt idx="98">
                  <c:v>2.4980285222803156E-2</c:v>
                </c:pt>
                <c:pt idx="117">
                  <c:v>2.9957435989161077E-2</c:v>
                </c:pt>
                <c:pt idx="154">
                  <c:v>4.3304766797038811E-2</c:v>
                </c:pt>
                <c:pt idx="173">
                  <c:v>4.7299661496975204E-2</c:v>
                </c:pt>
                <c:pt idx="174">
                  <c:v>4.6026723483287776E-2</c:v>
                </c:pt>
                <c:pt idx="186">
                  <c:v>4.9184309247364444E-2</c:v>
                </c:pt>
                <c:pt idx="193">
                  <c:v>4.9659702641519837E-2</c:v>
                </c:pt>
                <c:pt idx="203">
                  <c:v>5.4880265473210399E-2</c:v>
                </c:pt>
                <c:pt idx="207">
                  <c:v>5.5731671260744756E-2</c:v>
                </c:pt>
                <c:pt idx="208">
                  <c:v>5.603377519936481E-2</c:v>
                </c:pt>
                <c:pt idx="209">
                  <c:v>5.2149953802764624E-2</c:v>
                </c:pt>
                <c:pt idx="210">
                  <c:v>5.2832270464367087E-2</c:v>
                </c:pt>
                <c:pt idx="211">
                  <c:v>5.4148147401154513E-2</c:v>
                </c:pt>
                <c:pt idx="212">
                  <c:v>5.398782987364837E-2</c:v>
                </c:pt>
                <c:pt idx="213">
                  <c:v>5.2854428180746427E-2</c:v>
                </c:pt>
                <c:pt idx="214">
                  <c:v>5.4345286202558019E-2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2F-467E-987B-8CB05B14897B}"/>
            </c:ext>
          </c:extLst>
        </c:ser>
        <c:ser>
          <c:idx val="5"/>
          <c:order val="5"/>
          <c:tx>
            <c:strRef>
              <c:f>'pivot-ITL'!$H$8:$H$10</c:f>
              <c:strCache>
                <c:ptCount val="1"/>
                <c:pt idx="0">
                  <c:v>11/03/2026 - 3K,100-1800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'pivot-ITL'!$H$11:$H$225</c:f>
              <c:numCache>
                <c:formatCode>_-* #,##0.000_-;\-* #,##0.000_-;_-* "-"??_-;_-@_-</c:formatCode>
                <c:ptCount val="215"/>
                <c:pt idx="3">
                  <c:v>8.4535995613054232E-3</c:v>
                </c:pt>
                <c:pt idx="11">
                  <c:v>9.0757148595714369E-3</c:v>
                </c:pt>
                <c:pt idx="27">
                  <c:v>9.7737484105561365E-3</c:v>
                </c:pt>
                <c:pt idx="42">
                  <c:v>1.0705457534636925E-2</c:v>
                </c:pt>
                <c:pt idx="45">
                  <c:v>1.0615078085420126E-2</c:v>
                </c:pt>
                <c:pt idx="54">
                  <c:v>1.1505180267543465E-2</c:v>
                </c:pt>
                <c:pt idx="59">
                  <c:v>1.1636336481284381E-2</c:v>
                </c:pt>
                <c:pt idx="81">
                  <c:v>1.3493247325563274E-2</c:v>
                </c:pt>
                <c:pt idx="102">
                  <c:v>1.6468549703887021E-2</c:v>
                </c:pt>
                <c:pt idx="105">
                  <c:v>1.7494420013152732E-2</c:v>
                </c:pt>
                <c:pt idx="111">
                  <c:v>1.7667547286003699E-2</c:v>
                </c:pt>
                <c:pt idx="122">
                  <c:v>1.8797775393388193E-2</c:v>
                </c:pt>
                <c:pt idx="127">
                  <c:v>1.995583345049148E-2</c:v>
                </c:pt>
                <c:pt idx="135">
                  <c:v>2.045607145350236E-2</c:v>
                </c:pt>
                <c:pt idx="145">
                  <c:v>2.1612713884395868E-2</c:v>
                </c:pt>
                <c:pt idx="155">
                  <c:v>2.2412820088045599E-2</c:v>
                </c:pt>
                <c:pt idx="157">
                  <c:v>2.3826842528162459E-2</c:v>
                </c:pt>
                <c:pt idx="159">
                  <c:v>2.2953772822062748E-2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2F-467E-987B-8CB05B14897B}"/>
            </c:ext>
          </c:extLst>
        </c:ser>
        <c:ser>
          <c:idx val="6"/>
          <c:order val="6"/>
          <c:tx>
            <c:strRef>
              <c:f>'pivot-ITL'!$I$8:$I$10</c:f>
              <c:strCache>
                <c:ptCount val="1"/>
                <c:pt idx="0">
                  <c:v>11/03/2026 - 5K,100-1800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'pivot-ITL'!$I$11:$I$225</c:f>
              <c:numCache>
                <c:formatCode>_-* #,##0.000_-;\-* #,##0.000_-;_-* "-"??_-;_-@_-</c:formatCode>
                <c:ptCount val="215"/>
                <c:pt idx="6">
                  <c:v>9.6372250619072009E-3</c:v>
                </c:pt>
                <c:pt idx="23">
                  <c:v>1.0460084484178884E-2</c:v>
                </c:pt>
                <c:pt idx="39">
                  <c:v>1.1342318018871873E-2</c:v>
                </c:pt>
                <c:pt idx="44">
                  <c:v>1.1075833659466924E-2</c:v>
                </c:pt>
                <c:pt idx="70">
                  <c:v>1.5406034269445123E-2</c:v>
                </c:pt>
                <c:pt idx="80">
                  <c:v>1.4934354230036029E-2</c:v>
                </c:pt>
                <c:pt idx="91">
                  <c:v>1.6075060193484956E-2</c:v>
                </c:pt>
                <c:pt idx="95">
                  <c:v>1.614998110024948E-2</c:v>
                </c:pt>
                <c:pt idx="107">
                  <c:v>1.7961932173386517E-2</c:v>
                </c:pt>
                <c:pt idx="114">
                  <c:v>1.8766042390591448E-2</c:v>
                </c:pt>
                <c:pt idx="129">
                  <c:v>2.0872182953329547E-2</c:v>
                </c:pt>
                <c:pt idx="132">
                  <c:v>2.0326716039575112E-2</c:v>
                </c:pt>
                <c:pt idx="140">
                  <c:v>2.1851780945371161E-2</c:v>
                </c:pt>
                <c:pt idx="163">
                  <c:v>2.4655918108415869E-2</c:v>
                </c:pt>
                <c:pt idx="165">
                  <c:v>2.4125358087585144E-2</c:v>
                </c:pt>
                <c:pt idx="167">
                  <c:v>2.4144724083930518E-2</c:v>
                </c:pt>
                <c:pt idx="170">
                  <c:v>2.4324583818512577E-2</c:v>
                </c:pt>
                <c:pt idx="171">
                  <c:v>2.5381527339316323E-2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2F-467E-987B-8CB05B14897B}"/>
            </c:ext>
          </c:extLst>
        </c:ser>
        <c:ser>
          <c:idx val="7"/>
          <c:order val="7"/>
          <c:tx>
            <c:strRef>
              <c:f>'pivot-ITL'!$J$8:$J$10</c:f>
              <c:strCache>
                <c:ptCount val="1"/>
                <c:pt idx="0">
                  <c:v>11/03/2026 - 5K,1K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'pivot-ITL'!$J$11:$J$225</c:f>
              <c:numCache>
                <c:formatCode>_-* #,##0.000_-;\-* #,##0.000_-;_-* "-"??_-;_-@_-</c:formatCode>
                <c:ptCount val="215"/>
                <c:pt idx="112">
                  <c:v>1.9820489445293736E-2</c:v>
                </c:pt>
                <c:pt idx="137">
                  <c:v>2.21166259454268E-2</c:v>
                </c:pt>
                <c:pt idx="139">
                  <c:v>2.3147635654410761E-2</c:v>
                </c:pt>
                <c:pt idx="156">
                  <c:v>2.7029909332638716E-2</c:v>
                </c:pt>
                <c:pt idx="161">
                  <c:v>2.7770829411846651E-2</c:v>
                </c:pt>
                <c:pt idx="166">
                  <c:v>2.8225682364917449E-2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2F-467E-987B-8CB05B14897B}"/>
            </c:ext>
          </c:extLst>
        </c:ser>
        <c:ser>
          <c:idx val="8"/>
          <c:order val="8"/>
          <c:tx>
            <c:strRef>
              <c:f>'pivot-ITL'!$K$8:$K$10</c:f>
              <c:strCache>
                <c:ptCount val="1"/>
                <c:pt idx="0">
                  <c:v>11/03/2026 - 5K,200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'pivot-ITL'!$K$11:$K$225</c:f>
              <c:numCache>
                <c:formatCode>_-* #,##0.000_-;\-* #,##0.000_-;_-* "-"??_-;_-@_-</c:formatCode>
                <c:ptCount val="215"/>
                <c:pt idx="19">
                  <c:v>1.0721021489823184E-2</c:v>
                </c:pt>
                <c:pt idx="25">
                  <c:v>1.128819261719761E-2</c:v>
                </c:pt>
                <c:pt idx="28">
                  <c:v>1.0464462487309993E-2</c:v>
                </c:pt>
                <c:pt idx="32">
                  <c:v>1.1873789179147687E-2</c:v>
                </c:pt>
                <c:pt idx="38">
                  <c:v>1.42198915768788E-2</c:v>
                </c:pt>
                <c:pt idx="43">
                  <c:v>1.3731578108277158E-2</c:v>
                </c:pt>
                <c:pt idx="47">
                  <c:v>1.6155172768504214E-2</c:v>
                </c:pt>
                <c:pt idx="52">
                  <c:v>1.8282164253900317E-2</c:v>
                </c:pt>
                <c:pt idx="61">
                  <c:v>1.8460602292626395E-2</c:v>
                </c:pt>
                <c:pt idx="76">
                  <c:v>2.2218246486298266E-2</c:v>
                </c:pt>
                <c:pt idx="87">
                  <c:v>2.5528575404787906E-2</c:v>
                </c:pt>
                <c:pt idx="89">
                  <c:v>2.6751555661055363E-2</c:v>
                </c:pt>
                <c:pt idx="103">
                  <c:v>2.9272509485958415E-2</c:v>
                </c:pt>
                <c:pt idx="104">
                  <c:v>3.4661223681564719E-2</c:v>
                </c:pt>
                <c:pt idx="113">
                  <c:v>3.8099701908507574E-2</c:v>
                </c:pt>
                <c:pt idx="121">
                  <c:v>4.0627822946799279E-2</c:v>
                </c:pt>
                <c:pt idx="138">
                  <c:v>4.6991688022651655E-2</c:v>
                </c:pt>
                <c:pt idx="142">
                  <c:v>5.2543123906379351E-2</c:v>
                </c:pt>
                <c:pt idx="143">
                  <c:v>5.4497487006289348E-2</c:v>
                </c:pt>
                <c:pt idx="146">
                  <c:v>5.1672567798732034E-2</c:v>
                </c:pt>
                <c:pt idx="147">
                  <c:v>5.1964322290533771E-2</c:v>
                </c:pt>
                <c:pt idx="152">
                  <c:v>5.388280799580767E-2</c:v>
                </c:pt>
                <c:pt idx="153">
                  <c:v>5.4876145341185456E-2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32F-467E-987B-8CB05B14897B}"/>
            </c:ext>
          </c:extLst>
        </c:ser>
        <c:ser>
          <c:idx val="9"/>
          <c:order val="9"/>
          <c:tx>
            <c:strRef>
              <c:f>'pivot-ITL'!$L$8:$L$10</c:f>
              <c:strCache>
                <c:ptCount val="1"/>
                <c:pt idx="0">
                  <c:v>11/03/2026 - 5K,300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'pivot-ITL'!$L$11:$L$225</c:f>
              <c:numCache>
                <c:formatCode>_-* #,##0.000_-;\-* #,##0.000_-;_-* "-"??_-;_-@_-</c:formatCode>
                <c:ptCount val="215"/>
                <c:pt idx="35">
                  <c:v>1.1154069304209259E-2</c:v>
                </c:pt>
                <c:pt idx="75">
                  <c:v>1.9149387940522167E-2</c:v>
                </c:pt>
                <c:pt idx="100">
                  <c:v>2.4075493365291672E-2</c:v>
                </c:pt>
                <c:pt idx="120">
                  <c:v>3.675773757560289E-2</c:v>
                </c:pt>
                <c:pt idx="134">
                  <c:v>3.9154183738759556E-2</c:v>
                </c:pt>
                <c:pt idx="181">
                  <c:v>4.9975882181106622E-2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32F-467E-987B-8CB05B14897B}"/>
            </c:ext>
          </c:extLst>
        </c:ser>
        <c:ser>
          <c:idx val="10"/>
          <c:order val="10"/>
          <c:tx>
            <c:strRef>
              <c:f>'pivot-ITL'!$M$8:$M$10</c:f>
              <c:strCache>
                <c:ptCount val="1"/>
                <c:pt idx="0">
                  <c:v>11/03/2026 - 5K,500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'pivot-ITL'!$M$11:$M$225</c:f>
              <c:numCache>
                <c:formatCode>_-* #,##0.000_-;\-* #,##0.000_-;_-* "-"??_-;_-@_-</c:formatCode>
                <c:ptCount val="215"/>
                <c:pt idx="62">
                  <c:v>1.3253454096760171E-2</c:v>
                </c:pt>
                <c:pt idx="63">
                  <c:v>1.3675466659039886E-2</c:v>
                </c:pt>
                <c:pt idx="72">
                  <c:v>1.4772788022741266E-2</c:v>
                </c:pt>
                <c:pt idx="79">
                  <c:v>1.5582201915096445E-2</c:v>
                </c:pt>
                <c:pt idx="82">
                  <c:v>1.6073429748460325E-2</c:v>
                </c:pt>
                <c:pt idx="84">
                  <c:v>1.7040464900077414E-2</c:v>
                </c:pt>
                <c:pt idx="94">
                  <c:v>1.7937609454206145E-2</c:v>
                </c:pt>
                <c:pt idx="99">
                  <c:v>1.9511345407451829E-2</c:v>
                </c:pt>
                <c:pt idx="123">
                  <c:v>2.4015037537711399E-2</c:v>
                </c:pt>
                <c:pt idx="124">
                  <c:v>2.534745202136612E-2</c:v>
                </c:pt>
                <c:pt idx="125">
                  <c:v>2.899486974076091E-2</c:v>
                </c:pt>
                <c:pt idx="126">
                  <c:v>2.6898599939678539E-2</c:v>
                </c:pt>
                <c:pt idx="128">
                  <c:v>2.7495596487765641E-2</c:v>
                </c:pt>
                <c:pt idx="148">
                  <c:v>3.0594831133307181E-2</c:v>
                </c:pt>
                <c:pt idx="150">
                  <c:v>3.1481167201555318E-2</c:v>
                </c:pt>
                <c:pt idx="180">
                  <c:v>3.7746585141523716E-2</c:v>
                </c:pt>
                <c:pt idx="183">
                  <c:v>3.6644341857891408E-2</c:v>
                </c:pt>
                <c:pt idx="194">
                  <c:v>3.985327849326771E-2</c:v>
                </c:pt>
                <c:pt idx="197">
                  <c:v>4.0333052586724066E-2</c:v>
                </c:pt>
                <c:pt idx="205">
                  <c:v>4.0817544585313267E-2</c:v>
                </c:pt>
                <c:pt idx="206">
                  <c:v>4.0722935856781238E-2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32F-467E-987B-8CB05B14897B}"/>
            </c:ext>
          </c:extLst>
        </c:ser>
        <c:ser>
          <c:idx val="11"/>
          <c:order val="11"/>
          <c:tx>
            <c:strRef>
              <c:f>'pivot-ITL'!$N$8:$N$10</c:f>
              <c:strCache>
                <c:ptCount val="1"/>
                <c:pt idx="0">
                  <c:v>11/03/2026 - 6K,100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'pivot-ITL'!$A$11:$A$225</c:f>
              <c:strCache>
                <c:ptCount val="215"/>
                <c:pt idx="0">
                  <c:v>1.0%</c:v>
                </c:pt>
                <c:pt idx="1">
                  <c:v>1.2%</c:v>
                </c:pt>
                <c:pt idx="2">
                  <c:v>1.7%</c:v>
                </c:pt>
                <c:pt idx="3">
                  <c:v>1.7%</c:v>
                </c:pt>
                <c:pt idx="4">
                  <c:v>2.0%</c:v>
                </c:pt>
                <c:pt idx="5">
                  <c:v>2.6%</c:v>
                </c:pt>
                <c:pt idx="6">
                  <c:v>2.8%</c:v>
                </c:pt>
                <c:pt idx="7">
                  <c:v>3.1%</c:v>
                </c:pt>
                <c:pt idx="8">
                  <c:v>3.6%</c:v>
                </c:pt>
                <c:pt idx="9">
                  <c:v>3.7%</c:v>
                </c:pt>
                <c:pt idx="10">
                  <c:v>4.0%</c:v>
                </c:pt>
                <c:pt idx="11">
                  <c:v>4.1%</c:v>
                </c:pt>
                <c:pt idx="12">
                  <c:v>4.5%</c:v>
                </c:pt>
                <c:pt idx="13">
                  <c:v>4.6%</c:v>
                </c:pt>
                <c:pt idx="14">
                  <c:v>5.5%</c:v>
                </c:pt>
                <c:pt idx="15">
                  <c:v>5.5%</c:v>
                </c:pt>
                <c:pt idx="16">
                  <c:v>5.7%</c:v>
                </c:pt>
                <c:pt idx="17">
                  <c:v>5.8%</c:v>
                </c:pt>
                <c:pt idx="18">
                  <c:v>5.8%</c:v>
                </c:pt>
                <c:pt idx="19">
                  <c:v>5.9%</c:v>
                </c:pt>
                <c:pt idx="20">
                  <c:v>5.9%</c:v>
                </c:pt>
                <c:pt idx="21">
                  <c:v>5.9%</c:v>
                </c:pt>
                <c:pt idx="22">
                  <c:v>6.1%</c:v>
                </c:pt>
                <c:pt idx="23">
                  <c:v>6.2%</c:v>
                </c:pt>
                <c:pt idx="24">
                  <c:v>6.4%</c:v>
                </c:pt>
                <c:pt idx="25">
                  <c:v>6.4%</c:v>
                </c:pt>
                <c:pt idx="26">
                  <c:v>6.8%</c:v>
                </c:pt>
                <c:pt idx="27">
                  <c:v>6.8%</c:v>
                </c:pt>
                <c:pt idx="28">
                  <c:v>7.0%</c:v>
                </c:pt>
                <c:pt idx="29">
                  <c:v>7.2%</c:v>
                </c:pt>
                <c:pt idx="30">
                  <c:v>7.8%</c:v>
                </c:pt>
                <c:pt idx="31">
                  <c:v>7.9%</c:v>
                </c:pt>
                <c:pt idx="32">
                  <c:v>8.0%</c:v>
                </c:pt>
                <c:pt idx="33">
                  <c:v>8.1%</c:v>
                </c:pt>
                <c:pt idx="34">
                  <c:v>8.1%</c:v>
                </c:pt>
                <c:pt idx="35">
                  <c:v>8.4%</c:v>
                </c:pt>
                <c:pt idx="36">
                  <c:v>8.5%</c:v>
                </c:pt>
                <c:pt idx="37">
                  <c:v>8.9%</c:v>
                </c:pt>
                <c:pt idx="38">
                  <c:v>9.3%</c:v>
                </c:pt>
                <c:pt idx="39">
                  <c:v>9.5%</c:v>
                </c:pt>
                <c:pt idx="40">
                  <c:v>9.6%</c:v>
                </c:pt>
                <c:pt idx="41">
                  <c:v>9.7%</c:v>
                </c:pt>
                <c:pt idx="42">
                  <c:v>9.9%</c:v>
                </c:pt>
                <c:pt idx="43">
                  <c:v>10.2%</c:v>
                </c:pt>
                <c:pt idx="44">
                  <c:v>10.7%</c:v>
                </c:pt>
                <c:pt idx="45">
                  <c:v>11.5%</c:v>
                </c:pt>
                <c:pt idx="46">
                  <c:v>11.8%</c:v>
                </c:pt>
                <c:pt idx="47">
                  <c:v>12.8%</c:v>
                </c:pt>
                <c:pt idx="48">
                  <c:v>13.2%</c:v>
                </c:pt>
                <c:pt idx="49">
                  <c:v>13.6%</c:v>
                </c:pt>
                <c:pt idx="50">
                  <c:v>13.6%</c:v>
                </c:pt>
                <c:pt idx="51">
                  <c:v>13.8%</c:v>
                </c:pt>
                <c:pt idx="52">
                  <c:v>14.1%</c:v>
                </c:pt>
                <c:pt idx="53">
                  <c:v>14.4%</c:v>
                </c:pt>
                <c:pt idx="54">
                  <c:v>15.4%</c:v>
                </c:pt>
                <c:pt idx="55">
                  <c:v>15.5%</c:v>
                </c:pt>
                <c:pt idx="56">
                  <c:v>15.8%</c:v>
                </c:pt>
                <c:pt idx="57">
                  <c:v>15.9%</c:v>
                </c:pt>
                <c:pt idx="58">
                  <c:v>16.0%</c:v>
                </c:pt>
                <c:pt idx="59">
                  <c:v>16.7%</c:v>
                </c:pt>
                <c:pt idx="60">
                  <c:v>17.1%</c:v>
                </c:pt>
                <c:pt idx="61">
                  <c:v>17.1%</c:v>
                </c:pt>
                <c:pt idx="62">
                  <c:v>17.2%</c:v>
                </c:pt>
                <c:pt idx="63">
                  <c:v>17.9%</c:v>
                </c:pt>
                <c:pt idx="64">
                  <c:v>17.9%</c:v>
                </c:pt>
                <c:pt idx="65">
                  <c:v>18.2%</c:v>
                </c:pt>
                <c:pt idx="66">
                  <c:v>18.4%</c:v>
                </c:pt>
                <c:pt idx="67">
                  <c:v>18.5%</c:v>
                </c:pt>
                <c:pt idx="68">
                  <c:v>20.2%</c:v>
                </c:pt>
                <c:pt idx="69">
                  <c:v>20.3%</c:v>
                </c:pt>
                <c:pt idx="70">
                  <c:v>21.2%</c:v>
                </c:pt>
                <c:pt idx="71">
                  <c:v>21.2%</c:v>
                </c:pt>
                <c:pt idx="72">
                  <c:v>21.3%</c:v>
                </c:pt>
                <c:pt idx="73">
                  <c:v>21.8%</c:v>
                </c:pt>
                <c:pt idx="74">
                  <c:v>21.9%</c:v>
                </c:pt>
                <c:pt idx="75">
                  <c:v>22.9%</c:v>
                </c:pt>
                <c:pt idx="76">
                  <c:v>23.0%</c:v>
                </c:pt>
                <c:pt idx="77">
                  <c:v>23.2%</c:v>
                </c:pt>
                <c:pt idx="78">
                  <c:v>23.7%</c:v>
                </c:pt>
                <c:pt idx="79">
                  <c:v>23.9%</c:v>
                </c:pt>
                <c:pt idx="80">
                  <c:v>24.1%</c:v>
                </c:pt>
                <c:pt idx="81">
                  <c:v>24.2%</c:v>
                </c:pt>
                <c:pt idx="82">
                  <c:v>25.3%</c:v>
                </c:pt>
                <c:pt idx="83">
                  <c:v>25.6%</c:v>
                </c:pt>
                <c:pt idx="84">
                  <c:v>26.6%</c:v>
                </c:pt>
                <c:pt idx="85">
                  <c:v>27.6%</c:v>
                </c:pt>
                <c:pt idx="86">
                  <c:v>28.0%</c:v>
                </c:pt>
                <c:pt idx="87">
                  <c:v>28.2%</c:v>
                </c:pt>
                <c:pt idx="88">
                  <c:v>29.1%</c:v>
                </c:pt>
                <c:pt idx="89">
                  <c:v>29.2%</c:v>
                </c:pt>
                <c:pt idx="90">
                  <c:v>29.4%</c:v>
                </c:pt>
                <c:pt idx="91">
                  <c:v>29.7%</c:v>
                </c:pt>
                <c:pt idx="92">
                  <c:v>30.6%</c:v>
                </c:pt>
                <c:pt idx="93">
                  <c:v>30.8%</c:v>
                </c:pt>
                <c:pt idx="94">
                  <c:v>31.0%</c:v>
                </c:pt>
                <c:pt idx="95">
                  <c:v>31.6%</c:v>
                </c:pt>
                <c:pt idx="96">
                  <c:v>32.8%</c:v>
                </c:pt>
                <c:pt idx="97">
                  <c:v>33.3%</c:v>
                </c:pt>
                <c:pt idx="98">
                  <c:v>33.5%</c:v>
                </c:pt>
                <c:pt idx="99">
                  <c:v>33.9%</c:v>
                </c:pt>
                <c:pt idx="100">
                  <c:v>34.0%</c:v>
                </c:pt>
                <c:pt idx="101">
                  <c:v>35.0%</c:v>
                </c:pt>
                <c:pt idx="102">
                  <c:v>35.9%</c:v>
                </c:pt>
                <c:pt idx="103">
                  <c:v>36.0%</c:v>
                </c:pt>
                <c:pt idx="104">
                  <c:v>36.4%</c:v>
                </c:pt>
                <c:pt idx="105">
                  <c:v>37.6%</c:v>
                </c:pt>
                <c:pt idx="106">
                  <c:v>38.0%</c:v>
                </c:pt>
                <c:pt idx="107">
                  <c:v>39.2%</c:v>
                </c:pt>
                <c:pt idx="108">
                  <c:v>39.2%</c:v>
                </c:pt>
                <c:pt idx="109">
                  <c:v>39.4%</c:v>
                </c:pt>
                <c:pt idx="110">
                  <c:v>41.0%</c:v>
                </c:pt>
                <c:pt idx="111">
                  <c:v>41.4%</c:v>
                </c:pt>
                <c:pt idx="112">
                  <c:v>41.7%</c:v>
                </c:pt>
                <c:pt idx="113">
                  <c:v>41.9%</c:v>
                </c:pt>
                <c:pt idx="114">
                  <c:v>43.7%</c:v>
                </c:pt>
                <c:pt idx="115">
                  <c:v>44.3%</c:v>
                </c:pt>
                <c:pt idx="116">
                  <c:v>44.5%</c:v>
                </c:pt>
                <c:pt idx="117">
                  <c:v>45.1%</c:v>
                </c:pt>
                <c:pt idx="118">
                  <c:v>45.9%</c:v>
                </c:pt>
                <c:pt idx="119">
                  <c:v>46.0%</c:v>
                </c:pt>
                <c:pt idx="120">
                  <c:v>46.1%</c:v>
                </c:pt>
                <c:pt idx="121">
                  <c:v>46.8%</c:v>
                </c:pt>
                <c:pt idx="122">
                  <c:v>46.9%</c:v>
                </c:pt>
                <c:pt idx="123">
                  <c:v>47.6%</c:v>
                </c:pt>
                <c:pt idx="124">
                  <c:v>47.6%</c:v>
                </c:pt>
                <c:pt idx="125">
                  <c:v>47.8%</c:v>
                </c:pt>
                <c:pt idx="126">
                  <c:v>48.3%</c:v>
                </c:pt>
                <c:pt idx="127">
                  <c:v>48.5%</c:v>
                </c:pt>
                <c:pt idx="128">
                  <c:v>49.4%</c:v>
                </c:pt>
                <c:pt idx="129">
                  <c:v>49.4%</c:v>
                </c:pt>
                <c:pt idx="130">
                  <c:v>49.7%</c:v>
                </c:pt>
                <c:pt idx="131">
                  <c:v>50.3%</c:v>
                </c:pt>
                <c:pt idx="132">
                  <c:v>51.1%</c:v>
                </c:pt>
                <c:pt idx="133">
                  <c:v>51.1%</c:v>
                </c:pt>
                <c:pt idx="134">
                  <c:v>52.4%</c:v>
                </c:pt>
                <c:pt idx="135">
                  <c:v>52.6%</c:v>
                </c:pt>
                <c:pt idx="136">
                  <c:v>53.5%</c:v>
                </c:pt>
                <c:pt idx="137">
                  <c:v>54.1%</c:v>
                </c:pt>
                <c:pt idx="138">
                  <c:v>54.1%</c:v>
                </c:pt>
                <c:pt idx="139">
                  <c:v>56.0%</c:v>
                </c:pt>
                <c:pt idx="140">
                  <c:v>56.7%</c:v>
                </c:pt>
                <c:pt idx="141">
                  <c:v>57.4%</c:v>
                </c:pt>
                <c:pt idx="142">
                  <c:v>57.6%</c:v>
                </c:pt>
                <c:pt idx="143">
                  <c:v>57.8%</c:v>
                </c:pt>
                <c:pt idx="144">
                  <c:v>58.0%</c:v>
                </c:pt>
                <c:pt idx="145">
                  <c:v>58.2%</c:v>
                </c:pt>
                <c:pt idx="146">
                  <c:v>58.3%</c:v>
                </c:pt>
                <c:pt idx="147">
                  <c:v>58.7%</c:v>
                </c:pt>
                <c:pt idx="148">
                  <c:v>60.6%</c:v>
                </c:pt>
                <c:pt idx="149">
                  <c:v>60.6%</c:v>
                </c:pt>
                <c:pt idx="150">
                  <c:v>61.4%</c:v>
                </c:pt>
                <c:pt idx="151">
                  <c:v>61.6%</c:v>
                </c:pt>
                <c:pt idx="152">
                  <c:v>61.6%</c:v>
                </c:pt>
                <c:pt idx="153">
                  <c:v>62.5%</c:v>
                </c:pt>
                <c:pt idx="154">
                  <c:v>63.2%</c:v>
                </c:pt>
                <c:pt idx="155">
                  <c:v>63.7%</c:v>
                </c:pt>
                <c:pt idx="156">
                  <c:v>65.1%</c:v>
                </c:pt>
                <c:pt idx="157">
                  <c:v>65.4%</c:v>
                </c:pt>
                <c:pt idx="158">
                  <c:v>65.6%</c:v>
                </c:pt>
                <c:pt idx="159">
                  <c:v>66.3%</c:v>
                </c:pt>
                <c:pt idx="160">
                  <c:v>66.8%</c:v>
                </c:pt>
                <c:pt idx="161">
                  <c:v>67.2%</c:v>
                </c:pt>
                <c:pt idx="162">
                  <c:v>67.3%</c:v>
                </c:pt>
                <c:pt idx="163">
                  <c:v>67.4%</c:v>
                </c:pt>
                <c:pt idx="164">
                  <c:v>67.8%</c:v>
                </c:pt>
                <c:pt idx="165">
                  <c:v>68.7%</c:v>
                </c:pt>
                <c:pt idx="166">
                  <c:v>69.2%</c:v>
                </c:pt>
                <c:pt idx="167">
                  <c:v>69.2%</c:v>
                </c:pt>
                <c:pt idx="168">
                  <c:v>69.9%</c:v>
                </c:pt>
                <c:pt idx="169">
                  <c:v>70.6%</c:v>
                </c:pt>
                <c:pt idx="170">
                  <c:v>71.0%</c:v>
                </c:pt>
                <c:pt idx="171">
                  <c:v>71.6%</c:v>
                </c:pt>
                <c:pt idx="172">
                  <c:v>71.6%</c:v>
                </c:pt>
                <c:pt idx="173">
                  <c:v>71.9%</c:v>
                </c:pt>
                <c:pt idx="174">
                  <c:v>71.9%</c:v>
                </c:pt>
                <c:pt idx="175">
                  <c:v>72.7%</c:v>
                </c:pt>
                <c:pt idx="176">
                  <c:v>73.1%</c:v>
                </c:pt>
                <c:pt idx="177">
                  <c:v>73.1%</c:v>
                </c:pt>
                <c:pt idx="178">
                  <c:v>73.8%</c:v>
                </c:pt>
                <c:pt idx="179">
                  <c:v>74.0%</c:v>
                </c:pt>
                <c:pt idx="180">
                  <c:v>74.5%</c:v>
                </c:pt>
                <c:pt idx="181">
                  <c:v>75.7%</c:v>
                </c:pt>
                <c:pt idx="182">
                  <c:v>75.8%</c:v>
                </c:pt>
                <c:pt idx="183">
                  <c:v>75.9%</c:v>
                </c:pt>
                <c:pt idx="184">
                  <c:v>76.3%</c:v>
                </c:pt>
                <c:pt idx="185">
                  <c:v>76.3%</c:v>
                </c:pt>
                <c:pt idx="186">
                  <c:v>77.0%</c:v>
                </c:pt>
                <c:pt idx="187">
                  <c:v>78.1%</c:v>
                </c:pt>
                <c:pt idx="188">
                  <c:v>78.2%</c:v>
                </c:pt>
                <c:pt idx="189">
                  <c:v>78.3%</c:v>
                </c:pt>
                <c:pt idx="190">
                  <c:v>78.8%</c:v>
                </c:pt>
                <c:pt idx="191">
                  <c:v>79.7%</c:v>
                </c:pt>
                <c:pt idx="192">
                  <c:v>81.0%</c:v>
                </c:pt>
                <c:pt idx="193">
                  <c:v>81.2%</c:v>
                </c:pt>
                <c:pt idx="194">
                  <c:v>81.6%</c:v>
                </c:pt>
                <c:pt idx="195">
                  <c:v>82.1%</c:v>
                </c:pt>
                <c:pt idx="196">
                  <c:v>82.6%</c:v>
                </c:pt>
                <c:pt idx="197">
                  <c:v>84.2%</c:v>
                </c:pt>
                <c:pt idx="198">
                  <c:v>84.3%</c:v>
                </c:pt>
                <c:pt idx="199">
                  <c:v>84.5%</c:v>
                </c:pt>
                <c:pt idx="200">
                  <c:v>84.8%</c:v>
                </c:pt>
                <c:pt idx="201">
                  <c:v>84.9%</c:v>
                </c:pt>
                <c:pt idx="202">
                  <c:v>85.1%</c:v>
                </c:pt>
                <c:pt idx="203">
                  <c:v>85.3%</c:v>
                </c:pt>
                <c:pt idx="204">
                  <c:v>85.5%</c:v>
                </c:pt>
                <c:pt idx="205">
                  <c:v>86.2%</c:v>
                </c:pt>
                <c:pt idx="206">
                  <c:v>86.8%</c:v>
                </c:pt>
                <c:pt idx="207">
                  <c:v>86.8%</c:v>
                </c:pt>
                <c:pt idx="208">
                  <c:v>87.0%</c:v>
                </c:pt>
                <c:pt idx="209">
                  <c:v>87.2%</c:v>
                </c:pt>
                <c:pt idx="210">
                  <c:v>87.5%</c:v>
                </c:pt>
                <c:pt idx="211">
                  <c:v>87.5%</c:v>
                </c:pt>
                <c:pt idx="212">
                  <c:v>88.1%</c:v>
                </c:pt>
                <c:pt idx="213">
                  <c:v>90.0%</c:v>
                </c:pt>
                <c:pt idx="214">
                  <c:v>90.9%</c:v>
                </c:pt>
              </c:strCache>
            </c:strRef>
          </c:cat>
          <c:val>
            <c:numRef>
              <c:f>'pivot-ITL'!$N$11:$N$225</c:f>
              <c:numCache>
                <c:formatCode>_-* #,##0.000_-;\-* #,##0.000_-;_-* "-"??_-;_-@_-</c:formatCode>
                <c:ptCount val="215"/>
                <c:pt idx="12">
                  <c:v>1.1061016764952936E-2</c:v>
                </c:pt>
                <c:pt idx="13">
                  <c:v>1.1654574736677229E-2</c:v>
                </c:pt>
                <c:pt idx="14">
                  <c:v>1.8346191558481693E-2</c:v>
                </c:pt>
                <c:pt idx="20">
                  <c:v>1.3275207717987576E-2</c:v>
                </c:pt>
                <c:pt idx="26">
                  <c:v>1.4768636010278974E-2</c:v>
                </c:pt>
                <c:pt idx="31">
                  <c:v>1.5918493463828256E-2</c:v>
                </c:pt>
                <c:pt idx="33">
                  <c:v>1.5086350243453263E-2</c:v>
                </c:pt>
                <c:pt idx="51">
                  <c:v>2.2143876234593563E-2</c:v>
                </c:pt>
                <c:pt idx="55">
                  <c:v>2.4129971595228988E-2</c:v>
                </c:pt>
                <c:pt idx="69">
                  <c:v>3.164305115443973E-2</c:v>
                </c:pt>
                <c:pt idx="71">
                  <c:v>3.5378277627620171E-2</c:v>
                </c:pt>
                <c:pt idx="77">
                  <c:v>3.8194114817827314E-2</c:v>
                </c:pt>
                <c:pt idx="96">
                  <c:v>4.5377523930434899E-2</c:v>
                </c:pt>
                <c:pt idx="108">
                  <c:v>5.6983425120598952E-2</c:v>
                </c:pt>
                <c:pt idx="110">
                  <c:v>5.5761778610436331E-2</c:v>
                </c:pt>
                <c:pt idx="136">
                  <c:v>7.0172334482096241E-2</c:v>
                </c:pt>
                <c:pt idx="168">
                  <c:v>8.4682442355198839E-2</c:v>
                </c:pt>
                <c:pt idx="172">
                  <c:v>9.0844476588396894E-2</c:v>
                </c:pt>
                <c:pt idx="178">
                  <c:v>9.7520763342730118E-2</c:v>
                </c:pt>
                <c:pt idx="182">
                  <c:v>0.10462679664851991</c:v>
                </c:pt>
                <c:pt idx="185">
                  <c:v>0.10106962356492293</c:v>
                </c:pt>
                <c:pt idx="188">
                  <c:v>9.6583568567583281E-2</c:v>
                </c:pt>
                <c:pt idx="191">
                  <c:v>0.10782964884424413</c:v>
                </c:pt>
                <c:pt idx="199">
                  <c:v>0.11063943531066119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32F-467E-987B-8CB05B14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278367"/>
        <c:axId val="1970279327"/>
      </c:lineChart>
      <c:catAx>
        <c:axId val="19702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79327"/>
        <c:crosses val="autoZero"/>
        <c:auto val="1"/>
        <c:lblAlgn val="ctr"/>
        <c:lblOffset val="100"/>
        <c:noMultiLvlLbl val="0"/>
      </c:catAx>
      <c:valAx>
        <c:axId val="19702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Table2[[#Headers],[Average of ITL]]</c:f>
          <c:strCache>
            <c:ptCount val="1"/>
            <c:pt idx="0">
              <c:v>Average of ITL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ITL!$B$2</c:f>
              <c:strCache>
                <c:ptCount val="1"/>
                <c:pt idx="0">
                  <c:v>1-15K,300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193956654837875E-2"/>
                  <c:y val="2.5738075843967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ITL!$B$3:$B$77</c:f>
              <c:numCache>
                <c:formatCode>General</c:formatCode>
                <c:ptCount val="75"/>
                <c:pt idx="0">
                  <c:v>6.9681514702225932E-3</c:v>
                </c:pt>
                <c:pt idx="1">
                  <c:v>#N/A</c:v>
                </c:pt>
                <c:pt idx="2">
                  <c:v>8.1595467135493309E-3</c:v>
                </c:pt>
                <c:pt idx="3">
                  <c:v>#N/A</c:v>
                </c:pt>
                <c:pt idx="4">
                  <c:v>9.1983427873517064E-3</c:v>
                </c:pt>
                <c:pt idx="5">
                  <c:v>#N/A</c:v>
                </c:pt>
                <c:pt idx="6">
                  <c:v>1.0746412006416907E-2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1.3541516688289783E-2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1.555310791801642E-2</c:v>
                </c:pt>
                <c:pt idx="17">
                  <c:v>1.6170001649484025E-2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2.0987859075821697E-2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2.4352671910760473E-2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2.9957435989161077E-2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4.3304766797038811E-2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4.666319249013149E-2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4.9184309247364444E-2</c:v>
                </c:pt>
                <c:pt idx="66">
                  <c:v>#N/A</c:v>
                </c:pt>
                <c:pt idx="67">
                  <c:v>#N/A</c:v>
                </c:pt>
                <c:pt idx="68">
                  <c:v>4.9659702641519837E-2</c:v>
                </c:pt>
                <c:pt idx="69">
                  <c:v>#N/A</c:v>
                </c:pt>
                <c:pt idx="70">
                  <c:v>5.4880265473210399E-2</c:v>
                </c:pt>
                <c:pt idx="71">
                  <c:v>5.5731671260744756E-2</c:v>
                </c:pt>
                <c:pt idx="72">
                  <c:v>5.3791036716912759E-2</c:v>
                </c:pt>
                <c:pt idx="73">
                  <c:v>5.398782987364837E-2</c:v>
                </c:pt>
                <c:pt idx="74">
                  <c:v>5.3599857191652223E-2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6-47B5-94D1-E52D48984BD5}"/>
            </c:ext>
          </c:extLst>
        </c:ser>
        <c:ser>
          <c:idx val="1"/>
          <c:order val="1"/>
          <c:tx>
            <c:strRef>
              <c:f>ITL!$C$2</c:f>
              <c:strCache>
                <c:ptCount val="1"/>
                <c:pt idx="0">
                  <c:v>3K,100-1800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420845419026866E-2"/>
                  <c:y val="2.59518508462305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ITL!$C$3:$C$77</c:f>
              <c:numCache>
                <c:formatCode>General</c:formatCode>
                <c:ptCount val="75"/>
                <c:pt idx="0">
                  <c:v>8.4535995613054232E-3</c:v>
                </c:pt>
                <c:pt idx="1">
                  <c:v>#N/A</c:v>
                </c:pt>
                <c:pt idx="2">
                  <c:v>#N/A</c:v>
                </c:pt>
                <c:pt idx="3">
                  <c:v>9.0757148595714369E-3</c:v>
                </c:pt>
                <c:pt idx="4">
                  <c:v>#N/A</c:v>
                </c:pt>
                <c:pt idx="5">
                  <c:v>9.7737484105561365E-3</c:v>
                </c:pt>
                <c:pt idx="6">
                  <c:v>#N/A</c:v>
                </c:pt>
                <c:pt idx="7">
                  <c:v>#N/A</c:v>
                </c:pt>
                <c:pt idx="8">
                  <c:v>1.0705457534636925E-2</c:v>
                </c:pt>
                <c:pt idx="9">
                  <c:v>#N/A</c:v>
                </c:pt>
                <c:pt idx="10">
                  <c:v>1.0615078085420126E-2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1.1505180267543465E-2</c:v>
                </c:pt>
                <c:pt idx="15">
                  <c:v>1.1636336481284381E-2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1.3493247325563274E-2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1.6468549703887021E-2</c:v>
                </c:pt>
                <c:pt idx="33">
                  <c:v>#N/A</c:v>
                </c:pt>
                <c:pt idx="34">
                  <c:v>1.7494420013152732E-2</c:v>
                </c:pt>
                <c:pt idx="35">
                  <c:v>#N/A</c:v>
                </c:pt>
                <c:pt idx="36">
                  <c:v>#N/A</c:v>
                </c:pt>
                <c:pt idx="37">
                  <c:v>1.7667547286003699E-2</c:v>
                </c:pt>
                <c:pt idx="38">
                  <c:v>#N/A</c:v>
                </c:pt>
                <c:pt idx="39">
                  <c:v>#N/A</c:v>
                </c:pt>
                <c:pt idx="40">
                  <c:v>1.8797775393388193E-2</c:v>
                </c:pt>
                <c:pt idx="41">
                  <c:v>#N/A</c:v>
                </c:pt>
                <c:pt idx="42">
                  <c:v>1.995583345049148E-2</c:v>
                </c:pt>
                <c:pt idx="43">
                  <c:v>#N/A</c:v>
                </c:pt>
                <c:pt idx="44">
                  <c:v>#N/A</c:v>
                </c:pt>
                <c:pt idx="45">
                  <c:v>2.045607145350236E-2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2.1612713884395868E-2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2.2412820088045599E-2</c:v>
                </c:pt>
                <c:pt idx="55">
                  <c:v>2.3826842528162459E-2</c:v>
                </c:pt>
                <c:pt idx="56">
                  <c:v>2.2953772822062748E-2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B6-47B5-94D1-E52D48984BD5}"/>
            </c:ext>
          </c:extLst>
        </c:ser>
        <c:ser>
          <c:idx val="2"/>
          <c:order val="2"/>
          <c:tx>
            <c:strRef>
              <c:f>ITL!$D$2</c:f>
              <c:strCache>
                <c:ptCount val="1"/>
                <c:pt idx="0">
                  <c:v>5K,100-1800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5313658349315715E-2"/>
                  <c:y val="5.18352792107883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b" anchorCtr="0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ITL!$D$3:$D$77</c:f>
              <c:numCache>
                <c:formatCode>General</c:formatCode>
                <c:ptCount val="75"/>
                <c:pt idx="0">
                  <c:v>#N/A</c:v>
                </c:pt>
                <c:pt idx="1">
                  <c:v>9.6372250619072009E-3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1.0460084484178884E-2</c:v>
                </c:pt>
                <c:pt idx="6">
                  <c:v>#N/A</c:v>
                </c:pt>
                <c:pt idx="7">
                  <c:v>#N/A</c:v>
                </c:pt>
                <c:pt idx="8">
                  <c:v>1.1342318018871873E-2</c:v>
                </c:pt>
                <c:pt idx="9">
                  <c:v>1.1075833659466924E-2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1.5406034269445123E-2</c:v>
                </c:pt>
                <c:pt idx="20">
                  <c:v>#N/A</c:v>
                </c:pt>
                <c:pt idx="21">
                  <c:v>#N/A</c:v>
                </c:pt>
                <c:pt idx="22">
                  <c:v>1.4934354230036029E-2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1.6075060193484956E-2</c:v>
                </c:pt>
                <c:pt idx="28">
                  <c:v>#N/A</c:v>
                </c:pt>
                <c:pt idx="29">
                  <c:v>1.614998110024948E-2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1.7961932173386517E-2</c:v>
                </c:pt>
                <c:pt idx="36">
                  <c:v>#N/A</c:v>
                </c:pt>
                <c:pt idx="37">
                  <c:v>#N/A</c:v>
                </c:pt>
                <c:pt idx="38">
                  <c:v>1.8766042390591448E-2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2.0872182953329547E-2</c:v>
                </c:pt>
                <c:pt idx="44">
                  <c:v>2.0326716039575112E-2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2.1851780945371161E-2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2.4655918108415869E-2</c:v>
                </c:pt>
                <c:pt idx="58">
                  <c:v>2.4125358087585144E-2</c:v>
                </c:pt>
                <c:pt idx="59">
                  <c:v>2.4144724083930518E-2</c:v>
                </c:pt>
                <c:pt idx="60">
                  <c:v>2.485305557891445E-2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B6-47B5-94D1-E52D48984BD5}"/>
            </c:ext>
          </c:extLst>
        </c:ser>
        <c:ser>
          <c:idx val="3"/>
          <c:order val="3"/>
          <c:tx>
            <c:strRef>
              <c:f>ITL!$E$2</c:f>
              <c:strCache>
                <c:ptCount val="1"/>
                <c:pt idx="0">
                  <c:v>5K,1K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63860553861653"/>
                  <c:y val="-8.840981084261019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ITL!$E$3:$E$77</c:f>
              <c:numCache>
                <c:formatCode>General</c:formatCode>
                <c:ptCount val="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1.9820489445293736E-2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2.21166259454268E-2</c:v>
                </c:pt>
                <c:pt idx="48">
                  <c:v>2.3147635654410761E-2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2.7029909332638716E-2</c:v>
                </c:pt>
                <c:pt idx="56">
                  <c:v>#N/A</c:v>
                </c:pt>
                <c:pt idx="57">
                  <c:v>2.7770829411846651E-2</c:v>
                </c:pt>
                <c:pt idx="58">
                  <c:v>#N/A</c:v>
                </c:pt>
                <c:pt idx="59">
                  <c:v>2.8225682364917449E-2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B6-47B5-94D1-E52D48984BD5}"/>
            </c:ext>
          </c:extLst>
        </c:ser>
        <c:ser>
          <c:idx val="4"/>
          <c:order val="4"/>
          <c:tx>
            <c:strRef>
              <c:f>ITL!$F$2</c:f>
              <c:strCache>
                <c:ptCount val="1"/>
                <c:pt idx="0">
                  <c:v>5K,200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924613953804028E-2"/>
                  <c:y val="-1.66168884061906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ITL!$F$3:$F$77</c:f>
              <c:numCache>
                <c:formatCode>General</c:formatCode>
                <c:ptCount val="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1.0721021489823184E-2</c:v>
                </c:pt>
                <c:pt idx="5">
                  <c:v>1.0876327552253802E-2</c:v>
                </c:pt>
                <c:pt idx="6">
                  <c:v>#N/A</c:v>
                </c:pt>
                <c:pt idx="7">
                  <c:v>1.1873789179147687E-2</c:v>
                </c:pt>
                <c:pt idx="8">
                  <c:v>1.42198915768788E-2</c:v>
                </c:pt>
                <c:pt idx="9">
                  <c:v>1.3731578108277158E-2</c:v>
                </c:pt>
                <c:pt idx="10">
                  <c:v>#N/A</c:v>
                </c:pt>
                <c:pt idx="11">
                  <c:v>1.6155172768504214E-2</c:v>
                </c:pt>
                <c:pt idx="12">
                  <c:v>#N/A</c:v>
                </c:pt>
                <c:pt idx="13">
                  <c:v>1.8282164253900317E-2</c:v>
                </c:pt>
                <c:pt idx="14">
                  <c:v>#N/A</c:v>
                </c:pt>
                <c:pt idx="15">
                  <c:v>#N/A</c:v>
                </c:pt>
                <c:pt idx="16">
                  <c:v>1.8460602292626395E-2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2.2218246486298266E-2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2.5528575404787906E-2</c:v>
                </c:pt>
                <c:pt idx="27">
                  <c:v>2.6751555661055363E-2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3.1966866583761563E-2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3.8099701908507574E-2</c:v>
                </c:pt>
                <c:pt idx="38">
                  <c:v>#N/A</c:v>
                </c:pt>
                <c:pt idx="39">
                  <c:v>#N/A</c:v>
                </c:pt>
                <c:pt idx="40">
                  <c:v>4.0627822946799279E-2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4.6991688022651655E-2</c:v>
                </c:pt>
                <c:pt idx="48">
                  <c:v>#N/A</c:v>
                </c:pt>
                <c:pt idx="49">
                  <c:v>5.3520305456334349E-2</c:v>
                </c:pt>
                <c:pt idx="50">
                  <c:v>5.1818445044632899E-2</c:v>
                </c:pt>
                <c:pt idx="51">
                  <c:v>#N/A</c:v>
                </c:pt>
                <c:pt idx="52">
                  <c:v>5.388280799580767E-2</c:v>
                </c:pt>
                <c:pt idx="53">
                  <c:v>5.4876145341185456E-2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B6-47B5-94D1-E52D48984BD5}"/>
            </c:ext>
          </c:extLst>
        </c:ser>
        <c:ser>
          <c:idx val="5"/>
          <c:order val="5"/>
          <c:tx>
            <c:strRef>
              <c:f>ITL!$G$2</c:f>
              <c:strCache>
                <c:ptCount val="1"/>
                <c:pt idx="0">
                  <c:v>5K,300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53014368312051E-2"/>
                  <c:y val="-3.17214227531903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ITL!$G$3:$G$77</c:f>
              <c:numCache>
                <c:formatCode>General</c:formatCode>
                <c:ptCount val="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1.1154069304209259E-2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1.9149387940522167E-2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2.4075493365291672E-2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3.675773757560289E-2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3.9154183738759556E-2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4.9975882181106622E-2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B6-47B5-94D1-E52D48984BD5}"/>
            </c:ext>
          </c:extLst>
        </c:ser>
        <c:ser>
          <c:idx val="6"/>
          <c:order val="6"/>
          <c:tx>
            <c:strRef>
              <c:f>ITL!$H$2</c:f>
              <c:strCache>
                <c:ptCount val="1"/>
                <c:pt idx="0">
                  <c:v>5K,500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815174403109561E-2"/>
                  <c:y val="1.44737080278758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ITL!$H$3:$H$77</c:f>
              <c:numCache>
                <c:formatCode>General</c:formatCode>
                <c:ptCount val="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1.3464460377900028E-2</c:v>
                </c:pt>
                <c:pt idx="17">
                  <c:v>#N/A</c:v>
                </c:pt>
                <c:pt idx="18">
                  <c:v>#N/A</c:v>
                </c:pt>
                <c:pt idx="19">
                  <c:v>1.4772788022741266E-2</c:v>
                </c:pt>
                <c:pt idx="20">
                  <c:v>#N/A</c:v>
                </c:pt>
                <c:pt idx="21">
                  <c:v>1.5582201915096445E-2</c:v>
                </c:pt>
                <c:pt idx="22">
                  <c:v>#N/A</c:v>
                </c:pt>
                <c:pt idx="23">
                  <c:v>1.6073429748460325E-2</c:v>
                </c:pt>
                <c:pt idx="24">
                  <c:v>1.7040464900077414E-2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1.7937609454206145E-2</c:v>
                </c:pt>
                <c:pt idx="29">
                  <c:v>#N/A</c:v>
                </c:pt>
                <c:pt idx="30">
                  <c:v>#N/A</c:v>
                </c:pt>
                <c:pt idx="31">
                  <c:v>1.9511345407451829E-2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2.6119119766612808E-2</c:v>
                </c:pt>
                <c:pt idx="42">
                  <c:v>2.6898599939678539E-2</c:v>
                </c:pt>
                <c:pt idx="43">
                  <c:v>2.7495596487765641E-2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3.0594831133307181E-2</c:v>
                </c:pt>
                <c:pt idx="52">
                  <c:v>3.1481167201555318E-2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3.7746585141523716E-2</c:v>
                </c:pt>
                <c:pt idx="63">
                  <c:v>3.6644341857891408E-2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3.985327849326771E-2</c:v>
                </c:pt>
                <c:pt idx="69">
                  <c:v>4.0333052586724066E-2</c:v>
                </c:pt>
                <c:pt idx="70">
                  <c:v>#N/A</c:v>
                </c:pt>
                <c:pt idx="71">
                  <c:v>4.0770240221047249E-2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B6-47B5-94D1-E52D48984BD5}"/>
            </c:ext>
          </c:extLst>
        </c:ser>
        <c:ser>
          <c:idx val="7"/>
          <c:order val="7"/>
          <c:tx>
            <c:strRef>
              <c:f>ITL!$I$2</c:f>
              <c:strCache>
                <c:ptCount val="1"/>
                <c:pt idx="0">
                  <c:v>6K,100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835153342766603E-4"/>
                  <c:y val="-2.52439134763326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ITL!$A$3:$A$77</c:f>
              <c:numCache>
                <c:formatCode>General</c:formatCode>
                <c:ptCount val="7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0.4</c:v>
                </c:pt>
                <c:pt idx="36">
                  <c:v>0.41000000000000003</c:v>
                </c:pt>
                <c:pt idx="37">
                  <c:v>0.42</c:v>
                </c:pt>
                <c:pt idx="38">
                  <c:v>0.44</c:v>
                </c:pt>
                <c:pt idx="39">
                  <c:v>0.46</c:v>
                </c:pt>
                <c:pt idx="40">
                  <c:v>0.47000000000000003</c:v>
                </c:pt>
                <c:pt idx="41">
                  <c:v>0.48</c:v>
                </c:pt>
                <c:pt idx="42">
                  <c:v>0.49</c:v>
                </c:pt>
                <c:pt idx="43">
                  <c:v>0.5</c:v>
                </c:pt>
                <c:pt idx="44">
                  <c:v>0.52</c:v>
                </c:pt>
                <c:pt idx="45">
                  <c:v>0.53</c:v>
                </c:pt>
                <c:pt idx="46">
                  <c:v>0.54</c:v>
                </c:pt>
                <c:pt idx="47">
                  <c:v>0.55000000000000004</c:v>
                </c:pt>
                <c:pt idx="48">
                  <c:v>0.57000000000000006</c:v>
                </c:pt>
                <c:pt idx="49">
                  <c:v>0.57999999999999996</c:v>
                </c:pt>
                <c:pt idx="50">
                  <c:v>0.59</c:v>
                </c:pt>
                <c:pt idx="51">
                  <c:v>0.61</c:v>
                </c:pt>
                <c:pt idx="52">
                  <c:v>0.62</c:v>
                </c:pt>
                <c:pt idx="53">
                  <c:v>0.63</c:v>
                </c:pt>
                <c:pt idx="54">
                  <c:v>0.64</c:v>
                </c:pt>
                <c:pt idx="55">
                  <c:v>0.66</c:v>
                </c:pt>
                <c:pt idx="56">
                  <c:v>0.67</c:v>
                </c:pt>
                <c:pt idx="57">
                  <c:v>0.68</c:v>
                </c:pt>
                <c:pt idx="58">
                  <c:v>0.69000000000000006</c:v>
                </c:pt>
                <c:pt idx="59">
                  <c:v>0.70000000000000007</c:v>
                </c:pt>
                <c:pt idx="60">
                  <c:v>0.72</c:v>
                </c:pt>
                <c:pt idx="61">
                  <c:v>0.74</c:v>
                </c:pt>
                <c:pt idx="62">
                  <c:v>0.75</c:v>
                </c:pt>
                <c:pt idx="63">
                  <c:v>0.76</c:v>
                </c:pt>
                <c:pt idx="64">
                  <c:v>0.77</c:v>
                </c:pt>
                <c:pt idx="65">
                  <c:v>0.78</c:v>
                </c:pt>
                <c:pt idx="66">
                  <c:v>0.79</c:v>
                </c:pt>
                <c:pt idx="67">
                  <c:v>0.8</c:v>
                </c:pt>
                <c:pt idx="68">
                  <c:v>0.82000000000000006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</c:numCache>
            </c:numRef>
          </c:xVal>
          <c:yVal>
            <c:numRef>
              <c:f>ITL!$I$3:$I$77</c:f>
              <c:numCache>
                <c:formatCode>General</c:formatCode>
                <c:ptCount val="7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1.1357795750815082E-2</c:v>
                </c:pt>
                <c:pt idx="4">
                  <c:v>1.5810699638234636E-2</c:v>
                </c:pt>
                <c:pt idx="5">
                  <c:v>1.4768636010278974E-2</c:v>
                </c:pt>
                <c:pt idx="6">
                  <c:v>1.5918493463828256E-2</c:v>
                </c:pt>
                <c:pt idx="7">
                  <c:v>1.5086350243453263E-2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2.2143876234593563E-2</c:v>
                </c:pt>
                <c:pt idx="13">
                  <c:v>#N/A</c:v>
                </c:pt>
                <c:pt idx="14">
                  <c:v>2.4129971595228988E-2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3.164305115443973E-2</c:v>
                </c:pt>
                <c:pt idx="19">
                  <c:v>3.5378277627620171E-2</c:v>
                </c:pt>
                <c:pt idx="20">
                  <c:v>#N/A</c:v>
                </c:pt>
                <c:pt idx="21">
                  <c:v>3.8194114817827314E-2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4.5377523930434899E-2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5.6983425120598952E-2</c:v>
                </c:pt>
                <c:pt idx="36">
                  <c:v>5.5761778610436331E-2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7.0172334482096241E-2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8.4682442355198839E-2</c:v>
                </c:pt>
                <c:pt idx="60">
                  <c:v>9.0844476588396894E-2</c:v>
                </c:pt>
                <c:pt idx="61">
                  <c:v>9.7520763342730118E-2</c:v>
                </c:pt>
                <c:pt idx="62">
                  <c:v>#N/A</c:v>
                </c:pt>
                <c:pt idx="63">
                  <c:v>0.10462679664851991</c:v>
                </c:pt>
                <c:pt idx="64">
                  <c:v>0.10106962356492293</c:v>
                </c:pt>
                <c:pt idx="65">
                  <c:v>#N/A</c:v>
                </c:pt>
                <c:pt idx="66">
                  <c:v>9.6583568567583281E-2</c:v>
                </c:pt>
                <c:pt idx="67">
                  <c:v>0.10782964884424413</c:v>
                </c:pt>
                <c:pt idx="68">
                  <c:v>#N/A</c:v>
                </c:pt>
                <c:pt idx="69">
                  <c:v>0.11063943531066119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B6-47B5-94D1-E52D4898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020352"/>
        <c:axId val="1589020832"/>
      </c:scatterChart>
      <c:valAx>
        <c:axId val="15890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20832"/>
        <c:crosses val="autoZero"/>
        <c:crossBetween val="midCat"/>
      </c:valAx>
      <c:valAx>
        <c:axId val="15890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2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[DTA-AVG-H100_BS-65000__analyze.xlsx]pivot-prefill!PivotTable1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'pivot-prefill'!$B$4:$B$6</c:f>
              <c:strCache>
                <c:ptCount val="1"/>
                <c:pt idx="0">
                  <c:v>5K,1K - Average of Run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'pivot-prefill'!$B$7:$B$66</c:f>
              <c:numCache>
                <c:formatCode>_(* #,##0.00_);_(* \(#,##0.00\);_(* "-"??_);_(@_)</c:formatCode>
                <c:ptCount val="60"/>
                <c:pt idx="28">
                  <c:v>29.425000000000001</c:v>
                </c:pt>
                <c:pt idx="37">
                  <c:v>38.209226190476194</c:v>
                </c:pt>
                <c:pt idx="38">
                  <c:v>39.763194444444444</c:v>
                </c:pt>
                <c:pt idx="44">
                  <c:v>45.961111111111116</c:v>
                </c:pt>
                <c:pt idx="46">
                  <c:v>47.489236111111111</c:v>
                </c:pt>
                <c:pt idx="47">
                  <c:v>48.752525252525253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7-456D-90BB-7F1BF0CBC4D6}"/>
            </c:ext>
          </c:extLst>
        </c:ser>
        <c:ser>
          <c:idx val="2"/>
          <c:order val="2"/>
          <c:tx>
            <c:strRef>
              <c:f>'pivot-prefill'!$D$4:$D$6</c:f>
              <c:strCache>
                <c:ptCount val="1"/>
                <c:pt idx="0">
                  <c:v>5K,200 - Average of Run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'pivot-prefill'!$D$7:$D$66</c:f>
              <c:numCache>
                <c:formatCode>_(* #,##0.00_);_(* \(#,##0.00\);_(* "-"??_);_(@_)</c:formatCode>
                <c:ptCount val="60"/>
                <c:pt idx="1">
                  <c:v>4.4907407407407405</c:v>
                </c:pt>
                <c:pt idx="2">
                  <c:v>4.8953703703703706</c:v>
                </c:pt>
                <c:pt idx="3">
                  <c:v>5.4499999999999993</c:v>
                </c:pt>
                <c:pt idx="4">
                  <c:v>6.4120370370370381</c:v>
                </c:pt>
                <c:pt idx="5">
                  <c:v>7.212037037037037</c:v>
                </c:pt>
                <c:pt idx="6">
                  <c:v>7.7037037037037024</c:v>
                </c:pt>
                <c:pt idx="7">
                  <c:v>9.7407407407407405</c:v>
                </c:pt>
                <c:pt idx="8">
                  <c:v>9.9944444444444436</c:v>
                </c:pt>
                <c:pt idx="9">
                  <c:v>10.74074074074074</c:v>
                </c:pt>
                <c:pt idx="10">
                  <c:v>12.05</c:v>
                </c:pt>
                <c:pt idx="11">
                  <c:v>13.000000000000002</c:v>
                </c:pt>
                <c:pt idx="12">
                  <c:v>13.875</c:v>
                </c:pt>
                <c:pt idx="13">
                  <c:v>15.3</c:v>
                </c:pt>
                <c:pt idx="15">
                  <c:v>17.407407407407405</c:v>
                </c:pt>
                <c:pt idx="17">
                  <c:v>19.450000000000003</c:v>
                </c:pt>
                <c:pt idx="20">
                  <c:v>21.407407407407405</c:v>
                </c:pt>
                <c:pt idx="21">
                  <c:v>22.199074074074069</c:v>
                </c:pt>
                <c:pt idx="25">
                  <c:v>27.465277777777775</c:v>
                </c:pt>
                <c:pt idx="28">
                  <c:v>31.962962962962958</c:v>
                </c:pt>
                <c:pt idx="29">
                  <c:v>35.592592592592602</c:v>
                </c:pt>
                <c:pt idx="32">
                  <c:v>37.599999999999994</c:v>
                </c:pt>
                <c:pt idx="37">
                  <c:v>41.337962962962969</c:v>
                </c:pt>
                <c:pt idx="39">
                  <c:v>43.925000000000004</c:v>
                </c:pt>
                <c:pt idx="40">
                  <c:v>44.620370370370367</c:v>
                </c:pt>
                <c:pt idx="41">
                  <c:v>45.95</c:v>
                </c:pt>
                <c:pt idx="42">
                  <c:v>46.741203703703704</c:v>
                </c:pt>
                <c:pt idx="43">
                  <c:v>47.592592592592588</c:v>
                </c:pt>
                <c:pt idx="53">
                  <c:v>59.421212121212115</c:v>
                </c:pt>
                <c:pt idx="56">
                  <c:v>62.429545454545455</c:v>
                </c:pt>
                <c:pt idx="57">
                  <c:v>64.268181818181816</c:v>
                </c:pt>
                <c:pt idx="59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37-456D-90BB-7F1BF0CBC4D6}"/>
            </c:ext>
          </c:extLst>
        </c:ser>
        <c:ser>
          <c:idx val="4"/>
          <c:order val="4"/>
          <c:tx>
            <c:strRef>
              <c:f>'pivot-prefill'!$F$4:$F$6</c:f>
              <c:strCache>
                <c:ptCount val="1"/>
                <c:pt idx="0">
                  <c:v>5K,300 - Average of Run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'pivot-prefill'!$F$7:$F$66</c:f>
              <c:numCache>
                <c:formatCode>_(* #,##0.00_);_(* \(#,##0.00\);_(* "-"??_);_(@_)</c:formatCode>
                <c:ptCount val="60"/>
                <c:pt idx="4">
                  <c:v>6.333333333333333</c:v>
                </c:pt>
                <c:pt idx="15">
                  <c:v>17.313368983957215</c:v>
                </c:pt>
                <c:pt idx="24">
                  <c:v>25.670308123249299</c:v>
                </c:pt>
                <c:pt idx="29">
                  <c:v>35.05740740740741</c:v>
                </c:pt>
                <c:pt idx="35">
                  <c:v>39.88425925925926</c:v>
                </c:pt>
                <c:pt idx="51">
                  <c:v>57.210317460317469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37-456D-90BB-7F1BF0CBC4D6}"/>
            </c:ext>
          </c:extLst>
        </c:ser>
        <c:ser>
          <c:idx val="6"/>
          <c:order val="6"/>
          <c:tx>
            <c:strRef>
              <c:f>'pivot-prefill'!$H$4:$H$6</c:f>
              <c:strCache>
                <c:ptCount val="1"/>
                <c:pt idx="0">
                  <c:v>5K,500 - Average of Run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'pivot-prefill'!$H$7:$H$66</c:f>
              <c:numCache>
                <c:formatCode>_(* #,##0.00_);_(* \(#,##0.00\);_(* "-"??_);_(@_)</c:formatCode>
                <c:ptCount val="60"/>
                <c:pt idx="9">
                  <c:v>10.633333333333333</c:v>
                </c:pt>
                <c:pt idx="11">
                  <c:v>12.926470588235295</c:v>
                </c:pt>
                <c:pt idx="14">
                  <c:v>16.021568627450979</c:v>
                </c:pt>
                <c:pt idx="16">
                  <c:v>17.590196078431372</c:v>
                </c:pt>
                <c:pt idx="17">
                  <c:v>18.705882352941174</c:v>
                </c:pt>
                <c:pt idx="18">
                  <c:v>19.601102941176471</c:v>
                </c:pt>
                <c:pt idx="19">
                  <c:v>20.666666666666668</c:v>
                </c:pt>
                <c:pt idx="22">
                  <c:v>22.84191176470588</c:v>
                </c:pt>
                <c:pt idx="24">
                  <c:v>25.02941176470588</c:v>
                </c:pt>
                <c:pt idx="26">
                  <c:v>29.066666666666666</c:v>
                </c:pt>
                <c:pt idx="30">
                  <c:v>35.349074074074075</c:v>
                </c:pt>
                <c:pt idx="31">
                  <c:v>35.857142857142847</c:v>
                </c:pt>
                <c:pt idx="32">
                  <c:v>36.846153846153847</c:v>
                </c:pt>
                <c:pt idx="33">
                  <c:v>37.06666666666667</c:v>
                </c:pt>
                <c:pt idx="34">
                  <c:v>37.733333333333327</c:v>
                </c:pt>
                <c:pt idx="41">
                  <c:v>44.774509803921561</c:v>
                </c:pt>
                <c:pt idx="42">
                  <c:v>45.394957983193279</c:v>
                </c:pt>
                <c:pt idx="45">
                  <c:v>49.257575757575758</c:v>
                </c:pt>
                <c:pt idx="49">
                  <c:v>54.021212121212123</c:v>
                </c:pt>
                <c:pt idx="50">
                  <c:v>54.971048722519313</c:v>
                </c:pt>
                <c:pt idx="51">
                  <c:v>56.125</c:v>
                </c:pt>
                <c:pt idx="55">
                  <c:v>60.040079099821753</c:v>
                </c:pt>
                <c:pt idx="57">
                  <c:v>62.105555555555554</c:v>
                </c:pt>
                <c:pt idx="58">
                  <c:v>63.927083333333329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37-456D-90BB-7F1BF0CBC4D6}"/>
            </c:ext>
          </c:extLst>
        </c:ser>
        <c:ser>
          <c:idx val="8"/>
          <c:order val="8"/>
          <c:tx>
            <c:strRef>
              <c:f>'pivot-prefill'!$J$4:$J$6</c:f>
              <c:strCache>
                <c:ptCount val="1"/>
                <c:pt idx="0">
                  <c:v>6K,100 - Average of Run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'pivot-prefill'!$J$7:$J$66</c:f>
              <c:numCache>
                <c:formatCode>_(* #,##0.00_);_(* \(#,##0.00\);_(* "-"??_);_(@_)</c:formatCode>
                <c:ptCount val="60"/>
                <c:pt idx="0">
                  <c:v>2.907407407407407</c:v>
                </c:pt>
                <c:pt idx="1">
                  <c:v>3.6481481481481484</c:v>
                </c:pt>
                <c:pt idx="2">
                  <c:v>4.3703703703703702</c:v>
                </c:pt>
                <c:pt idx="3">
                  <c:v>5.0740740740740735</c:v>
                </c:pt>
                <c:pt idx="4">
                  <c:v>5.1481481481481488</c:v>
                </c:pt>
                <c:pt idx="8">
                  <c:v>8.851851851851853</c:v>
                </c:pt>
                <c:pt idx="10">
                  <c:v>9.9259259259259238</c:v>
                </c:pt>
                <c:pt idx="13">
                  <c:v>12.962962962962962</c:v>
                </c:pt>
                <c:pt idx="14">
                  <c:v>13.555555555555557</c:v>
                </c:pt>
                <c:pt idx="16">
                  <c:v>14.888888888888886</c:v>
                </c:pt>
                <c:pt idx="23">
                  <c:v>21</c:v>
                </c:pt>
                <c:pt idx="26">
                  <c:v>25.074074074074073</c:v>
                </c:pt>
                <c:pt idx="27">
                  <c:v>26.222222222222218</c:v>
                </c:pt>
                <c:pt idx="36">
                  <c:v>34.296296296296291</c:v>
                </c:pt>
                <c:pt idx="47">
                  <c:v>44.925925925925924</c:v>
                </c:pt>
                <c:pt idx="48">
                  <c:v>45.74074074074074</c:v>
                </c:pt>
                <c:pt idx="49">
                  <c:v>47.407407407407412</c:v>
                </c:pt>
                <c:pt idx="51">
                  <c:v>48.603703703703701</c:v>
                </c:pt>
                <c:pt idx="52">
                  <c:v>48.918518518518518</c:v>
                </c:pt>
                <c:pt idx="53">
                  <c:v>50.25925925925926</c:v>
                </c:pt>
                <c:pt idx="54">
                  <c:v>51.033333333333331</c:v>
                </c:pt>
                <c:pt idx="57">
                  <c:v>53.966666666666669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637-456D-90BB-7F1BF0CBC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84752864"/>
        <c:axId val="1584748064"/>
      </c:barChart>
      <c:lineChart>
        <c:grouping val="standard"/>
        <c:varyColors val="0"/>
        <c:ser>
          <c:idx val="1"/>
          <c:order val="1"/>
          <c:tx>
            <c:strRef>
              <c:f>'pivot-prefill'!$C$4:$C$6</c:f>
              <c:strCache>
                <c:ptCount val="1"/>
                <c:pt idx="0">
                  <c:v>5K,1K - Average of Prefill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'pivot-prefill'!$C$7:$C$66</c:f>
              <c:numCache>
                <c:formatCode>_-* #,##0.000_-;\-* #,##0.000_-;_-* "-"??_-;_-@_-</c:formatCode>
                <c:ptCount val="60"/>
                <c:pt idx="28">
                  <c:v>0.18708273940370831</c:v>
                </c:pt>
                <c:pt idx="37">
                  <c:v>0.21287415386511527</c:v>
                </c:pt>
                <c:pt idx="38">
                  <c:v>0.34084885026655765</c:v>
                </c:pt>
                <c:pt idx="44">
                  <c:v>0.32445321451237169</c:v>
                </c:pt>
                <c:pt idx="46">
                  <c:v>0.284615048688595</c:v>
                </c:pt>
                <c:pt idx="47">
                  <c:v>0.35638908945720671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56D-90BB-7F1BF0CBC4D6}"/>
            </c:ext>
          </c:extLst>
        </c:ser>
        <c:ser>
          <c:idx val="3"/>
          <c:order val="3"/>
          <c:tx>
            <c:strRef>
              <c:f>'pivot-prefill'!$E$4:$E$6</c:f>
              <c:strCache>
                <c:ptCount val="1"/>
                <c:pt idx="0">
                  <c:v>5K,200 - Average of Prefill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'pivot-prefill'!$E$7:$E$66</c:f>
              <c:numCache>
                <c:formatCode>_-* #,##0.000_-;\-* #,##0.000_-;_-* "-"??_-;_-@_-</c:formatCode>
                <c:ptCount val="60"/>
                <c:pt idx="1">
                  <c:v>0.14609779152533819</c:v>
                </c:pt>
                <c:pt idx="2">
                  <c:v>0.15100879810177245</c:v>
                </c:pt>
                <c:pt idx="3">
                  <c:v>0.16247661777030895</c:v>
                </c:pt>
                <c:pt idx="4">
                  <c:v>0.15414380962088226</c:v>
                </c:pt>
                <c:pt idx="5">
                  <c:v>0.16585312348836032</c:v>
                </c:pt>
                <c:pt idx="6">
                  <c:v>0.16607952366403897</c:v>
                </c:pt>
                <c:pt idx="7">
                  <c:v>0.18404528138351414</c:v>
                </c:pt>
                <c:pt idx="8">
                  <c:v>0.18370497780114689</c:v>
                </c:pt>
                <c:pt idx="9">
                  <c:v>0.20070684176064443</c:v>
                </c:pt>
                <c:pt idx="10">
                  <c:v>0.17401289876308371</c:v>
                </c:pt>
                <c:pt idx="11">
                  <c:v>0.20060907582293877</c:v>
                </c:pt>
                <c:pt idx="12">
                  <c:v>0.18713431163072164</c:v>
                </c:pt>
                <c:pt idx="13">
                  <c:v>0.20479113765244134</c:v>
                </c:pt>
                <c:pt idx="15">
                  <c:v>0.21021471894285801</c:v>
                </c:pt>
                <c:pt idx="17">
                  <c:v>0.21398528934232625</c:v>
                </c:pt>
                <c:pt idx="20">
                  <c:v>0.25286004256319128</c:v>
                </c:pt>
                <c:pt idx="21">
                  <c:v>0.25441059099384633</c:v>
                </c:pt>
                <c:pt idx="25">
                  <c:v>0.42455590466476639</c:v>
                </c:pt>
                <c:pt idx="28">
                  <c:v>0.86688896098379542</c:v>
                </c:pt>
                <c:pt idx="29">
                  <c:v>0.98734279889595244</c:v>
                </c:pt>
                <c:pt idx="32">
                  <c:v>0.25079316509162963</c:v>
                </c:pt>
                <c:pt idx="37">
                  <c:v>1.1216695541638895</c:v>
                </c:pt>
                <c:pt idx="39">
                  <c:v>1.0021450242301133</c:v>
                </c:pt>
                <c:pt idx="40">
                  <c:v>1.6190427893488941</c:v>
                </c:pt>
                <c:pt idx="41">
                  <c:v>0.33392263269015754</c:v>
                </c:pt>
                <c:pt idx="42">
                  <c:v>0.66062882669956602</c:v>
                </c:pt>
                <c:pt idx="43">
                  <c:v>1.0035043611307832</c:v>
                </c:pt>
                <c:pt idx="53">
                  <c:v>0.33085325630630852</c:v>
                </c:pt>
                <c:pt idx="56">
                  <c:v>0.34599719055063832</c:v>
                </c:pt>
                <c:pt idx="57">
                  <c:v>0.38880960210423587</c:v>
                </c:pt>
                <c:pt idx="59">
                  <c:v>0.233589265452812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7-456D-90BB-7F1BF0CBC4D6}"/>
            </c:ext>
          </c:extLst>
        </c:ser>
        <c:ser>
          <c:idx val="5"/>
          <c:order val="5"/>
          <c:tx>
            <c:strRef>
              <c:f>'pivot-prefill'!$G$4:$G$6</c:f>
              <c:strCache>
                <c:ptCount val="1"/>
                <c:pt idx="0">
                  <c:v>5K,300 - Average of Prefill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'pivot-prefill'!$G$7:$G$66</c:f>
              <c:numCache>
                <c:formatCode>_-* #,##0.000_-;\-* #,##0.000_-;_-* "-"??_-;_-@_-</c:formatCode>
                <c:ptCount val="60"/>
                <c:pt idx="4">
                  <c:v>0.14532217116317739</c:v>
                </c:pt>
                <c:pt idx="15">
                  <c:v>0.26971127856781363</c:v>
                </c:pt>
                <c:pt idx="24">
                  <c:v>0.24776598173587749</c:v>
                </c:pt>
                <c:pt idx="29">
                  <c:v>0.94486020957379535</c:v>
                </c:pt>
                <c:pt idx="35">
                  <c:v>1.0033520229788151</c:v>
                </c:pt>
                <c:pt idx="51">
                  <c:v>0.95899900142358907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37-456D-90BB-7F1BF0CBC4D6}"/>
            </c:ext>
          </c:extLst>
        </c:ser>
        <c:ser>
          <c:idx val="7"/>
          <c:order val="7"/>
          <c:tx>
            <c:strRef>
              <c:f>'pivot-prefill'!$I$4:$I$6</c:f>
              <c:strCache>
                <c:ptCount val="1"/>
                <c:pt idx="0">
                  <c:v>5K,500 - Average of Prefill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'pivot-prefill'!$I$7:$I$66</c:f>
              <c:numCache>
                <c:formatCode>_-* #,##0.000_-;\-* #,##0.000_-;_-* "-"??_-;_-@_-</c:formatCode>
                <c:ptCount val="60"/>
                <c:pt idx="9">
                  <c:v>0.15313947465266206</c:v>
                </c:pt>
                <c:pt idx="11">
                  <c:v>0.15110481634772516</c:v>
                </c:pt>
                <c:pt idx="14">
                  <c:v>0.1590698381829343</c:v>
                </c:pt>
                <c:pt idx="16">
                  <c:v>0.16688994919247621</c:v>
                </c:pt>
                <c:pt idx="17">
                  <c:v>0.17102828618696231</c:v>
                </c:pt>
                <c:pt idx="18">
                  <c:v>0.18478550120979248</c:v>
                </c:pt>
                <c:pt idx="19">
                  <c:v>0.16331143727170164</c:v>
                </c:pt>
                <c:pt idx="22">
                  <c:v>0.17878856696611251</c:v>
                </c:pt>
                <c:pt idx="24">
                  <c:v>0.18453547350022789</c:v>
                </c:pt>
                <c:pt idx="26">
                  <c:v>0.18832897591354758</c:v>
                </c:pt>
                <c:pt idx="30">
                  <c:v>0.55566616063393848</c:v>
                </c:pt>
                <c:pt idx="31">
                  <c:v>0.52980489719111601</c:v>
                </c:pt>
                <c:pt idx="32">
                  <c:v>1.097514941873035</c:v>
                </c:pt>
                <c:pt idx="33">
                  <c:v>0.18566078006176104</c:v>
                </c:pt>
                <c:pt idx="34">
                  <c:v>0.19187203165454392</c:v>
                </c:pt>
                <c:pt idx="41">
                  <c:v>0.31278119207276189</c:v>
                </c:pt>
                <c:pt idx="42">
                  <c:v>0.48408511269759902</c:v>
                </c:pt>
                <c:pt idx="45">
                  <c:v>0.2141179992798363</c:v>
                </c:pt>
                <c:pt idx="49">
                  <c:v>0.22371002404670326</c:v>
                </c:pt>
                <c:pt idx="50">
                  <c:v>0.46098731702471685</c:v>
                </c:pt>
                <c:pt idx="51">
                  <c:v>0.47236298177643204</c:v>
                </c:pt>
                <c:pt idx="55">
                  <c:v>0.34637143300178058</c:v>
                </c:pt>
                <c:pt idx="57">
                  <c:v>0.51192707631293743</c:v>
                </c:pt>
                <c:pt idx="58">
                  <c:v>0.46409661693382043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37-456D-90BB-7F1BF0CBC4D6}"/>
            </c:ext>
          </c:extLst>
        </c:ser>
        <c:ser>
          <c:idx val="9"/>
          <c:order val="9"/>
          <c:tx>
            <c:strRef>
              <c:f>'pivot-prefill'!$K$4:$K$6</c:f>
              <c:strCache>
                <c:ptCount val="1"/>
                <c:pt idx="0">
                  <c:v>6K,100 - Average of Prefill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'pivot-prefill'!$A$7:$A$66</c:f>
              <c:strCache>
                <c:ptCount val="60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8%</c:v>
                </c:pt>
                <c:pt idx="4">
                  <c:v>9%</c:v>
                </c:pt>
                <c:pt idx="5">
                  <c:v>10%</c:v>
                </c:pt>
                <c:pt idx="6">
                  <c:v>11%</c:v>
                </c:pt>
                <c:pt idx="7">
                  <c:v>13%</c:v>
                </c:pt>
                <c:pt idx="8">
                  <c:v>14%</c:v>
                </c:pt>
                <c:pt idx="9">
                  <c:v>15%</c:v>
                </c:pt>
                <c:pt idx="10">
                  <c:v>16%</c:v>
                </c:pt>
                <c:pt idx="11">
                  <c:v>18%</c:v>
                </c:pt>
                <c:pt idx="12">
                  <c:v>19%</c:v>
                </c:pt>
                <c:pt idx="13">
                  <c:v>21%</c:v>
                </c:pt>
                <c:pt idx="14">
                  <c:v>22%</c:v>
                </c:pt>
                <c:pt idx="15">
                  <c:v>23%</c:v>
                </c:pt>
                <c:pt idx="16">
                  <c:v>24%</c:v>
                </c:pt>
                <c:pt idx="17">
                  <c:v>26%</c:v>
                </c:pt>
                <c:pt idx="18">
                  <c:v>27%</c:v>
                </c:pt>
                <c:pt idx="19">
                  <c:v>28%</c:v>
                </c:pt>
                <c:pt idx="20">
                  <c:v>29%</c:v>
                </c:pt>
                <c:pt idx="21">
                  <c:v>30%</c:v>
                </c:pt>
                <c:pt idx="22">
                  <c:v>31%</c:v>
                </c:pt>
                <c:pt idx="23">
                  <c:v>33%</c:v>
                </c:pt>
                <c:pt idx="24">
                  <c:v>34%</c:v>
                </c:pt>
                <c:pt idx="25">
                  <c:v>37%</c:v>
                </c:pt>
                <c:pt idx="26">
                  <c:v>40%</c:v>
                </c:pt>
                <c:pt idx="27">
                  <c:v>41%</c:v>
                </c:pt>
                <c:pt idx="28">
                  <c:v>42%</c:v>
                </c:pt>
                <c:pt idx="29">
                  <c:v>47%</c:v>
                </c:pt>
                <c:pt idx="30">
                  <c:v>48%</c:v>
                </c:pt>
                <c:pt idx="31">
                  <c:v>49%</c:v>
                </c:pt>
                <c:pt idx="32">
                  <c:v>50%</c:v>
                </c:pt>
                <c:pt idx="33">
                  <c:v>51%</c:v>
                </c:pt>
                <c:pt idx="34">
                  <c:v>52%</c:v>
                </c:pt>
                <c:pt idx="35">
                  <c:v>53%</c:v>
                </c:pt>
                <c:pt idx="36">
                  <c:v>54%</c:v>
                </c:pt>
                <c:pt idx="37">
                  <c:v>55%</c:v>
                </c:pt>
                <c:pt idx="38">
                  <c:v>57%</c:v>
                </c:pt>
                <c:pt idx="39">
                  <c:v>58%</c:v>
                </c:pt>
                <c:pt idx="40">
                  <c:v>59%</c:v>
                </c:pt>
                <c:pt idx="41">
                  <c:v>61%</c:v>
                </c:pt>
                <c:pt idx="42">
                  <c:v>62%</c:v>
                </c:pt>
                <c:pt idx="43">
                  <c:v>63%</c:v>
                </c:pt>
                <c:pt idx="44">
                  <c:v>66%</c:v>
                </c:pt>
                <c:pt idx="45">
                  <c:v>67%</c:v>
                </c:pt>
                <c:pt idx="46">
                  <c:v>68%</c:v>
                </c:pt>
                <c:pt idx="47">
                  <c:v>70%</c:v>
                </c:pt>
                <c:pt idx="48">
                  <c:v>72%</c:v>
                </c:pt>
                <c:pt idx="49">
                  <c:v>74%</c:v>
                </c:pt>
                <c:pt idx="50">
                  <c:v>75%</c:v>
                </c:pt>
                <c:pt idx="51">
                  <c:v>76%</c:v>
                </c:pt>
                <c:pt idx="52">
                  <c:v>77%</c:v>
                </c:pt>
                <c:pt idx="53">
                  <c:v>79%</c:v>
                </c:pt>
                <c:pt idx="54">
                  <c:v>80%</c:v>
                </c:pt>
                <c:pt idx="55">
                  <c:v>82%</c:v>
                </c:pt>
                <c:pt idx="56">
                  <c:v>83%</c:v>
                </c:pt>
                <c:pt idx="57">
                  <c:v>85%</c:v>
                </c:pt>
                <c:pt idx="58">
                  <c:v>87%</c:v>
                </c:pt>
                <c:pt idx="59">
                  <c:v>45%</c:v>
                </c:pt>
              </c:strCache>
            </c:strRef>
          </c:cat>
          <c:val>
            <c:numRef>
              <c:f>'pivot-prefill'!$K$7:$K$66</c:f>
              <c:numCache>
                <c:formatCode>_-* #,##0.000_-;\-* #,##0.000_-;_-* "-"??_-;_-@_-</c:formatCode>
                <c:ptCount val="60"/>
                <c:pt idx="0">
                  <c:v>0.18337234885524822</c:v>
                </c:pt>
                <c:pt idx="1">
                  <c:v>0.20840024211616243</c:v>
                </c:pt>
                <c:pt idx="2">
                  <c:v>0.20094196874183576</c:v>
                </c:pt>
                <c:pt idx="3">
                  <c:v>0.21283558649133549</c:v>
                </c:pt>
                <c:pt idx="4">
                  <c:v>0.20026413565238368</c:v>
                </c:pt>
                <c:pt idx="8">
                  <c:v>0.24826633152047695</c:v>
                </c:pt>
                <c:pt idx="10">
                  <c:v>0.26500080159138367</c:v>
                </c:pt>
                <c:pt idx="13">
                  <c:v>0.34435389896390012</c:v>
                </c:pt>
                <c:pt idx="14">
                  <c:v>0.3306238962355677</c:v>
                </c:pt>
                <c:pt idx="16">
                  <c:v>0.49033358348481709</c:v>
                </c:pt>
                <c:pt idx="23">
                  <c:v>0.3821734862349872</c:v>
                </c:pt>
                <c:pt idx="26">
                  <c:v>0.58959784170468954</c:v>
                </c:pt>
                <c:pt idx="27">
                  <c:v>0.50133485819597334</c:v>
                </c:pt>
                <c:pt idx="36">
                  <c:v>0.74375447320014987</c:v>
                </c:pt>
                <c:pt idx="47">
                  <c:v>1.2817617600254509</c:v>
                </c:pt>
                <c:pt idx="48">
                  <c:v>0.61902965535370225</c:v>
                </c:pt>
                <c:pt idx="49">
                  <c:v>1.227755021093192</c:v>
                </c:pt>
                <c:pt idx="51">
                  <c:v>1.3392629044221371</c:v>
                </c:pt>
                <c:pt idx="52">
                  <c:v>1.1255584311320885</c:v>
                </c:pt>
                <c:pt idx="53">
                  <c:v>1.3774511413063049</c:v>
                </c:pt>
                <c:pt idx="54">
                  <c:v>1.3740283270689924</c:v>
                </c:pt>
                <c:pt idx="57">
                  <c:v>1.0074532958660602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37-456D-90BB-7F1BF0CBC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586640"/>
        <c:axId val="2065590960"/>
      </c:lineChart>
      <c:valAx>
        <c:axId val="15847480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52864"/>
        <c:crosses val="autoZero"/>
        <c:crossBetween val="between"/>
      </c:valAx>
      <c:catAx>
        <c:axId val="1584752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4748064"/>
        <c:crosses val="autoZero"/>
        <c:auto val="1"/>
        <c:lblAlgn val="ctr"/>
        <c:lblOffset val="100"/>
        <c:noMultiLvlLbl val="0"/>
      </c:catAx>
      <c:valAx>
        <c:axId val="2065590960"/>
        <c:scaling>
          <c:orientation val="minMax"/>
        </c:scaling>
        <c:delete val="0"/>
        <c:axPos val="r"/>
        <c:numFmt formatCode="_-* #,##0.000_-;\-* #,##0.00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586640"/>
        <c:crosses val="max"/>
        <c:crossBetween val="between"/>
      </c:valAx>
      <c:catAx>
        <c:axId val="206558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5590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Table4[[#Headers],[Average of Prefill]]</c:f>
          <c:strCache>
            <c:ptCount val="1"/>
            <c:pt idx="0">
              <c:v>Average of Prefill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'pivot-prefill'!$AB$5</c:f>
              <c:strCache>
                <c:ptCount val="1"/>
                <c:pt idx="0">
                  <c:v>1-15K,300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'pivot-prefill'!$AB$6:$AB$151</c:f>
              <c:numCache>
                <c:formatCode>_-* #,##0.000_-;\-* #,##0.000_-;_-* "-"??_-;_-@_-</c:formatCode>
                <c:ptCount val="146"/>
                <c:pt idx="0">
                  <c:v>3.2088905166513686E-2</c:v>
                </c:pt>
                <c:pt idx="1">
                  <c:v>3.3712867396926166E-2</c:v>
                </c:pt>
                <c:pt idx="2">
                  <c:v>#N/A</c:v>
                </c:pt>
                <c:pt idx="3">
                  <c:v>5.4781456020521681E-2</c:v>
                </c:pt>
                <c:pt idx="4">
                  <c:v>#N/A</c:v>
                </c:pt>
                <c:pt idx="5">
                  <c:v>5.646885228648503E-2</c:v>
                </c:pt>
                <c:pt idx="6">
                  <c:v>8.1037995716015873E-2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0.10961615169575983</c:v>
                </c:pt>
                <c:pt idx="12">
                  <c:v>9.0780137003355202E-2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0.14188560392014285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0.1726471811842305</c:v>
                </c:pt>
                <c:pt idx="33">
                  <c:v>0.12824057422707746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0.17191651717567114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0.21039942635422862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0.24747104080859131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0.23537157400344649</c:v>
                </c:pt>
                <c:pt idx="64">
                  <c:v>0.27097875811431282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0.58864848545418547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0.34317679329223766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0.38150473381773814</c:v>
                </c:pt>
                <c:pt idx="121">
                  <c:v>0.67462474180888077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0.55509771442608835</c:v>
                </c:pt>
                <c:pt idx="129">
                  <c:v>#N/A</c:v>
                </c:pt>
                <c:pt idx="130">
                  <c:v>#N/A</c:v>
                </c:pt>
                <c:pt idx="131">
                  <c:v>0.58397318882651494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0.65528987854474108</c:v>
                </c:pt>
                <c:pt idx="136">
                  <c:v>#N/A</c:v>
                </c:pt>
                <c:pt idx="137">
                  <c:v>#N/A</c:v>
                </c:pt>
                <c:pt idx="138">
                  <c:v>0.70765306539515027</c:v>
                </c:pt>
                <c:pt idx="139">
                  <c:v>0.66836240618394516</c:v>
                </c:pt>
                <c:pt idx="140">
                  <c:v>1.3315193647995767</c:v>
                </c:pt>
                <c:pt idx="141">
                  <c:v>1.827707541219866</c:v>
                </c:pt>
                <c:pt idx="142">
                  <c:v>0.60584197872183487</c:v>
                </c:pt>
                <c:pt idx="143">
                  <c:v>0.71150757217011518</c:v>
                </c:pt>
                <c:pt idx="144">
                  <c:v>1.915492380903296</c:v>
                </c:pt>
                <c:pt idx="145">
                  <c:v>1.5742659354815207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A-4396-A23F-8B1978FD761E}"/>
            </c:ext>
          </c:extLst>
        </c:ser>
        <c:ser>
          <c:idx val="1"/>
          <c:order val="1"/>
          <c:tx>
            <c:strRef>
              <c:f>'pivot-prefill'!$AC$5</c:f>
              <c:strCache>
                <c:ptCount val="1"/>
                <c:pt idx="0">
                  <c:v>3K,100-1800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'pivot-prefill'!$AC$6:$AC$151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8.4236843585686033E-2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8.9675797590644396E-2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8.9116244570299888E-2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9.1278880747759722E-2</c:v>
                </c:pt>
                <c:pt idx="28">
                  <c:v>#N/A</c:v>
                </c:pt>
                <c:pt idx="29">
                  <c:v>#N/A</c:v>
                </c:pt>
                <c:pt idx="30">
                  <c:v>9.1119561946509747E-2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9.5279410350119442E-2</c:v>
                </c:pt>
                <c:pt idx="37">
                  <c:v>#N/A</c:v>
                </c:pt>
                <c:pt idx="38">
                  <c:v>9.4523633663128437E-2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9.8829320237326823E-2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0.1137712211585975</c:v>
                </c:pt>
                <c:pt idx="68">
                  <c:v>#N/A</c:v>
                </c:pt>
                <c:pt idx="69">
                  <c:v>#N/A</c:v>
                </c:pt>
                <c:pt idx="70">
                  <c:v>0.1220509026578615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0.11382646205373795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0.12747489874914486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0.14194134164131386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0.17051431715836304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0.14617989457196995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0.13298162133171454</c:v>
                </c:pt>
                <c:pt idx="108">
                  <c:v>#N/A</c:v>
                </c:pt>
                <c:pt idx="109">
                  <c:v>0.14047344867591277</c:v>
                </c:pt>
                <c:pt idx="110">
                  <c:v>0.12644045595853715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CA-4396-A23F-8B1978FD761E}"/>
            </c:ext>
          </c:extLst>
        </c:ser>
        <c:ser>
          <c:idx val="2"/>
          <c:order val="2"/>
          <c:tx>
            <c:strRef>
              <c:f>'pivot-prefill'!$AD$5</c:f>
              <c:strCache>
                <c:ptCount val="1"/>
                <c:pt idx="0">
                  <c:v>5K,100-1800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'pivot-prefill'!$AD$6:$AD$151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0.14001906340436057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0.14131639997156367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0.14455132195937925</c:v>
                </c:pt>
                <c:pt idx="27">
                  <c:v>#N/A</c:v>
                </c:pt>
                <c:pt idx="28">
                  <c:v>#N/A</c:v>
                </c:pt>
                <c:pt idx="29">
                  <c:v>0.14438882254426644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0.34444617464136235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0.24551542522963241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0.15544193767138964</c:v>
                </c:pt>
                <c:pt idx="60">
                  <c:v>#N/A</c:v>
                </c:pt>
                <c:pt idx="61">
                  <c:v>0.15481857555113479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0.19344804233874538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0.20141286979510664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0.16248296045972282</c:v>
                </c:pt>
                <c:pt idx="89">
                  <c:v>0.16432492611937052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0.17561969466664892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0.19329064533754595</c:v>
                </c:pt>
                <c:pt idx="113">
                  <c:v>0.18625423975646438</c:v>
                </c:pt>
                <c:pt idx="114">
                  <c:v>#N/A</c:v>
                </c:pt>
                <c:pt idx="115">
                  <c:v>0.19339880353494768</c:v>
                </c:pt>
                <c:pt idx="116">
                  <c:v>#N/A</c:v>
                </c:pt>
                <c:pt idx="117">
                  <c:v>0.19055890054550972</c:v>
                </c:pt>
                <c:pt idx="118">
                  <c:v>0.2054726877016777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CA-4396-A23F-8B1978FD761E}"/>
            </c:ext>
          </c:extLst>
        </c:ser>
        <c:ser>
          <c:idx val="3"/>
          <c:order val="3"/>
          <c:tx>
            <c:strRef>
              <c:f>'pivot-prefill'!$AE$5</c:f>
              <c:strCache>
                <c:ptCount val="1"/>
                <c:pt idx="0">
                  <c:v>5K,1K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'pivot-prefill'!$AE$6:$AE$151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0.18708273940370831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0.21287415386511527</c:v>
                </c:pt>
                <c:pt idx="94">
                  <c:v>#N/A</c:v>
                </c:pt>
                <c:pt idx="95">
                  <c:v>0.34084885026655765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0.32445321451237169</c:v>
                </c:pt>
                <c:pt idx="109">
                  <c:v>#N/A</c:v>
                </c:pt>
                <c:pt idx="110">
                  <c:v>#N/A</c:v>
                </c:pt>
                <c:pt idx="111">
                  <c:v>0.284615048688595</c:v>
                </c:pt>
                <c:pt idx="112">
                  <c:v>#N/A</c:v>
                </c:pt>
                <c:pt idx="113">
                  <c:v>#N/A</c:v>
                </c:pt>
                <c:pt idx="114">
                  <c:v>0.35638908945720671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CA-4396-A23F-8B1978FD761E}"/>
            </c:ext>
          </c:extLst>
        </c:ser>
        <c:ser>
          <c:idx val="4"/>
          <c:order val="4"/>
          <c:tx>
            <c:strRef>
              <c:f>'pivot-prefill'!$AF$5</c:f>
              <c:strCache>
                <c:ptCount val="1"/>
                <c:pt idx="0">
                  <c:v>5K,200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'pivot-prefill'!$AF$6:$AF$151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0.1488430971451522</c:v>
                </c:pt>
                <c:pt idx="14">
                  <c:v>#N/A</c:v>
                </c:pt>
                <c:pt idx="15">
                  <c:v>#N/A</c:v>
                </c:pt>
                <c:pt idx="16">
                  <c:v>0.15019183677874534</c:v>
                </c:pt>
                <c:pt idx="17">
                  <c:v>#N/A</c:v>
                </c:pt>
                <c:pt idx="18">
                  <c:v>#N/A</c:v>
                </c:pt>
                <c:pt idx="19">
                  <c:v>0.14817790955466786</c:v>
                </c:pt>
                <c:pt idx="20">
                  <c:v>#N/A</c:v>
                </c:pt>
                <c:pt idx="21">
                  <c:v>#N/A</c:v>
                </c:pt>
                <c:pt idx="22">
                  <c:v>0.15084290821219767</c:v>
                </c:pt>
                <c:pt idx="23">
                  <c:v>#N/A</c:v>
                </c:pt>
                <c:pt idx="24">
                  <c:v>#N/A</c:v>
                </c:pt>
                <c:pt idx="25">
                  <c:v>0.16534524085197999</c:v>
                </c:pt>
                <c:pt idx="26">
                  <c:v>#N/A</c:v>
                </c:pt>
                <c:pt idx="27">
                  <c:v>#N/A</c:v>
                </c:pt>
                <c:pt idx="28">
                  <c:v>0.16607952366403897</c:v>
                </c:pt>
                <c:pt idx="29">
                  <c:v>#N/A</c:v>
                </c:pt>
                <c:pt idx="30">
                  <c:v>#N/A</c:v>
                </c:pt>
                <c:pt idx="31">
                  <c:v>0.18404528138351414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0.20070684176064443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0.20060907582293877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0.21021471894285801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0.25286004256319128</c:v>
                </c:pt>
                <c:pt idx="58">
                  <c:v>0.27919130141827481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0.25693345001399481</c:v>
                </c:pt>
                <c:pt idx="69">
                  <c:v>0.59217835931553797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0.86688896098379542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0.98734279889595244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1.1216695541638895</c:v>
                </c:pt>
                <c:pt idx="95">
                  <c:v>#N/A</c:v>
                </c:pt>
                <c:pt idx="96">
                  <c:v>#N/A</c:v>
                </c:pt>
                <c:pt idx="97">
                  <c:v>1.4690196156259414</c:v>
                </c:pt>
                <c:pt idx="98">
                  <c:v>1.2600287174116651</c:v>
                </c:pt>
                <c:pt idx="99">
                  <c:v>#N/A</c:v>
                </c:pt>
                <c:pt idx="100">
                  <c:v>1.8639268350212816</c:v>
                </c:pt>
                <c:pt idx="101">
                  <c:v>1.3741587436765066</c:v>
                </c:pt>
                <c:pt idx="102">
                  <c:v>#N/A</c:v>
                </c:pt>
                <c:pt idx="103">
                  <c:v>#N/A</c:v>
                </c:pt>
                <c:pt idx="104">
                  <c:v>1.0457511996065998</c:v>
                </c:pt>
                <c:pt idx="105">
                  <c:v>1.0035043611307832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CA-4396-A23F-8B1978FD761E}"/>
            </c:ext>
          </c:extLst>
        </c:ser>
        <c:ser>
          <c:idx val="5"/>
          <c:order val="5"/>
          <c:tx>
            <c:strRef>
              <c:f>'pivot-prefill'!$AG$5</c:f>
              <c:strCache>
                <c:ptCount val="1"/>
                <c:pt idx="0">
                  <c:v>5K,300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'pivot-prefill'!$AG$6:$AG$151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0.14532217116317739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0.26971127856781363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0.24776598173587749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0.94486020957379535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1.0033520229788151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0.95899900142358907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CA-4396-A23F-8B1978FD761E}"/>
            </c:ext>
          </c:extLst>
        </c:ser>
        <c:ser>
          <c:idx val="6"/>
          <c:order val="6"/>
          <c:tx>
            <c:strRef>
              <c:f>'pivot-prefill'!$AH$5</c:f>
              <c:strCache>
                <c:ptCount val="1"/>
                <c:pt idx="0">
                  <c:v>5K,500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'pivot-prefill'!$AH$6:$AH$151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0.15039057758938695</c:v>
                </c:pt>
                <c:pt idx="42">
                  <c:v>0.15181905510606336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0.16208390292466535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0.16800686798882636</c:v>
                </c:pt>
                <c:pt idx="52">
                  <c:v>#N/A</c:v>
                </c:pt>
                <c:pt idx="53">
                  <c:v>#N/A</c:v>
                </c:pt>
                <c:pt idx="54">
                  <c:v>0.17102828618696231</c:v>
                </c:pt>
                <c:pt idx="55">
                  <c:v>0.18478550120979248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0.17878856696611251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0.18453547350022789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0.23780301124955791</c:v>
                </c:pt>
                <c:pt idx="83">
                  <c:v>0.29382635968487436</c:v>
                </c:pt>
                <c:pt idx="84">
                  <c:v>1.1353691109673829</c:v>
                </c:pt>
                <c:pt idx="85">
                  <c:v>0.52980489719111601</c:v>
                </c:pt>
                <c:pt idx="86">
                  <c:v>#N/A</c:v>
                </c:pt>
                <c:pt idx="87">
                  <c:v>1.097514941873035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0.31278119207276189</c:v>
                </c:pt>
                <c:pt idx="103">
                  <c:v>0.48408511269759902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0.70102937710468272</c:v>
                </c:pt>
                <c:pt idx="124">
                  <c:v>#N/A</c:v>
                </c:pt>
                <c:pt idx="125">
                  <c:v>#N/A</c:v>
                </c:pt>
                <c:pt idx="126">
                  <c:v>0.47236298177643204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0.43838685597627414</c:v>
                </c:pt>
                <c:pt idx="133">
                  <c:v>0.51192707631293743</c:v>
                </c:pt>
                <c:pt idx="134">
                  <c:v>#N/A</c:v>
                </c:pt>
                <c:pt idx="135">
                  <c:v>#N/A</c:v>
                </c:pt>
                <c:pt idx="136">
                  <c:v>0.46343671585796753</c:v>
                </c:pt>
                <c:pt idx="137">
                  <c:v>0.46475651800967327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CA-4396-A23F-8B1978FD761E}"/>
            </c:ext>
          </c:extLst>
        </c:ser>
        <c:ser>
          <c:idx val="7"/>
          <c:order val="7"/>
          <c:tx>
            <c:strRef>
              <c:f>'pivot-prefill'!$AI$5</c:f>
              <c:strCache>
                <c:ptCount val="1"/>
                <c:pt idx="0">
                  <c:v>6K,100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movingAvg"/>
            <c:perio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'pivot-prefill'!$AA$6:$AA$151</c:f>
              <c:numCache>
                <c:formatCode>_-* #,##0.000_-;\-* #,##0.000_-;_-* "-"??_-;_-@_-</c:formatCode>
                <c:ptCount val="146"/>
                <c:pt idx="0">
                  <c:v>1.0150557507719928E-2</c:v>
                </c:pt>
                <c:pt idx="1">
                  <c:v>1.6512173139232419E-2</c:v>
                </c:pt>
                <c:pt idx="2">
                  <c:v>1.6875256696937891E-2</c:v>
                </c:pt>
                <c:pt idx="3">
                  <c:v>1.9997642191089005E-2</c:v>
                </c:pt>
                <c:pt idx="4">
                  <c:v>2.7674917911307269E-2</c:v>
                </c:pt>
                <c:pt idx="5">
                  <c:v>3.5640373294391452E-2</c:v>
                </c:pt>
                <c:pt idx="6">
                  <c:v>3.9849347419340118E-2</c:v>
                </c:pt>
                <c:pt idx="7">
                  <c:v>4.1308812120658976E-2</c:v>
                </c:pt>
                <c:pt idx="8">
                  <c:v>4.4642703215240054E-2</c:v>
                </c:pt>
                <c:pt idx="9">
                  <c:v>4.6332212740281015E-2</c:v>
                </c:pt>
                <c:pt idx="10">
                  <c:v>5.5009625606987904E-2</c:v>
                </c:pt>
                <c:pt idx="11">
                  <c:v>5.5108173991085967E-2</c:v>
                </c:pt>
                <c:pt idx="12">
                  <c:v>5.7532058595354346E-2</c:v>
                </c:pt>
                <c:pt idx="13">
                  <c:v>5.8994914231531768E-2</c:v>
                </c:pt>
                <c:pt idx="14">
                  <c:v>5.9106973536764078E-2</c:v>
                </c:pt>
                <c:pt idx="15">
                  <c:v>6.230122149713261E-2</c:v>
                </c:pt>
                <c:pt idx="16">
                  <c:v>6.3885297244490422E-2</c:v>
                </c:pt>
                <c:pt idx="17">
                  <c:v>6.8267103410625515E-2</c:v>
                </c:pt>
                <c:pt idx="18">
                  <c:v>6.8285948980057493E-2</c:v>
                </c:pt>
                <c:pt idx="19">
                  <c:v>6.9947992989110142E-2</c:v>
                </c:pt>
                <c:pt idx="20">
                  <c:v>7.817315444408951E-2</c:v>
                </c:pt>
                <c:pt idx="21">
                  <c:v>7.9329368157917426E-2</c:v>
                </c:pt>
                <c:pt idx="22">
                  <c:v>8.0174122920437893E-2</c:v>
                </c:pt>
                <c:pt idx="23">
                  <c:v>8.0536160675803811E-2</c:v>
                </c:pt>
                <c:pt idx="24">
                  <c:v>8.4433992759244889E-2</c:v>
                </c:pt>
                <c:pt idx="25">
                  <c:v>9.3204608798092115E-2</c:v>
                </c:pt>
                <c:pt idx="26">
                  <c:v>9.50714187924976E-2</c:v>
                </c:pt>
                <c:pt idx="27">
                  <c:v>9.8829461963218179E-2</c:v>
                </c:pt>
                <c:pt idx="28">
                  <c:v>0.1015458437491021</c:v>
                </c:pt>
                <c:pt idx="29">
                  <c:v>0.10698367787766773</c:v>
                </c:pt>
                <c:pt idx="30">
                  <c:v>0.1145187788071008</c:v>
                </c:pt>
                <c:pt idx="31">
                  <c:v>0.12825331149613536</c:v>
                </c:pt>
                <c:pt idx="32">
                  <c:v>0.13567259668284176</c:v>
                </c:pt>
                <c:pt idx="33">
                  <c:v>0.13641673892210099</c:v>
                </c:pt>
                <c:pt idx="34">
                  <c:v>0.13848806137401951</c:v>
                </c:pt>
                <c:pt idx="35">
                  <c:v>0.14127517742723331</c:v>
                </c:pt>
                <c:pt idx="36">
                  <c:v>0.15360972938438372</c:v>
                </c:pt>
                <c:pt idx="37">
                  <c:v>0.15521075769330225</c:v>
                </c:pt>
                <c:pt idx="38">
                  <c:v>0.166508465294574</c:v>
                </c:pt>
                <c:pt idx="39">
                  <c:v>0.17103859581070602</c:v>
                </c:pt>
                <c:pt idx="40">
                  <c:v>0.17125822486567252</c:v>
                </c:pt>
                <c:pt idx="41">
                  <c:v>0.17211700816866699</c:v>
                </c:pt>
                <c:pt idx="42">
                  <c:v>0.17859033450463196</c:v>
                </c:pt>
                <c:pt idx="43">
                  <c:v>0.18465843461770537</c:v>
                </c:pt>
                <c:pt idx="44">
                  <c:v>0.2027382696893946</c:v>
                </c:pt>
                <c:pt idx="45">
                  <c:v>0.21169130957270418</c:v>
                </c:pt>
                <c:pt idx="46">
                  <c:v>0.21213113812027698</c:v>
                </c:pt>
                <c:pt idx="47">
                  <c:v>0.2133619312736732</c:v>
                </c:pt>
                <c:pt idx="48">
                  <c:v>0.22876618141438113</c:v>
                </c:pt>
                <c:pt idx="49">
                  <c:v>0.22976180214349332</c:v>
                </c:pt>
                <c:pt idx="50">
                  <c:v>0.23186219578771949</c:v>
                </c:pt>
                <c:pt idx="51">
                  <c:v>0.23920275635467531</c:v>
                </c:pt>
                <c:pt idx="52">
                  <c:v>0.24133771429440673</c:v>
                </c:pt>
                <c:pt idx="53">
                  <c:v>0.24204809930178434</c:v>
                </c:pt>
                <c:pt idx="54">
                  <c:v>0.25347282435084195</c:v>
                </c:pt>
                <c:pt idx="55">
                  <c:v>0.26573095879158481</c:v>
                </c:pt>
                <c:pt idx="56">
                  <c:v>0.27561761917076111</c:v>
                </c:pt>
                <c:pt idx="57">
                  <c:v>0.28184351923684736</c:v>
                </c:pt>
                <c:pt idx="58">
                  <c:v>0.29222768152170792</c:v>
                </c:pt>
                <c:pt idx="59">
                  <c:v>0.29655056359238813</c:v>
                </c:pt>
                <c:pt idx="60">
                  <c:v>0.3095032058595355</c:v>
                </c:pt>
                <c:pt idx="61">
                  <c:v>0.31619645703294674</c:v>
                </c:pt>
                <c:pt idx="62">
                  <c:v>0.32849179668419387</c:v>
                </c:pt>
                <c:pt idx="63">
                  <c:v>0.33335134965545565</c:v>
                </c:pt>
                <c:pt idx="64">
                  <c:v>0.33464087147659677</c:v>
                </c:pt>
                <c:pt idx="65">
                  <c:v>0.33898827180212654</c:v>
                </c:pt>
                <c:pt idx="66">
                  <c:v>0.33997760986991121</c:v>
                </c:pt>
                <c:pt idx="67">
                  <c:v>0.35913983708301006</c:v>
                </c:pt>
                <c:pt idx="68">
                  <c:v>0.36012700054593</c:v>
                </c:pt>
                <c:pt idx="69">
                  <c:v>0.36374881475734844</c:v>
                </c:pt>
                <c:pt idx="70">
                  <c:v>0.37595034910783548</c:v>
                </c:pt>
                <c:pt idx="71">
                  <c:v>0.39154670574375766</c:v>
                </c:pt>
                <c:pt idx="72">
                  <c:v>0.39190299686808611</c:v>
                </c:pt>
                <c:pt idx="73">
                  <c:v>0.40995029164152513</c:v>
                </c:pt>
                <c:pt idx="74">
                  <c:v>0.41449276685072783</c:v>
                </c:pt>
                <c:pt idx="75">
                  <c:v>0.41702999741401603</c:v>
                </c:pt>
                <c:pt idx="76">
                  <c:v>0.41909030830675514</c:v>
                </c:pt>
                <c:pt idx="77">
                  <c:v>0.43729828190854692</c:v>
                </c:pt>
                <c:pt idx="78">
                  <c:v>0.45074998288687074</c:v>
                </c:pt>
                <c:pt idx="79">
                  <c:v>0.4614724305375974</c:v>
                </c:pt>
                <c:pt idx="80">
                  <c:v>0.46837916271585794</c:v>
                </c:pt>
                <c:pt idx="81">
                  <c:v>0.46908025170243944</c:v>
                </c:pt>
                <c:pt idx="82">
                  <c:v>0.47599172485130598</c:v>
                </c:pt>
                <c:pt idx="83">
                  <c:v>0.47636895526247736</c:v>
                </c:pt>
                <c:pt idx="84">
                  <c:v>0.47788337212309279</c:v>
                </c:pt>
                <c:pt idx="85">
                  <c:v>0.48270530865565769</c:v>
                </c:pt>
                <c:pt idx="86">
                  <c:v>0.48496541880263877</c:v>
                </c:pt>
                <c:pt idx="87">
                  <c:v>0.49365638240735221</c:v>
                </c:pt>
                <c:pt idx="88">
                  <c:v>0.49386129038198118</c:v>
                </c:pt>
                <c:pt idx="89">
                  <c:v>0.51077284626098474</c:v>
                </c:pt>
                <c:pt idx="90">
                  <c:v>0.52409993391374299</c:v>
                </c:pt>
                <c:pt idx="91">
                  <c:v>0.52573215671062834</c:v>
                </c:pt>
                <c:pt idx="92">
                  <c:v>0.53462057868574553</c:v>
                </c:pt>
                <c:pt idx="93">
                  <c:v>0.54082065739406704</c:v>
                </c:pt>
                <c:pt idx="94">
                  <c:v>0.54142099818981126</c:v>
                </c:pt>
                <c:pt idx="95">
                  <c:v>0.56045971252478244</c:v>
                </c:pt>
                <c:pt idx="96">
                  <c:v>0.56726287207545623</c:v>
                </c:pt>
                <c:pt idx="97">
                  <c:v>0.57643881274602771</c:v>
                </c:pt>
                <c:pt idx="98">
                  <c:v>0.57772749475619911</c:v>
                </c:pt>
                <c:pt idx="99">
                  <c:v>0.58152480833295317</c:v>
                </c:pt>
                <c:pt idx="100">
                  <c:v>0.58347268913599404</c:v>
                </c:pt>
                <c:pt idx="101">
                  <c:v>0.58683698244404214</c:v>
                </c:pt>
                <c:pt idx="102">
                  <c:v>0.60576522307914638</c:v>
                </c:pt>
                <c:pt idx="103">
                  <c:v>0.61353338852996586</c:v>
                </c:pt>
                <c:pt idx="104">
                  <c:v>0.61607476366979863</c:v>
                </c:pt>
                <c:pt idx="105">
                  <c:v>0.62465017383558896</c:v>
                </c:pt>
                <c:pt idx="106">
                  <c:v>0.63176008533747097</c:v>
                </c:pt>
                <c:pt idx="107">
                  <c:v>0.63672105239139465</c:v>
                </c:pt>
                <c:pt idx="108">
                  <c:v>0.65109408671666236</c:v>
                </c:pt>
                <c:pt idx="109">
                  <c:v>0.65425178863891043</c:v>
                </c:pt>
                <c:pt idx="110">
                  <c:v>0.66312162691216692</c:v>
                </c:pt>
                <c:pt idx="111">
                  <c:v>0.67199419769847424</c:v>
                </c:pt>
                <c:pt idx="112">
                  <c:v>0.67386728678039765</c:v>
                </c:pt>
                <c:pt idx="113">
                  <c:v>0.68742814378966433</c:v>
                </c:pt>
                <c:pt idx="114">
                  <c:v>0.69155535181136429</c:v>
                </c:pt>
                <c:pt idx="115">
                  <c:v>0.69163114163282824</c:v>
                </c:pt>
                <c:pt idx="116">
                  <c:v>0.69932189753756857</c:v>
                </c:pt>
                <c:pt idx="117">
                  <c:v>0.71036971783084368</c:v>
                </c:pt>
                <c:pt idx="118">
                  <c:v>0.71598852315687067</c:v>
                </c:pt>
                <c:pt idx="119">
                  <c:v>0.71633479872424777</c:v>
                </c:pt>
                <c:pt idx="120">
                  <c:v>0.71907486423584166</c:v>
                </c:pt>
                <c:pt idx="121">
                  <c:v>0.71910207094216017</c:v>
                </c:pt>
                <c:pt idx="122">
                  <c:v>0.73818061661351031</c:v>
                </c:pt>
                <c:pt idx="123">
                  <c:v>0.74480582302742671</c:v>
                </c:pt>
                <c:pt idx="124">
                  <c:v>0.75703141354809311</c:v>
                </c:pt>
                <c:pt idx="125">
                  <c:v>0.7583958279458668</c:v>
                </c:pt>
                <c:pt idx="126">
                  <c:v>0.75889012800620637</c:v>
                </c:pt>
                <c:pt idx="127">
                  <c:v>0.76341579748872235</c:v>
                </c:pt>
                <c:pt idx="128">
                  <c:v>0.77042547042090703</c:v>
                </c:pt>
                <c:pt idx="129">
                  <c:v>0.78210499094905606</c:v>
                </c:pt>
                <c:pt idx="130">
                  <c:v>0.79698991466252911</c:v>
                </c:pt>
                <c:pt idx="131">
                  <c:v>0.81162910184693704</c:v>
                </c:pt>
                <c:pt idx="132">
                  <c:v>0.81599065052708442</c:v>
                </c:pt>
                <c:pt idx="133">
                  <c:v>0.84196233083354888</c:v>
                </c:pt>
                <c:pt idx="134">
                  <c:v>0.84485906387380394</c:v>
                </c:pt>
                <c:pt idx="135">
                  <c:v>0.85300405137488144</c:v>
                </c:pt>
                <c:pt idx="136">
                  <c:v>0.86249757564003104</c:v>
                </c:pt>
                <c:pt idx="137">
                  <c:v>0.86774469873286786</c:v>
                </c:pt>
                <c:pt idx="138">
                  <c:v>0.86822536850271537</c:v>
                </c:pt>
                <c:pt idx="139">
                  <c:v>0.87014661362483015</c:v>
                </c:pt>
                <c:pt idx="140">
                  <c:v>0.87177630395430672</c:v>
                </c:pt>
                <c:pt idx="141">
                  <c:v>0.8748298029030479</c:v>
                </c:pt>
                <c:pt idx="142">
                  <c:v>0.87529748645382954</c:v>
                </c:pt>
                <c:pt idx="143">
                  <c:v>0.88144787395175306</c:v>
                </c:pt>
                <c:pt idx="144">
                  <c:v>0.90006702220761503</c:v>
                </c:pt>
                <c:pt idx="145">
                  <c:v>0.90925288049880759</c:v>
                </c:pt>
              </c:numCache>
            </c:numRef>
          </c:xVal>
          <c:yVal>
            <c:numRef>
              <c:f>'pivot-prefill'!$AI$6:$AI$151</c:f>
              <c:numCache>
                <c:formatCode>_-* #,##0.000_-;\-* #,##0.000_-;_-* "-"??_-;_-@_-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0.18273021965980119</c:v>
                </c:pt>
                <c:pt idx="9">
                  <c:v>0.18401447805069526</c:v>
                </c:pt>
                <c:pt idx="10">
                  <c:v>0.22444158374208048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0.19235890049024437</c:v>
                </c:pt>
                <c:pt idx="15">
                  <c:v>#N/A</c:v>
                </c:pt>
                <c:pt idx="16">
                  <c:v>#N/A</c:v>
                </c:pt>
                <c:pt idx="17">
                  <c:v>0.20094196874183576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0.21283558649133549</c:v>
                </c:pt>
                <c:pt idx="22">
                  <c:v>#N/A</c:v>
                </c:pt>
                <c:pt idx="23">
                  <c:v>0.20026413565238368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0.24826633152047695</c:v>
                </c:pt>
                <c:pt idx="35">
                  <c:v>#N/A</c:v>
                </c:pt>
                <c:pt idx="36">
                  <c:v>#N/A</c:v>
                </c:pt>
                <c:pt idx="37">
                  <c:v>0.26500080159138367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0.34435389896390012</c:v>
                </c:pt>
                <c:pt idx="45">
                  <c:v>#N/A</c:v>
                </c:pt>
                <c:pt idx="46">
                  <c:v>0.3306238962355677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0.49033358348481709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0.3821734862349872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0.58959784170468954</c:v>
                </c:pt>
                <c:pt idx="73">
                  <c:v>0.50133485819597334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0.74375447320014987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1.2817617600254509</c:v>
                </c:pt>
                <c:pt idx="117">
                  <c:v>#N/A</c:v>
                </c:pt>
                <c:pt idx="118">
                  <c:v>#N/A</c:v>
                </c:pt>
                <c:pt idx="119">
                  <c:v>0.61902965535370225</c:v>
                </c:pt>
                <c:pt idx="120">
                  <c:v>#N/A</c:v>
                </c:pt>
                <c:pt idx="121">
                  <c:v>#N/A</c:v>
                </c:pt>
                <c:pt idx="122">
                  <c:v>1.227755021093192</c:v>
                </c:pt>
                <c:pt idx="123">
                  <c:v>#N/A</c:v>
                </c:pt>
                <c:pt idx="124">
                  <c:v>#N/A</c:v>
                </c:pt>
                <c:pt idx="125">
                  <c:v>1.3392629044221371</c:v>
                </c:pt>
                <c:pt idx="126">
                  <c:v>#N/A</c:v>
                </c:pt>
                <c:pt idx="127">
                  <c:v>1.1255584311320885</c:v>
                </c:pt>
                <c:pt idx="128">
                  <c:v>#N/A</c:v>
                </c:pt>
                <c:pt idx="129">
                  <c:v>1.3774511413063049</c:v>
                </c:pt>
                <c:pt idx="130">
                  <c:v>1.3740283270689924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1.0074532958660602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CA-4396-A23F-8B1978FD7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049152"/>
        <c:axId val="1589056352"/>
      </c:scatterChart>
      <c:valAx>
        <c:axId val="15890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56352"/>
        <c:crosses val="autoZero"/>
        <c:crossBetween val="midCat"/>
      </c:valAx>
      <c:valAx>
        <c:axId val="1589056352"/>
        <c:scaling>
          <c:orientation val="minMax"/>
          <c:max val="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4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'ITL-PLOT'!$A$5</c:f>
          <c:strCache>
            <c:ptCount val="1"/>
            <c:pt idx="0">
              <c:v>Average of ITL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'ITL-PLOT'!$B$7</c:f>
              <c:strCache>
                <c:ptCount val="1"/>
                <c:pt idx="0">
                  <c:v>1-15K,300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96110397360115"/>
                  <c:y val="3.548556430446194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4F81B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'ITL-PLOT'!$B$8:$B$222</c:f>
              <c:numCache>
                <c:formatCode>General</c:formatCode>
                <c:ptCount val="215"/>
                <c:pt idx="0">
                  <c:v>#N/A</c:v>
                </c:pt>
                <c:pt idx="1">
                  <c:v>6.6212960266655973E-3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7.490851774883912E-3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8.1016796352175388E-3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9.0222427353906856E-3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1.1071213533300241E-2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1.2433206767652884E-2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1.584888159105512E-2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2.3421438229960803E-2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2.7628285836238893E-2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3.9794129214593008E-2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4.381452327098001E-2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5.524709918565901E-2</c:v>
                </c:pt>
                <c:pt idx="199">
                  <c:v>#N/A</c:v>
                </c:pt>
                <c:pt idx="200">
                  <c:v>#N/A</c:v>
                </c:pt>
                <c:pt idx="201">
                  <c:v>5.3300864370715025E-2</c:v>
                </c:pt>
                <c:pt idx="202">
                  <c:v>5.3554148032525548E-2</c:v>
                </c:pt>
                <c:pt idx="203">
                  <c:v>#N/A</c:v>
                </c:pt>
                <c:pt idx="204">
                  <c:v>5.3560281516683059E-2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E-4941-844C-6BF09CA2450D}"/>
            </c:ext>
          </c:extLst>
        </c:ser>
        <c:ser>
          <c:idx val="1"/>
          <c:order val="1"/>
          <c:tx>
            <c:strRef>
              <c:f>'ITL-PLOT'!$C$7</c:f>
              <c:strCache>
                <c:ptCount val="1"/>
                <c:pt idx="0">
                  <c:v>1-15K,300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'ITL-PLOT'!$C$8:$C$222</c:f>
              <c:numCache>
                <c:formatCode>General</c:formatCode>
                <c:ptCount val="215"/>
                <c:pt idx="0">
                  <c:v>6.596198861928409E-3</c:v>
                </c:pt>
                <c:pt idx="1">
                  <c:v>#N/A</c:v>
                </c:pt>
                <c:pt idx="2">
                  <c:v>7.0278514508279053E-3</c:v>
                </c:pt>
                <c:pt idx="3">
                  <c:v>#N/A</c:v>
                </c:pt>
                <c:pt idx="4">
                  <c:v>7.280404097911467E-3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8.0706952791960666E-3</c:v>
                </c:pt>
                <c:pt idx="9">
                  <c:v>#N/A</c:v>
                </c:pt>
                <c:pt idx="10">
                  <c:v>8.2483981479025952E-3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9.0297684207135426E-3</c:v>
                </c:pt>
                <c:pt idx="16">
                  <c:v>#N/A</c:v>
                </c:pt>
                <c:pt idx="17">
                  <c:v>9.3669171539898718E-3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1.0746412006416907E-2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1.3768167139153839E-2</c:v>
                </c:pt>
                <c:pt idx="50">
                  <c:v>1.3314866237425725E-2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1.555310791801642E-2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1.6170001649484025E-2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2.0987859075821697E-2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2.3725058598717791E-2</c:v>
                </c:pt>
                <c:pt idx="98">
                  <c:v>2.4980285222803156E-2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2.9957435989161077E-2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4.3304766797038811E-2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4.7299661496975204E-2</c:v>
                </c:pt>
                <c:pt idx="174">
                  <c:v>4.6026723483287776E-2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4.9184309247364444E-2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4.9659702641519837E-2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5.4880265473210399E-2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5.5731671260744756E-2</c:v>
                </c:pt>
                <c:pt idx="208">
                  <c:v>5.603377519936481E-2</c:v>
                </c:pt>
                <c:pt idx="209">
                  <c:v>5.2149953802764624E-2</c:v>
                </c:pt>
                <c:pt idx="210">
                  <c:v>5.2832270464367087E-2</c:v>
                </c:pt>
                <c:pt idx="211">
                  <c:v>5.4148147401154513E-2</c:v>
                </c:pt>
                <c:pt idx="212">
                  <c:v>5.398782987364837E-2</c:v>
                </c:pt>
                <c:pt idx="213">
                  <c:v>5.2854428180746427E-2</c:v>
                </c:pt>
                <c:pt idx="214">
                  <c:v>5.4345286202558019E-2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8E-4941-844C-6BF09CA2450D}"/>
            </c:ext>
          </c:extLst>
        </c:ser>
        <c:ser>
          <c:idx val="2"/>
          <c:order val="2"/>
          <c:tx>
            <c:strRef>
              <c:f>'ITL-PLOT'!$D$7</c:f>
              <c:strCache>
                <c:ptCount val="1"/>
                <c:pt idx="0">
                  <c:v>3K,100-1800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'ITL-PLOT'!$D$8:$D$222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8.4535995613054232E-3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9.0757148595714369E-3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9.7737484105561365E-3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1.0705457534636925E-2</c:v>
                </c:pt>
                <c:pt idx="43">
                  <c:v>#N/A</c:v>
                </c:pt>
                <c:pt idx="44">
                  <c:v>#N/A</c:v>
                </c:pt>
                <c:pt idx="45">
                  <c:v>1.0615078085420126E-2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1.1505180267543465E-2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1.1636336481284381E-2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1.3493247325563274E-2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1.6468549703887021E-2</c:v>
                </c:pt>
                <c:pt idx="103">
                  <c:v>#N/A</c:v>
                </c:pt>
                <c:pt idx="104">
                  <c:v>#N/A</c:v>
                </c:pt>
                <c:pt idx="105">
                  <c:v>1.7494420013152732E-2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1.7667547286003699E-2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1.8797775393388193E-2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1.995583345049148E-2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2.045607145350236E-2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2.1612713884395868E-2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2.2412820088045599E-2</c:v>
                </c:pt>
                <c:pt idx="156">
                  <c:v>#N/A</c:v>
                </c:pt>
                <c:pt idx="157">
                  <c:v>2.3826842528162459E-2</c:v>
                </c:pt>
                <c:pt idx="158">
                  <c:v>#N/A</c:v>
                </c:pt>
                <c:pt idx="159">
                  <c:v>2.2953772822062748E-2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8E-4941-844C-6BF09CA2450D}"/>
            </c:ext>
          </c:extLst>
        </c:ser>
        <c:ser>
          <c:idx val="3"/>
          <c:order val="3"/>
          <c:tx>
            <c:strRef>
              <c:f>'ITL-PLOT'!$E$7</c:f>
              <c:strCache>
                <c:ptCount val="1"/>
                <c:pt idx="0">
                  <c:v>5K,100-1800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051387730912971E-2"/>
                  <c:y val="-1.3590836029217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'ITL-PLOT'!$E$8:$E$222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9.6815497098528564E-3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9.9585361931964558E-3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1.1780866166576431E-2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1.1676885233167225E-2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1.2692933260667404E-2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1.2816159787474895E-2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1.622387482705575E-2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1.6070387078168404E-2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1.764151540892438E-2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1.9379795176355886E-2</c:v>
                </c:pt>
                <c:pt idx="116">
                  <c:v>#N/A</c:v>
                </c:pt>
                <c:pt idx="117">
                  <c:v>#N/A</c:v>
                </c:pt>
                <c:pt idx="118">
                  <c:v>1.8738186022315861E-2</c:v>
                </c:pt>
                <c:pt idx="119">
                  <c:v>1.9518618470788347E-2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2.5104176271498566E-2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2.5419000666195721E-2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2.4985119127032752E-2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2.464593313940986E-2</c:v>
                </c:pt>
                <c:pt idx="176">
                  <c:v>2.5266111224386646E-2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2.6117112964388428E-2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8E-4941-844C-6BF09CA2450D}"/>
            </c:ext>
          </c:extLst>
        </c:ser>
        <c:ser>
          <c:idx val="4"/>
          <c:order val="4"/>
          <c:tx>
            <c:strRef>
              <c:f>'ITL-PLOT'!$F$7</c:f>
              <c:strCache>
                <c:ptCount val="1"/>
                <c:pt idx="0">
                  <c:v>5K,100-1800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'ITL-PLOT'!$F$8:$F$222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9.6372250619072009E-3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1.0460084484178884E-2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1.1342318018871873E-2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1.1075833659466924E-2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1.5406034269445123E-2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1.4934354230036029E-2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1.6075060193484956E-2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1.614998110024948E-2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1.7961932173386517E-2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1.8766042390591448E-2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2.0872182953329547E-2</c:v>
                </c:pt>
                <c:pt idx="130">
                  <c:v>#N/A</c:v>
                </c:pt>
                <c:pt idx="131">
                  <c:v>#N/A</c:v>
                </c:pt>
                <c:pt idx="132">
                  <c:v>2.0326716039575112E-2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2.1851780945371161E-2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2.4655918108415869E-2</c:v>
                </c:pt>
                <c:pt idx="164">
                  <c:v>#N/A</c:v>
                </c:pt>
                <c:pt idx="165">
                  <c:v>2.4125358087585144E-2</c:v>
                </c:pt>
                <c:pt idx="166">
                  <c:v>#N/A</c:v>
                </c:pt>
                <c:pt idx="167">
                  <c:v>2.4144724083930518E-2</c:v>
                </c:pt>
                <c:pt idx="168">
                  <c:v>#N/A</c:v>
                </c:pt>
                <c:pt idx="169">
                  <c:v>#N/A</c:v>
                </c:pt>
                <c:pt idx="170">
                  <c:v>2.4324583818512577E-2</c:v>
                </c:pt>
                <c:pt idx="171">
                  <c:v>2.5381527339316323E-2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8E-4941-844C-6BF09CA2450D}"/>
            </c:ext>
          </c:extLst>
        </c:ser>
        <c:ser>
          <c:idx val="5"/>
          <c:order val="5"/>
          <c:tx>
            <c:strRef>
              <c:f>'ITL-PLOT'!$G$7</c:f>
              <c:strCache>
                <c:ptCount val="1"/>
                <c:pt idx="0">
                  <c:v>5K,1K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'ITL-PLOT'!$G$8:$G$222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1.9820489445293736E-2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2.21166259454268E-2</c:v>
                </c:pt>
                <c:pt idx="138">
                  <c:v>#N/A</c:v>
                </c:pt>
                <c:pt idx="139">
                  <c:v>2.3147635654410761E-2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2.7029909332638716E-2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2.7770829411846651E-2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2.8225682364917449E-2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8E-4941-844C-6BF09CA2450D}"/>
            </c:ext>
          </c:extLst>
        </c:ser>
        <c:ser>
          <c:idx val="6"/>
          <c:order val="6"/>
          <c:tx>
            <c:strRef>
              <c:f>'ITL-PLOT'!$H$7</c:f>
              <c:strCache>
                <c:ptCount val="1"/>
                <c:pt idx="0">
                  <c:v>5K,200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96110397360115"/>
                  <c:y val="-4.0057620704388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'ITL-PLOT'!$H$8:$H$222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9.6212234184526301E-3</c:v>
                </c:pt>
                <c:pt idx="22">
                  <c:v>1.1228162871936714E-2</c:v>
                </c:pt>
                <c:pt idx="23">
                  <c:v>#N/A</c:v>
                </c:pt>
                <c:pt idx="24">
                  <c:v>1.086438303311912E-2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1.1404410581020489E-2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1.3399499060221923E-2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1.3324501686882279E-2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1.5942548324487743E-2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1.6929177718728747E-2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1.8620865082390158E-2</c:v>
                </c:pt>
                <c:pt idx="66">
                  <c:v>1.9950350457762972E-2</c:v>
                </c:pt>
                <c:pt idx="67">
                  <c:v>#N/A</c:v>
                </c:pt>
                <c:pt idx="68">
                  <c:v>2.3321659898174307E-2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2.4031371159684622E-2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2.7285715660388569E-2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3.6565374451086839E-2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4.0983470643534484E-2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4.4880637599709949E-2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4.6968770324398397E-2</c:v>
                </c:pt>
                <c:pt idx="150">
                  <c:v>#N/A</c:v>
                </c:pt>
                <c:pt idx="151">
                  <c:v>4.943304710785449E-2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6.0949067151273024E-2</c:v>
                </c:pt>
                <c:pt idx="188">
                  <c:v>#N/A</c:v>
                </c:pt>
                <c:pt idx="189">
                  <c:v>6.0201198214723778E-2</c:v>
                </c:pt>
                <c:pt idx="190">
                  <c:v>6.2837029255082055E-2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6.4225564259963633E-2</c:v>
                </c:pt>
                <c:pt idx="196">
                  <c:v>6.6213860636296473E-2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6.5766690236459535E-2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8E-4941-844C-6BF09CA2450D}"/>
            </c:ext>
          </c:extLst>
        </c:ser>
        <c:ser>
          <c:idx val="7"/>
          <c:order val="7"/>
          <c:tx>
            <c:strRef>
              <c:f>'ITL-PLOT'!$I$7</c:f>
              <c:strCache>
                <c:ptCount val="1"/>
                <c:pt idx="0">
                  <c:v>5K,200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'ITL-PLOT'!$I$8:$I$222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1.0721021489823184E-2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1.128819261719761E-2</c:v>
                </c:pt>
                <c:pt idx="26">
                  <c:v>#N/A</c:v>
                </c:pt>
                <c:pt idx="27">
                  <c:v>#N/A</c:v>
                </c:pt>
                <c:pt idx="28">
                  <c:v>1.0464462487309993E-2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1.1873789179147687E-2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1.42198915768788E-2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1.3731578108277158E-2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1.6155172768504214E-2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1.8282164253900317E-2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1.8460602292626395E-2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2.2218246486298266E-2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2.5528575404787906E-2</c:v>
                </c:pt>
                <c:pt idx="88">
                  <c:v>#N/A</c:v>
                </c:pt>
                <c:pt idx="89">
                  <c:v>2.6751555661055363E-2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2.9272509485958415E-2</c:v>
                </c:pt>
                <c:pt idx="104">
                  <c:v>3.4661223681564719E-2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3.8099701908507574E-2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4.0627822946799279E-2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4.6991688022651655E-2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5.2543123906379351E-2</c:v>
                </c:pt>
                <c:pt idx="143">
                  <c:v>5.4497487006289348E-2</c:v>
                </c:pt>
                <c:pt idx="144">
                  <c:v>#N/A</c:v>
                </c:pt>
                <c:pt idx="145">
                  <c:v>#N/A</c:v>
                </c:pt>
                <c:pt idx="146">
                  <c:v>5.1672567798732034E-2</c:v>
                </c:pt>
                <c:pt idx="147">
                  <c:v>5.1964322290533771E-2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5.388280799580767E-2</c:v>
                </c:pt>
                <c:pt idx="153">
                  <c:v>5.4876145341185456E-2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8E-4941-844C-6BF09CA2450D}"/>
            </c:ext>
          </c:extLst>
        </c:ser>
        <c:ser>
          <c:idx val="8"/>
          <c:order val="8"/>
          <c:tx>
            <c:strRef>
              <c:f>'ITL-PLOT'!$J$7</c:f>
              <c:strCache>
                <c:ptCount val="1"/>
                <c:pt idx="0">
                  <c:v>5K,300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'ITL-PLOT'!$J$8:$J$222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1.1154069304209259E-2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1.9149387940522167E-2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2.4075493365291672E-2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3.675773757560289E-2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3.9154183738759556E-2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4.9975882181106622E-2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8E-4941-844C-6BF09CA2450D}"/>
            </c:ext>
          </c:extLst>
        </c:ser>
        <c:ser>
          <c:idx val="9"/>
          <c:order val="9"/>
          <c:tx>
            <c:strRef>
              <c:f>'ITL-PLOT'!$K$7</c:f>
              <c:strCache>
                <c:ptCount val="1"/>
                <c:pt idx="0">
                  <c:v>5K,500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835136654596838E-2"/>
                  <c:y val="-5.937536877657734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'ITL-PLOT'!$K$8:$K$222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1.2235912914705667E-2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1.503680506743626E-2</c:v>
                </c:pt>
                <c:pt idx="74">
                  <c:v>1.4532837509576783E-2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1.5750199519474317E-2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1.7185741715384034E-2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2.1036300817882225E-2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2.5932778876334803E-2</c:v>
                </c:pt>
                <c:pt idx="132">
                  <c:v>#N/A</c:v>
                </c:pt>
                <c:pt idx="133">
                  <c:v>2.6226145819888858E-2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3.2075457319147974E-2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3.5467753659058965E-2</c:v>
                </c:pt>
                <c:pt idx="178">
                  <c:v>#N/A</c:v>
                </c:pt>
                <c:pt idx="179">
                  <c:v>3.6406629601579137E-2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3.8827688708399657E-2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8E-4941-844C-6BF09CA2450D}"/>
            </c:ext>
          </c:extLst>
        </c:ser>
        <c:ser>
          <c:idx val="10"/>
          <c:order val="10"/>
          <c:tx>
            <c:strRef>
              <c:f>'ITL-PLOT'!$L$7</c:f>
              <c:strCache>
                <c:ptCount val="1"/>
                <c:pt idx="0">
                  <c:v>5K,500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'ITL-PLOT'!$L$8:$L$222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1.3253454096760171E-2</c:v>
                </c:pt>
                <c:pt idx="63">
                  <c:v>1.3675466659039886E-2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1.4772788022741266E-2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1.5582201915096445E-2</c:v>
                </c:pt>
                <c:pt idx="80">
                  <c:v>#N/A</c:v>
                </c:pt>
                <c:pt idx="81">
                  <c:v>#N/A</c:v>
                </c:pt>
                <c:pt idx="82">
                  <c:v>1.6073429748460325E-2</c:v>
                </c:pt>
                <c:pt idx="83">
                  <c:v>#N/A</c:v>
                </c:pt>
                <c:pt idx="84">
                  <c:v>1.7040464900077414E-2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1.7937609454206145E-2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1.9511345407451829E-2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2.4015037537711399E-2</c:v>
                </c:pt>
                <c:pt idx="124">
                  <c:v>2.534745202136612E-2</c:v>
                </c:pt>
                <c:pt idx="125">
                  <c:v>2.899486974076091E-2</c:v>
                </c:pt>
                <c:pt idx="126">
                  <c:v>2.6898599939678539E-2</c:v>
                </c:pt>
                <c:pt idx="127">
                  <c:v>#N/A</c:v>
                </c:pt>
                <c:pt idx="128">
                  <c:v>2.7495596487765641E-2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3.0594831133307181E-2</c:v>
                </c:pt>
                <c:pt idx="149">
                  <c:v>#N/A</c:v>
                </c:pt>
                <c:pt idx="150">
                  <c:v>3.1481167201555318E-2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3.7746585141523716E-2</c:v>
                </c:pt>
                <c:pt idx="181">
                  <c:v>#N/A</c:v>
                </c:pt>
                <c:pt idx="182">
                  <c:v>#N/A</c:v>
                </c:pt>
                <c:pt idx="183">
                  <c:v>3.6644341857891408E-2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3.985327849326771E-2</c:v>
                </c:pt>
                <c:pt idx="195">
                  <c:v>#N/A</c:v>
                </c:pt>
                <c:pt idx="196">
                  <c:v>#N/A</c:v>
                </c:pt>
                <c:pt idx="197">
                  <c:v>4.0333052586724066E-2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4.0817544585313267E-2</c:v>
                </c:pt>
                <c:pt idx="206">
                  <c:v>4.0722935856781238E-2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8E-4941-844C-6BF09CA2450D}"/>
            </c:ext>
          </c:extLst>
        </c:ser>
        <c:ser>
          <c:idx val="11"/>
          <c:order val="11"/>
          <c:tx>
            <c:strRef>
              <c:f>'ITL-PLOT'!$M$7</c:f>
              <c:strCache>
                <c:ptCount val="1"/>
                <c:pt idx="0">
                  <c:v>6K,100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'ITL-PLOT'!$A$8:$A$222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1.1850271528316525E-2</c:v>
                </c:pt>
                <c:pt idx="2">
                  <c:v>1.6512173139232419E-2</c:v>
                </c:pt>
                <c:pt idx="3">
                  <c:v>1.6875256696937891E-2</c:v>
                </c:pt>
                <c:pt idx="4">
                  <c:v>1.9997642191089005E-2</c:v>
                </c:pt>
                <c:pt idx="5">
                  <c:v>2.5965865011636929E-2</c:v>
                </c:pt>
                <c:pt idx="6">
                  <c:v>2.7674917911307269E-2</c:v>
                </c:pt>
                <c:pt idx="7">
                  <c:v>3.1234376346866644E-2</c:v>
                </c:pt>
                <c:pt idx="8">
                  <c:v>3.5640373294391452E-2</c:v>
                </c:pt>
                <c:pt idx="9">
                  <c:v>3.6869666408068269E-2</c:v>
                </c:pt>
                <c:pt idx="10">
                  <c:v>3.9849347419340118E-2</c:v>
                </c:pt>
                <c:pt idx="11">
                  <c:v>4.1308812120658976E-2</c:v>
                </c:pt>
                <c:pt idx="12">
                  <c:v>4.4642703215240054E-2</c:v>
                </c:pt>
                <c:pt idx="13">
                  <c:v>4.6332212740281015E-2</c:v>
                </c:pt>
                <c:pt idx="14">
                  <c:v>5.5009625606987904E-2</c:v>
                </c:pt>
                <c:pt idx="15">
                  <c:v>5.5108173991085967E-2</c:v>
                </c:pt>
                <c:pt idx="16">
                  <c:v>5.7327385570209471E-2</c:v>
                </c:pt>
                <c:pt idx="17">
                  <c:v>5.7532058595354346E-2</c:v>
                </c:pt>
                <c:pt idx="18">
                  <c:v>5.8219550038789744E-2</c:v>
                </c:pt>
                <c:pt idx="19">
                  <c:v>5.8994914231531768E-2</c:v>
                </c:pt>
                <c:pt idx="20">
                  <c:v>5.9106973536764078E-2</c:v>
                </c:pt>
                <c:pt idx="21">
                  <c:v>5.9313421256788207E-2</c:v>
                </c:pt>
                <c:pt idx="22">
                  <c:v>6.0624515128006207E-2</c:v>
                </c:pt>
                <c:pt idx="23">
                  <c:v>6.230122149713261E-2</c:v>
                </c:pt>
                <c:pt idx="24">
                  <c:v>6.355486595983105E-2</c:v>
                </c:pt>
                <c:pt idx="25">
                  <c:v>6.3885297244490422E-2</c:v>
                </c:pt>
                <c:pt idx="26">
                  <c:v>6.8267103410625515E-2</c:v>
                </c:pt>
                <c:pt idx="27">
                  <c:v>6.8285948980057493E-2</c:v>
                </c:pt>
                <c:pt idx="28">
                  <c:v>6.9947992989110142E-2</c:v>
                </c:pt>
                <c:pt idx="29">
                  <c:v>7.1823118696664079E-2</c:v>
                </c:pt>
                <c:pt idx="30">
                  <c:v>7.817315444408951E-2</c:v>
                </c:pt>
                <c:pt idx="31">
                  <c:v>7.9329368157917426E-2</c:v>
                </c:pt>
                <c:pt idx="32">
                  <c:v>8.0174122920437893E-2</c:v>
                </c:pt>
                <c:pt idx="33">
                  <c:v>8.0536160675803811E-2</c:v>
                </c:pt>
                <c:pt idx="34">
                  <c:v>8.0896043444530635E-2</c:v>
                </c:pt>
                <c:pt idx="35">
                  <c:v>8.4433992759244889E-2</c:v>
                </c:pt>
                <c:pt idx="36">
                  <c:v>8.5151280062063614E-2</c:v>
                </c:pt>
                <c:pt idx="37">
                  <c:v>8.9103956555469377E-2</c:v>
                </c:pt>
                <c:pt idx="38">
                  <c:v>9.3204608798092115E-2</c:v>
                </c:pt>
                <c:pt idx="39">
                  <c:v>9.50714187924976E-2</c:v>
                </c:pt>
                <c:pt idx="40">
                  <c:v>9.5996896819239702E-2</c:v>
                </c:pt>
                <c:pt idx="41">
                  <c:v>9.6761055081458491E-2</c:v>
                </c:pt>
                <c:pt idx="42">
                  <c:v>9.8829461963218179E-2</c:v>
                </c:pt>
                <c:pt idx="43">
                  <c:v>0.1015458437491021</c:v>
                </c:pt>
                <c:pt idx="44">
                  <c:v>0.10698367787766773</c:v>
                </c:pt>
                <c:pt idx="45">
                  <c:v>0.1145187788071008</c:v>
                </c:pt>
                <c:pt idx="46">
                  <c:v>0.11821179208688905</c:v>
                </c:pt>
                <c:pt idx="47">
                  <c:v>0.12825331149613536</c:v>
                </c:pt>
                <c:pt idx="48">
                  <c:v>0.13169209550900782</c:v>
                </c:pt>
                <c:pt idx="49">
                  <c:v>0.13567259668284176</c:v>
                </c:pt>
                <c:pt idx="50">
                  <c:v>0.13641673892210099</c:v>
                </c:pt>
                <c:pt idx="51">
                  <c:v>0.13848806137401951</c:v>
                </c:pt>
                <c:pt idx="52">
                  <c:v>0.14127517742723331</c:v>
                </c:pt>
                <c:pt idx="53">
                  <c:v>0.14444789242306691</c:v>
                </c:pt>
                <c:pt idx="54">
                  <c:v>0.15360972938438372</c:v>
                </c:pt>
                <c:pt idx="55">
                  <c:v>0.15521075769330225</c:v>
                </c:pt>
                <c:pt idx="56">
                  <c:v>0.15773467804499613</c:v>
                </c:pt>
                <c:pt idx="57">
                  <c:v>0.15862684251357639</c:v>
                </c:pt>
                <c:pt idx="58">
                  <c:v>0.15977501939487976</c:v>
                </c:pt>
                <c:pt idx="59">
                  <c:v>0.166508465294574</c:v>
                </c:pt>
                <c:pt idx="60">
                  <c:v>0.17103859581070602</c:v>
                </c:pt>
                <c:pt idx="61">
                  <c:v>0.17125822486567252</c:v>
                </c:pt>
                <c:pt idx="62">
                  <c:v>0.17211700816866699</c:v>
                </c:pt>
                <c:pt idx="63">
                  <c:v>0.17859033450463196</c:v>
                </c:pt>
                <c:pt idx="64">
                  <c:v>0.17876260667183863</c:v>
                </c:pt>
                <c:pt idx="65">
                  <c:v>0.18175717610550809</c:v>
                </c:pt>
                <c:pt idx="66">
                  <c:v>0.18389449185415049</c:v>
                </c:pt>
                <c:pt idx="67">
                  <c:v>0.18465843461770537</c:v>
                </c:pt>
                <c:pt idx="68">
                  <c:v>0.20157098525989142</c:v>
                </c:pt>
                <c:pt idx="69">
                  <c:v>0.2027382696893946</c:v>
                </c:pt>
                <c:pt idx="70">
                  <c:v>0.21169130957270418</c:v>
                </c:pt>
                <c:pt idx="71">
                  <c:v>0.21213113812027698</c:v>
                </c:pt>
                <c:pt idx="72">
                  <c:v>0.2133619312736732</c:v>
                </c:pt>
                <c:pt idx="73">
                  <c:v>0.21848719937936381</c:v>
                </c:pt>
                <c:pt idx="74">
                  <c:v>0.21891388673390225</c:v>
                </c:pt>
                <c:pt idx="75">
                  <c:v>0.22876618141438113</c:v>
                </c:pt>
                <c:pt idx="76">
                  <c:v>0.22976180214349332</c:v>
                </c:pt>
                <c:pt idx="77">
                  <c:v>0.23186219578771949</c:v>
                </c:pt>
                <c:pt idx="78">
                  <c:v>0.2370157745021981</c:v>
                </c:pt>
                <c:pt idx="79">
                  <c:v>0.23920275635467531</c:v>
                </c:pt>
                <c:pt idx="80">
                  <c:v>0.24133771429440673</c:v>
                </c:pt>
                <c:pt idx="81">
                  <c:v>0.24204809930178434</c:v>
                </c:pt>
                <c:pt idx="82">
                  <c:v>0.25347282435084195</c:v>
                </c:pt>
                <c:pt idx="83">
                  <c:v>0.25623739332816142</c:v>
                </c:pt>
                <c:pt idx="84">
                  <c:v>0.26573095879158481</c:v>
                </c:pt>
                <c:pt idx="85">
                  <c:v>0.27561761917076111</c:v>
                </c:pt>
                <c:pt idx="86">
                  <c:v>0.2799327644168606</c:v>
                </c:pt>
                <c:pt idx="87">
                  <c:v>0.28184351923684736</c:v>
                </c:pt>
                <c:pt idx="88">
                  <c:v>0.29114817688130334</c:v>
                </c:pt>
                <c:pt idx="89">
                  <c:v>0.29222768152170792</c:v>
                </c:pt>
                <c:pt idx="90">
                  <c:v>0.29388673390224984</c:v>
                </c:pt>
                <c:pt idx="91">
                  <c:v>0.29655056359238813</c:v>
                </c:pt>
                <c:pt idx="92">
                  <c:v>0.30568657874321181</c:v>
                </c:pt>
                <c:pt idx="93">
                  <c:v>0.3084910783553142</c:v>
                </c:pt>
                <c:pt idx="94">
                  <c:v>0.3095032058595355</c:v>
                </c:pt>
                <c:pt idx="95">
                  <c:v>0.31619645703294674</c:v>
                </c:pt>
                <c:pt idx="96">
                  <c:v>0.32849179668419387</c:v>
                </c:pt>
                <c:pt idx="97">
                  <c:v>0.33335134965545565</c:v>
                </c:pt>
                <c:pt idx="98">
                  <c:v>0.33464087147659677</c:v>
                </c:pt>
                <c:pt idx="99">
                  <c:v>0.33898827180212654</c:v>
                </c:pt>
                <c:pt idx="100">
                  <c:v>0.33997760986991121</c:v>
                </c:pt>
                <c:pt idx="101">
                  <c:v>0.34968192397207143</c:v>
                </c:pt>
                <c:pt idx="102">
                  <c:v>0.35913983708301006</c:v>
                </c:pt>
                <c:pt idx="103">
                  <c:v>0.36012700054593</c:v>
                </c:pt>
                <c:pt idx="104">
                  <c:v>0.36374881475734844</c:v>
                </c:pt>
                <c:pt idx="105">
                  <c:v>0.37595034910783548</c:v>
                </c:pt>
                <c:pt idx="106">
                  <c:v>0.38005289512659568</c:v>
                </c:pt>
                <c:pt idx="107">
                  <c:v>0.39154670574375766</c:v>
                </c:pt>
                <c:pt idx="108">
                  <c:v>0.39190299686808611</c:v>
                </c:pt>
                <c:pt idx="109">
                  <c:v>0.39383242823894493</c:v>
                </c:pt>
                <c:pt idx="110">
                  <c:v>0.40995029164152513</c:v>
                </c:pt>
                <c:pt idx="111">
                  <c:v>0.41449276685072783</c:v>
                </c:pt>
                <c:pt idx="112">
                  <c:v>0.41702999741401603</c:v>
                </c:pt>
                <c:pt idx="113">
                  <c:v>0.41909030830675514</c:v>
                </c:pt>
                <c:pt idx="114">
                  <c:v>0.43729828190854692</c:v>
                </c:pt>
                <c:pt idx="115">
                  <c:v>0.44270399887157064</c:v>
                </c:pt>
                <c:pt idx="116">
                  <c:v>0.44471683475562451</c:v>
                </c:pt>
                <c:pt idx="117">
                  <c:v>0.45074998288687074</c:v>
                </c:pt>
                <c:pt idx="118">
                  <c:v>0.45902038225544817</c:v>
                </c:pt>
                <c:pt idx="119">
                  <c:v>0.46027223358487912</c:v>
                </c:pt>
                <c:pt idx="120">
                  <c:v>0.4614724305375974</c:v>
                </c:pt>
                <c:pt idx="121">
                  <c:v>0.46837916271585794</c:v>
                </c:pt>
                <c:pt idx="122">
                  <c:v>0.46908025170243944</c:v>
                </c:pt>
                <c:pt idx="123">
                  <c:v>0.47599172485130598</c:v>
                </c:pt>
                <c:pt idx="124">
                  <c:v>0.47636895526247736</c:v>
                </c:pt>
                <c:pt idx="125">
                  <c:v>0.47788337212309279</c:v>
                </c:pt>
                <c:pt idx="126">
                  <c:v>0.48270530865565769</c:v>
                </c:pt>
                <c:pt idx="127">
                  <c:v>0.48496541880263877</c:v>
                </c:pt>
                <c:pt idx="128">
                  <c:v>0.49365638240735221</c:v>
                </c:pt>
                <c:pt idx="129">
                  <c:v>0.49386129038198118</c:v>
                </c:pt>
                <c:pt idx="130">
                  <c:v>0.4969550038789759</c:v>
                </c:pt>
                <c:pt idx="131">
                  <c:v>0.50254460822342895</c:v>
                </c:pt>
                <c:pt idx="132">
                  <c:v>0.51077284626098474</c:v>
                </c:pt>
                <c:pt idx="133">
                  <c:v>0.51102146366692525</c:v>
                </c:pt>
                <c:pt idx="134">
                  <c:v>0.52409993391374299</c:v>
                </c:pt>
                <c:pt idx="135">
                  <c:v>0.52573215671062834</c:v>
                </c:pt>
                <c:pt idx="136">
                  <c:v>0.53462057868574553</c:v>
                </c:pt>
                <c:pt idx="137">
                  <c:v>0.54082065739406704</c:v>
                </c:pt>
                <c:pt idx="138">
                  <c:v>0.54142099818981126</c:v>
                </c:pt>
                <c:pt idx="139">
                  <c:v>0.56045971252478244</c:v>
                </c:pt>
                <c:pt idx="140">
                  <c:v>0.56726287207545623</c:v>
                </c:pt>
                <c:pt idx="141">
                  <c:v>0.57404965089216442</c:v>
                </c:pt>
                <c:pt idx="142">
                  <c:v>0.57643881274602771</c:v>
                </c:pt>
                <c:pt idx="143">
                  <c:v>0.57772749475619911</c:v>
                </c:pt>
                <c:pt idx="144">
                  <c:v>0.57991078355314196</c:v>
                </c:pt>
                <c:pt idx="145">
                  <c:v>0.58152480833295317</c:v>
                </c:pt>
                <c:pt idx="146">
                  <c:v>0.58347268913599404</c:v>
                </c:pt>
                <c:pt idx="147">
                  <c:v>0.58683698244404214</c:v>
                </c:pt>
                <c:pt idx="148">
                  <c:v>0.60576522307914638</c:v>
                </c:pt>
                <c:pt idx="149">
                  <c:v>0.60624127230411173</c:v>
                </c:pt>
                <c:pt idx="150">
                  <c:v>0.61353338852996586</c:v>
                </c:pt>
                <c:pt idx="151">
                  <c:v>0.61581070597362297</c:v>
                </c:pt>
                <c:pt idx="152">
                  <c:v>0.61607476366979863</c:v>
                </c:pt>
                <c:pt idx="153">
                  <c:v>0.62465017383558896</c:v>
                </c:pt>
                <c:pt idx="154">
                  <c:v>0.63176008533747097</c:v>
                </c:pt>
                <c:pt idx="155">
                  <c:v>0.63672105239139465</c:v>
                </c:pt>
                <c:pt idx="156">
                  <c:v>0.65109408671666236</c:v>
                </c:pt>
                <c:pt idx="157">
                  <c:v>0.65425178863891043</c:v>
                </c:pt>
                <c:pt idx="158">
                  <c:v>0.65566330488750968</c:v>
                </c:pt>
                <c:pt idx="159">
                  <c:v>0.66312162691216692</c:v>
                </c:pt>
                <c:pt idx="160">
                  <c:v>0.6677059971319087</c:v>
                </c:pt>
                <c:pt idx="161">
                  <c:v>0.67199419769847424</c:v>
                </c:pt>
                <c:pt idx="162">
                  <c:v>0.6726208947504525</c:v>
                </c:pt>
                <c:pt idx="163">
                  <c:v>0.67386728678039765</c:v>
                </c:pt>
                <c:pt idx="164">
                  <c:v>0.67751675012342194</c:v>
                </c:pt>
                <c:pt idx="165">
                  <c:v>0.68742814378966433</c:v>
                </c:pt>
                <c:pt idx="166">
                  <c:v>0.69155535181136429</c:v>
                </c:pt>
                <c:pt idx="167">
                  <c:v>0.69163114163282824</c:v>
                </c:pt>
                <c:pt idx="168">
                  <c:v>0.69932189753756857</c:v>
                </c:pt>
                <c:pt idx="169">
                  <c:v>0.70605226813527833</c:v>
                </c:pt>
                <c:pt idx="170">
                  <c:v>0.71036971783084368</c:v>
                </c:pt>
                <c:pt idx="171">
                  <c:v>0.71598852315687067</c:v>
                </c:pt>
                <c:pt idx="172">
                  <c:v>0.71633479872424777</c:v>
                </c:pt>
                <c:pt idx="173">
                  <c:v>0.71907486423584166</c:v>
                </c:pt>
                <c:pt idx="174">
                  <c:v>0.71910207094216017</c:v>
                </c:pt>
                <c:pt idx="175">
                  <c:v>0.72702111697456928</c:v>
                </c:pt>
                <c:pt idx="176">
                  <c:v>0.73138986692128671</c:v>
                </c:pt>
                <c:pt idx="177">
                  <c:v>0.73148623551261249</c:v>
                </c:pt>
                <c:pt idx="178">
                  <c:v>0.73818061661351031</c:v>
                </c:pt>
                <c:pt idx="179">
                  <c:v>0.74013270799539244</c:v>
                </c:pt>
                <c:pt idx="180">
                  <c:v>0.74480582302742671</c:v>
                </c:pt>
                <c:pt idx="181">
                  <c:v>0.75703141354809311</c:v>
                </c:pt>
                <c:pt idx="182">
                  <c:v>0.7583958279458668</c:v>
                </c:pt>
                <c:pt idx="183">
                  <c:v>0.75889012800620637</c:v>
                </c:pt>
                <c:pt idx="184">
                  <c:v>0.76301248660829724</c:v>
                </c:pt>
                <c:pt idx="185">
                  <c:v>0.76341579748872235</c:v>
                </c:pt>
                <c:pt idx="186">
                  <c:v>0.77042547042090703</c:v>
                </c:pt>
                <c:pt idx="187">
                  <c:v>0.78105896043444534</c:v>
                </c:pt>
                <c:pt idx="188">
                  <c:v>0.78210499094905606</c:v>
                </c:pt>
                <c:pt idx="189">
                  <c:v>0.78250581846392542</c:v>
                </c:pt>
                <c:pt idx="190">
                  <c:v>0.78798716411594616</c:v>
                </c:pt>
                <c:pt idx="191">
                  <c:v>0.79698991466252911</c:v>
                </c:pt>
                <c:pt idx="192">
                  <c:v>0.8100524249476927</c:v>
                </c:pt>
                <c:pt idx="193">
                  <c:v>0.81162910184693704</c:v>
                </c:pt>
                <c:pt idx="194">
                  <c:v>0.81599065052708442</c:v>
                </c:pt>
                <c:pt idx="195">
                  <c:v>0.82089463290782139</c:v>
                </c:pt>
                <c:pt idx="196">
                  <c:v>0.82582622187742438</c:v>
                </c:pt>
                <c:pt idx="197">
                  <c:v>0.84196233083354888</c:v>
                </c:pt>
                <c:pt idx="198">
                  <c:v>0.84277805204880463</c:v>
                </c:pt>
                <c:pt idx="199">
                  <c:v>0.84485906387380394</c:v>
                </c:pt>
                <c:pt idx="200">
                  <c:v>0.84791875308554909</c:v>
                </c:pt>
                <c:pt idx="201">
                  <c:v>0.84901011517574743</c:v>
                </c:pt>
                <c:pt idx="202">
                  <c:v>0.85145637915226746</c:v>
                </c:pt>
                <c:pt idx="203">
                  <c:v>0.85300405137488144</c:v>
                </c:pt>
                <c:pt idx="204">
                  <c:v>0.85536268425135764</c:v>
                </c:pt>
                <c:pt idx="205">
                  <c:v>0.86249757564003104</c:v>
                </c:pt>
                <c:pt idx="206">
                  <c:v>0.86774469873286786</c:v>
                </c:pt>
                <c:pt idx="207">
                  <c:v>0.86822536850271537</c:v>
                </c:pt>
                <c:pt idx="208">
                  <c:v>0.87014661362483015</c:v>
                </c:pt>
                <c:pt idx="209">
                  <c:v>0.87177630395430672</c:v>
                </c:pt>
                <c:pt idx="210">
                  <c:v>0.8748298029030479</c:v>
                </c:pt>
                <c:pt idx="211">
                  <c:v>0.87529748645382954</c:v>
                </c:pt>
                <c:pt idx="212">
                  <c:v>0.88144787395175306</c:v>
                </c:pt>
                <c:pt idx="213">
                  <c:v>0.90006702220761503</c:v>
                </c:pt>
                <c:pt idx="214">
                  <c:v>0.90925288049880759</c:v>
                </c:pt>
              </c:numCache>
            </c:numRef>
          </c:xVal>
          <c:yVal>
            <c:numRef>
              <c:f>'ITL-PLOT'!$M$8:$M$222</c:f>
              <c:numCache>
                <c:formatCode>General</c:formatCode>
                <c:ptCount val="2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1.1061016764952936E-2</c:v>
                </c:pt>
                <c:pt idx="13">
                  <c:v>1.1654574736677229E-2</c:v>
                </c:pt>
                <c:pt idx="14">
                  <c:v>1.8346191558481693E-2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1.3275207717987576E-2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1.4768636010278974E-2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1.5918493463828256E-2</c:v>
                </c:pt>
                <c:pt idx="32">
                  <c:v>#N/A</c:v>
                </c:pt>
                <c:pt idx="33">
                  <c:v>1.5086350243453263E-2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2.2143876234593563E-2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2.4129971595228988E-2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3.164305115443973E-2</c:v>
                </c:pt>
                <c:pt idx="70">
                  <c:v>#N/A</c:v>
                </c:pt>
                <c:pt idx="71">
                  <c:v>3.5378277627620171E-2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3.8194114817827314E-2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4.5377523930434899E-2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5.6983425120598952E-2</c:v>
                </c:pt>
                <c:pt idx="109">
                  <c:v>#N/A</c:v>
                </c:pt>
                <c:pt idx="110">
                  <c:v>5.5761778610436331E-2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7.0172334482096241E-2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8.4682442355198839E-2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9.0844476588396894E-2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9.7520763342730118E-2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0.10462679664851991</c:v>
                </c:pt>
                <c:pt idx="183">
                  <c:v>#N/A</c:v>
                </c:pt>
                <c:pt idx="184">
                  <c:v>#N/A</c:v>
                </c:pt>
                <c:pt idx="185">
                  <c:v>0.10106962356492293</c:v>
                </c:pt>
                <c:pt idx="186">
                  <c:v>#N/A</c:v>
                </c:pt>
                <c:pt idx="187">
                  <c:v>#N/A</c:v>
                </c:pt>
                <c:pt idx="188">
                  <c:v>9.6583568567583281E-2</c:v>
                </c:pt>
                <c:pt idx="189">
                  <c:v>#N/A</c:v>
                </c:pt>
                <c:pt idx="190">
                  <c:v>#N/A</c:v>
                </c:pt>
                <c:pt idx="191">
                  <c:v>0.10782964884424413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0.11063943531066119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58E-4941-844C-6BF09CA2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117888"/>
        <c:axId val="1089113568"/>
      </c:scatterChart>
      <c:valAx>
        <c:axId val="108911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'ITL-PLOT'!$A$6</c:f>
              <c:strCache>
                <c:ptCount val="1"/>
                <c:pt idx="0">
                  <c:v>KV%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13568"/>
        <c:crosses val="autoZero"/>
        <c:crossBetween val="midCat"/>
      </c:valAx>
      <c:valAx>
        <c:axId val="10891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'ITL-PLOT'!$A$5</c:f>
              <c:strCache>
                <c:ptCount val="1"/>
                <c:pt idx="0">
                  <c:v>Average of ITL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1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scatter!$A$1</c:f>
          <c:strCache>
            <c:ptCount val="1"/>
            <c:pt idx="0">
              <c:v>TTFT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scatter!$B$4</c:f>
              <c:strCache>
                <c:ptCount val="1"/>
                <c:pt idx="0">
                  <c:v>5K,1K
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scatter!$B$5:$B$219</c:f>
              <c:numCache>
                <c:formatCode>General</c:formatCode>
                <c:ptCount val="215"/>
                <c:pt idx="0">
                  <c:v>3.7026038223119916E-2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0.22058631616677774</c:v>
                </c:pt>
                <c:pt idx="17">
                  <c:v>#N/A</c:v>
                </c:pt>
                <c:pt idx="18">
                  <c:v>0.36363777946386272</c:v>
                </c:pt>
                <c:pt idx="19">
                  <c:v>0.49804553552893949</c:v>
                </c:pt>
                <c:pt idx="20">
                  <c:v>1.4924599860886767</c:v>
                </c:pt>
                <c:pt idx="21">
                  <c:v>2.1318950119705917</c:v>
                </c:pt>
                <c:pt idx="22">
                  <c:v>3.5608779512379258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F8-49A3-A1B4-DDDB9B089D71}"/>
            </c:ext>
          </c:extLst>
        </c:ser>
        <c:ser>
          <c:idx val="1"/>
          <c:order val="1"/>
          <c:tx>
            <c:strRef>
              <c:f>scatter!$C$4</c:f>
              <c:strCache>
                <c:ptCount val="1"/>
                <c:pt idx="0">
                  <c:v>6K,100
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scatter!$C$5:$C$219</c:f>
              <c:numCache>
                <c:formatCode>General</c:formatCode>
                <c:ptCount val="215"/>
                <c:pt idx="0">
                  <c:v>3.7026038223119916E-2</c:v>
                </c:pt>
                <c:pt idx="1">
                  <c:v>0.21398596348679985</c:v>
                </c:pt>
                <c:pt idx="2">
                  <c:v>0.2180064322344645</c:v>
                </c:pt>
                <c:pt idx="3">
                  <c:v>0.27853915419619951</c:v>
                </c:pt>
                <c:pt idx="4">
                  <c:v>0.23314669970428922</c:v>
                </c:pt>
                <c:pt idx="5">
                  <c:v>0.24909473342863278</c:v>
                </c:pt>
                <c:pt idx="6">
                  <c:v>0.2647654223543669</c:v>
                </c:pt>
                <c:pt idx="7">
                  <c:v>0.24523011470325082</c:v>
                </c:pt>
                <c:pt idx="8">
                  <c:v>0.31697018139158972</c:v>
                </c:pt>
                <c:pt idx="9">
                  <c:v>0.33946513884285467</c:v>
                </c:pt>
                <c:pt idx="10">
                  <c:v>0.44506980535367413</c:v>
                </c:pt>
                <c:pt idx="11">
                  <c:v>0.43071882204681411</c:v>
                </c:pt>
                <c:pt idx="12">
                  <c:v>0.65032245420202872</c:v>
                </c:pt>
                <c:pt idx="13">
                  <c:v>0.52589768124548075</c:v>
                </c:pt>
                <c:pt idx="14">
                  <c:v>0.81898924844690424</c:v>
                </c:pt>
                <c:pt idx="15">
                  <c:v>0.65627406597952154</c:v>
                </c:pt>
                <c:pt idx="16">
                  <c:v>#N/A</c:v>
                </c:pt>
                <c:pt idx="17">
                  <c:v>1.1605770143365433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2.7787750410736831</c:v>
                </c:pt>
                <c:pt idx="24">
                  <c:v>1.435064111913392</c:v>
                </c:pt>
                <c:pt idx="25">
                  <c:v>2.9788035527552004</c:v>
                </c:pt>
                <c:pt idx="26">
                  <c:v>6.268921307044212</c:v>
                </c:pt>
                <c:pt idx="27">
                  <c:v>4.6107999336990897</c:v>
                </c:pt>
                <c:pt idx="28">
                  <c:v>3.5289551875927123</c:v>
                </c:pt>
                <c:pt idx="29">
                  <c:v>8.0779408992271104</c:v>
                </c:pt>
                <c:pt idx="30">
                  <c:v>5.9770145541377246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F8-49A3-A1B4-DDDB9B089D71}"/>
            </c:ext>
          </c:extLst>
        </c:ser>
        <c:ser>
          <c:idx val="2"/>
          <c:order val="2"/>
          <c:tx>
            <c:strRef>
              <c:f>scatter!$D$4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scatter!$D$5:$D$219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8-49A3-A1B4-DDDB9B089D71}"/>
            </c:ext>
          </c:extLst>
        </c:ser>
        <c:ser>
          <c:idx val="3"/>
          <c:order val="3"/>
          <c:tx>
            <c:strRef>
              <c:f>scatter!$E$4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scatter!$E$5:$E$219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8-49A3-A1B4-DDDB9B089D71}"/>
            </c:ext>
          </c:extLst>
        </c:ser>
        <c:ser>
          <c:idx val="4"/>
          <c:order val="4"/>
          <c:tx>
            <c:strRef>
              <c:f>scatter!$F$4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083383177749083E-4"/>
                  <c:y val="-1.64478945082359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scatter!$F$5:$F$219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F8-49A3-A1B4-DDDB9B089D71}"/>
            </c:ext>
          </c:extLst>
        </c:ser>
        <c:ser>
          <c:idx val="5"/>
          <c:order val="5"/>
          <c:tx>
            <c:strRef>
              <c:f>scatter!$G$4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490445677549581E-2"/>
                  <c:y val="-1.10809416149714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scatter!$G$5:$G$219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F8-49A3-A1B4-DDDB9B089D71}"/>
            </c:ext>
          </c:extLst>
        </c:ser>
        <c:ser>
          <c:idx val="6"/>
          <c:order val="6"/>
          <c:tx>
            <c:strRef>
              <c:f>scatter!$H$4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scatter!$H$5:$H$219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F8-49A3-A1B4-DDDB9B089D71}"/>
            </c:ext>
          </c:extLst>
        </c:ser>
        <c:ser>
          <c:idx val="7"/>
          <c:order val="7"/>
          <c:tx>
            <c:strRef>
              <c:f>scatter!$I$4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6992040784659141E-2"/>
                  <c:y val="3.59806509334848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scatter!$I$5:$I$219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F8-49A3-A1B4-DDDB9B089D71}"/>
            </c:ext>
          </c:extLst>
        </c:ser>
        <c:ser>
          <c:idx val="8"/>
          <c:order val="8"/>
          <c:tx>
            <c:strRef>
              <c:f>scatter!$J$4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scatter!$J$5:$J$219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F8-49A3-A1B4-DDDB9B089D71}"/>
            </c:ext>
          </c:extLst>
        </c:ser>
        <c:ser>
          <c:idx val="9"/>
          <c:order val="9"/>
          <c:tx>
            <c:strRef>
              <c:f>scatter!$K$4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9193390532653539E-2"/>
                  <c:y val="2.6299880831727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scatter!$K$5:$K$219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F8-49A3-A1B4-DDDB9B089D71}"/>
            </c:ext>
          </c:extLst>
        </c:ser>
        <c:ser>
          <c:idx val="10"/>
          <c:order val="10"/>
          <c:tx>
            <c:strRef>
              <c:f>scatter!$L$4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scatter!$L$5:$L$219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BF8-49A3-A1B4-DDDB9B089D71}"/>
            </c:ext>
          </c:extLst>
        </c:ser>
        <c:ser>
          <c:idx val="11"/>
          <c:order val="11"/>
          <c:tx>
            <c:strRef>
              <c:f>scatter!$M$4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516830148456214E-2"/>
                  <c:y val="-6.32074456039536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scatter!$A$5:$A$219</c:f>
              <c:numCache>
                <c:formatCode>General</c:formatCode>
                <c:ptCount val="215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scatter!$M$5:$M$219</c:f>
              <c:numCache>
                <c:formatCode>General</c:formatCode>
                <c:ptCount val="2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BF8-49A3-A1B4-DDDB9B089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229568"/>
        <c:axId val="362234848"/>
      </c:scatterChart>
      <c:valAx>
        <c:axId val="3622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scatter!$A$2</c:f>
              <c:strCache>
                <c:ptCount val="1"/>
                <c:pt idx="0">
                  <c:v>KV%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34848"/>
        <c:crosses val="autoZero"/>
        <c:crossBetween val="midCat"/>
      </c:valAx>
      <c:valAx>
        <c:axId val="362234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scatter!$A$1</c:f>
              <c:strCache>
                <c:ptCount val="1"/>
                <c:pt idx="0">
                  <c:v>TTFT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2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'PREFILL-PLOT'!$A$5</c:f>
          <c:strCache>
            <c:ptCount val="1"/>
            <c:pt idx="0">
              <c:v>Average of Prefill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'PREFILL-PLOT'!$B$7</c:f>
              <c:strCache>
                <c:ptCount val="1"/>
                <c:pt idx="0">
                  <c:v>5K,1K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96110397360115"/>
                  <c:y val="3.548556430446194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4F81B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'PREFILL-PLOT'!$B$8:$B$222</c:f>
              <c:numCache>
                <c:formatCode>General</c:formatCode>
                <c:ptCount val="215"/>
                <c:pt idx="0">
                  <c:v>0.18708273940370831</c:v>
                </c:pt>
                <c:pt idx="1">
                  <c:v>0.21287415386511527</c:v>
                </c:pt>
                <c:pt idx="2">
                  <c:v>0.34084885026655765</c:v>
                </c:pt>
                <c:pt idx="3">
                  <c:v>#N/A</c:v>
                </c:pt>
                <c:pt idx="4">
                  <c:v>0.32445321451237169</c:v>
                </c:pt>
                <c:pt idx="5">
                  <c:v>#N/A</c:v>
                </c:pt>
                <c:pt idx="6">
                  <c:v>0.284615048688595</c:v>
                </c:pt>
                <c:pt idx="7">
                  <c:v>0.35638908945720671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6-4454-9BD6-29A4D43830A6}"/>
            </c:ext>
          </c:extLst>
        </c:ser>
        <c:ser>
          <c:idx val="1"/>
          <c:order val="1"/>
          <c:tx>
            <c:strRef>
              <c:f>'PREFILL-PLOT'!$C$7</c:f>
              <c:strCache>
                <c:ptCount val="1"/>
                <c:pt idx="0">
                  <c:v>5K,200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'PREFILL-PLOT'!$C$8:$C$222</c:f>
              <c:numCache>
                <c:formatCode>General</c:formatCode>
                <c:ptCount val="215"/>
                <c:pt idx="0">
                  <c:v>0.14335248590552421</c:v>
                </c:pt>
                <c:pt idx="1">
                  <c:v>0.1518575964048062</c:v>
                </c:pt>
                <c:pt idx="2">
                  <c:v>0.1538078496688704</c:v>
                </c:pt>
                <c:pt idx="3">
                  <c:v>#N/A</c:v>
                </c:pt>
                <c:pt idx="4">
                  <c:v>0.16247661777030895</c:v>
                </c:pt>
                <c:pt idx="5">
                  <c:v>#N/A</c:v>
                </c:pt>
                <c:pt idx="6">
                  <c:v>0.16636100612474064</c:v>
                </c:pt>
                <c:pt idx="7">
                  <c:v>0.15744471102956686</c:v>
                </c:pt>
                <c:pt idx="8">
                  <c:v>0.18370497780114689</c:v>
                </c:pt>
                <c:pt idx="9">
                  <c:v>#N/A</c:v>
                </c:pt>
                <c:pt idx="10">
                  <c:v>0.17401289876308371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0.18666512909385616</c:v>
                </c:pt>
                <c:pt idx="15">
                  <c:v>0.20479113765244134</c:v>
                </c:pt>
                <c:pt idx="16">
                  <c:v>0.18760349416758715</c:v>
                </c:pt>
                <c:pt idx="17">
                  <c:v>0.21398528934232625</c:v>
                </c:pt>
                <c:pt idx="18">
                  <c:v>#N/A</c:v>
                </c:pt>
                <c:pt idx="19">
                  <c:v>0.22962988056941785</c:v>
                </c:pt>
                <c:pt idx="20">
                  <c:v>0.25079316509162963</c:v>
                </c:pt>
                <c:pt idx="21">
                  <c:v>0.233589265452812</c:v>
                </c:pt>
                <c:pt idx="22">
                  <c:v>0.33392263269015754</c:v>
                </c:pt>
                <c:pt idx="23">
                  <c:v>0.27550645379253225</c:v>
                </c:pt>
                <c:pt idx="24">
                  <c:v>#N/A</c:v>
                </c:pt>
                <c:pt idx="25">
                  <c:v>#N/A</c:v>
                </c:pt>
                <c:pt idx="26">
                  <c:v>0.27738673965273308</c:v>
                </c:pt>
                <c:pt idx="27">
                  <c:v>0.32256835789510263</c:v>
                </c:pt>
                <c:pt idx="28">
                  <c:v>0.31669270171251629</c:v>
                </c:pt>
                <c:pt idx="29">
                  <c:v>0.35329870931130669</c:v>
                </c:pt>
                <c:pt idx="30">
                  <c:v>0.34844500523617583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0.34354937586510081</c:v>
                </c:pt>
                <c:pt idx="35">
                  <c:v>0.38880960210423587</c:v>
                </c:pt>
                <c:pt idx="36">
                  <c:v>#N/A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D6-4454-9BD6-29A4D43830A6}"/>
            </c:ext>
          </c:extLst>
        </c:ser>
        <c:ser>
          <c:idx val="2"/>
          <c:order val="2"/>
          <c:tx>
            <c:strRef>
              <c:f>'PREFILL-PLOT'!$D$7</c:f>
              <c:strCache>
                <c:ptCount val="1"/>
                <c:pt idx="0">
                  <c:v>5K,200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'PREFILL-PLOT'!$D$8:$D$222</c:f>
              <c:numCache>
                <c:formatCode>General</c:formatCode>
                <c:ptCount val="215"/>
                <c:pt idx="0">
                  <c:v>0.14817790955466786</c:v>
                </c:pt>
                <c:pt idx="1">
                  <c:v>0.1488430971451522</c:v>
                </c:pt>
                <c:pt idx="2">
                  <c:v>0.15019183677874534</c:v>
                </c:pt>
                <c:pt idx="3">
                  <c:v>#N/A</c:v>
                </c:pt>
                <c:pt idx="4">
                  <c:v>0.15084290821219767</c:v>
                </c:pt>
                <c:pt idx="5">
                  <c:v>0.16607952366403897</c:v>
                </c:pt>
                <c:pt idx="6">
                  <c:v>#N/A</c:v>
                </c:pt>
                <c:pt idx="7">
                  <c:v>0.16534524085197999</c:v>
                </c:pt>
                <c:pt idx="8">
                  <c:v>#N/A</c:v>
                </c:pt>
                <c:pt idx="9">
                  <c:v>0.18404528138351414</c:v>
                </c:pt>
                <c:pt idx="10">
                  <c:v>0.20070684176064443</c:v>
                </c:pt>
                <c:pt idx="11">
                  <c:v>#N/A</c:v>
                </c:pt>
                <c:pt idx="12">
                  <c:v>#N/A</c:v>
                </c:pt>
                <c:pt idx="13">
                  <c:v>0.20060907582293877</c:v>
                </c:pt>
                <c:pt idx="14">
                  <c:v>#N/A</c:v>
                </c:pt>
                <c:pt idx="15">
                  <c:v>0.21021471894285801</c:v>
                </c:pt>
                <c:pt idx="16">
                  <c:v>0.25286004256319128</c:v>
                </c:pt>
                <c:pt idx="17">
                  <c:v>0.25693345001399481</c:v>
                </c:pt>
                <c:pt idx="18">
                  <c:v>#N/A</c:v>
                </c:pt>
                <c:pt idx="19">
                  <c:v>0.27919130141827481</c:v>
                </c:pt>
                <c:pt idx="20">
                  <c:v>0.59217835931553797</c:v>
                </c:pt>
                <c:pt idx="21">
                  <c:v>0.98734279889595244</c:v>
                </c:pt>
                <c:pt idx="22">
                  <c:v>0.86688896098379542</c:v>
                </c:pt>
                <c:pt idx="23">
                  <c:v>#N/A</c:v>
                </c:pt>
                <c:pt idx="24">
                  <c:v>1.1216695541638895</c:v>
                </c:pt>
                <c:pt idx="25">
                  <c:v>#N/A</c:v>
                </c:pt>
                <c:pt idx="26">
                  <c:v>#N/A</c:v>
                </c:pt>
                <c:pt idx="27">
                  <c:v>1.0457511996065998</c:v>
                </c:pt>
                <c:pt idx="28">
                  <c:v>1.4690196156259414</c:v>
                </c:pt>
                <c:pt idx="29">
                  <c:v>1.8639268350212816</c:v>
                </c:pt>
                <c:pt idx="30">
                  <c:v>#N/A</c:v>
                </c:pt>
                <c:pt idx="31">
                  <c:v>1.3741587436765066</c:v>
                </c:pt>
                <c:pt idx="32">
                  <c:v>#N/A</c:v>
                </c:pt>
                <c:pt idx="33">
                  <c:v>1.2600287174116651</c:v>
                </c:pt>
                <c:pt idx="34">
                  <c:v>#N/A</c:v>
                </c:pt>
                <c:pt idx="35">
                  <c:v>1.0035043611307832</c:v>
                </c:pt>
                <c:pt idx="36">
                  <c:v>#N/A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D6-4454-9BD6-29A4D43830A6}"/>
            </c:ext>
          </c:extLst>
        </c:ser>
        <c:ser>
          <c:idx val="3"/>
          <c:order val="3"/>
          <c:tx>
            <c:strRef>
              <c:f>'PREFILL-PLOT'!$E$7</c:f>
              <c:strCache>
                <c:ptCount val="1"/>
                <c:pt idx="0">
                  <c:v>5K,300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051387730912971E-2"/>
                  <c:y val="-1.3590836029217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'PREFILL-PLOT'!$E$8:$E$222</c:f>
              <c:numCache>
                <c:formatCode>General</c:formatCode>
                <c:ptCount val="215"/>
                <c:pt idx="0">
                  <c:v>0.14532217116317739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0.26971127856781363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0.24776598173587749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0.94486020957379535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1.0033520229788151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0.95899900142358907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D6-4454-9BD6-29A4D43830A6}"/>
            </c:ext>
          </c:extLst>
        </c:ser>
        <c:ser>
          <c:idx val="4"/>
          <c:order val="4"/>
          <c:tx>
            <c:strRef>
              <c:f>'PREFILL-PLOT'!$F$7</c:f>
              <c:strCache>
                <c:ptCount val="1"/>
                <c:pt idx="0">
                  <c:v>5K,500 23/03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'PREFILL-PLOT'!$F$8:$F$222</c:f>
              <c:numCache>
                <c:formatCode>General</c:formatCode>
                <c:ptCount val="215"/>
                <c:pt idx="0">
                  <c:v>0.15313947465266206</c:v>
                </c:pt>
                <c:pt idx="1">
                  <c:v>0.15447118513848496</c:v>
                </c:pt>
                <c:pt idx="2">
                  <c:v>0.16577303039612606</c:v>
                </c:pt>
                <c:pt idx="3">
                  <c:v>#N/A</c:v>
                </c:pt>
                <c:pt idx="4">
                  <c:v>0.16065442648565262</c:v>
                </c:pt>
                <c:pt idx="5">
                  <c:v>0.16331143727170164</c:v>
                </c:pt>
                <c:pt idx="6">
                  <c:v>#N/A</c:v>
                </c:pt>
                <c:pt idx="7">
                  <c:v>0.18832897591354758</c:v>
                </c:pt>
                <c:pt idx="8">
                  <c:v>#N/A</c:v>
                </c:pt>
                <c:pt idx="9">
                  <c:v>0.18566078006176104</c:v>
                </c:pt>
                <c:pt idx="10">
                  <c:v>0.19187203165454392</c:v>
                </c:pt>
                <c:pt idx="11">
                  <c:v>#N/A</c:v>
                </c:pt>
                <c:pt idx="12">
                  <c:v>#N/A</c:v>
                </c:pt>
                <c:pt idx="13">
                  <c:v>0.2141179992798363</c:v>
                </c:pt>
                <c:pt idx="14">
                  <c:v>#N/A</c:v>
                </c:pt>
                <c:pt idx="15">
                  <c:v>0.22371002404670326</c:v>
                </c:pt>
                <c:pt idx="16">
                  <c:v>0.22094525694475095</c:v>
                </c:pt>
                <c:pt idx="17">
                  <c:v>0.25435601002728703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D6-4454-9BD6-29A4D43830A6}"/>
            </c:ext>
          </c:extLst>
        </c:ser>
        <c:ser>
          <c:idx val="5"/>
          <c:order val="5"/>
          <c:tx>
            <c:strRef>
              <c:f>'PREFILL-PLOT'!$G$7</c:f>
              <c:strCache>
                <c:ptCount val="1"/>
                <c:pt idx="0">
                  <c:v>5K,500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'PREFILL-PLOT'!$G$8:$G$222</c:f>
              <c:numCache>
                <c:formatCode>General</c:formatCode>
                <c:ptCount val="215"/>
                <c:pt idx="0">
                  <c:v>0.15110481634772516</c:v>
                </c:pt>
                <c:pt idx="1">
                  <c:v>0.16800686798882636</c:v>
                </c:pt>
                <c:pt idx="2">
                  <c:v>0.16208390292466535</c:v>
                </c:pt>
                <c:pt idx="3">
                  <c:v>0.17102828618696231</c:v>
                </c:pt>
                <c:pt idx="4">
                  <c:v>0.18478550120979248</c:v>
                </c:pt>
                <c:pt idx="5">
                  <c:v>#N/A</c:v>
                </c:pt>
                <c:pt idx="6">
                  <c:v>0.17878856696611251</c:v>
                </c:pt>
                <c:pt idx="7">
                  <c:v>0.23918091659255114</c:v>
                </c:pt>
                <c:pt idx="8">
                  <c:v>0.23780301124955791</c:v>
                </c:pt>
                <c:pt idx="9">
                  <c:v>#N/A</c:v>
                </c:pt>
                <c:pt idx="10">
                  <c:v>1.1353691109673829</c:v>
                </c:pt>
                <c:pt idx="11">
                  <c:v>0.31278119207276189</c:v>
                </c:pt>
                <c:pt idx="12">
                  <c:v>0.52980489719111601</c:v>
                </c:pt>
                <c:pt idx="13">
                  <c:v>#N/A</c:v>
                </c:pt>
                <c:pt idx="14">
                  <c:v>1.097514941873035</c:v>
                </c:pt>
                <c:pt idx="15">
                  <c:v>0.48408511269759902</c:v>
                </c:pt>
                <c:pt idx="16">
                  <c:v>#N/A</c:v>
                </c:pt>
                <c:pt idx="17">
                  <c:v>#N/A</c:v>
                </c:pt>
                <c:pt idx="18">
                  <c:v>0.47236298177643204</c:v>
                </c:pt>
                <c:pt idx="19">
                  <c:v>#N/A</c:v>
                </c:pt>
                <c:pt idx="20">
                  <c:v>#N/A</c:v>
                </c:pt>
                <c:pt idx="21">
                  <c:v>0.70102937710468272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0.43838685597627414</c:v>
                </c:pt>
                <c:pt idx="26">
                  <c:v>#N/A</c:v>
                </c:pt>
                <c:pt idx="27">
                  <c:v>#N/A</c:v>
                </c:pt>
                <c:pt idx="28">
                  <c:v>0.46343671585796753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0.51192707631293743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0.46475651800967327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9D6-4454-9BD6-29A4D43830A6}"/>
            </c:ext>
          </c:extLst>
        </c:ser>
        <c:ser>
          <c:idx val="6"/>
          <c:order val="6"/>
          <c:tx>
            <c:strRef>
              <c:f>'PREFILL-PLOT'!$H$7</c:f>
              <c:strCache>
                <c:ptCount val="1"/>
                <c:pt idx="0">
                  <c:v>6K,100 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96110397360115"/>
                  <c:y val="-4.0057620704388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'PREFILL-PLOT'!$H$8:$H$222</c:f>
              <c:numCache>
                <c:formatCode>General</c:formatCode>
                <c:ptCount val="215"/>
                <c:pt idx="0">
                  <c:v>0.18273021965980119</c:v>
                </c:pt>
                <c:pt idx="1">
                  <c:v>0.18401447805069526</c:v>
                </c:pt>
                <c:pt idx="2">
                  <c:v>0.19235890049024437</c:v>
                </c:pt>
                <c:pt idx="3">
                  <c:v>#N/A</c:v>
                </c:pt>
                <c:pt idx="4">
                  <c:v>0.20026413565238368</c:v>
                </c:pt>
                <c:pt idx="5">
                  <c:v>0.20094196874183576</c:v>
                </c:pt>
                <c:pt idx="6">
                  <c:v>#N/A</c:v>
                </c:pt>
                <c:pt idx="7">
                  <c:v>0.21283558649133549</c:v>
                </c:pt>
                <c:pt idx="8">
                  <c:v>#N/A</c:v>
                </c:pt>
                <c:pt idx="9">
                  <c:v>0.22444158374208048</c:v>
                </c:pt>
                <c:pt idx="10">
                  <c:v>0.24826633152047695</c:v>
                </c:pt>
                <c:pt idx="11">
                  <c:v>#N/A</c:v>
                </c:pt>
                <c:pt idx="12">
                  <c:v>#N/A</c:v>
                </c:pt>
                <c:pt idx="13">
                  <c:v>0.26500080159138367</c:v>
                </c:pt>
                <c:pt idx="14">
                  <c:v>#N/A</c:v>
                </c:pt>
                <c:pt idx="15">
                  <c:v>0.34435389896390012</c:v>
                </c:pt>
                <c:pt idx="16">
                  <c:v>0.3306238962355677</c:v>
                </c:pt>
                <c:pt idx="17">
                  <c:v>0.49033358348481709</c:v>
                </c:pt>
                <c:pt idx="18">
                  <c:v>#N/A</c:v>
                </c:pt>
                <c:pt idx="19">
                  <c:v>0.3821734862349872</c:v>
                </c:pt>
                <c:pt idx="20">
                  <c:v>0.58959784170468954</c:v>
                </c:pt>
                <c:pt idx="21">
                  <c:v>0.50133485819597334</c:v>
                </c:pt>
                <c:pt idx="22">
                  <c:v>0.74375447320014987</c:v>
                </c:pt>
                <c:pt idx="23">
                  <c:v>#N/A</c:v>
                </c:pt>
                <c:pt idx="24">
                  <c:v>0.61902965535370225</c:v>
                </c:pt>
                <c:pt idx="25">
                  <c:v>#N/A</c:v>
                </c:pt>
                <c:pt idx="26">
                  <c:v>#N/A</c:v>
                </c:pt>
                <c:pt idx="27">
                  <c:v>1.3774511413063049</c:v>
                </c:pt>
                <c:pt idx="28">
                  <c:v>1.2817617600254509</c:v>
                </c:pt>
                <c:pt idx="29">
                  <c:v>1.227755021093192</c:v>
                </c:pt>
                <c:pt idx="30">
                  <c:v>#N/A</c:v>
                </c:pt>
                <c:pt idx="31">
                  <c:v>1.1255584311320885</c:v>
                </c:pt>
                <c:pt idx="32">
                  <c:v>#N/A</c:v>
                </c:pt>
                <c:pt idx="33">
                  <c:v>1.0074532958660602</c:v>
                </c:pt>
                <c:pt idx="34">
                  <c:v>#N/A</c:v>
                </c:pt>
                <c:pt idx="35">
                  <c:v>1.3392629044221371</c:v>
                </c:pt>
                <c:pt idx="36">
                  <c:v>1.3740283270689924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9D6-4454-9BD6-29A4D43830A6}"/>
            </c:ext>
          </c:extLst>
        </c:ser>
        <c:ser>
          <c:idx val="7"/>
          <c:order val="7"/>
          <c:tx>
            <c:strRef>
              <c:f>'PREFILL-PLOT'!$I$7</c:f>
              <c:strCache>
                <c:ptCount val="1"/>
                <c:pt idx="0">
                  <c:v>0 00/01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'PREFILL-PLOT'!$I$8:$I$222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9D6-4454-9BD6-29A4D43830A6}"/>
            </c:ext>
          </c:extLst>
        </c:ser>
        <c:ser>
          <c:idx val="8"/>
          <c:order val="8"/>
          <c:tx>
            <c:strRef>
              <c:f>'PREFILL-PLOT'!$J$7</c:f>
              <c:strCache>
                <c:ptCount val="1"/>
                <c:pt idx="0">
                  <c:v>0 00/01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'PREFILL-PLOT'!$J$8:$J$222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9D6-4454-9BD6-29A4D43830A6}"/>
            </c:ext>
          </c:extLst>
        </c:ser>
        <c:ser>
          <c:idx val="9"/>
          <c:order val="9"/>
          <c:tx>
            <c:strRef>
              <c:f>'PREFILL-PLOT'!$K$7</c:f>
              <c:strCache>
                <c:ptCount val="1"/>
                <c:pt idx="0">
                  <c:v>0 00/01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493075878385155E-2"/>
                  <c:y val="4.2814950456774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'PREFILL-PLOT'!$K$8:$K$222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9D6-4454-9BD6-29A4D43830A6}"/>
            </c:ext>
          </c:extLst>
        </c:ser>
        <c:ser>
          <c:idx val="10"/>
          <c:order val="10"/>
          <c:tx>
            <c:strRef>
              <c:f>'PREFILL-PLOT'!$L$7</c:f>
              <c:strCache>
                <c:ptCount val="1"/>
                <c:pt idx="0">
                  <c:v>0 00/01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'PREFILL-PLOT'!$L$8:$L$222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9D6-4454-9BD6-29A4D43830A6}"/>
            </c:ext>
          </c:extLst>
        </c:ser>
        <c:ser>
          <c:idx val="11"/>
          <c:order val="11"/>
          <c:tx>
            <c:strRef>
              <c:f>'PREFILL-PLOT'!$M$7</c:f>
              <c:strCache>
                <c:ptCount val="1"/>
                <c:pt idx="0">
                  <c:v>0 00/01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'PREFILL-PLOT'!$A$8:$A$222</c:f>
              <c:numCache>
                <c:formatCode>General</c:formatCode>
                <c:ptCount val="215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2.7999999999999994</c:v>
                </c:pt>
                <c:pt idx="6">
                  <c:v>2.8</c:v>
                </c:pt>
                <c:pt idx="7">
                  <c:v>3</c:v>
                </c:pt>
                <c:pt idx="8">
                  <c:v>3.2</c:v>
                </c:pt>
                <c:pt idx="9">
                  <c:v>3.2000000000000006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3.7999999999999994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5.4000000000000012</c:v>
                </c:pt>
                <c:pt idx="25">
                  <c:v>5.5</c:v>
                </c:pt>
                <c:pt idx="26">
                  <c:v>5.6</c:v>
                </c:pt>
                <c:pt idx="27">
                  <c:v>5.8</c:v>
                </c:pt>
                <c:pt idx="28">
                  <c:v>6</c:v>
                </c:pt>
                <c:pt idx="29">
                  <c:v>6.2</c:v>
                </c:pt>
                <c:pt idx="30">
                  <c:v>6.4</c:v>
                </c:pt>
                <c:pt idx="31">
                  <c:v>6.4000000000000012</c:v>
                </c:pt>
                <c:pt idx="32">
                  <c:v>6.5</c:v>
                </c:pt>
                <c:pt idx="33">
                  <c:v>6.5999999999999988</c:v>
                </c:pt>
                <c:pt idx="34">
                  <c:v>6.6</c:v>
                </c:pt>
                <c:pt idx="35">
                  <c:v>6.8</c:v>
                </c:pt>
                <c:pt idx="36">
                  <c:v>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</c:numCache>
            </c:numRef>
          </c:xVal>
          <c:yVal>
            <c:numRef>
              <c:f>'PREFILL-PLOT'!$M$8:$M$222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9D6-4454-9BD6-29A4D4383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117888"/>
        <c:axId val="1089113568"/>
      </c:scatterChart>
      <c:valAx>
        <c:axId val="108911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'PREFILL-PLOT'!$A$6</c:f>
              <c:strCache>
                <c:ptCount val="1"/>
                <c:pt idx="0">
                  <c:v>RPS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13568"/>
        <c:crosses val="autoZero"/>
        <c:crossBetween val="midCat"/>
      </c:valAx>
      <c:valAx>
        <c:axId val="10891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'PREFILL-PLOT'!$A$5</c:f>
              <c:strCache>
                <c:ptCount val="1"/>
                <c:pt idx="0">
                  <c:v>Average of Prefill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1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dynamic!$A$1</c:f>
          <c:strCache>
            <c:ptCount val="1"/>
            <c:pt idx="0">
              <c:v>ITL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dynamic!$AB$4</c:f>
              <c:strCache>
                <c:ptCount val="1"/>
                <c:pt idx="0">
                  <c:v>5K,1K
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dynamic!$AB$5:$AB$128</c:f>
              <c:numCache>
                <c:formatCode>General</c:formatCode>
                <c:ptCount val="124"/>
                <c:pt idx="0">
                  <c:v>6.596198861928409E-3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1.9820489445293736E-2</c:v>
                </c:pt>
                <c:pt idx="17">
                  <c:v>#N/A</c:v>
                </c:pt>
                <c:pt idx="18">
                  <c:v>2.21166259454268E-2</c:v>
                </c:pt>
                <c:pt idx="19">
                  <c:v>2.3147635654410761E-2</c:v>
                </c:pt>
                <c:pt idx="20">
                  <c:v>2.7029909332638716E-2</c:v>
                </c:pt>
                <c:pt idx="21">
                  <c:v>2.7770829411846651E-2</c:v>
                </c:pt>
                <c:pt idx="22">
                  <c:v>2.8225682364917449E-2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A-4920-82C7-98C4650520C3}"/>
            </c:ext>
          </c:extLst>
        </c:ser>
        <c:ser>
          <c:idx val="1"/>
          <c:order val="1"/>
          <c:tx>
            <c:strRef>
              <c:f>dynamic!$AC$4</c:f>
              <c:strCache>
                <c:ptCount val="1"/>
                <c:pt idx="0">
                  <c:v>6K,100
11/03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dynamic!$AC$5:$AC$128</c:f>
              <c:numCache>
                <c:formatCode>General</c:formatCode>
                <c:ptCount val="124"/>
                <c:pt idx="0">
                  <c:v>6.596198861928409E-3</c:v>
                </c:pt>
                <c:pt idx="1">
                  <c:v>1.1061016764952936E-2</c:v>
                </c:pt>
                <c:pt idx="2">
                  <c:v>1.1654574736677229E-2</c:v>
                </c:pt>
                <c:pt idx="3">
                  <c:v>1.8346191558481693E-2</c:v>
                </c:pt>
                <c:pt idx="4">
                  <c:v>1.3275207717987576E-2</c:v>
                </c:pt>
                <c:pt idx="5">
                  <c:v>1.4768636010278974E-2</c:v>
                </c:pt>
                <c:pt idx="6">
                  <c:v>1.5918493463828256E-2</c:v>
                </c:pt>
                <c:pt idx="7">
                  <c:v>1.5086350243453263E-2</c:v>
                </c:pt>
                <c:pt idx="8">
                  <c:v>2.2143876234593563E-2</c:v>
                </c:pt>
                <c:pt idx="9">
                  <c:v>2.4129971595228988E-2</c:v>
                </c:pt>
                <c:pt idx="10">
                  <c:v>3.164305115443973E-2</c:v>
                </c:pt>
                <c:pt idx="11">
                  <c:v>3.5378277627620171E-2</c:v>
                </c:pt>
                <c:pt idx="12">
                  <c:v>3.8194114817827314E-2</c:v>
                </c:pt>
                <c:pt idx="13">
                  <c:v>4.5377523930434899E-2</c:v>
                </c:pt>
                <c:pt idx="14">
                  <c:v>5.6983425120598952E-2</c:v>
                </c:pt>
                <c:pt idx="15">
                  <c:v>5.5761778610436331E-2</c:v>
                </c:pt>
                <c:pt idx="16">
                  <c:v>#N/A</c:v>
                </c:pt>
                <c:pt idx="17">
                  <c:v>7.0172334482096241E-2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8.4682442355198839E-2</c:v>
                </c:pt>
                <c:pt idx="24">
                  <c:v>9.0844476588396894E-2</c:v>
                </c:pt>
                <c:pt idx="25">
                  <c:v>9.7520763342730118E-2</c:v>
                </c:pt>
                <c:pt idx="26">
                  <c:v>0.10462679664851991</c:v>
                </c:pt>
                <c:pt idx="27">
                  <c:v>0.10106962356492293</c:v>
                </c:pt>
                <c:pt idx="28">
                  <c:v>9.6583568567583281E-2</c:v>
                </c:pt>
                <c:pt idx="29">
                  <c:v>0.10782964884424413</c:v>
                </c:pt>
                <c:pt idx="30">
                  <c:v>0.11063943531066119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A-4920-82C7-98C4650520C3}"/>
            </c:ext>
          </c:extLst>
        </c:ser>
        <c:ser>
          <c:idx val="2"/>
          <c:order val="2"/>
          <c:tx>
            <c:strRef>
              <c:f>dynamic!$AD$4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dynamic!$AD$5:$AD$128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EA-4920-82C7-98C4650520C3}"/>
            </c:ext>
          </c:extLst>
        </c:ser>
        <c:ser>
          <c:idx val="3"/>
          <c:order val="3"/>
          <c:tx>
            <c:strRef>
              <c:f>dynamic!$AE$4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dynamic!$AE$5:$AE$128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EA-4920-82C7-98C4650520C3}"/>
            </c:ext>
          </c:extLst>
        </c:ser>
        <c:ser>
          <c:idx val="4"/>
          <c:order val="4"/>
          <c:tx>
            <c:strRef>
              <c:f>dynamic!$AF$4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dynamic!$AF$5:$AF$128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EA-4920-82C7-98C4650520C3}"/>
            </c:ext>
          </c:extLst>
        </c:ser>
        <c:ser>
          <c:idx val="5"/>
          <c:order val="5"/>
          <c:tx>
            <c:strRef>
              <c:f>dynamic!$AG$4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dynamic!$AG$5:$AG$128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EA-4920-82C7-98C4650520C3}"/>
            </c:ext>
          </c:extLst>
        </c:ser>
        <c:ser>
          <c:idx val="6"/>
          <c:order val="6"/>
          <c:tx>
            <c:strRef>
              <c:f>dynamic!$AH$4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dynamic!$AH$5:$AH$128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EA-4920-82C7-98C4650520C3}"/>
            </c:ext>
          </c:extLst>
        </c:ser>
        <c:ser>
          <c:idx val="7"/>
          <c:order val="7"/>
          <c:tx>
            <c:strRef>
              <c:f>dynamic!$AI$4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dynamic!$AI$5:$AI$128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EA-4920-82C7-98C4650520C3}"/>
            </c:ext>
          </c:extLst>
        </c:ser>
        <c:ser>
          <c:idx val="8"/>
          <c:order val="8"/>
          <c:tx>
            <c:strRef>
              <c:f>dynamic!$AJ$4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dynamic!$AJ$5:$AJ$128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EA-4920-82C7-98C4650520C3}"/>
            </c:ext>
          </c:extLst>
        </c:ser>
        <c:ser>
          <c:idx val="9"/>
          <c:order val="9"/>
          <c:tx>
            <c:strRef>
              <c:f>dynamic!$AK$4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dynamic!$AK$5:$AK$128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EA-4920-82C7-98C4650520C3}"/>
            </c:ext>
          </c:extLst>
        </c:ser>
        <c:ser>
          <c:idx val="10"/>
          <c:order val="10"/>
          <c:tx>
            <c:strRef>
              <c:f>dynamic!$AL$4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dynamic!$AL$5:$AL$128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2EA-4920-82C7-98C4650520C3}"/>
            </c:ext>
          </c:extLst>
        </c:ser>
        <c:ser>
          <c:idx val="11"/>
          <c:order val="11"/>
          <c:tx>
            <c:strRef>
              <c:f>dynamic!$AM$4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dynamic!$AA$5:$AA$128</c:f>
              <c:numCache>
                <c:formatCode>General</c:formatCode>
                <c:ptCount val="124"/>
                <c:pt idx="0">
                  <c:v>1.0150557507719928E-2</c:v>
                </c:pt>
                <c:pt idx="1">
                  <c:v>4.4642703215240054E-2</c:v>
                </c:pt>
                <c:pt idx="2">
                  <c:v>4.6332212740281015E-2</c:v>
                </c:pt>
                <c:pt idx="3">
                  <c:v>5.5009625606987904E-2</c:v>
                </c:pt>
                <c:pt idx="4">
                  <c:v>5.9106973536764078E-2</c:v>
                </c:pt>
                <c:pt idx="5">
                  <c:v>6.8267103410625515E-2</c:v>
                </c:pt>
                <c:pt idx="6">
                  <c:v>7.9329368157917426E-2</c:v>
                </c:pt>
                <c:pt idx="7">
                  <c:v>8.0536160675803811E-2</c:v>
                </c:pt>
                <c:pt idx="8">
                  <c:v>0.13848806137401951</c:v>
                </c:pt>
                <c:pt idx="9">
                  <c:v>0.15521075769330225</c:v>
                </c:pt>
                <c:pt idx="10">
                  <c:v>0.2027382696893946</c:v>
                </c:pt>
                <c:pt idx="11">
                  <c:v>0.21213113812027698</c:v>
                </c:pt>
                <c:pt idx="12">
                  <c:v>0.23186219578771949</c:v>
                </c:pt>
                <c:pt idx="13">
                  <c:v>0.32849179668419387</c:v>
                </c:pt>
                <c:pt idx="14">
                  <c:v>0.39190299686808611</c:v>
                </c:pt>
                <c:pt idx="15">
                  <c:v>0.40995029164152513</c:v>
                </c:pt>
                <c:pt idx="16">
                  <c:v>0.41702999741401603</c:v>
                </c:pt>
                <c:pt idx="17">
                  <c:v>0.53462057868574553</c:v>
                </c:pt>
                <c:pt idx="18">
                  <c:v>0.54082065739406704</c:v>
                </c:pt>
                <c:pt idx="19">
                  <c:v>0.56045971252478244</c:v>
                </c:pt>
                <c:pt idx="20">
                  <c:v>0.65109408671666236</c:v>
                </c:pt>
                <c:pt idx="21">
                  <c:v>0.67199419769847424</c:v>
                </c:pt>
                <c:pt idx="22">
                  <c:v>0.69155535181136429</c:v>
                </c:pt>
                <c:pt idx="23">
                  <c:v>0.69932189753756857</c:v>
                </c:pt>
                <c:pt idx="24">
                  <c:v>0.71633479872424777</c:v>
                </c:pt>
                <c:pt idx="25">
                  <c:v>0.73818061661351031</c:v>
                </c:pt>
                <c:pt idx="26">
                  <c:v>0.7583958279458668</c:v>
                </c:pt>
                <c:pt idx="27">
                  <c:v>0.76341579748872235</c:v>
                </c:pt>
                <c:pt idx="28">
                  <c:v>0.78210499094905606</c:v>
                </c:pt>
                <c:pt idx="29">
                  <c:v>0.79698991466252911</c:v>
                </c:pt>
                <c:pt idx="30">
                  <c:v>0.84485906387380394</c:v>
                </c:pt>
              </c:numCache>
            </c:numRef>
          </c:xVal>
          <c:yVal>
            <c:numRef>
              <c:f>dynamic!$AM$5:$AM$128</c:f>
              <c:numCache>
                <c:formatCode>General</c:formatCode>
                <c:ptCount val="1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EA-4920-82C7-98C465052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229568"/>
        <c:axId val="362234848"/>
      </c:scatterChart>
      <c:valAx>
        <c:axId val="3622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dynamic!$A$2</c:f>
              <c:strCache>
                <c:ptCount val="1"/>
                <c:pt idx="0">
                  <c:v>KV%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34848"/>
        <c:crosses val="autoZero"/>
        <c:crossBetween val="midCat"/>
      </c:valAx>
      <c:valAx>
        <c:axId val="3622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dynamic!$A$1</c:f>
              <c:strCache>
                <c:ptCount val="1"/>
                <c:pt idx="0">
                  <c:v>ITL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2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95250</xdr:rowOff>
    </xdr:from>
    <xdr:to>
      <xdr:col>28</xdr:col>
      <xdr:colOff>180975</xdr:colOff>
      <xdr:row>31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D3ECE-C861-2826-6259-6CE38E62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354399</xdr:colOff>
      <xdr:row>5</xdr:row>
      <xdr:rowOff>122614</xdr:rowOff>
    </xdr:from>
    <xdr:to>
      <xdr:col>21</xdr:col>
      <xdr:colOff>449650</xdr:colOff>
      <xdr:row>34</xdr:row>
      <xdr:rowOff>122614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DDFF3F-4D87-78AA-9236-59BCE7961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</xdr:row>
      <xdr:rowOff>80962</xdr:rowOff>
    </xdr:from>
    <xdr:to>
      <xdr:col>11</xdr:col>
      <xdr:colOff>561976</xdr:colOff>
      <xdr:row>41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D464E-7106-C7C8-543E-A1CCAA087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200025</xdr:colOff>
      <xdr:row>2</xdr:row>
      <xdr:rowOff>9526</xdr:rowOff>
    </xdr:from>
    <xdr:to>
      <xdr:col>33</xdr:col>
      <xdr:colOff>123825</xdr:colOff>
      <xdr:row>30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7ABF6-C322-9FA3-F652-C52AC7F9E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409575</xdr:colOff>
      <xdr:row>5</xdr:row>
      <xdr:rowOff>0</xdr:rowOff>
    </xdr:from>
    <xdr:to>
      <xdr:col>31</xdr:col>
      <xdr:colOff>323850</xdr:colOff>
      <xdr:row>37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F21E5-AD81-459B-8C29-672DA575B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564275</xdr:colOff>
      <xdr:row>5</xdr:row>
      <xdr:rowOff>66018</xdr:rowOff>
    </xdr:from>
    <xdr:to>
      <xdr:col>10</xdr:col>
      <xdr:colOff>573800</xdr:colOff>
      <xdr:row>40</xdr:row>
      <xdr:rowOff>132693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2931F-9F39-4581-81CF-0894B87AD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409575</xdr:colOff>
      <xdr:row>5</xdr:row>
      <xdr:rowOff>0</xdr:rowOff>
    </xdr:from>
    <xdr:to>
      <xdr:col>31</xdr:col>
      <xdr:colOff>323850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97A0B-7238-4851-963B-1B696060F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923925</xdr:colOff>
      <xdr:row>0</xdr:row>
      <xdr:rowOff>0</xdr:rowOff>
    </xdr:from>
    <xdr:to>
      <xdr:col>31</xdr:col>
      <xdr:colOff>942975</xdr:colOff>
      <xdr:row>35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85F837-5DEE-4119-866B-8E3A645FC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AN LORENZ" id="{168F5F3C-78BB-4234-902A-1408673F9666}" userId="S::DEAN@il.ibm.com::f3149a75-8753-47af-8b58-22d59cf591f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LORENZ" refreshedDate="46104.620182523147" createdVersion="8" refreshedVersion="8" minRefreshableVersion="3" recordCount="215" xr:uid="{FDCC91EB-33E2-4865-A5A1-17703287D678}">
  <cacheSource type="worksheet">
    <worksheetSource name="Table1"/>
  </cacheSource>
  <cacheFields count="100">
    <cacheField name="In-Tok" numFmtId="0">
      <sharedItems containsSemiMixedTypes="0" containsString="0" containsNumber="1" containsInteger="1" minValue="1000" maxValue="15000" count="15">
        <n v="1000"/>
        <n v="2000"/>
        <n v="3000"/>
        <n v="4000"/>
        <n v="5000"/>
        <n v="6000"/>
        <n v="7000"/>
        <n v="8000"/>
        <n v="9000"/>
        <n v="10000"/>
        <n v="11000"/>
        <n v="12000"/>
        <n v="13000"/>
        <n v="14000"/>
        <n v="15000"/>
      </sharedItems>
    </cacheField>
    <cacheField name="Out-Tok" numFmtId="0">
      <sharedItems containsSemiMixedTypes="0" containsString="0" containsNumber="1" containsInteger="1" minValue="100" maxValue="1800" count="18">
        <n v="300"/>
        <n v="100"/>
        <n v="200"/>
        <n v="400"/>
        <n v="500"/>
        <n v="600"/>
        <n v="700"/>
        <n v="800"/>
        <n v="900"/>
        <n v="1000"/>
        <n v="1100"/>
        <n v="1200"/>
        <n v="1300"/>
        <n v="1400"/>
        <n v="1500"/>
        <n v="1600"/>
        <n v="1700"/>
        <n v="1800"/>
      </sharedItems>
    </cacheField>
    <cacheField name="RPS" numFmtId="0">
      <sharedItems containsSemiMixedTypes="0" containsString="0" containsNumber="1" minValue="2" maxValue="7" count="37">
        <n v="2"/>
        <n v="3"/>
        <n v="4"/>
        <n v="5"/>
        <n v="6"/>
        <n v="7"/>
        <n v="2.5"/>
        <n v="3.5"/>
        <n v="4.5"/>
        <n v="5.5"/>
        <n v="6.5"/>
        <n v="2.2000000000000002"/>
        <n v="2.4"/>
        <n v="2.6"/>
        <n v="2.8"/>
        <n v="3.2"/>
        <n v="3.4"/>
        <n v="3.6"/>
        <n v="3.8"/>
        <n v="2.7999999999999994"/>
        <n v="3.2000000000000006"/>
        <n v="3.7999999999999994"/>
        <n v="4.2"/>
        <n v="4.4000000000000004"/>
        <n v="4.5999999999999996"/>
        <n v="4.8"/>
        <n v="5.2"/>
        <n v="5.4000000000000012"/>
        <n v="5.8"/>
        <n v="6.2"/>
        <n v="6.4000000000000012"/>
        <n v="6.5999999999999988"/>
        <n v="6.8"/>
        <n v="5.4"/>
        <n v="5.6"/>
        <n v="6.4"/>
        <n v="6.6"/>
      </sharedItems>
    </cacheField>
    <cacheField name="KV%" numFmtId="10">
      <sharedItems containsSemiMixedTypes="0" containsString="0" containsNumber="1" minValue="1.0150557507719928E-2" maxValue="0.90925288049880759" count="215">
        <n v="1.0150557507719928E-2"/>
        <n v="1.9997642191089005E-2"/>
        <n v="3.9849347419340118E-2"/>
        <n v="5.5108173991085967E-2"/>
        <n v="7.817315444408951E-2"/>
        <n v="0.13567259668284176"/>
        <n v="0.18465843461770537"/>
        <n v="0.27561761917076111"/>
        <n v="0.33464087147659677"/>
        <n v="0.63176008533747097"/>
        <n v="0.71907486423584166"/>
        <n v="0.77042547042090703"/>
        <n v="0.85300405137488144"/>
        <n v="0.87529748645382954"/>
        <n v="0.87014661362483015"/>
        <n v="1.6512173139232419E-2"/>
        <n v="3.5640373294391452E-2"/>
        <n v="5.7532058595354346E-2"/>
        <n v="0.13641673892210099"/>
        <n v="0.17103859581070602"/>
        <n v="0.33335134965545565"/>
        <n v="0.45074998288687074"/>
        <n v="0.71910207094216017"/>
        <n v="0.81162910184693704"/>
        <n v="0.86822536850271537"/>
        <n v="0.88144787395175306"/>
        <n v="0.87177630395430672"/>
        <n v="0.8748298029030479"/>
        <n v="0.90925288049880759"/>
        <n v="0.90006702220761503"/>
        <n v="2.7674917911307269E-2"/>
        <n v="6.230122149713261E-2"/>
        <n v="9.50714187924976E-2"/>
        <n v="0.10698367787766773"/>
        <n v="0.21169130957270418"/>
        <n v="0.24133771429440673"/>
        <n v="0.29655056359238813"/>
        <n v="0.31619645703294674"/>
        <n v="0.39154670574375766"/>
        <n v="0.49386129038198118"/>
        <n v="0.43729828190854692"/>
        <n v="0.51077284626098474"/>
        <n v="0.56726287207545623"/>
        <n v="0.67386728678039765"/>
        <n v="0.71598852315687067"/>
        <n v="0.68742814378966433"/>
        <n v="0.71036971783084368"/>
        <n v="0.69163114163282824"/>
        <n v="1.6875256696937891E-2"/>
        <n v="4.1308812120658976E-2"/>
        <n v="6.8285948980057493E-2"/>
        <n v="9.8829461963218179E-2"/>
        <n v="0.1145187788071008"/>
        <n v="0.15360972938438372"/>
        <n v="0.166508465294574"/>
        <n v="0.24204809930178434"/>
        <n v="0.37595034910783548"/>
        <n v="0.35913983708301006"/>
        <n v="0.41449276685072783"/>
        <n v="0.46908025170243944"/>
        <n v="0.48496541880263877"/>
        <n v="0.52573215671062834"/>
        <n v="0.58152480833295317"/>
        <n v="0.63672105239139465"/>
        <n v="0.65425178863891043"/>
        <n v="0.66312162691216692"/>
        <n v="8.4433992759244889E-2"/>
        <n v="0.22876618141438113"/>
        <n v="0.33997760986991121"/>
        <n v="0.4614724305375974"/>
        <n v="0.52409993391374299"/>
        <n v="0.75703141354809311"/>
        <n v="0.17211700816866699"/>
        <n v="0.25347282435084195"/>
        <n v="0.47636895526247736"/>
        <n v="0.60576522307914638"/>
        <n v="0.61353338852996586"/>
        <n v="0.75889012800620637"/>
        <n v="0.74480582302742671"/>
        <n v="0.81599065052708442"/>
        <n v="0.86249757564003104"/>
        <n v="0.84196233083354888"/>
        <n v="0.86774469873286786"/>
        <n v="0.17859033450463196"/>
        <n v="0.23920275635467531"/>
        <n v="0.2133619312736732"/>
        <n v="0.26573095879158481"/>
        <n v="0.3095032058595355"/>
        <n v="0.33898827180212654"/>
        <n v="0.47599172485130598"/>
        <n v="0.47788337212309279"/>
        <n v="0.48270530865565769"/>
        <n v="0.49365638240735221"/>
        <n v="0.41702999741401603"/>
        <n v="0.54082065739406704"/>
        <n v="0.56045971252478244"/>
        <n v="0.65109408671666236"/>
        <n v="0.67199419769847424"/>
        <n v="0.69155535181136429"/>
        <n v="6.9947992989110142E-2"/>
        <n v="5.8994914231531768E-2"/>
        <n v="6.3885297244490422E-2"/>
        <n v="8.0174122920437893E-2"/>
        <n v="0.1015458437491021"/>
        <n v="9.3204608798092115E-2"/>
        <n v="0.12825331149613536"/>
        <n v="0.14127517742723331"/>
        <n v="0.17125822486567252"/>
        <n v="0.22976180214349332"/>
        <n v="0.28184351923684736"/>
        <n v="0.36012700054593"/>
        <n v="0.29222768152170792"/>
        <n v="0.36374881475734844"/>
        <n v="0.46837916271585794"/>
        <n v="0.41909030830675514"/>
        <n v="0.54142099818981126"/>
        <n v="0.61607476366979863"/>
        <n v="0.57643881274602771"/>
        <n v="0.58347268913599404"/>
        <n v="0.58683698244404214"/>
        <n v="0.57772749475619911"/>
        <n v="0.62465017383558896"/>
        <n v="4.4642703215240054E-2"/>
        <n v="4.6332212740281015E-2"/>
        <n v="5.9106973536764078E-2"/>
        <n v="8.0536160675803811E-2"/>
        <n v="6.8267103410625515E-2"/>
        <n v="7.9329368157917426E-2"/>
        <n v="5.5009625606987904E-2"/>
        <n v="0.13848806137401951"/>
        <n v="0.15521075769330225"/>
        <n v="0.2027382696893946"/>
        <n v="0.21213113812027698"/>
        <n v="0.23186219578771949"/>
        <n v="0.32849179668419387"/>
        <n v="0.39190299686808611"/>
        <n v="0.40995029164152513"/>
        <n v="0.53462057868574553"/>
        <n v="0.71633479872424777"/>
        <n v="0.78210499094905606"/>
        <n v="0.69932189753756857"/>
        <n v="0.73818061661351031"/>
        <n v="0.76341579748872235"/>
        <n v="0.84485906387380394"/>
        <n v="0.7583958279458668"/>
        <n v="0.79698991466252911"/>
        <n v="1.1850271528316525E-2"/>
        <n v="2.5965865011636929E-2"/>
        <n v="3.6869666408068269E-2"/>
        <n v="5.8219550038789744E-2"/>
        <n v="8.0896043444530635E-2"/>
        <n v="0.11821179208688905"/>
        <n v="0.15977501939487976"/>
        <n v="0.30568657874321181"/>
        <n v="0.34968192397207143"/>
        <n v="0.57404965089216442"/>
        <n v="0.67751675012342194"/>
        <n v="0.84277805204880463"/>
        <n v="0.85145637915226746"/>
        <n v="0.85536268425135764"/>
        <n v="0.84901011517574743"/>
        <n v="3.1234376346866644E-2"/>
        <n v="5.7327385570209471E-2"/>
        <n v="8.5151280062063614E-2"/>
        <n v="9.5996896819239702E-2"/>
        <n v="0.15773467804499613"/>
        <n v="0.17876260667183863"/>
        <n v="0.29114817688130334"/>
        <n v="0.3084910783553142"/>
        <n v="0.38005289512659568"/>
        <n v="0.44270399887157064"/>
        <n v="0.46027223358487912"/>
        <n v="0.45902038225544817"/>
        <n v="0.65566330488750968"/>
        <n v="0.6726208947504525"/>
        <n v="0.73138986692128671"/>
        <n v="0.70605226813527833"/>
        <n v="0.76301248660829724"/>
        <n v="0.72702111697456928"/>
        <n v="0.14444789242306691"/>
        <n v="0.21891388673390225"/>
        <n v="0.2370157745021981"/>
        <n v="0.21848719937936381"/>
        <n v="0.2799327644168606"/>
        <n v="0.39383242823894493"/>
        <n v="0.50254460822342895"/>
        <n v="0.51102146366692525"/>
        <n v="0.6677059971319087"/>
        <n v="0.73148623551261249"/>
        <n v="0.74013270799539244"/>
        <n v="0.8100524249476927"/>
        <n v="5.9313421256788207E-2"/>
        <n v="6.355486595983105E-2"/>
        <n v="6.0624515128006207E-2"/>
        <n v="7.1823118696664079E-2"/>
        <n v="9.6761055081458491E-2"/>
        <n v="8.9103956555469377E-2"/>
        <n v="0.13169209550900782"/>
        <n v="0.15862684251357639"/>
        <n v="0.18175717610550809"/>
        <n v="0.20157098525989142"/>
        <n v="0.18389449185415049"/>
        <n v="0.25623739332816142"/>
        <n v="0.29388673390224984"/>
        <n v="0.4969550038789759"/>
        <n v="0.44471683475562451"/>
        <n v="0.60624127230411173"/>
        <n v="0.61581070597362297"/>
        <n v="0.57991078355314196"/>
        <n v="0.78105896043444534"/>
        <n v="0.78250581846392542"/>
        <n v="0.78798716411594616"/>
        <n v="0.82582622187742438"/>
        <n v="0.82089463290782139"/>
        <n v="0.84791875308554909"/>
      </sharedItems>
    </cacheField>
    <cacheField name="Experiment" numFmtId="0">
      <sharedItems count="8">
        <s v="1-15K,300"/>
        <s v="5K,100-1800"/>
        <s v="3K,100-1800"/>
        <s v="5K,300"/>
        <s v="5K,500"/>
        <s v="5K,1K"/>
        <s v="5K,200"/>
        <s v="6K,100"/>
      </sharedItems>
    </cacheField>
    <cacheField name="date" numFmtId="14">
      <sharedItems containsSemiMixedTypes="0" containsNonDate="0" containsDate="1" containsString="0" minDate="2026-03-11T00:00:00" maxDate="2026-03-24T00:00:00" count="2">
        <d v="2026-03-11T00:00:00"/>
        <d v="2026-03-23T00:00:00"/>
      </sharedItems>
    </cacheField>
    <cacheField name="PHR" numFmtId="165">
      <sharedItems containsString="0" containsBlank="1" containsNumber="1" containsInteger="1" minValue="0" maxValue="0"/>
    </cacheField>
    <cacheField name="TTFT" numFmtId="165">
      <sharedItems containsSemiMixedTypes="0" containsString="0" containsNumber="1" minValue="3.6813165959942801E-2" maxValue="36.256328886927776"/>
    </cacheField>
    <cacheField name="Prefill" numFmtId="165">
      <sharedItems containsSemiMixedTypes="0" containsString="0" containsNumber="1" minValue="3.1516070129098697E-2" maxValue="1.915492380903296"/>
    </cacheField>
    <cacheField name="L_TTFT" numFmtId="165">
      <sharedItems containsSemiMixedTypes="0" containsString="0" containsNumber="1" minValue="4.9095033114591867E-2" maxValue="27.11355739988683"/>
    </cacheField>
    <cacheField name="L_P95_TTFT" numFmtId="165">
      <sharedItems containsSemiMixedTypes="0" containsString="0" containsNumber="1" minValue="6.3904261589050299E-2" maxValue="48.30793373584747"/>
    </cacheField>
    <cacheField name="L_P98_TTFT" numFmtId="165">
      <sharedItems containsSemiMixedTypes="0" containsString="0" containsNumber="1" minValue="7.216400861740116E-2" maxValue="48.966524019241334"/>
    </cacheField>
    <cacheField name="ITL" numFmtId="165">
      <sharedItems containsSemiMixedTypes="0" containsString="0" containsNumber="1" minValue="6.596198861928409E-3" maxValue="0.11063943531066119"/>
    </cacheField>
    <cacheField name="E2E" numFmtId="165">
      <sharedItems containsSemiMixedTypes="0" containsString="0" containsNumber="1" minValue="0.93151865672171708" maxValue="50632.435930735934" count="361">
        <n v="2.0093213791123161"/>
        <n v="2.2369354792963563"/>
        <n v="2.5531481923543735"/>
        <n v="2.8195524820219489"/>
        <n v="3.3648584072407979"/>
        <n v="4.2964526845535014"/>
        <n v="4.9579540108612274"/>
        <n v="6.5415801912347034"/>
        <n v="7.8049970651244811"/>
        <n v="14.064873900700087"/>
        <n v="15.093951099967761"/>
        <n v="18.024079743383879"/>
        <n v="24.280004303179297"/>
        <n v="27.865864387884045"/>
        <n v="29.740709199202666"/>
        <n v="2.1409004177088735"/>
        <n v="2.4733848960290983"/>
        <n v="2.9012973598826934"/>
        <n v="4.1277292247638506"/>
        <n v="4.8805435430553663"/>
        <n v="7.3598255844776101"/>
        <n v="10.242532484261789"/>
        <n v="15.876244884898124"/>
        <n v="19.443941701613355"/>
        <n v="25.631817402061053"/>
        <n v="27.714499516119758"/>
        <n v="35.106309068020963"/>
        <n v="38.157451927955563"/>
        <n v="42.787477857929318"/>
        <n v="51.681313286151813"/>
        <n v="1.1050221029912082"/>
        <n v="2.2130016907884409"/>
        <n v="3.533105623815942"/>
        <n v="4.5276417927164161"/>
        <n v="7.4567372525505506"/>
        <n v="9.738733615059159"/>
        <n v="11.325994664118975"/>
        <n v="12.925310710319906"/>
        <n v="16.094139975212617"/>
        <n v="20.658373428792796"/>
        <n v="20.971273956765248"/>
        <n v="24.388625301044417"/>
        <n v="28.635474381773509"/>
        <n v="35.467737052007756"/>
        <n v="38.719617624598435"/>
        <n v="39.494148024441749"/>
        <n v="44.130213181764738"/>
        <n v="46.483889755176939"/>
        <n v="0.93151865672171708"/>
        <n v="1.8909375709416696"/>
        <n v="3.0226365075213431"/>
        <n v="4.3475740983831273"/>
        <n v="5.3740730903695129"/>
        <n v="6.9374556738527806"/>
        <n v="8.143381536004588"/>
        <n v="10.79955562404407"/>
        <n v="15.827367932306796"/>
        <n v="16.617148972318766"/>
        <n v="19.365111650952493"/>
        <n v="22.765371987474687"/>
        <n v="25.648822635112325"/>
        <n v="28.855240939884595"/>
        <n v="31.610587374291057"/>
        <n v="36.007724473780712"/>
        <n v="41.450987126825183"/>
        <n v="41.929169920307658"/>
        <n v="3.4883015090697325"/>
        <n v="6.0779019709939872"/>
        <n v="7.1516629555313029"/>
        <n v="13.114092820746263"/>
        <n v="15.280825112491078"/>
        <n v="20.948593228629377"/>
        <n v="6.8057662108534478"/>
        <n v="8.2216936333974218"/>
        <n v="12.921070965378959"/>
        <n v="15.8160580704445"/>
        <n v="16.306570205065185"/>
        <n v="21.3685903105854"/>
        <n v="24.301782963090066"/>
        <n v="29.290951539571708"/>
        <n v="31.171538915752546"/>
        <n v="31.491627237975276"/>
        <n v="34.355859452421328"/>
        <n v="7.0367608604535379"/>
        <n v="7.9715277228998929"/>
        <n v="7.5513373273955793"/>
        <n v="8.7966475354150653"/>
        <n v="9.1354417278042419"/>
        <n v="9.9724382709774488"/>
        <n v="12.485494078867941"/>
        <n v="16.19147654632469"/>
        <n v="14.127510175918241"/>
        <n v="15.55108878919887"/>
        <n v="20.239235813842367"/>
        <n v="22.153427009098213"/>
        <n v="23.242222685570606"/>
        <n v="27.888758274097839"/>
        <n v="29.830165287416666"/>
        <n v="30.915781222292985"/>
        <n v="2.2515525206627593"/>
        <n v="2.3052074238938194"/>
        <n v="2.4257600241030097"/>
        <n v="2.5353028374412432"/>
        <n v="2.8952817050416684"/>
        <n v="3.0648093178894626"/>
        <n v="3.4314387776310902"/>
        <n v="3.886152752155374"/>
        <n v="3.9164261845173569"/>
        <n v="4.6544369299690107"/>
        <n v="5.342579526777758"/>
        <n v="6.1356892775251808"/>
        <n v="5.6498766999252661"/>
        <n v="7.5911966349946418"/>
        <n v="9.6666061566724881"/>
        <n v="8.8008104146614681"/>
        <n v="11.191415982175632"/>
        <n v="13.080699747560393"/>
        <n v="12.623921228212708"/>
        <n v="15.22281768655759"/>
        <n v="13.990549376499565"/>
        <n v="15.168667619242166"/>
        <n v="13.586382740722948"/>
        <n v="1.3060347893368214"/>
        <n v="1.3727719605136011"/>
        <n v="1.5411904694615002"/>
        <n v="1.7423123699902998"/>
        <n v="1.6957312367428665"/>
        <n v="1.8523591274736011"/>
        <n v="2.087659331689494"/>
        <n v="2.5006197050784693"/>
        <n v="2.7421115722317473"/>
        <n v="3.5511032145484691"/>
        <n v="3.9367493761522288"/>
        <n v="4.4071741953902315"/>
        <n v="4.9330024461026154"/>
        <n v="6.3950987561372896"/>
        <n v="6.1699968623894934"/>
        <n v="8.1932611764087202"/>
        <n v="10.363465631575954"/>
        <n v="12.277739819959905"/>
        <n v="11.696284017271052"/>
        <n v="12.31737369905828"/>
        <n v="14.806080040330464"/>
        <n v="16.543247516104838"/>
        <n v="16.853045636670505"/>
        <n v="18.168101412278698"/>
        <n v="2.0161699618311379"/>
        <n v="2.300878753301224"/>
        <n v="2.5020658499280328"/>
        <n v="2.820925992623919"/>
        <n v="3.4634622245228632"/>
        <n v="3.8844985048226333"/>
        <n v="5.074650036042657"/>
        <n v="7.1544000647089501"/>
        <n v="8.8230036446945572"/>
        <n v="12.322704710441885"/>
        <n v="15.322380596081665"/>
        <n v="20.619036698609818"/>
        <n v="24.088518521200605"/>
        <n v="27.998962113818926"/>
        <n v="27.941166147800221"/>
        <n v="1.1255468835354696"/>
        <n v="2.0574069913631381"/>
        <n v="3.6773264539209221"/>
        <n v="4.7898453187116807"/>
        <n v="6.3584812155797552"/>
        <n v="7.627520727773085"/>
        <n v="11.18867821539328"/>
        <n v="12.891200554454246"/>
        <n v="15.814888621010395"/>
        <n v="19.244030959161393"/>
        <n v="21.44428200797423"/>
        <n v="22.494701318417263"/>
        <n v="32.408982815616056"/>
        <n v="36.120861321390748"/>
        <n v="40.65048254864071"/>
        <n v="42.427892738338571"/>
        <n v="50.204218766268554"/>
        <n v="50.141425932506962"/>
        <n v="6.2892301804060038"/>
        <n v="7.2240682604350752"/>
        <n v="8.1304344517768232"/>
        <n v="7.698146970311357"/>
        <n v="8.7422255202514219"/>
        <n v="10.620929496077506"/>
        <n v="12.766892296615231"/>
        <n v="13.408025524415068"/>
        <n v="16.311486048264765"/>
        <n v="18.734429960703881"/>
        <n v="20.132399597274041"/>
        <n v="21.401213790635577"/>
        <n v="2.0503256182586238"/>
        <n v="2.3332289794432306"/>
        <n v="2.4212010491784239"/>
        <n v="2.446224418996005"/>
        <n v="2.8548908975596232"/>
        <n v="2.8221898787400397"/>
        <n v="3.3992678352894252"/>
        <n v="3.5860699584768501"/>
        <n v="3.8986974395250265"/>
        <n v="4.9286135527274428"/>
        <n v="4.175078843507972"/>
        <n v="5.0406386422978953"/>
        <n v="5.7058562758013451"/>
        <n v="8.3067052978386009"/>
        <n v="7.4836271676924557"/>
        <n v="9.9332828785946461"/>
        <n v="10.204803114084182"/>
        <n v="9.1970729238759681"/>
        <n v="12.904798965257577"/>
        <n v="12.965158138776456"/>
        <n v="15.340271757057881"/>
        <n v="16.208616088735116"/>
        <n v="16.362522227470656"/>
        <n v="16.524634330588583"/>
        <n v="2261.5283333333332" u="1"/>
        <n v="4844.9033333333336" u="1"/>
        <n v="7408.6961111111113" u="1"/>
        <n v="9242.0788888888874" u="1"/>
        <n v="12072.108611111114" u="1"/>
        <n v="16270.848174603176" u="1"/>
        <n v="18386.626031746029" u="1"/>
        <n v="21109.800952380956" u="1"/>
        <n v="21954.551111111112" u="1"/>
        <n v="25051.397142857142" u="1"/>
        <n v="27245.546666666673" u="1"/>
        <n v="27444.966666666664" u="1"/>
        <n v="28724.251960784317" u="1"/>
        <n v="27878.763123495013" u="1"/>
        <n v="27945.355204678362" u="1"/>
        <n v="3760.5245833333338" u="1"/>
        <n v="7301.748333333333" u="1"/>
        <n v="9932.71875" u="1"/>
        <n v="15935.375" u="1"/>
        <n v="17538.867916666662" u="1"/>
        <n v="22517.829583333336" u="1"/>
        <n v="24607.229583333334" u="1"/>
        <n v="25997.733333333337" u="1"/>
        <n v="26440.126470588235" u="1"/>
        <n v="26029.615789473686" u="1"/>
        <n v="26459.121052631581" u="1"/>
        <n v="26381.98418972332" u="1"/>
        <n v="26239.925691699602" u="1"/>
        <n v="26511.612500000003" u="1"/>
        <n v="25691.138624338622" u="1"/>
        <n v="13843.581089743588" u="1"/>
        <n v="12979.142261904761" u="1"/>
        <n v="12742.970833333333" u="1"/>
        <n v="11301.037499999999" u="1"/>
        <n v="16988.75" u="1"/>
        <n v="12520.516666666668" u="1"/>
        <n v="12397.255277777776" u="1"/>
        <n v="11441.094607843137" u="1"/>
        <n v="11075.8431372549" u="1"/>
        <n v="11753.010185185187" u="1"/>
        <n v="10473.480827886708" u="1"/>
        <n v="9556.6426785919048" u="1"/>
        <n v="9893.9683430799232" u="1"/>
        <n v="9392.272259079069" u="1"/>
        <n v="9991.0628879892047" u="1"/>
        <n v="8649.2764985994381" u="1"/>
        <n v="7827.5383694083694" u="1"/>
        <n v="7565.4439826839834" u="1"/>
        <n v="11118.395" u="1"/>
        <n v="10789.9125" u="1"/>
        <n v="10572.581249999999" u="1"/>
        <n v="11033.8375" u="1"/>
        <n v="9890.9187500000007" u="1"/>
        <n v="10032.375" u="1"/>
        <n v="9234.4812500000007" u="1"/>
        <n v="9705.38823529412" u="1"/>
        <n v="10587.676470588234" u="1"/>
        <n v="10299.184313725489" u="1"/>
        <n v="10961.267857142855" u="1"/>
        <n v="9346.1117647058818" u="1"/>
        <n v="9689.7121323529409" u="1"/>
        <n v="9930.9933333333356" u="1"/>
        <n v="9311.5470833333347" u="1"/>
        <n v="8572.5597222222223" u="1"/>
        <n v="8332.3647058823517" u="1"/>
        <n v="8052.5895833333343" u="1"/>
        <n v="12196.995555555557" u="1"/>
        <n v="22495.554285714286" u="1"/>
        <n v="25250.193727106223" u="1"/>
        <n v="39891.479004329005" u="1"/>
        <n v="50632.435930735934" u="1"/>
        <n v="41305.058741258741" u="1"/>
        <n v="12258.112499999999" u="1"/>
        <n v="14490.78125" u="1"/>
        <n v="18807.078431372549" u="1"/>
        <n v="21548.682142857146" u="1"/>
        <n v="23078.956249999999" u="1"/>
        <n v="24160.740000000005" u="1"/>
        <n v="31447.682638888888" u="1"/>
        <n v="25903.76833333333" u="1"/>
        <n v="26569.114117647059" u="1"/>
        <n v="27595.104201680668" u="1"/>
        <n v="26745.607450980395" u="1"/>
        <n v="12454.506249999999" u="1"/>
        <n v="14155.45" u="1"/>
        <n v="13888.606250000001" u="1"/>
        <n v="15640.955" u="1"/>
        <n v="16450.195833333331" u="1"/>
        <n v="17020.168750000001" u="1"/>
        <n v="21015.885714285709" u="1"/>
        <n v="28098.254545454551" u="1"/>
        <n v="25088.76923076923" u="1"/>
        <n v="25486.966666666671" u="1"/>
        <n v="9376.3686507936472" u="1"/>
        <n v="11476.888958333337" u="1"/>
        <n v="10908.357430555556" u="1"/>
        <n v="12396.37544642857" u="1"/>
        <n v="11845.038749999998" u="1"/>
        <n v="12423.338720238096" u="1"/>
        <n v="12566.9625" u="1"/>
        <n v="12653.112499999997" u="1"/>
        <n v="13654.179166666667" u="1"/>
        <n v="14541.495833333334" u="1"/>
        <n v="17188.204166666666" u="1"/>
        <n v="17477.541666666668" u="1"/>
        <n v="19139.383333333335" u="1"/>
        <n v="20205.862499999999" u="1"/>
        <n v="20893.150000000001" u="1"/>
        <n v="23420.162500000002" u="1"/>
        <n v="24309.541666666668" u="1"/>
        <n v="25692.991666666669" u="1"/>
        <n v="24445.774999999998" u="1"/>
        <n v="27799.237500000003" u="1"/>
        <n v="28352.924999999999" u="1"/>
        <n v="27488.004166666666" u="1"/>
        <n v="29551.037500000002" u="1"/>
        <n v="33032.855357142857" u="1"/>
        <n v="32186.697023809524" u="1"/>
        <n v="31883.462500000005" u="1"/>
        <n v="32060.889285714289" u="1"/>
        <n v="33396.366666666669" u="1"/>
        <n v="35524.65" u="1"/>
        <n v="13909.445833333333" u="1"/>
        <n v="14788.987500000001" u="1"/>
        <n v="17185.579166666666" u="1"/>
        <n v="18996.45" u="1"/>
        <n v="19715.070833333335" u="1"/>
        <n v="20089.174999999999" u="1"/>
        <n v="21742.775000000001" u="1"/>
        <n v="24268.654166666664" u="1"/>
        <n v="26484.625" u="1"/>
        <n v="28824.745833333334" u="1"/>
        <n v="29226.3125" u="1"/>
        <n v="30109.675000000003" u="1"/>
        <n v="31678.066666666666" u="1"/>
        <n v="33652.995833333334" u="1"/>
        <n v="32936.787499999999" u="1"/>
        <n v="33728.558333333327" u="1"/>
        <n v="35490.23333333333" u="1"/>
        <n v="35706.416666666664" u="1"/>
        <n v="35089.066666666658" u="1"/>
        <n v="35939.995833333327" u="1"/>
        <n v="35547.347222222219" u="1"/>
        <n v="36130.188888888886" u="1"/>
        <n v="37708.883796296293" u="1"/>
        <n v="35971.4" u="1"/>
      </sharedItems>
    </cacheField>
    <cacheField name="PPS" numFmtId="166">
      <sharedItems containsSemiMixedTypes="0" containsString="0" containsNumber="1" minValue="2174.8166666666666" maxValue="50632.435930735934"/>
    </cacheField>
    <cacheField name="GPS" numFmtId="166">
      <sharedItems containsSemiMixedTypes="0" containsString="0" containsNumber="1" minValue="204.18124999999998" maxValue="4498.6368055555558"/>
    </cacheField>
    <cacheField name="Run" numFmtId="43">
      <sharedItems containsSemiMixedTypes="0" containsString="0" containsNumber="1" minValue="2.1190476190476191" maxValue="67.176470588235304"/>
    </cacheField>
    <cacheField name="MaxRun" numFmtId="43">
      <sharedItems containsSemiMixedTypes="0" containsString="0" containsNumber="1" minValue="5.5" maxValue="103"/>
    </cacheField>
    <cacheField name="Kvcache" numFmtId="10">
      <sharedItems containsSemiMixedTypes="0" containsString="0" containsNumber="1" minValue="1.0150557507719928E-2" maxValue="0.90925288049880759"/>
    </cacheField>
    <cacheField name="MaxKvcache" numFmtId="10">
      <sharedItems containsSemiMixedTypes="0" containsString="0" containsNumber="1" minValue="2.4075510731833449E-2" maxValue="0.99968968192397201"/>
    </cacheField>
    <cacheField name="tok/sec" numFmtId="164">
      <sharedItems containsSemiMixedTypes="0" containsString="0" containsNumber="1" minValue="2600" maxValue="45900"/>
    </cacheField>
    <cacheField name="tok/req" numFmtId="164">
      <sharedItems containsMixedTypes="1" containsNumber="1" containsInteger="1" minValue="1150" maxValue="15150"/>
    </cacheField>
    <cacheField name="In/sec" numFmtId="164">
      <sharedItems containsSemiMixedTypes="0" containsString="0" containsNumber="1" minValue="2600" maxValue="45900"/>
    </cacheField>
    <cacheField name="Out/sec" numFmtId="164">
      <sharedItems containsSemiMixedTypes="0" containsString="0" containsNumber="1" minValue="378219.6465641135" maxValue="397017.22391084093"/>
    </cacheField>
    <cacheField name="Ratio" numFmtId="43">
      <sharedItems containsSemiMixedTypes="0" containsString="0" containsNumber="1" minValue="8856.3545336190618" maxValue="415367.7741675725"/>
    </cacheField>
    <cacheField name="tok(N)" numFmtId="164">
      <sharedItems containsSemiMixedTypes="0" containsString="0" containsNumber="1" minValue="452.10827296927346" maxValue="4668.5405952494893"/>
    </cacheField>
    <cacheField name="MaxTok(N)" numFmtId="164">
      <sharedItems containsSemiMixedTypes="0" containsString="0" containsNumber="1" minValue="200" maxValue="5400"/>
    </cacheField>
    <cacheField name="tok(Run)" numFmtId="164">
      <sharedItems containsSemiMixedTypes="0" containsString="0" containsNumber="1" minValue="8.5365357882865158" maxValue="150.26803816338705"/>
    </cacheField>
    <cacheField name="MaxTok(Run)" numFmtId="164">
      <sharedItems containsSemiMixedTypes="0" containsString="0" containsNumber="1" minValue="9.4843334747991968" maxValue="14479.350275922277"/>
    </cacheField>
    <cacheField name="tok(MaxRun)" numFmtId="164">
      <sharedItems containsMixedTypes="1" containsNumber="1" minValue="9200" maxValue="396550"/>
    </cacheField>
    <cacheField name="MaxTok(MaxRun)" numFmtId="164">
      <sharedItems containsMixedTypes="1" containsNumber="1" minValue="378219.6465641135" maxValue="397017.22391084093"/>
    </cacheField>
    <cacheField name="Nprefill" numFmtId="43">
      <sharedItems containsSemiMixedTypes="0" containsString="0" containsNumber="1" minValue="6.8541674584599338E-2" maxValue="11.885688269428945"/>
    </cacheField>
    <cacheField name="Ndecode" numFmtId="43">
      <sharedItems containsSemiMixedTypes="0" containsString="0" containsNumber="1" minValue="1.9767909216948933" maxValue="112.33946917386376"/>
    </cacheField>
    <cacheField name="N" numFmtId="43">
      <sharedItems containsSemiMixedTypes="0" containsString="0" containsNumber="1" minValue="2.3093862323316987" maxValue="120.26177119118573"/>
    </cacheField>
    <cacheField name="estTTFT" numFmtId="165">
      <sharedItems containsSemiMixedTypes="0" containsString="0" containsNumber="1" minValue="3.8137366155764296E-2" maxValue="1.9683468090840424"/>
    </cacheField>
    <cacheField name="TTFT%" numFmtId="9">
      <sharedItems containsSemiMixedTypes="0" containsString="0" containsNumber="1" minValue="0.6529407249364525" maxValue="31.415356180854022"/>
    </cacheField>
    <cacheField name="estPrefill" numFmtId="43">
      <sharedItems containsSemiMixedTypes="0" containsString="0" containsNumber="1" minValue="0.58862482525200499" maxValue="1.7515767073620099"/>
    </cacheField>
    <cacheField name="Prefill%" numFmtId="9">
      <sharedItems containsSemiMixedTypes="0" containsString="0" containsNumber="1" minValue="3.4270837292299669E-2" maxValue="1.9170464950691848"/>
    </cacheField>
    <cacheField name="Prefill/TTFT" numFmtId="9">
      <sharedItems containsSemiMixedTypes="0" containsString="0" containsNumber="1" minValue="2.8483023064621832E-2" maxValue="1.4437135482529535"/>
    </cacheField>
    <cacheField name="estDecode" numFmtId="43">
      <sharedItems containsSemiMixedTypes="0" containsString="0" containsNumber="1" minValue="0.84504036772406388" maxValue="45.910131696860013"/>
    </cacheField>
    <cacheField name="param" numFmtId="9">
      <sharedItems containsSemiMixedTypes="0" containsString="0" containsNumber="1" minValue="0.17599479839737578" maxValue="0.95242721632605964"/>
    </cacheField>
    <cacheField name="E2E-sat" numFmtId="43">
      <sharedItems containsSemiMixedTypes="0" containsString="0" containsNumber="1" minValue="0.92959679971622833" maxValue="44.621246639214775"/>
    </cacheField>
    <cacheField name="estE2E" numFmtId="43">
      <sharedItems containsSemiMixedTypes="0" containsString="0" containsNumber="1" minValue="1.6548293084965988" maxValue="45.958486933271296"/>
    </cacheField>
    <cacheField name="E2E%" numFmtId="9">
      <sharedItems containsSemiMixedTypes="0" containsString="0" containsNumber="1" minValue="0.56290920878600792" maxValue="2.9351199255037845"/>
    </cacheField>
    <cacheField name="estRPS" numFmtId="43">
      <sharedItems containsSemiMixedTypes="0" containsString="0" containsNumber="1" minValue="1.0933877195278101" maxValue="9.5753752270839527"/>
    </cacheField>
    <cacheField name="RPS(IL)" numFmtId="43">
      <sharedItems containsSemiMixedTypes="0" containsString="0" containsNumber="1" minValue="1.2532841666666668" maxValue="10.126487186147187"/>
    </cacheField>
    <cacheField name="RPS(IL)%" numFmtId="9">
      <sharedItems containsSemiMixedTypes="0" containsString="0" containsNumber="1" minValue="0.58862482525200499" maxValue="1.7515767073620099"/>
    </cacheField>
    <cacheField name="RPS(OL)" numFmtId="43">
      <sharedItems containsSemiMixedTypes="0" containsString="0" containsNumber="1" minValue="1.1267909544159544" maxValue="9.1933838383838395"/>
    </cacheField>
    <cacheField name="RPS(OL)%" numFmtId="9">
      <sharedItems containsSemiMixedTypes="0" containsString="0" containsNumber="1" minValue="0.64347032740000076" maxValue="1.9311638299031806"/>
    </cacheField>
    <cacheField name="N-max" numFmtId="164">
      <sharedItems containsMixedTypes="1" containsNumber="1" minValue="2.3903689120224347E-2" maxValue="0.31490512188817288"/>
    </cacheField>
    <cacheField name="N%" numFmtId="9">
      <sharedItems containsMixedTypes="1" containsNumber="1" minValue="12.914285010432003" maxValue="1710.2407887203051"/>
    </cacheField>
    <cacheField name="RPS success" numFmtId="43">
      <sharedItems containsSemiMixedTypes="0" containsString="0" containsNumber="1" minValue="2" maxValue="7"/>
    </cacheField>
    <cacheField name="est-In-Tok3" numFmtId="166">
      <sharedItems containsSemiMixedTypes="0" containsString="0" containsNumber="1" minValue="1087.4083333333333" maxValue="14362.125980392158"/>
    </cacheField>
    <cacheField name="err%-In-Tok3" numFmtId="9">
      <sharedItems containsSemiMixedTypes="0" containsString="0" containsNumber="1" minValue="8.9371120107953176E-4" maxValue="0.69887500000000002"/>
    </cacheField>
    <cacheField name="est-Out-Tok3" numFmtId="166">
      <sharedItems containsSemiMixedTypes="0" containsString="0" containsNumber="1" minValue="76.066666666666677" maxValue="1499.5456018518519"/>
    </cacheField>
    <cacheField name="err%-Out-Tok3" numFmtId="9">
      <sharedItems containsSemiMixedTypes="0" containsString="0" containsNumber="1" minValue="5.5555555555542925E-4" maxValue="0.5540732142857141"/>
    </cacheField>
    <cacheField name="est-Tok/Req3" numFmtId="166">
      <sharedItems containsSemiMixedTypes="0" containsString="0" containsNumber="1" minValue="1238.3694444444445" maxValue="14505.591666666669"/>
    </cacheField>
    <cacheField name="err%-Tok/Req3" numFmtId="9">
      <sharedItems containsMixedTypes="1" containsNumber="1" minValue="3.6460156979456753E-4" maxValue="0.69197967687074835"/>
    </cacheField>
    <cacheField name="est-N-max3" numFmtId="166">
      <sharedItems containsSemiMixedTypes="0" containsString="0" containsNumber="1" minValue="2.496560626365801E-2" maxValue="0.29243364473827271"/>
    </cacheField>
    <cacheField name="err%-N-max3" numFmtId="9">
      <sharedItems containsMixedTypes="1" containsNumber="1" minValue="3.6446868394012676E-4" maxValue="0.75319093179004426"/>
    </cacheField>
    <cacheField name="est-Tok/Req" numFmtId="43">
      <sharedItems containsSemiMixedTypes="0" containsString="0" containsNumber="1" minValue="1.0668989160847502" maxValue="14.156522211997066"/>
    </cacheField>
    <cacheField name="err%-Tok/Req" numFmtId="10">
      <sharedItems containsMixedTypes="1" containsNumber="1" minValue="0.99905943471173952" maxValue="0.99908338076329151"/>
    </cacheField>
    <cacheField name="est-N-max2" numFmtId="43">
      <sharedItems containsSemiMixedTypes="0" containsString="0" containsNumber="1" minValue="25.581204532317933" maxValue="339.433178449899"/>
    </cacheField>
    <cacheField name="est-N-max" numFmtId="43">
      <sharedItems containsSemiMixedTypes="0" containsString="0" containsNumber="1" minValue="25.58120453231793" maxValue="339.433178449899"/>
    </cacheField>
    <cacheField name="B-tok/req" numFmtId="0">
      <sharedItems containsMixedTypes="1" containsNumber="1" containsInteger="1" minValue="2000" maxValue="16000" count="16">
        <n v="2000"/>
        <n v="3000"/>
        <n v="4000"/>
        <n v="5000"/>
        <n v="6000"/>
        <n v="7000"/>
        <n v="8000"/>
        <n v="9000"/>
        <n v="10000"/>
        <n v="11000"/>
        <n v="12000"/>
        <n v="13000"/>
        <n v="14000"/>
        <n v="15000"/>
        <n v="16000"/>
        <e v="#VALUE!"/>
      </sharedItems>
    </cacheField>
    <cacheField name="B-ITL" numFmtId="0">
      <sharedItems containsSemiMixedTypes="0" containsString="0" containsNumber="1" minValue="0.01" maxValue="51.685000000000002" count="166">
        <n v="0.01"/>
        <n v="1.4999999999999999E-2"/>
        <n v="0.02"/>
        <n v="2.5000000000000001E-2"/>
        <n v="4.4999999999999998E-2"/>
        <n v="0.05"/>
        <n v="5.5E-2"/>
        <n v="0.06"/>
        <n v="0.03"/>
        <n v="0.04"/>
        <n v="3.5000000000000003E-2"/>
        <n v="7.4999999999999997E-2"/>
        <n v="9.5000000000000001E-2"/>
        <n v="0.1"/>
        <n v="8.5000000000000006E-2"/>
        <n v="0.105"/>
        <n v="0.115"/>
        <n v="0.11"/>
        <n v="6.5000000000000002E-2"/>
        <n v="7.0000000000000007E-2"/>
        <n v="2.0100000000000002" u="1"/>
        <n v="2.2400000000000002" u="1"/>
        <n v="2.5550000000000002" u="1"/>
        <n v="2.82" u="1"/>
        <n v="3.3650000000000002" u="1"/>
        <n v="4.3" u="1"/>
        <n v="4.96" u="1"/>
        <n v="6.5449999999999999" u="1"/>
        <n v="7.8050000000000006" u="1"/>
        <n v="14.065" u="1"/>
        <n v="15.095000000000001" u="1"/>
        <n v="18.025000000000002" u="1"/>
        <n v="24.285" u="1"/>
        <n v="27.87" u="1"/>
        <n v="29.745000000000001" u="1"/>
        <n v="2.145" u="1"/>
        <n v="2.4750000000000001" u="1"/>
        <n v="2.9050000000000002" u="1"/>
        <n v="4.13" u="1"/>
        <n v="4.8849999999999998" u="1"/>
        <n v="7.36" u="1"/>
        <n v="10.245000000000001" u="1"/>
        <n v="15.88" u="1"/>
        <n v="19.445" u="1"/>
        <n v="25.635000000000002" u="1"/>
        <n v="27.715" u="1"/>
        <n v="35.11" u="1"/>
        <n v="38.160000000000004" u="1"/>
        <n v="42.79" u="1"/>
        <n v="51.685000000000002" u="1"/>
        <n v="1.1100000000000001" u="1"/>
        <n v="2.2149999999999999" u="1"/>
        <n v="3.5350000000000001" u="1"/>
        <n v="4.53" u="1"/>
        <n v="7.46" u="1"/>
        <n v="9.74" u="1"/>
        <n v="11.33" u="1"/>
        <n v="12.93" u="1"/>
        <n v="16.094999999999999" u="1"/>
        <n v="20.66" u="1"/>
        <n v="20.975000000000001" u="1"/>
        <n v="24.39" u="1"/>
        <n v="28.64" u="1"/>
        <n v="35.47" u="1"/>
        <n v="38.72" u="1"/>
        <n v="39.494999999999997" u="1"/>
        <n v="44.134999999999998" u="1"/>
        <n v="46.484999999999999" u="1"/>
        <n v="0.93500000000000005" u="1"/>
        <n v="1.895" u="1"/>
        <n v="3.0249999999999999" u="1"/>
        <n v="4.3500000000000005" u="1"/>
        <n v="5.375" u="1"/>
        <n v="6.94" u="1"/>
        <n v="8.1449999999999996" u="1"/>
        <n v="10.8" u="1"/>
        <n v="15.83" u="1"/>
        <n v="16.62" u="1"/>
        <n v="19.37" u="1"/>
        <n v="22.77" u="1"/>
        <n v="25.650000000000002" u="1"/>
        <n v="28.86" u="1"/>
        <n v="31.615000000000002" u="1"/>
        <n v="36.01" u="1"/>
        <n v="41.454999999999998" u="1"/>
        <n v="41.93" u="1"/>
        <n v="3.49" u="1"/>
        <n v="6.08" u="1"/>
        <n v="7.1550000000000002" u="1"/>
        <n v="13.115" u="1"/>
        <n v="15.285" u="1"/>
        <n v="20.95" u="1"/>
        <n v="6.8100000000000005" u="1"/>
        <n v="8.2249999999999996" u="1"/>
        <n v="12.925000000000001" u="1"/>
        <n v="15.82" u="1"/>
        <n v="16.309999999999999" u="1"/>
        <n v="21.37" u="1"/>
        <n v="24.305" u="1"/>
        <n v="29.295000000000002" u="1"/>
        <n v="31.175000000000001" u="1"/>
        <n v="31.495000000000001" u="1"/>
        <n v="34.36" u="1"/>
        <n v="7.04" u="1"/>
        <n v="7.9750000000000005" u="1"/>
        <n v="7.5549999999999997" u="1"/>
        <n v="8.8000000000000007" u="1"/>
        <n v="9.14" u="1"/>
        <n v="9.9749999999999996" u="1"/>
        <n v="12.49" u="1"/>
        <n v="16.195" u="1"/>
        <n v="14.13" u="1"/>
        <n v="15.555" u="1"/>
        <n v="20.240000000000002" u="1"/>
        <n v="22.155000000000001" u="1"/>
        <n v="23.245000000000001" u="1"/>
        <n v="27.89" u="1"/>
        <n v="29.835000000000001" u="1"/>
        <n v="30.92" u="1"/>
        <n v="2.2549999999999999" u="1"/>
        <n v="2.31" u="1"/>
        <n v="2.4300000000000002" u="1"/>
        <n v="2.54" u="1"/>
        <n v="2.9" u="1"/>
        <n v="3.0649999999999999" u="1"/>
        <n v="3.4350000000000001" u="1"/>
        <n v="3.89" u="1"/>
        <n v="3.92" u="1"/>
        <n v="4.6550000000000002" u="1"/>
        <n v="5.3449999999999998" u="1"/>
        <n v="6.1400000000000006" u="1"/>
        <n v="5.65" u="1"/>
        <n v="7.5949999999999998" u="1"/>
        <n v="9.67" u="1"/>
        <n v="8.8049999999999997" u="1"/>
        <n v="11.195" u="1"/>
        <n v="13.085000000000001" u="1"/>
        <n v="12.625" u="1"/>
        <n v="15.225" u="1"/>
        <n v="13.995000000000001" u="1"/>
        <n v="15.17" u="1"/>
        <n v="13.59" u="1"/>
        <n v="1.31" u="1"/>
        <n v="1.375" u="1"/>
        <n v="1.5449999999999999" u="1"/>
        <n v="1.7450000000000001" u="1"/>
        <n v="1.7" u="1"/>
        <n v="1.855" u="1"/>
        <n v="2.09" u="1"/>
        <n v="2.5049999999999999" u="1"/>
        <n v="2.7450000000000001" u="1"/>
        <n v="3.5550000000000002" u="1"/>
        <n v="3.94" u="1"/>
        <n v="4.41" u="1"/>
        <n v="4.9350000000000005" u="1"/>
        <n v="6.4" u="1"/>
        <n v="6.17" u="1"/>
        <n v="8.1950000000000003" u="1"/>
        <n v="10.365" u="1"/>
        <n v="12.280000000000001" u="1"/>
        <n v="11.700000000000001" u="1"/>
        <n v="12.32" u="1"/>
        <n v="14.81" u="1"/>
        <n v="16.545000000000002" u="1"/>
        <n v="16.855" u="1"/>
        <n v="18.170000000000002" u="1"/>
      </sharedItems>
    </cacheField>
    <cacheField name="B-Kvcache" numFmtId="9">
      <sharedItems containsSemiMixedTypes="0" containsString="0" containsNumber="1" minValue="0.1" maxValue="1"/>
    </cacheField>
    <cacheField name="B2-Kvcache" numFmtId="9">
      <sharedItems containsSemiMixedTypes="0" containsString="0" containsNumber="1" minValue="0.02" maxValue="1" count="96">
        <n v="0.02"/>
        <n v="0.04"/>
        <n v="0.06"/>
        <n v="0.08"/>
        <n v="0.14000000000000001"/>
        <n v="0.19"/>
        <n v="0.28000000000000003"/>
        <n v="0.34"/>
        <n v="0.64"/>
        <n v="0.72"/>
        <n v="0.78"/>
        <n v="0.86"/>
        <n v="0.88"/>
        <n v="0.18"/>
        <n v="0.46"/>
        <n v="0.82000000000000006"/>
        <n v="0.87"/>
        <n v="0.89"/>
        <n v="0.91"/>
        <n v="0.03"/>
        <n v="7.0000000000000007E-2"/>
        <n v="0.1"/>
        <n v="0.11"/>
        <n v="0.22"/>
        <n v="0.25"/>
        <n v="0.3"/>
        <n v="0.32"/>
        <n v="0.4"/>
        <n v="0.5"/>
        <n v="0.44"/>
        <n v="0.52"/>
        <n v="0.57000000000000006"/>
        <n v="0.68"/>
        <n v="0.69000000000000006"/>
        <n v="0.70000000000000007"/>
        <n v="0.05"/>
        <n v="0.12"/>
        <n v="0.16"/>
        <n v="0.17"/>
        <n v="0.38"/>
        <n v="0.36"/>
        <n v="0.42"/>
        <n v="0.47000000000000003"/>
        <n v="0.49"/>
        <n v="0.53"/>
        <n v="0.59"/>
        <n v="0.66"/>
        <n v="0.67"/>
        <n v="0.09"/>
        <n v="0.23"/>
        <n v="0.76"/>
        <n v="0.26"/>
        <n v="0.48"/>
        <n v="0.61"/>
        <n v="0.62"/>
        <n v="0.75"/>
        <n v="0.85"/>
        <n v="0.24"/>
        <n v="0.27"/>
        <n v="0.31"/>
        <n v="0.55000000000000004"/>
        <n v="0.13"/>
        <n v="0.15"/>
        <n v="0.28999999999999998"/>
        <n v="0.37"/>
        <n v="0.57999999999999996"/>
        <n v="0.63"/>
        <n v="0.21"/>
        <n v="0.33"/>
        <n v="0.41000000000000003"/>
        <n v="0.54"/>
        <n v="0.79"/>
        <n v="0.74"/>
        <n v="0.77"/>
        <n v="0.8"/>
        <n v="0.35000000000000003"/>
        <n v="0.39"/>
        <n v="0.45"/>
        <n v="0.71"/>
        <n v="0.73"/>
        <n v="0.51"/>
        <n v="0.83000000000000007"/>
        <n v="0.6" u="1"/>
        <n v="0.97" u="1"/>
        <n v="0.99" u="1"/>
        <n v="1" u="1"/>
        <n v="0.65" u="1"/>
        <n v="0.81" u="1"/>
        <n v="0.98" u="1"/>
        <n v="0.92" u="1"/>
        <n v="0.2" u="1"/>
        <n v="0.96" u="1"/>
        <n v="0.93" u="1"/>
        <n v="0.84" u="1"/>
        <n v="0.56000000000000005" u="1"/>
        <n v="0.95000000000000007" u="1"/>
      </sharedItems>
    </cacheField>
    <cacheField name="B-Run" numFmtId="164">
      <sharedItems containsSemiMixedTypes="0" containsString="0" containsNumber="1" containsInteger="1" minValue="3" maxValue="103" count="77">
        <n v="4"/>
        <n v="5"/>
        <n v="6"/>
        <n v="9"/>
        <n v="10"/>
        <n v="14"/>
        <n v="15"/>
        <n v="25"/>
        <n v="26"/>
        <n v="24"/>
        <n v="23"/>
        <n v="7"/>
        <n v="8"/>
        <n v="13"/>
        <n v="21"/>
        <n v="35"/>
        <n v="34"/>
        <n v="31"/>
        <n v="28"/>
        <n v="3"/>
        <n v="16"/>
        <n v="18"/>
        <n v="22"/>
        <n v="36"/>
        <n v="40"/>
        <n v="47"/>
        <n v="49"/>
        <n v="48"/>
        <n v="46"/>
        <n v="19"/>
        <n v="20"/>
        <n v="43"/>
        <n v="51"/>
        <n v="52"/>
        <n v="56"/>
        <n v="61"/>
        <n v="66"/>
        <n v="67"/>
        <n v="68"/>
        <n v="58"/>
        <n v="45"/>
        <n v="57"/>
        <n v="64"/>
        <n v="63"/>
        <n v="65"/>
        <n v="37"/>
        <n v="30"/>
        <n v="39"/>
        <n v="11"/>
        <n v="32"/>
        <n v="42"/>
        <n v="44"/>
        <n v="27"/>
        <n v="54"/>
        <n v="12"/>
        <n v="33"/>
        <n v="50"/>
        <n v="17"/>
        <n v="38"/>
        <n v="55"/>
        <n v="60"/>
        <n v="29" u="1"/>
        <n v="41" u="1"/>
        <n v="70" u="1"/>
        <n v="69" u="1"/>
        <n v="73" u="1"/>
        <n v="89" u="1"/>
        <n v="96" u="1"/>
        <n v="98" u="1"/>
        <n v="103" u="1"/>
        <n v="100" u="1"/>
        <n v="74" u="1"/>
        <n v="75" u="1"/>
        <n v="76" u="1"/>
        <n v="59" u="1"/>
        <n v="71" u="1"/>
        <n v="72" u="1"/>
      </sharedItems>
    </cacheField>
    <cacheField name="B-Ratio" numFmtId="164">
      <sharedItems containsSemiMixedTypes="0" containsString="0" containsNumber="1" containsInteger="1" minValue="8860" maxValue="415370"/>
    </cacheField>
    <cacheField name="B-In-Tok" numFmtId="164">
      <sharedItems containsSemiMixedTypes="0" containsString="0" containsNumber="1" containsInteger="1" minValue="1000" maxValue="15000"/>
    </cacheField>
    <cacheField name="Column28" numFmtId="9">
      <sharedItems containsNonDate="0" containsString="0" containsBlank="1"/>
    </cacheField>
    <cacheField name="Column29" numFmtId="9">
      <sharedItems containsNonDate="0" containsString="0" containsBlank="1"/>
    </cacheField>
    <cacheField name="Column30" numFmtId="168">
      <sharedItems containsString="0" containsBlank="1" containsNumber="1" minValue="2.4075510731833449E-2" maxValue="0.99968968192397201"/>
    </cacheField>
    <cacheField name="Column31" numFmtId="9">
      <sharedItems containsNonDate="0" containsString="0" containsBlank="1"/>
    </cacheField>
    <cacheField name="Demand-T" numFmtId="164">
      <sharedItems containsString="0" containsBlank="1" containsNumber="1" containsInteger="1" minValue="2600" maxValue="45900"/>
    </cacheField>
    <cacheField name="Supply" numFmtId="164">
      <sharedItems containsString="0" containsBlank="1" containsNumber="1" minValue="378219.6465641135" maxValue="397017.22391084093"/>
    </cacheField>
    <cacheField name="Mrate" numFmtId="164">
      <sharedItems containsString="0" containsBlank="1" containsNumber="1" minValue="9071.2703285266016" maxValue="415367.7741675725"/>
    </cacheField>
    <cacheField name="OTS" numFmtId="164">
      <sharedItems containsString="0" containsBlank="1" containsNumber="1" minValue="452.10827296927346" maxValue="4668.5405952494893"/>
    </cacheField>
    <cacheField name="OTS-D" numFmtId="164">
      <sharedItems containsString="0" containsBlank="1" containsNumber="1" containsInteger="1" minValue="200" maxValue="5400"/>
    </cacheField>
    <cacheField name="S/D" numFmtId="43">
      <sharedItems containsString="0" containsBlank="1" containsNumber="1" minValue="8.5365357882865158" maxValue="146.97347765016949"/>
    </cacheField>
    <cacheField name="   " numFmtId="43">
      <sharedItems containsNonDate="0" containsString="0" containsBlank="1"/>
    </cacheField>
    <cacheField name="e2e sat" numFmtId="43">
      <sharedItems containsString="0" containsBlank="1" containsNumber="1" minValue="0.92959679971622833" maxValue="43.653902154609881"/>
    </cacheField>
    <cacheField name="GPS*ITL" numFmtId="43">
      <sharedItems containsString="0" containsBlank="1" containsNumber="1" minValue="2.4878805382732088" maxValue="112.33946917386376"/>
    </cacheField>
    <cacheField name="PPS*PREFILL/IL" numFmtId="164">
      <sharedItems containsString="0" containsBlank="1" containsNumber="1" minValue="7.2569968219717076E-2" maxValue="10.160431403889829"/>
    </cacheField>
    <cacheField name="N2" numFmtId="43">
      <sharedItems containsString="0" containsBlank="1" containsNumber="1" minValue="2.8755535899428515" maxValue="120.26177119118573"/>
    </cacheField>
    <cacheField name="PPS/IL" numFmtId="43">
      <sharedItems containsString="0" containsBlank="1" containsNumber="1" minValue="1.5130887965367967" maxValue="10.126487186147187"/>
    </cacheField>
    <cacheField name="GPS/OL" numFmtId="43">
      <sharedItems containsString="0" containsBlank="1" containsNumber="1" minValue="1.4145795334295335" maxValue="9.1933838383838395"/>
    </cacheField>
    <cacheField name="RUN/E2E" numFmtId="43">
      <sharedItems containsString="0" containsBlank="1" containsNumber="1" minValue="0.4497175786769218" maxValue="3.5894180532368547"/>
    </cacheField>
    <cacheField name="N/E2E" numFmtId="43">
      <sharedItems containsString="0" containsBlank="1" containsNumber="1" minValue="0.54009916686334591" maxValue="7.7317986778095094"/>
    </cacheField>
    <cacheField name="   2" numFmtId="43">
      <sharedItems containsNonDate="0" containsString="0" containsBlank="1"/>
    </cacheField>
    <cacheField name="Tokens load" numFmtId="43">
      <sharedItems containsSemiMixedTypes="0" containsString="0" containsNumber="1" containsInteger="1" minValue="1150" maxValue="15150"/>
    </cacheField>
    <cacheField name="C(R)" numFmtId="43">
      <sharedItems containsString="0" containsBlank="1" containsNumber="1" minValue="9489.7575426443145" maxValue="942992.79787085799"/>
    </cacheField>
    <cacheField name="C(MaxR)" numFmtId="43">
      <sharedItems containsBlank="1"/>
    </cacheField>
    <cacheField name="C(N)" numFmtId="43">
      <sharedItems containsBlank="1"/>
    </cacheField>
    <cacheField name="N(maxT)" numFmtId="43">
      <sharedItems containsString="0" containsBlank="1" containsNumber="1" containsInteger="1" minValue="0" maxValue="0"/>
    </cacheField>
    <cacheField name="N%2" numFmtId="43">
      <sharedItems containsBlank="1"/>
    </cacheField>
    <cacheField name="Column1" numFmtId="43">
      <sharedItems containsString="0" containsBlank="1" containsNumber="1" containsInteger="1" minValue="0" maxValue="0"/>
    </cacheField>
    <cacheField name="Column2" numFmtId="43">
      <sharedItems containsBlank="1"/>
    </cacheField>
    <cacheField name="relative cache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x v="0"/>
    <x v="0"/>
    <x v="0"/>
    <x v="0"/>
    <x v="0"/>
    <x v="0"/>
    <m/>
    <n v="3.7026038223119916E-2"/>
    <n v="3.2088905166513686E-2"/>
    <n v="0.59547004836481088"/>
    <n v="0.7305008967717489"/>
    <n v="0.97615059534708548"/>
    <n v="6.596198861928409E-3"/>
    <x v="0"/>
    <n v="2261.5283333333332"/>
    <n v="633.58861111111116"/>
    <n v="3.4068627450980391"/>
    <n v="8"/>
    <n v="1.0150557507719928E-2"/>
    <n v="2.4075510731833449E-2"/>
    <n v="2600"/>
    <n v="1150"/>
    <n v="2600"/>
    <n v="382131.04189044063"/>
    <n v="190025.26905948756"/>
    <n v="1212.819711390749"/>
    <n v="600"/>
    <n v="146.97347765016949"/>
    <n v="14479.350275922277"/>
    <n v="9200"/>
    <n v="382131.04189044063"/>
    <n v="7.2569968219717076E-2"/>
    <n v="4.1792764755419132"/>
    <n v="4.2518464437616306"/>
    <n v="3.8685104028442094E-2"/>
    <n v="0.95711357518639739"/>
    <n v="0.88435770205546849"/>
    <n v="3.6284984109858538E-2"/>
    <n v="0.86665780911111978"/>
    <n v="1.9788915397511244"/>
    <n v="0.58085449512119336"/>
    <n v="2.0109485637450364"/>
    <n v="2.8632173606339912"/>
    <n v="0.70177046519004049"/>
    <n v="1.4849890553961158"/>
    <n v="2.2615283333333331"/>
    <n v="0.88435770205546849"/>
    <n v="2.1119620370370371"/>
    <n v="0.94698671894968645"/>
    <n v="0.31490512188817288"/>
    <n v="13.501992023081542"/>
    <n v="2"/>
    <n v="1130.7641666666666"/>
    <n v="0.1307641666666666"/>
    <n v="316.79430555555558"/>
    <n v="5.5981018518518603E-2"/>
    <n v="1289.1613194444444"/>
    <n v="0.12100984299516905"/>
    <n v="0.28091200434671826"/>
    <n v="0.10794717258846633"/>
    <n v="1.0789785813563464"/>
    <n v="0.99906175775534234"/>
    <n v="335.63306670662928"/>
    <n v="335.63306670662928"/>
    <x v="0"/>
    <x v="0"/>
    <n v="0.1"/>
    <x v="0"/>
    <x v="0"/>
    <n v="190030"/>
    <n v="1000"/>
    <m/>
    <m/>
    <n v="2.4075510731833449E-2"/>
    <m/>
    <n v="2600"/>
    <n v="382131.04189044063"/>
    <n v="190025.26905948756"/>
    <n v="1212.819711390749"/>
    <n v="600"/>
    <n v="146.97347765016949"/>
    <m/>
    <n v="2.0109485637450364"/>
    <n v="4.1792764755419132"/>
    <n v="7.2569968219717076E-2"/>
    <n v="4.2518464437616306"/>
    <n v="2.2615283333333331"/>
    <n v="2.1119620370370371"/>
    <n v="1.6955290380691281"/>
    <n v="2.1160609188561086"/>
    <m/>
    <n v="1150"/>
    <n v="9489.7575426443145"/>
    <e v="#DIV/0!"/>
    <e v="#DIV/0!"/>
    <n v="0"/>
    <e v="#DIV/0!"/>
    <n v="0"/>
    <e v="#DIV/0!"/>
    <e v="#DIV/0!"/>
  </r>
  <r>
    <x v="1"/>
    <x v="0"/>
    <x v="0"/>
    <x v="1"/>
    <x v="0"/>
    <x v="0"/>
    <m/>
    <n v="6.0708237632462643E-2"/>
    <n v="5.4781456020521681E-2"/>
    <n v="0.61998406863458533"/>
    <n v="0.76988332271575921"/>
    <n v="0.84733685811360682"/>
    <n v="7.280404097911467E-3"/>
    <x v="1"/>
    <n v="4844.9033333333336"/>
    <n v="679.7208333333333"/>
    <n v="3.5821078431372548"/>
    <n v="7.666666666666667"/>
    <n v="1.9997642191089005E-2"/>
    <n v="4.2487716576157242E-2"/>
    <n v="4600"/>
    <n v="2150"/>
    <n v="4600"/>
    <n v="387955.26475958608"/>
    <n v="173279.19935533989"/>
    <n v="1053.0551001785748"/>
    <n v="600"/>
    <n v="84.338101034692627"/>
    <n v="4217.4022431641406"/>
    <n v="16483.333333333336"/>
    <n v="387955.26475958608"/>
    <n v="0.13270542943933947"/>
    <n v="4.9486423404357973"/>
    <n v="5.081347769875137"/>
    <n v="6.2061860118433149E-2"/>
    <n v="0.97818914090896769"/>
    <n v="0.82560986768913858"/>
    <n v="6.6352714719669734E-2"/>
    <n v="0.90237269531982389"/>
    <n v="2.183507645761805"/>
    <n v="0.60955943857052097"/>
    <n v="2.2389026853939615"/>
    <n v="3.0097310970625788"/>
    <n v="0.7432343312927685"/>
    <n v="1.6883062326845091"/>
    <n v="2.4224516666666669"/>
    <n v="0.82560986768913858"/>
    <n v="2.265736111111111"/>
    <n v="0.882715330435902"/>
    <n v="0.16843762333553433"/>
    <n v="30.167534243539482"/>
    <n v="2"/>
    <n v="2422.4516666666668"/>
    <n v="0.21122583333333342"/>
    <n v="339.86041666666665"/>
    <n v="0.1328680555555555"/>
    <n v="2592.381875"/>
    <n v="0.205759011627907"/>
    <n v="0.13969426868153784"/>
    <n v="0.17064687855835278"/>
    <n v="2.0217046112345667"/>
    <n v="0.99905967227384429"/>
    <n v="179.12650946087282"/>
    <n v="179.12650946087285"/>
    <x v="1"/>
    <x v="0"/>
    <n v="0.1"/>
    <x v="0"/>
    <x v="0"/>
    <n v="173280"/>
    <n v="2000"/>
    <m/>
    <m/>
    <n v="4.2487716576157242E-2"/>
    <m/>
    <n v="4600"/>
    <n v="387955.26475958608"/>
    <n v="173279.19935533989"/>
    <n v="1053.0551001785748"/>
    <n v="600"/>
    <n v="84.338101034692627"/>
    <m/>
    <n v="2.2389026853939615"/>
    <n v="4.9486423404357973"/>
    <n v="0.13270542943933947"/>
    <n v="5.081347769875137"/>
    <n v="2.4224516666666669"/>
    <n v="2.265736111111111"/>
    <n v="1.601346072021725"/>
    <n v="2.2715665323854179"/>
    <m/>
    <n v="2150"/>
    <n v="26845.143981278488"/>
    <e v="#DIV/0!"/>
    <e v="#DIV/0!"/>
    <n v="0"/>
    <e v="#DIV/0!"/>
    <n v="0"/>
    <e v="#DIV/0!"/>
    <e v="#DIV/0!"/>
  </r>
  <r>
    <x v="2"/>
    <x v="0"/>
    <x v="0"/>
    <x v="2"/>
    <x v="0"/>
    <x v="0"/>
    <m/>
    <n v="8.9187976034611885E-2"/>
    <n v="8.1037995716015873E-2"/>
    <n v="0.68898616983040506"/>
    <n v="0.89063829183578491"/>
    <n v="0.99142997741699224"/>
    <n v="8.2483981479025952E-3"/>
    <x v="2"/>
    <n v="7408.6961111111113"/>
    <n v="691.59111111111122"/>
    <n v="4.8786764705882355"/>
    <n v="11"/>
    <n v="3.9849347419340118E-2"/>
    <n v="8.9604344453064352E-2"/>
    <n v="6600"/>
    <n v="3150"/>
    <n v="6600"/>
    <n v="386700.00000000017"/>
    <n v="151317.27971916244"/>
    <n v="1333.5922687967097"/>
    <n v="600"/>
    <n v="58.590909090909115"/>
    <n v="1470.3103785953879"/>
    <n v="34650"/>
    <n v="386700.00000000017"/>
    <n v="0.20012862790449523"/>
    <n v="5.7045188399947877"/>
    <n v="5.9046474678992826"/>
    <n v="8.928639386391847E-2"/>
    <n v="0.99889772870145721"/>
    <n v="0.80985910476224898"/>
    <n v="0.10006431395224762"/>
    <n v="0.90862018984001625"/>
    <n v="2.4722086144676645"/>
    <n v="0.50673756076503751"/>
    <n v="2.5555574400867944"/>
    <n v="3.2843785491330277"/>
    <n v="0.77736112149079895"/>
    <n v="1.7977974766209344"/>
    <n v="2.4695653703703706"/>
    <n v="0.80985910476224887"/>
    <n v="2.3053037037037041"/>
    <n v="0.86756464963240953"/>
    <n v="0.11496536195917423"/>
    <n v="51.360230310031156"/>
    <n v="2"/>
    <n v="3704.3480555555557"/>
    <n v="0.23478268518518522"/>
    <n v="345.79555555555561"/>
    <n v="0.15265185185185204"/>
    <n v="3877.2458333333334"/>
    <n v="0.23087169312169314"/>
    <n v="9.3401580848449892E-2"/>
    <n v="0.187567635531665"/>
    <n v="2.9579903964095347"/>
    <n v="0.99906095542971129"/>
    <n v="122.42801417170671"/>
    <n v="122.42801417170669"/>
    <x v="2"/>
    <x v="0"/>
    <n v="0.1"/>
    <x v="1"/>
    <x v="1"/>
    <n v="151320"/>
    <n v="3000"/>
    <m/>
    <m/>
    <n v="8.9604344453064352E-2"/>
    <m/>
    <n v="6600"/>
    <n v="386700.00000000017"/>
    <n v="151317.27971916244"/>
    <n v="1333.5922687967097"/>
    <n v="600"/>
    <n v="58.590909090909115"/>
    <m/>
    <n v="2.5555574400867944"/>
    <n v="5.7045188399947877"/>
    <n v="0.20012862790449523"/>
    <n v="5.9046474678992826"/>
    <n v="2.4695653703703706"/>
    <n v="2.3053037037037041"/>
    <n v="1.9108473551194014"/>
    <n v="2.3126928102259274"/>
    <m/>
    <n v="3150"/>
    <n v="71697.396607922376"/>
    <e v="#DIV/0!"/>
    <e v="#DIV/0!"/>
    <n v="0"/>
    <e v="#DIV/0!"/>
    <n v="0"/>
    <e v="#DIV/0!"/>
    <e v="#DIV/0!"/>
  </r>
  <r>
    <x v="3"/>
    <x v="0"/>
    <x v="0"/>
    <x v="3"/>
    <x v="0"/>
    <x v="0"/>
    <m/>
    <n v="0.12017994891764257"/>
    <n v="0.10961615169575983"/>
    <n v="0.74510267118587248"/>
    <n v="1.019898557662964"/>
    <n v="1.2181447839736934"/>
    <n v="9.0297684207135426E-3"/>
    <x v="3"/>
    <n v="9242.0788888888874"/>
    <n v="646.99833333333333"/>
    <n v="5.132352941176471"/>
    <n v="10.666666666666666"/>
    <n v="5.5108173991085967E-2"/>
    <n v="0.11567106283941038"/>
    <n v="8600"/>
    <n v="4150"/>
    <n v="8600"/>
    <n v="382694.38855354354"/>
    <n v="135777.20445536208"/>
    <n v="1181.2779873953593"/>
    <n v="600"/>
    <n v="44.499347506225995"/>
    <n v="807.49087265028948"/>
    <n v="44266.666666666664"/>
    <n v="382694.38855354354"/>
    <n v="0.25327028036715593"/>
    <n v="5.8422451185876279"/>
    <n v="6.0955153989547837"/>
    <n v="0.11864592011647337"/>
    <n v="1.0129294694639583"/>
    <n v="0.86560611483395222"/>
    <n v="0.12663514018357797"/>
    <n v="0.91210016881333555"/>
    <n v="2.70840230152502"/>
    <n v="0.52771162321977461"/>
    <n v="2.8185466779098225"/>
    <n v="3.5745366410480148"/>
    <n v="0.78878824450804541"/>
    <n v="1.7052602927487814"/>
    <n v="2.3105197222222218"/>
    <n v="0.86560611483395222"/>
    <n v="2.1566611111111111"/>
    <n v="0.92735942132772109"/>
    <n v="8.7262865101541895E-2"/>
    <n v="69.852340876750318"/>
    <n v="2"/>
    <n v="4621.0394444444437"/>
    <n v="0.15525986111111093"/>
    <n v="323.49916666666667"/>
    <n v="7.8330555555555556E-2"/>
    <n v="4782.7890277777769"/>
    <n v="0.15247928380187395"/>
    <n v="7.5717512954917021E-2"/>
    <n v="0.13230544439711359"/>
    <n v="3.8884549471918324"/>
    <n v="0.99906302290429105"/>
    <n v="93.132335359299987"/>
    <n v="93.132335359299972"/>
    <x v="3"/>
    <x v="0"/>
    <n v="0.1"/>
    <x v="2"/>
    <x v="2"/>
    <n v="135780"/>
    <n v="4000"/>
    <m/>
    <m/>
    <n v="0.11567106283941038"/>
    <m/>
    <n v="8600"/>
    <n v="382694.38855354354"/>
    <n v="135777.20445536208"/>
    <n v="1181.2779873953593"/>
    <n v="600"/>
    <n v="44.499347506225995"/>
    <m/>
    <n v="2.8185466779098225"/>
    <n v="5.8422451185876279"/>
    <n v="0.25327028036715593"/>
    <n v="6.0955153989547837"/>
    <n v="2.3105197222222218"/>
    <n v="2.1566611111111111"/>
    <n v="1.8202721793268319"/>
    <n v="2.1618733603368101"/>
    <m/>
    <n v="4150"/>
    <n v="110165.74225059929"/>
    <e v="#DIV/0!"/>
    <e v="#DIV/0!"/>
    <n v="0"/>
    <e v="#DIV/0!"/>
    <n v="0"/>
    <e v="#DIV/0!"/>
    <e v="#DIV/0!"/>
  </r>
  <r>
    <x v="4"/>
    <x v="0"/>
    <x v="0"/>
    <x v="4"/>
    <x v="0"/>
    <x v="0"/>
    <m/>
    <n v="0.15427486259356141"/>
    <n v="0.14188560392014285"/>
    <n v="0.84892997103396572"/>
    <n v="1.3430427153905231"/>
    <n v="1.5120748329162597"/>
    <n v="1.0746412006416907E-2"/>
    <x v="4"/>
    <n v="12072.108611111114"/>
    <n v="673.46"/>
    <n v="5.875"/>
    <n v="12.666666666666666"/>
    <n v="7.817315444408951E-2"/>
    <n v="0.16894233255753818"/>
    <n v="10600"/>
    <n v="5150"/>
    <n v="10600"/>
    <n v="386127.81264350208"/>
    <n v="114720.64785280616"/>
    <n v="1178.687980611867"/>
    <n v="600"/>
    <n v="36.427152136179444"/>
    <n v="465.9803278404562"/>
    <n v="65233.333333333328"/>
    <n v="386127.81264350208"/>
    <n v="0.34257168417541145"/>
    <n v="7.2372786298415308"/>
    <n v="7.5798503140169426"/>
    <n v="0.15263201592655976"/>
    <n v="1.0107634473477185"/>
    <n v="0.8283557017368155"/>
    <n v="0.17128584208770573"/>
    <n v="0.91969360098502773"/>
    <n v="3.2213299566536535"/>
    <n v="0.54831148198360058"/>
    <n v="3.3658092058452151"/>
    <n v="4.0522793036618872"/>
    <n v="0.83036191611967769"/>
    <n v="1.8705152695588694"/>
    <n v="2.4144217222222228"/>
    <n v="0.8283557017368155"/>
    <n v="2.2448666666666668"/>
    <n v="0.8909215098149853"/>
    <n v="7.0318619450757056E-2"/>
    <n v="107.79293412216353"/>
    <n v="2"/>
    <n v="6036.0543055555572"/>
    <n v="0.20721086111111145"/>
    <n v="336.73"/>
    <n v="0.12243333333333339"/>
    <n v="6204.419305555557"/>
    <n v="0.20474161272923436"/>
    <n v="5.8368216643116123E-2"/>
    <n v="0.16994649356006766"/>
    <n v="4.8186716149597988"/>
    <n v="0.99906433560874575"/>
    <n v="75.153677010717004"/>
    <n v="75.153677010717004"/>
    <x v="4"/>
    <x v="1"/>
    <n v="0.1"/>
    <x v="3"/>
    <x v="2"/>
    <n v="114725"/>
    <n v="5000"/>
    <m/>
    <m/>
    <n v="0.16894233255753818"/>
    <m/>
    <n v="10600"/>
    <n v="386127.81264350208"/>
    <n v="114720.64785280616"/>
    <n v="1178.687980611867"/>
    <n v="600"/>
    <n v="36.427152136179444"/>
    <m/>
    <n v="3.3658092058452151"/>
    <n v="7.2372786298415308"/>
    <n v="0.34257168417541145"/>
    <n v="7.5798503140169426"/>
    <n v="2.4144217222222228"/>
    <n v="2.2448666666666668"/>
    <n v="1.7459872865252395"/>
    <n v="2.2526506011979448"/>
    <m/>
    <n v="5150"/>
    <n v="166640.6167975495"/>
    <e v="#DIV/0!"/>
    <e v="#DIV/0!"/>
    <n v="0"/>
    <e v="#DIV/0!"/>
    <n v="0"/>
    <e v="#DIV/0!"/>
    <e v="#DIV/0!"/>
  </r>
  <r>
    <x v="5"/>
    <x v="0"/>
    <x v="0"/>
    <x v="5"/>
    <x v="0"/>
    <x v="0"/>
    <m/>
    <n v="0.18643617367521356"/>
    <n v="0.1726471811842305"/>
    <n v="1.2661953933336647"/>
    <n v="2.3803513328234325"/>
    <n v="2.7856695540746053"/>
    <n v="1.3768167139153839E-2"/>
    <x v="5"/>
    <n v="16270.848174603176"/>
    <n v="751.3536507936509"/>
    <n v="8.5368464052287578"/>
    <n v="18"/>
    <n v="0.13567259668284176"/>
    <n v="0.28603568657874323"/>
    <n v="12600"/>
    <n v="6150"/>
    <n v="12600"/>
    <n v="387014.64605370216"/>
    <n v="89938.62258038533"/>
    <n v="1307.3635595846085"/>
    <n v="600"/>
    <n v="30.715448099500172"/>
    <n v="226.39389862422152"/>
    <n v="110700"/>
    <n v="387014.64605370216"/>
    <n v="0.46818601213697009"/>
    <n v="10.344762644740413"/>
    <n v="10.812948656877383"/>
    <n v="0.18641534832338436"/>
    <n v="1.0001117147918157"/>
    <n v="0.73751533240476963"/>
    <n v="0.23409300606848504"/>
    <n v="0.92603907160739862"/>
    <n v="4.1237846780174419"/>
    <n v="0.48305714806953221"/>
    <n v="4.3030973229303822"/>
    <n v="4.8679654741509211"/>
    <n v="0.88259719740573883"/>
    <n v="2.2212459628759786"/>
    <n v="2.7118080291005291"/>
    <n v="0.73751533240476963"/>
    <n v="2.5045121693121697"/>
    <n v="0.79855870716302924"/>
    <n v="5.888469758884534E-2"/>
    <n v="183.62917871086603"/>
    <n v="2"/>
    <n v="8135.4240873015879"/>
    <n v="0.35590401455026466"/>
    <n v="375.67682539682545"/>
    <n v="0.25225608465608484"/>
    <n v="8323.2625000000007"/>
    <n v="0.35337601626016274"/>
    <n v="4.3509488036860403E-2"/>
    <n v="0.26110704786734779"/>
    <n v="5.7553565570180725"/>
    <n v="0.99906416966552558"/>
    <n v="62.922407427530239"/>
    <n v="62.922407427530246"/>
    <x v="5"/>
    <x v="1"/>
    <n v="0.2"/>
    <x v="4"/>
    <x v="3"/>
    <n v="89940"/>
    <n v="6000"/>
    <m/>
    <m/>
    <n v="0.28603568657874323"/>
    <m/>
    <n v="12600"/>
    <n v="387014.64605370216"/>
    <n v="89938.62258038533"/>
    <n v="1307.3635595846085"/>
    <n v="600"/>
    <n v="30.715448099500172"/>
    <m/>
    <n v="4.3030973229303822"/>
    <n v="10.344762644740413"/>
    <n v="0.46818601213697009"/>
    <n v="10.812948656877383"/>
    <n v="2.7118080291005291"/>
    <n v="2.5045121693121697"/>
    <n v="1.9869522678371889"/>
    <n v="2.5167154047225573"/>
    <m/>
    <n v="6150"/>
    <n v="261766.84336166922"/>
    <e v="#DIV/0!"/>
    <e v="#DIV/0!"/>
    <n v="0"/>
    <e v="#DIV/0!"/>
    <n v="0"/>
    <e v="#DIV/0!"/>
    <e v="#DIV/0!"/>
  </r>
  <r>
    <x v="6"/>
    <x v="0"/>
    <x v="0"/>
    <x v="6"/>
    <x v="0"/>
    <x v="0"/>
    <m/>
    <n v="0.23248837006197517"/>
    <n v="0.21039942635422862"/>
    <n v="1.3972520149492091"/>
    <n v="3.0287375291188536"/>
    <n v="3.3220549392700192"/>
    <n v="1.6170001649484025E-2"/>
    <x v="6"/>
    <n v="18386.626031746029"/>
    <n v="703.13619047619034"/>
    <n v="9.9930555555555571"/>
    <n v="19"/>
    <n v="0.18465843461770537"/>
    <n v="0.35277993276441683"/>
    <n v="14600"/>
    <n v="7150"/>
    <n v="14600"/>
    <n v="385084.26183844014"/>
    <n v="76082.559733233633"/>
    <n v="1175.0153408677158"/>
    <n v="600"/>
    <n v="26.375634372495899"/>
    <n v="142.83471224642861"/>
    <n v="135850"/>
    <n v="385084.26183844014"/>
    <n v="0.55264793852415595"/>
    <n v="11.369713359811911"/>
    <n v="11.922361298336067"/>
    <n v="0.22656942800371266"/>
    <n v="1.0261241867908388"/>
    <n v="0.76142300255782891"/>
    <n v="0.27632396926207797"/>
    <n v="0.90498903793829244"/>
    <n v="4.7416356424487365"/>
    <n v="0.47449307332357049"/>
    <n v="5.0613999211994365"/>
    <n v="5.6124234974030367"/>
    <n v="0.8833891478708541"/>
    <n v="2.1242804118136749"/>
    <n v="2.6266608616780043"/>
    <n v="0.76142300255782891"/>
    <n v="2.3437873015873012"/>
    <n v="0.85331975245600333"/>
    <n v="5.0649075548447386E-2"/>
    <n v="235.39148877321492"/>
    <n v="2"/>
    <n v="9193.3130158730146"/>
    <n v="0.31333043083900208"/>
    <n v="351.56809523809517"/>
    <n v="0.17189365079365057"/>
    <n v="9369.0970634920614"/>
    <n v="0.31036322566322538"/>
    <n v="3.8652699157374432E-2"/>
    <n v="0.23685282033623803"/>
    <n v="6.6918841307687655"/>
    <n v="0.99906407214954285"/>
    <n v="54.116431649840294"/>
    <n v="54.116431649840301"/>
    <x v="6"/>
    <x v="2"/>
    <n v="0.2"/>
    <x v="5"/>
    <x v="4"/>
    <n v="76085"/>
    <n v="7000"/>
    <m/>
    <m/>
    <n v="0.35277993276441683"/>
    <m/>
    <n v="14600"/>
    <n v="385084.26183844014"/>
    <n v="76082.559733233633"/>
    <n v="1175.0153408677158"/>
    <n v="600"/>
    <n v="26.375634372495899"/>
    <m/>
    <n v="5.0613999211994365"/>
    <n v="11.369713359811911"/>
    <n v="0.55264793852415595"/>
    <n v="11.922361298336067"/>
    <n v="2.6266608616780043"/>
    <n v="2.3437873015873012"/>
    <n v="2.015560356885945"/>
    <n v="2.404693805593626"/>
    <m/>
    <n v="7150"/>
    <n v="318527.30321303575"/>
    <e v="#DIV/0!"/>
    <e v="#DIV/0!"/>
    <n v="0"/>
    <e v="#DIV/0!"/>
    <n v="0"/>
    <e v="#DIV/0!"/>
    <e v="#DIV/0!"/>
  </r>
  <r>
    <x v="7"/>
    <x v="0"/>
    <x v="0"/>
    <x v="7"/>
    <x v="0"/>
    <x v="0"/>
    <m/>
    <n v="0.28995406362148374"/>
    <n v="0.24747104080859131"/>
    <n v="1.4878297557159534"/>
    <n v="2.3848671595255535"/>
    <n v="2.6166748650868734"/>
    <n v="2.0987859075821697E-2"/>
    <x v="7"/>
    <n v="21109.800952380956"/>
    <n v="715.05142857142857"/>
    <n v="13.111111111111109"/>
    <n v="27.666666666666668"/>
    <n v="0.27561761917076111"/>
    <n v="0.58376002068787169"/>
    <n v="16600"/>
    <n v="8150"/>
    <n v="16600"/>
    <n v="386260.32160893065"/>
    <n v="59026.654817154013"/>
    <n v="1318.2224335849028"/>
    <n v="600"/>
    <n v="23.268694072827149"/>
    <n v="84.423826542129888"/>
    <n v="225483.33333333334"/>
    <n v="386260.32160893065"/>
    <n v="0.65300805161848841"/>
    <n v="15.007398614822128"/>
    <n v="15.660406666440617"/>
    <n v="0.26845889988441302"/>
    <n v="1.0800687321088094"/>
    <n v="0.75794177482262681"/>
    <n v="0.3265040258092442"/>
    <n v="0.85348360949908508"/>
    <n v="6.2726139866890414"/>
    <n v="0.47841971084916424"/>
    <n v="6.5438287635551005"/>
    <n v="7.0542994975691364"/>
    <n v="0.9273181828314615"/>
    <n v="2.2199804065360547"/>
    <n v="2.6387251190476193"/>
    <n v="0.75794177482262692"/>
    <n v="2.3835047619047618"/>
    <n v="0.83910048428085093"/>
    <n v="4.4434465051705375E-2"/>
    <n v="352.43828519635969"/>
    <n v="2"/>
    <n v="10554.900476190478"/>
    <n v="0.31936255952380976"/>
    <n v="357.52571428571429"/>
    <n v="0.19175238095238095"/>
    <n v="10733.663333333336"/>
    <n v="0.31701390593047063"/>
    <n v="3.3738797177173631E-2"/>
    <n v="0.2407065745494161"/>
    <n v="7.6128109286507577"/>
    <n v="0.99906591276949064"/>
    <n v="47.569930944755804"/>
    <n v="47.569930944755804"/>
    <x v="7"/>
    <x v="3"/>
    <n v="0.30000000000000004"/>
    <x v="6"/>
    <x v="5"/>
    <n v="59030"/>
    <n v="8000"/>
    <m/>
    <m/>
    <n v="0.58376002068787169"/>
    <m/>
    <n v="16600"/>
    <n v="386260.32160893065"/>
    <n v="59026.654817154013"/>
    <n v="1318.2224335849028"/>
    <n v="600"/>
    <n v="23.268694072827149"/>
    <m/>
    <n v="6.5438287635551005"/>
    <n v="15.007398614822128"/>
    <n v="0.65300805161848841"/>
    <n v="15.660406666440617"/>
    <n v="2.6387251190476193"/>
    <n v="2.3835047619047618"/>
    <n v="2.0042727793323016"/>
    <n v="2.3939791623168594"/>
    <m/>
    <n v="8150"/>
    <n v="461715.33306044358"/>
    <e v="#DIV/0!"/>
    <e v="#DIV/0!"/>
    <n v="0"/>
    <e v="#DIV/0!"/>
    <n v="0"/>
    <e v="#DIV/0!"/>
    <e v="#DIV/0!"/>
  </r>
  <r>
    <x v="8"/>
    <x v="0"/>
    <x v="0"/>
    <x v="8"/>
    <x v="0"/>
    <x v="0"/>
    <m/>
    <n v="0.31103301268871292"/>
    <n v="0.27097875811431282"/>
    <n v="1.4434405831504122"/>
    <n v="2.1836857676506036"/>
    <n v="2.3837302366892499"/>
    <n v="2.4980285222803156E-2"/>
    <x v="8"/>
    <n v="21954.551111111112"/>
    <n v="664.26222222222225"/>
    <n v="14.166666666666666"/>
    <n v="25"/>
    <n v="0.33464087147659677"/>
    <n v="0.59260408585466773"/>
    <n v="18600"/>
    <n v="9150"/>
    <n v="18600"/>
    <n v="386008.13841857214"/>
    <n v="49710.874535581679"/>
    <n v="1000.7892134545705"/>
    <n v="600"/>
    <n v="20.75312572142861"/>
    <n v="62.016111868989043"/>
    <n v="228750"/>
    <n v="386008.13841857214"/>
    <n v="0.66102411056067734"/>
    <n v="16.593459773844163"/>
    <n v="17.254483884404841"/>
    <n v="0.29595904333711598"/>
    <n v="1.0509326195328546"/>
    <n v="0.81987556515743432"/>
    <n v="0.33051205528033867"/>
    <n v="0.87122185446440992"/>
    <n v="7.5189443376585707"/>
    <n v="0.53074901207001679"/>
    <n v="7.7650643249552598"/>
    <n v="8.313961131998381"/>
    <n v="0.93878200068616835"/>
    <n v="2.0753625871543466"/>
    <n v="2.4393945679012345"/>
    <n v="0.81987556515743432"/>
    <n v="2.2142074074074074"/>
    <n v="0.90325774961695182"/>
    <n v="3.9578239362994407E-2"/>
    <n v="435.95885421163422"/>
    <n v="2"/>
    <n v="10977.275555555556"/>
    <n v="0.21969728395061733"/>
    <n v="332.13111111111112"/>
    <n v="0.10710370370370374"/>
    <n v="11143.341111111111"/>
    <n v="0.21785148755312686"/>
    <n v="3.2498411971819241E-2"/>
    <n v="0.17888181751194301"/>
    <n v="8.554386570654172"/>
    <n v="0.99906509436386282"/>
    <n v="42.333940275007372"/>
    <n v="42.333940275007372"/>
    <x v="8"/>
    <x v="3"/>
    <n v="0.4"/>
    <x v="7"/>
    <x v="6"/>
    <n v="49715"/>
    <n v="9000"/>
    <m/>
    <m/>
    <n v="0.59260408585466773"/>
    <m/>
    <n v="18600"/>
    <n v="386008.13841857214"/>
    <n v="49710.874535581679"/>
    <n v="1000.7892134545705"/>
    <n v="600"/>
    <n v="20.75312572142861"/>
    <m/>
    <n v="7.7650643249552598"/>
    <n v="16.593459773844163"/>
    <n v="0.66102411056067734"/>
    <n v="17.254483884404841"/>
    <n v="2.4393945679012345"/>
    <n v="2.2142074074074074"/>
    <n v="1.8150764886214243"/>
    <n v="2.2106970368386234"/>
    <m/>
    <n v="9150"/>
    <n v="441245.40206750855"/>
    <e v="#DIV/0!"/>
    <e v="#DIV/0!"/>
    <n v="0"/>
    <e v="#DIV/0!"/>
    <n v="0"/>
    <e v="#DIV/0!"/>
    <e v="#DIV/0!"/>
  </r>
  <r>
    <x v="9"/>
    <x v="0"/>
    <x v="0"/>
    <x v="9"/>
    <x v="0"/>
    <x v="0"/>
    <m/>
    <n v="1.3162716745102527"/>
    <n v="0.34317679329223766"/>
    <n v="2.6800668145139266"/>
    <n v="5.513361426194507"/>
    <n v="6.1796992651621503"/>
    <n v="4.3304766797038811E-2"/>
    <x v="9"/>
    <n v="25051.397142857142"/>
    <n v="670.7022222222223"/>
    <n v="24.093055555555555"/>
    <n v="36.666666666666664"/>
    <n v="0.63176008533747097"/>
    <n v="0.96374450478407037"/>
    <n v="20600"/>
    <n v="10150"/>
    <n v="20600"/>
    <n v="386167.35537190078"/>
    <n v="28959.785633386007"/>
    <n v="846.71202222416628"/>
    <n v="600"/>
    <n v="18.745988124849553"/>
    <n v="29.67263769890733"/>
    <n v="372166.66666666663"/>
    <n v="386167.35537190078"/>
    <n v="0.85970581389760392"/>
    <n v="29.04460332358904"/>
    <n v="29.904309137486646"/>
    <n v="0.38648156008927648"/>
    <n v="3.4057813112899789"/>
    <n v="0.79835866582405612"/>
    <n v="0.42985290694880196"/>
    <n v="0.2607188165922692"/>
    <n v="12.791906992986874"/>
    <n v="0.53093751282357471"/>
    <n v="13.33460683240388"/>
    <n v="13.789788704935699"/>
    <n v="1.0199484706872941"/>
    <n v="2.1685835640674589"/>
    <n v="2.5051397142857144"/>
    <n v="0.79835866582405612"/>
    <n v="2.2356740740740744"/>
    <n v="0.89458478013094056"/>
    <n v="3.5678905435605798E-2"/>
    <n v="838.15096826495164"/>
    <n v="2"/>
    <n v="12525.698571428571"/>
    <n v="0.25256985714285712"/>
    <n v="335.35111111111115"/>
    <n v="0.11783703703703717"/>
    <n v="12693.374126984127"/>
    <n v="0.25057873172257406"/>
    <n v="2.8529915414810314E-2"/>
    <n v="0.20037021689743717"/>
    <n v="9.4959379125374337"/>
    <n v="0.99906443961452829"/>
    <n v="38.136400375287444"/>
    <n v="38.136400375287444"/>
    <x v="9"/>
    <x v="4"/>
    <n v="0.70000000000000007"/>
    <x v="8"/>
    <x v="7"/>
    <n v="28960"/>
    <n v="10000"/>
    <m/>
    <m/>
    <n v="0.96374450478407037"/>
    <m/>
    <n v="20600"/>
    <n v="386167.35537190078"/>
    <n v="28959.785633386007"/>
    <n v="846.71202222416628"/>
    <n v="600"/>
    <n v="18.745988124849553"/>
    <m/>
    <n v="13.33460683240388"/>
    <n v="29.04460332358904"/>
    <n v="0.85970581389760392"/>
    <n v="29.904309137486646"/>
    <n v="2.5051397142857144"/>
    <n v="2.2356740740740744"/>
    <n v="1.7129947787414084"/>
    <n v="2.1261697295414885"/>
    <m/>
    <n v="10150"/>
    <n v="458451.53471440496"/>
    <e v="#DIV/0!"/>
    <e v="#DIV/0!"/>
    <n v="0"/>
    <e v="#DIV/0!"/>
    <n v="0"/>
    <e v="#DIV/0!"/>
    <e v="#DIV/0!"/>
  </r>
  <r>
    <x v="10"/>
    <x v="0"/>
    <x v="0"/>
    <x v="10"/>
    <x v="0"/>
    <x v="0"/>
    <m/>
    <n v="1.7155508230327792"/>
    <n v="0.38150473381773814"/>
    <n v="3.1402686691967703"/>
    <n v="5.7949740290641758"/>
    <n v="6.3687061834335319"/>
    <n v="4.7299661496975204E-2"/>
    <x v="10"/>
    <n v="27245.546666666673"/>
    <n v="646.85777777777787"/>
    <n v="24.979166666666668"/>
    <n v="34"/>
    <n v="0.71907486423584166"/>
    <n v="0.98143263511766232"/>
    <n v="22600"/>
    <n v="11150"/>
    <n v="22600"/>
    <n v="386272.05417369306"/>
    <n v="26508.912650685721"/>
    <n v="718.82121190601515"/>
    <n v="600"/>
    <n v="17.091683812995267"/>
    <n v="23.76899077282939"/>
    <n v="379100"/>
    <n v="386272.05417369306"/>
    <n v="0.94493682079867558"/>
    <n v="30.596153925574502"/>
    <n v="31.541090746373179"/>
    <n v="0.42880439531471337"/>
    <n v="4.0007771416934315"/>
    <n v="0.80747141061829786"/>
    <n v="0.47246841039933779"/>
    <n v="0.22238031581210035"/>
    <n v="13.425699938431958"/>
    <n v="0.53747589411570806"/>
    <n v="14.5714031829103"/>
    <n v="14.99736985971086"/>
    <n v="1.0064398785360598"/>
    <n v="2.1031081477229949"/>
    <n v="2.4768678787878793"/>
    <n v="0.80747141061829786"/>
    <n v="2.1561925925925931"/>
    <n v="0.92756092701126103"/>
    <n v="3.2479003602816039E-2"/>
    <n v="971.12248676367824"/>
    <n v="2"/>
    <n v="13622.773333333336"/>
    <n v="0.23843393939393967"/>
    <n v="323.42888888888893"/>
    <n v="7.8096296296296455E-2"/>
    <n v="13784.48777777778"/>
    <n v="0.2362769307424018"/>
    <n v="2.6271624742938409E-2"/>
    <n v="0.19111974418265187"/>
    <n v="10.424943910628675"/>
    <n v="0.99906502745196157"/>
    <n v="34.737922167828714"/>
    <n v="34.737922167828714"/>
    <x v="10"/>
    <x v="5"/>
    <n v="0.8"/>
    <x v="9"/>
    <x v="7"/>
    <n v="26510"/>
    <n v="11000"/>
    <m/>
    <m/>
    <n v="0.98143263511766232"/>
    <m/>
    <n v="22600"/>
    <n v="386272.05417369306"/>
    <n v="26508.912650685721"/>
    <n v="718.82121190601515"/>
    <n v="600"/>
    <n v="17.091683812995267"/>
    <m/>
    <n v="14.5714031829103"/>
    <n v="30.596153925574502"/>
    <n v="0.94493682079867558"/>
    <n v="31.541090746373179"/>
    <n v="2.4768678787878793"/>
    <n v="2.1561925925925931"/>
    <n v="1.6549123884944892"/>
    <n v="2.0896510487860627"/>
    <m/>
    <n v="11150"/>
    <n v="468933.11393100768"/>
    <e v="#DIV/0!"/>
    <e v="#DIV/0!"/>
    <n v="0"/>
    <e v="#DIV/0!"/>
    <n v="0"/>
    <e v="#DIV/0!"/>
    <e v="#DIV/0!"/>
  </r>
  <r>
    <x v="11"/>
    <x v="0"/>
    <x v="0"/>
    <x v="11"/>
    <x v="0"/>
    <x v="0"/>
    <m/>
    <n v="3.5051964294542088"/>
    <n v="0.55509771442608835"/>
    <n v="5.0868831865476398"/>
    <n v="11.410244663556417"/>
    <n v="12.340481330553688"/>
    <n v="4.9184309247364444E-2"/>
    <x v="11"/>
    <n v="27444.966666666664"/>
    <n v="617.19999999999993"/>
    <n v="24.549019607843135"/>
    <n v="31.666666666666668"/>
    <n v="0.77042547042090703"/>
    <n v="0.99200930954228095"/>
    <n v="24600"/>
    <n v="12150"/>
    <n v="24600"/>
    <n v="387849.18276374438"/>
    <n v="25332.41611646918"/>
    <n v="643.83676727885597"/>
    <n v="600"/>
    <n v="15.766226941615626"/>
    <n v="20.46431166534779"/>
    <n v="384750"/>
    <n v="387849.18276374438"/>
    <n v="1.2695531890972371"/>
    <n v="30.35655566747333"/>
    <n v="31.626108856570568"/>
    <n v="0.60428202367345274"/>
    <n v="5.8005968937252019"/>
    <n v="0.87447728727429086"/>
    <n v="0.63477659454861857"/>
    <n v="0.15836422454433521"/>
    <n v="14.568067623177035"/>
    <n v="0.59342767474602942"/>
    <n v="15.310390488635422"/>
    <n v="15.629770061483624"/>
    <n v="1.153189053484577"/>
    <n v="2.0234532390535067"/>
    <n v="2.2870805555555553"/>
    <n v="0.87447728727429086"/>
    <n v="2.0573333333333332"/>
    <n v="0.97213220998055738"/>
    <n v="2.9805834582008136E-2"/>
    <n v="1061.071072160523"/>
    <n v="2"/>
    <n v="13722.483333333332"/>
    <n v="0.14354027777777764"/>
    <n v="308.59999999999997"/>
    <n v="2.8666666666666552E-2"/>
    <n v="13876.783333333331"/>
    <n v="0.14212208504801077"/>
    <n v="2.6096890141788304E-2"/>
    <n v="0.12443685916644932"/>
    <n v="11.365120486514574"/>
    <n v="0.99906459913691237"/>
    <n v="31.864236776117039"/>
    <n v="31.864236776117039"/>
    <x v="11"/>
    <x v="5"/>
    <n v="0.8"/>
    <x v="10"/>
    <x v="7"/>
    <n v="25335"/>
    <n v="12000"/>
    <m/>
    <m/>
    <n v="0.99200930954228095"/>
    <m/>
    <n v="24600"/>
    <n v="387849.18276374438"/>
    <n v="25332.41611646918"/>
    <n v="643.83676727885597"/>
    <n v="600"/>
    <n v="15.766226941615626"/>
    <m/>
    <n v="15.310390488635422"/>
    <n v="30.35655566747333"/>
    <n v="1.2695531890972371"/>
    <n v="31.626108856570568"/>
    <n v="2.2870805555555553"/>
    <n v="2.0573333333333332"/>
    <n v="1.3620123721908395"/>
    <n v="1.7546587291470235"/>
    <m/>
    <n v="12150"/>
    <n v="496162.88991692557"/>
    <e v="#DIV/0!"/>
    <e v="#DIV/0!"/>
    <n v="0"/>
    <e v="#DIV/0!"/>
    <n v="0"/>
    <e v="#DIV/0!"/>
    <e v="#DIV/0!"/>
  </r>
  <r>
    <x v="12"/>
    <x v="0"/>
    <x v="0"/>
    <x v="12"/>
    <x v="0"/>
    <x v="0"/>
    <m/>
    <n v="9.1159876795979198"/>
    <n v="0.65528987854474108"/>
    <n v="10.95463573470102"/>
    <n v="19.046502681573234"/>
    <n v="19.775371034940083"/>
    <n v="5.4880265473210399E-2"/>
    <x v="12"/>
    <n v="28724.251960784317"/>
    <n v="573.86274509803923"/>
    <n v="25.11655773420479"/>
    <n v="29"/>
    <n v="0.85300405137488144"/>
    <n v="0.98924230669769864"/>
    <n v="26600"/>
    <n v="13150"/>
    <n v="26600"/>
    <n v="385497.0591310712"/>
    <n v="22518.180863452442"/>
    <n v="528.42309981456344"/>
    <n v="600"/>
    <n v="14.492370644025232"/>
    <n v="16.989802827625809"/>
    <n v="381350"/>
    <n v="385497.0591310712"/>
    <n v="1.4479008906669921"/>
    <n v="31.493739796165663"/>
    <n v="32.941640686832656"/>
    <n v="0.71017014401795153"/>
    <n v="12.836343172668617"/>
    <n v="0.90515847150680917"/>
    <n v="0.72395044533349606"/>
    <n v="7.1883585364130725E-2"/>
    <n v="15.218896889054587"/>
    <n v="0.60593083853719532"/>
    <n v="17.119369520507863"/>
    <n v="17.36923811346993"/>
    <n v="1.3978738816615124"/>
    <n v="1.8965506990940639"/>
    <n v="2.2095578431372553"/>
    <n v="0.90515847150680917"/>
    <n v="1.9128758169934641"/>
    <n v="1.045546178289541"/>
    <n v="2.7539231191741356E-2"/>
    <n v="1196.1713984488938"/>
    <n v="2"/>
    <n v="14362.125980392158"/>
    <n v="0.10477892156862757"/>
    <n v="286.93137254901961"/>
    <n v="4.3562091503267952E-2"/>
    <n v="14505.591666666669"/>
    <n v="0.1030868187579216"/>
    <n v="2.496560626365801E-2"/>
    <n v="9.3453041959106753E-2"/>
    <n v="12.298964282992717"/>
    <n v="0.99906471754501958"/>
    <n v="29.44482818542496"/>
    <n v="29.44482818542496"/>
    <x v="12"/>
    <x v="6"/>
    <n v="0.9"/>
    <x v="11"/>
    <x v="8"/>
    <n v="22520"/>
    <n v="13000"/>
    <m/>
    <m/>
    <n v="0.98924230669769864"/>
    <m/>
    <n v="26600"/>
    <n v="385497.0591310712"/>
    <n v="22518.180863452442"/>
    <n v="528.42309981456344"/>
    <n v="600"/>
    <n v="14.492370644025232"/>
    <m/>
    <n v="17.119369520507863"/>
    <n v="31.493739796165663"/>
    <n v="1.4479008906669921"/>
    <n v="32.941640686832656"/>
    <n v="2.2095578431372553"/>
    <n v="1.9128758169934641"/>
    <n v="1.0344544185651545"/>
    <n v="1.3567394912907482"/>
    <m/>
    <n v="13150"/>
    <n v="479477.37007583887"/>
    <e v="#DIV/0!"/>
    <e v="#DIV/0!"/>
    <n v="0"/>
    <e v="#DIV/0!"/>
    <n v="0"/>
    <e v="#DIV/0!"/>
    <e v="#DIV/0!"/>
  </r>
  <r>
    <x v="13"/>
    <x v="0"/>
    <x v="0"/>
    <x v="13"/>
    <x v="0"/>
    <x v="0"/>
    <m/>
    <n v="11.644218997552805"/>
    <n v="0.60584197872183487"/>
    <n v="12.454836155189392"/>
    <n v="22.943973843256629"/>
    <n v="23.639374065399171"/>
    <n v="5.4148147401154513E-2"/>
    <x v="13"/>
    <n v="27878.763123495013"/>
    <n v="541.92778351106517"/>
    <n v="23.946588693957121"/>
    <n v="27"/>
    <n v="0.87529748645382954"/>
    <n v="0.99237134729764664"/>
    <n v="28600"/>
    <n v="14150"/>
    <n v="28600"/>
    <n v="384986.93159609125"/>
    <n v="22847.501048224382"/>
    <n v="498.63201782272466"/>
    <n v="600"/>
    <n v="13.461081524338855"/>
    <n v="15.378864594796143"/>
    <n v="382050"/>
    <n v="384986.93159609125"/>
    <n v="1.2064375010753956"/>
    <n v="29.34438550233811"/>
    <n v="30.550823003413505"/>
    <n v="0.65999012612298935"/>
    <n v="17.643020003882455"/>
    <n v="1.004348717910043"/>
    <n v="0.6032187505376978"/>
    <n v="5.2029421539491916E-2"/>
    <n v="16.275793537732394"/>
    <n v="0.67967065145439953"/>
    <n v="16.850286199068186"/>
    <n v="17.248792938256397"/>
    <n v="1.6155254740220031"/>
    <n v="1.7711861411272614"/>
    <n v="1.9913402231067867"/>
    <n v="1.004348717910043"/>
    <n v="1.8064259450368838"/>
    <n v="1.1071585887564097"/>
    <n v="2.5592995771830305E-2"/>
    <n v="1193.7181280293955"/>
    <n v="2"/>
    <n v="13939.381561747507"/>
    <n v="4.329888446606674E-3"/>
    <n v="270.96389175553259"/>
    <n v="9.6787027481558041E-2"/>
    <n v="14074.863507625272"/>
    <n v="5.3099994611115068E-3"/>
    <n v="2.5729620040379323E-2"/>
    <n v="5.3383460758977576E-3"/>
    <n v="13.237000683490562"/>
    <n v="0.99906452291989467"/>
    <n v="27.35822856178196"/>
    <n v="27.358228561781964"/>
    <x v="13"/>
    <x v="6"/>
    <n v="0.9"/>
    <x v="12"/>
    <x v="9"/>
    <n v="22850"/>
    <n v="14000"/>
    <m/>
    <m/>
    <n v="0.99237134729764664"/>
    <m/>
    <n v="28600"/>
    <n v="384986.93159609125"/>
    <n v="22847.501048224382"/>
    <n v="498.63201782272466"/>
    <n v="600"/>
    <n v="13.461081524338855"/>
    <m/>
    <n v="16.850286199068186"/>
    <n v="29.34438550233811"/>
    <n v="1.2064375010753956"/>
    <n v="30.550823003413505"/>
    <n v="1.9913402231067867"/>
    <n v="1.8064259450368838"/>
    <n v="0.8593520861448315"/>
    <n v="1.0963529635454936"/>
    <m/>
    <n v="14150"/>
    <n v="524151.27561885066"/>
    <e v="#DIV/0!"/>
    <e v="#DIV/0!"/>
    <n v="0"/>
    <e v="#DIV/0!"/>
    <n v="0"/>
    <e v="#DIV/0!"/>
    <e v="#DIV/0!"/>
  </r>
  <r>
    <x v="14"/>
    <x v="0"/>
    <x v="0"/>
    <x v="14"/>
    <x v="0"/>
    <x v="0"/>
    <m/>
    <n v="13.628086677628298"/>
    <n v="0.66836240618394516"/>
    <n v="13.578893035044539"/>
    <n v="27.903930230935416"/>
    <n v="28.690085995992025"/>
    <n v="5.603377519936481E-2"/>
    <x v="14"/>
    <n v="27945.355204678362"/>
    <n v="504.75730994152053"/>
    <n v="22.259398496240603"/>
    <n v="25.333333333333332"/>
    <n v="0.87014661362483015"/>
    <n v="0.98259632790276707"/>
    <n v="30600"/>
    <n v="15150"/>
    <n v="30600"/>
    <n v="390597.83667131612"/>
    <n v="22347.338110705376"/>
    <n v="452.10827296927346"/>
    <n v="600"/>
    <n v="12.764635185337129"/>
    <n v="14.669522337347958"/>
    <n v="383800"/>
    <n v="390597.83667131612"/>
    <n v="1.2451749897509243"/>
    <n v="28.283457635499271"/>
    <n v="29.528632625250196"/>
    <n v="0.72439618138330997"/>
    <n v="18.813029427631779"/>
    <n v="1.0735236600241054"/>
    <n v="0.62258749487546228"/>
    <n v="4.9043011098624779E-2"/>
    <n v="16.16865629677373"/>
    <n v="0.72637435820669005"/>
    <n v="17.478494965993388"/>
    <n v="17.883656219833547"/>
    <n v="1.6630105630312479"/>
    <n v="1.6511518820464686"/>
    <n v="1.8630236803118909"/>
    <n v="1.0735236600241054"/>
    <n v="1.6825243664717351"/>
    <n v="1.1886900658645518"/>
    <n v="2.3903689120224347E-2"/>
    <n v="1235.3169620277031"/>
    <n v="2"/>
    <n v="13972.677602339181"/>
    <n v="6.8488159844054583E-2"/>
    <n v="252.37865497076027"/>
    <n v="0.15873781676413246"/>
    <n v="14098.866929824562"/>
    <n v="6.9381720803659258E-2"/>
    <n v="2.5685815177482856E-2"/>
    <n v="7.4554435856961268E-2"/>
    <n v="14.156522211997066"/>
    <n v="0.99906557609161739"/>
    <n v="25.581204532317933"/>
    <n v="25.58120453231793"/>
    <x v="14"/>
    <x v="7"/>
    <n v="0.9"/>
    <x v="12"/>
    <x v="10"/>
    <n v="22350"/>
    <n v="15000"/>
    <m/>
    <m/>
    <n v="0.98259632790276707"/>
    <m/>
    <n v="30600"/>
    <n v="390597.83667131612"/>
    <n v="22347.338110705376"/>
    <n v="452.10827296927346"/>
    <n v="600"/>
    <n v="12.764635185337129"/>
    <m/>
    <n v="17.478494965993388"/>
    <n v="28.283457635499271"/>
    <n v="1.2451749897509243"/>
    <n v="29.528632625250196"/>
    <n v="1.8630236803118909"/>
    <n v="1.6825243664717351"/>
    <n v="0.74844881294348442"/>
    <n v="0.99286914873038212"/>
    <m/>
    <n v="15150"/>
    <n v="536595.07193378441"/>
    <e v="#DIV/0!"/>
    <e v="#DIV/0!"/>
    <n v="0"/>
    <e v="#DIV/0!"/>
    <n v="0"/>
    <e v="#DIV/0!"/>
    <e v="#DIV/0!"/>
  </r>
  <r>
    <x v="0"/>
    <x v="0"/>
    <x v="1"/>
    <x v="15"/>
    <x v="0"/>
    <x v="0"/>
    <m/>
    <n v="3.9064549781823124E-2"/>
    <n v="3.3712867396926166E-2"/>
    <n v="0.59742328956525192"/>
    <n v="0.71514630317687988"/>
    <n v="0.77206542491912844"/>
    <n v="7.0278514508279053E-3"/>
    <x v="15"/>
    <n v="3760.5245833333338"/>
    <n v="1050.7770833333334"/>
    <n v="5.6047794117647065"/>
    <n v="11.5"/>
    <n v="1.6512173139232419E-2"/>
    <n v="3.456167571761054E-2"/>
    <n v="3900"/>
    <n v="1150"/>
    <n v="3900"/>
    <n v="382649.27048260393"/>
    <n v="178635.41979966746"/>
    <n v="1636.3464823442248"/>
    <n v="900"/>
    <n v="98.115197559642027"/>
    <n v="5941.9918100618333"/>
    <n v="13225"/>
    <n v="382649.27048260393"/>
    <n v="0.12677806662079771"/>
    <n v="7.3847052496008816"/>
    <n v="7.5114833162216792"/>
    <n v="4.074071884775407E-2"/>
    <n v="0.95885764627289216"/>
    <n v="0.79776103932308196"/>
    <n v="4.22593555402659E-2"/>
    <n v="0.8630041197252678"/>
    <n v="2.1088637193778785"/>
    <n v="0.37626168033504948"/>
    <n v="2.1420683026452978"/>
    <n v="2.9061164745714536"/>
    <n v="0.73668775372280226"/>
    <n v="2.5847151626396356"/>
    <n v="3.7605245833333338"/>
    <n v="0.79776103932308196"/>
    <n v="3.5025902777777778"/>
    <n v="0.85650897252628511"/>
    <n v="0.31490512188817288"/>
    <n v="23.853163362929074"/>
    <n v="3"/>
    <n v="1253.5081944444446"/>
    <n v="0.25350819444444461"/>
    <n v="350.25902777777782"/>
    <n v="0.16753009259259272"/>
    <n v="1428.6377083333334"/>
    <n v="0.24229365942028994"/>
    <n v="0.25348686238575974"/>
    <n v="0.19503734691309216"/>
    <n v="1.0668989160847502"/>
    <n v="0.99907226181210029"/>
    <n v="339.433178449899"/>
    <n v="339.433178449899"/>
    <x v="0"/>
    <x v="0"/>
    <n v="0.1"/>
    <x v="0"/>
    <x v="2"/>
    <n v="178640"/>
    <n v="1000"/>
    <m/>
    <m/>
    <n v="3.456167571761054E-2"/>
    <m/>
    <n v="3900"/>
    <n v="382649.27048260393"/>
    <n v="178635.41979966746"/>
    <n v="1636.3464823442248"/>
    <n v="900"/>
    <n v="98.115197559642027"/>
    <m/>
    <n v="2.1420683026452978"/>
    <n v="7.3847052496008816"/>
    <n v="0.12677806662079771"/>
    <n v="7.5114833162216792"/>
    <n v="3.7605245833333338"/>
    <n v="3.5025902777777778"/>
    <n v="2.6179542800793936"/>
    <n v="3.5085626842280875"/>
    <m/>
    <n v="1150"/>
    <n v="19179.479851242773"/>
    <e v="#DIV/0!"/>
    <e v="#DIV/0!"/>
    <n v="0"/>
    <e v="#DIV/0!"/>
    <n v="0"/>
    <e v="#DIV/0!"/>
    <e v="#DIV/0!"/>
  </r>
  <r>
    <x v="1"/>
    <x v="0"/>
    <x v="1"/>
    <x v="16"/>
    <x v="0"/>
    <x v="0"/>
    <m/>
    <n v="6.399693952502053E-2"/>
    <n v="5.646885228648503E-2"/>
    <n v="0.62796097914896487"/>
    <n v="0.74450757503509513"/>
    <n v="0.79117261648178094"/>
    <n v="8.0706952791960666E-3"/>
    <x v="16"/>
    <n v="7301.748333333333"/>
    <n v="1015.0270833333335"/>
    <n v="6.3933823529411766"/>
    <n v="12.5"/>
    <n v="3.5640373294391452E-2"/>
    <n v="6.9472459270752518E-2"/>
    <n v="6900"/>
    <n v="2150"/>
    <n v="6900"/>
    <n v="386843.94193188165"/>
    <n v="156131.68054245788"/>
    <n v="1548.8132766233175"/>
    <n v="900"/>
    <n v="56.064339410417631"/>
    <n v="1573.0570201193768"/>
    <n v="26875"/>
    <n v="386843.94193188165"/>
    <n v="0.20616067403404412"/>
    <n v="8.1919742897144872"/>
    <n v="8.3981349637485305"/>
    <n v="6.4539547565681102E-2"/>
    <n v="0.99159262713906748"/>
    <n v="0.82172100791385816"/>
    <n v="6.8720224678014696E-2"/>
    <n v="0.88236801174543222"/>
    <n v="2.4174586517832739"/>
    <n v="0.37811889205580823"/>
    <n v="2.4776774360453051"/>
    <n v="3.2429295916726781"/>
    <n v="0.76270076981638857"/>
    <n v="2.5896753926799985"/>
    <n v="3.6508741666666666"/>
    <n v="0.82172100791385805"/>
    <n v="3.3834236111111116"/>
    <n v="0.88667584814034095"/>
    <n v="0.16843762333553433"/>
    <n v="49.859020790260843"/>
    <n v="3"/>
    <n v="2433.9161111111111"/>
    <n v="0.21695805555555558"/>
    <n v="338.34236111111119"/>
    <n v="0.12780787037037064"/>
    <n v="2603.0872916666667"/>
    <n v="0.21073827519379848"/>
    <n v="0.13911976418567684"/>
    <n v="0.17405766342033435"/>
    <n v="2.0187806388482743"/>
    <n v="0.99906103226100096"/>
    <n v="179.38595368043664"/>
    <n v="179.38595368043667"/>
    <x v="1"/>
    <x v="0"/>
    <n v="0.1"/>
    <x v="1"/>
    <x v="11"/>
    <n v="156135"/>
    <n v="2000"/>
    <m/>
    <m/>
    <n v="6.9472459270752518E-2"/>
    <m/>
    <n v="6900"/>
    <n v="386843.94193188165"/>
    <n v="156131.68054245788"/>
    <n v="1548.8132766233175"/>
    <n v="900"/>
    <n v="56.064339410417631"/>
    <m/>
    <n v="2.4776774360453051"/>
    <n v="8.1919742897144872"/>
    <n v="0.20616067403404412"/>
    <n v="8.3981349637485305"/>
    <n v="3.6508741666666666"/>
    <n v="3.3834236111111116"/>
    <n v="2.5848715916416598"/>
    <n v="3.3954015718424322"/>
    <m/>
    <n v="2150"/>
    <n v="59395.126737574225"/>
    <e v="#DIV/0!"/>
    <e v="#DIV/0!"/>
    <n v="0"/>
    <e v="#DIV/0!"/>
    <n v="0"/>
    <e v="#DIV/0!"/>
    <e v="#DIV/0!"/>
  </r>
  <r>
    <x v="2"/>
    <x v="0"/>
    <x v="1"/>
    <x v="17"/>
    <x v="0"/>
    <x v="0"/>
    <m/>
    <n v="0.10438289626954089"/>
    <n v="9.0780137003355202E-2"/>
    <n v="0.68071966071517154"/>
    <n v="0.82334846258163452"/>
    <n v="0.90257667303085309"/>
    <n v="9.3669171539898718E-3"/>
    <x v="17"/>
    <n v="9932.71875"/>
    <n v="931.29375000000005"/>
    <n v="7.0588235294117645"/>
    <n v="13.5"/>
    <n v="5.7532058595354346E-2"/>
    <n v="0.1096586501163693"/>
    <n v="9900"/>
    <n v="3150"/>
    <n v="9900"/>
    <n v="387794.30491687293"/>
    <n v="133682.74769262041"/>
    <n v="1441.2425964768597"/>
    <n v="900"/>
    <n v="39.171141910795242"/>
    <n v="680.85764471425102"/>
    <n v="42525"/>
    <n v="387794.30491687293"/>
    <n v="0.30056452298026498"/>
    <n v="8.7233514022785563"/>
    <n v="9.0239159252588212"/>
    <n v="0.10014705415734507"/>
    <n v="1.042296222767978"/>
    <n v="0.9060963293660157"/>
    <n v="0.100188174326755"/>
    <n v="0.86968402149850099"/>
    <n v="2.8062813807671425"/>
    <n v="0.39755652894201188"/>
    <n v="2.9008552832003169"/>
    <n v="3.7161714755629771"/>
    <n v="0.78072214346437407"/>
    <n v="2.4282829747224604"/>
    <n v="3.3109062499999999"/>
    <n v="0.9060963293660157"/>
    <n v="3.1043125000000003"/>
    <n v="0.96639755179286868"/>
    <n v="0.11496536195917423"/>
    <n v="78.49247609435038"/>
    <n v="3"/>
    <n v="3310.90625"/>
    <n v="0.10363541666666666"/>
    <n v="310.43125000000003"/>
    <n v="3.4770833333333445E-2"/>
    <n v="3466.1218749999998"/>
    <n v="0.10035615079365073"/>
    <n v="0.104480137522977"/>
    <n v="9.1203335139506445E-2"/>
    <n v="2.9515840460245828"/>
    <n v="0.9990629891917383"/>
    <n v="122.69374157214247"/>
    <n v="122.69374157214247"/>
    <x v="2"/>
    <x v="0"/>
    <n v="0.1"/>
    <x v="2"/>
    <x v="12"/>
    <n v="133685"/>
    <n v="3000"/>
    <m/>
    <m/>
    <n v="0.1096586501163693"/>
    <m/>
    <n v="9900"/>
    <n v="387794.30491687293"/>
    <n v="133682.74769262041"/>
    <n v="1441.2425964768597"/>
    <n v="900"/>
    <n v="39.171141910795242"/>
    <m/>
    <n v="2.9008552832003169"/>
    <n v="8.7233514022785563"/>
    <n v="0.30056452298026498"/>
    <n v="9.0239159252588212"/>
    <n v="3.3109062499999999"/>
    <n v="3.1043125000000003"/>
    <n v="2.432988643982763"/>
    <n v="3.1103037041414052"/>
    <m/>
    <n v="3150"/>
    <n v="115899.45958789998"/>
    <e v="#DIV/0!"/>
    <e v="#DIV/0!"/>
    <n v="0"/>
    <e v="#DIV/0!"/>
    <n v="0"/>
    <e v="#DIV/0!"/>
    <e v="#DIV/0!"/>
  </r>
  <r>
    <x v="3"/>
    <x v="0"/>
    <x v="1"/>
    <x v="18"/>
    <x v="0"/>
    <x v="0"/>
    <m/>
    <n v="0.15065540115753984"/>
    <n v="0.12824057422707746"/>
    <n v="0.74522870184963463"/>
    <n v="0.95220743417739839"/>
    <n v="1.0486458206176761"/>
    <n v="1.3314866237425725E-2"/>
    <x v="18"/>
    <n v="15935.375"/>
    <n v="1121.0374999999999"/>
    <n v="12.705882352941181"/>
    <n v="23"/>
    <n v="0.13641673892210099"/>
    <n v="0.2471295577967417"/>
    <n v="12900"/>
    <n v="4150"/>
    <n v="12900"/>
    <n v="386234.65703971114"/>
    <n v="93684.870426501177"/>
    <n v="1727.3924942145557"/>
    <n v="900"/>
    <n v="29.940671088349699"/>
    <n v="219.47945189810565"/>
    <n v="95450"/>
    <n v="386234.65703971114"/>
    <n v="0.5108904101309536"/>
    <n v="14.926464359638139"/>
    <n v="15.437354769769092"/>
    <n v="0.14155544046450319"/>
    <n v="1.0642854888740116"/>
    <n v="0.75304158201485694"/>
    <n v="0.17029680337698452"/>
    <n v="0.85121790019978594"/>
    <n v="3.9903886898437366"/>
    <n v="0.31405836910807178"/>
    <n v="4.1227004454547949"/>
    <n v="4.7475014532425748"/>
    <n v="0.86945296708536746"/>
    <n v="3.2516798408192749"/>
    <n v="3.9838437500000001"/>
    <n v="0.75304158201485683"/>
    <n v="3.7367916666666665"/>
    <n v="0.80282773769833748"/>
    <n v="8.7262865101541895E-2"/>
    <n v="176.90634786980334"/>
    <n v="3"/>
    <n v="5311.791666666667"/>
    <n v="0.32794791666666673"/>
    <n v="373.67916666666662"/>
    <n v="0.24559722222222205"/>
    <n v="5498.6312500000004"/>
    <n v="0.32497138554216876"/>
    <n v="6.5860188418963142E-2"/>
    <n v="0.2452667197859468"/>
    <n v="3.8881266090184816"/>
    <n v="0.99906310202192328"/>
    <n v="93.140200046833783"/>
    <n v="93.140200046833769"/>
    <x v="3"/>
    <x v="1"/>
    <n v="0.2"/>
    <x v="4"/>
    <x v="13"/>
    <n v="93685"/>
    <n v="4000"/>
    <m/>
    <m/>
    <n v="0.2471295577967417"/>
    <m/>
    <n v="12900"/>
    <n v="386234.65703971114"/>
    <n v="93684.870426501177"/>
    <n v="1727.3924942145557"/>
    <n v="900"/>
    <n v="29.940671088349699"/>
    <m/>
    <n v="4.1227004454547949"/>
    <n v="14.926464359638139"/>
    <n v="0.5108904101309536"/>
    <n v="15.437354769769092"/>
    <n v="3.9838437500000001"/>
    <n v="3.7367916666666665"/>
    <n v="3.0781772885473346"/>
    <n v="3.739914594483186"/>
    <m/>
    <n v="4150"/>
    <n v="239429.46468490586"/>
    <e v="#DIV/0!"/>
    <e v="#DIV/0!"/>
    <n v="0"/>
    <e v="#DIV/0!"/>
    <n v="0"/>
    <e v="#DIV/0!"/>
    <e v="#DIV/0!"/>
  </r>
  <r>
    <x v="4"/>
    <x v="0"/>
    <x v="1"/>
    <x v="19"/>
    <x v="0"/>
    <x v="0"/>
    <m/>
    <n v="0.21052470470275791"/>
    <n v="0.17191651717567114"/>
    <n v="0.8292316875977479"/>
    <n v="1.1724771201610564"/>
    <n v="1.278892924785614"/>
    <n v="1.555310791801642E-2"/>
    <x v="19"/>
    <n v="17538.867916666662"/>
    <n v="975.83333333333348"/>
    <n v="12.858455882352942"/>
    <n v="23"/>
    <n v="0.17103859581070602"/>
    <n v="0.30333591931730025"/>
    <n v="15900"/>
    <n v="5150"/>
    <n v="15900"/>
    <n v="390491.17647058819"/>
    <n v="80715.868796450362"/>
    <n v="1478.8041156299857"/>
    <n v="900"/>
    <n v="24.55919348871624"/>
    <n v="143.58860567293652"/>
    <n v="118450"/>
    <n v="390491.17647058819"/>
    <n v="0.60304421748749037"/>
    <n v="15.177241143331026"/>
    <n v="15.780285360818516"/>
    <n v="0.18746962509368756"/>
    <n v="1.1229803473365279"/>
    <n v="0.85524334131885149"/>
    <n v="0.20101473916249676"/>
    <n v="0.81660970582242076"/>
    <n v="4.6855719462706249"/>
    <n v="0.36439615993870189"/>
    <n v="4.8378488925805971"/>
    <n v="5.5211757167237767"/>
    <n v="0.88396816067130057"/>
    <n v="2.858138586862875"/>
    <n v="3.5077735833333326"/>
    <n v="0.85524334131885149"/>
    <n v="3.2527777777777782"/>
    <n v="0.92228864218616557"/>
    <n v="7.0318619450757056E-2"/>
    <n v="224.41119413428166"/>
    <n v="3"/>
    <n v="5846.2893055555542"/>
    <n v="0.16925786111111082"/>
    <n v="325.27777777777783"/>
    <n v="8.4259259259259423E-2"/>
    <n v="6008.9281944444429"/>
    <n v="0.1667821736785326"/>
    <n v="6.0267135577725214E-2"/>
    <n v="0.14294199675052957"/>
    <n v="4.8170690094727675"/>
    <n v="0.99906464679427709"/>
    <n v="75.178680118397452"/>
    <n v="75.178680118397452"/>
    <x v="4"/>
    <x v="2"/>
    <n v="0.2"/>
    <x v="13"/>
    <x v="13"/>
    <n v="80720"/>
    <n v="5000"/>
    <m/>
    <m/>
    <n v="0.30333591931730025"/>
    <m/>
    <n v="15900"/>
    <n v="390491.17647058819"/>
    <n v="80715.868796450362"/>
    <n v="1478.8041156299857"/>
    <n v="900"/>
    <n v="24.55919348871624"/>
    <m/>
    <n v="4.8378488925805971"/>
    <n v="15.177241143331026"/>
    <n v="0.60304421748749037"/>
    <n v="15.780285360818516"/>
    <n v="3.5077735833333326"/>
    <n v="3.2527777777777782"/>
    <n v="2.6346360336543917"/>
    <n v="3.2333049017199391"/>
    <m/>
    <n v="5150"/>
    <n v="310101.43712551217"/>
    <e v="#DIV/0!"/>
    <e v="#DIV/0!"/>
    <n v="0"/>
    <e v="#DIV/0!"/>
    <n v="0"/>
    <e v="#DIV/0!"/>
    <e v="#DIV/0!"/>
  </r>
  <r>
    <x v="5"/>
    <x v="0"/>
    <x v="1"/>
    <x v="20"/>
    <x v="0"/>
    <x v="0"/>
    <m/>
    <n v="0.30104209389524017"/>
    <n v="0.23537157400344649"/>
    <n v="0.93474197445164808"/>
    <n v="1.424548721313476"/>
    <n v="1.636612620353699"/>
    <n v="2.3725058598717791E-2"/>
    <x v="20"/>
    <n v="22517.829583333336"/>
    <n v="1025.07"/>
    <n v="20.96875"/>
    <n v="40.5"/>
    <n v="0.33335134965545565"/>
    <n v="0.64437548487199381"/>
    <n v="18900"/>
    <n v="6150"/>
    <n v="18900"/>
    <n v="386537.05152901518"/>
    <n v="52569.41094219785"/>
    <n v="1707.0558469427258"/>
    <n v="900"/>
    <n v="20.45169584809604"/>
    <n v="61.35177154445136"/>
    <n v="249075"/>
    <n v="386537.05152901518"/>
    <n v="0.88334283202842323"/>
    <n v="24.319845817787645"/>
    <n v="25.203188649816067"/>
    <n v="0.25909663260216431"/>
    <n v="1.1618911865886037"/>
    <n v="0.79936656121257676"/>
    <n v="0.29444761067614106"/>
    <n v="0.78185602205302751"/>
    <n v="7.082508549181088"/>
    <n v="0.33776493826198928"/>
    <n v="7.3528891536187837"/>
    <n v="7.9168841408279143"/>
    <n v="0.92963664158257475"/>
    <n v="3.183473220208124"/>
    <n v="3.7529715972222228"/>
    <n v="0.79936656121257676"/>
    <n v="3.4168999999999996"/>
    <n v="0.87798882027568859"/>
    <n v="5.888469758884534E-2"/>
    <n v="428.00913788831895"/>
    <n v="3"/>
    <n v="7505.943194444445"/>
    <n v="0.25099053240740749"/>
    <n v="341.69"/>
    <n v="0.13896666666666666"/>
    <n v="7676.7881944444453"/>
    <n v="0.2482582429990968"/>
    <n v="4.7173489876075225E-2"/>
    <n v="0.19888372008874161"/>
    <n v="5.7571459674069239"/>
    <n v="0.99906387870448665"/>
    <n v="62.902850165966996"/>
    <n v="62.902850165966996"/>
    <x v="5"/>
    <x v="3"/>
    <n v="0.4"/>
    <x v="7"/>
    <x v="14"/>
    <n v="52570"/>
    <n v="6000"/>
    <m/>
    <m/>
    <n v="0.64437548487199381"/>
    <m/>
    <n v="18900"/>
    <n v="386537.05152901518"/>
    <n v="52569.41094219785"/>
    <n v="1707.0558469427258"/>
    <n v="900"/>
    <n v="20.45169584809604"/>
    <m/>
    <n v="7.3528891536187837"/>
    <n v="24.319845817787645"/>
    <n v="0.88334283202842323"/>
    <n v="25.203188649816067"/>
    <n v="3.7529715972222228"/>
    <n v="3.4168999999999996"/>
    <n v="2.8490824625279938"/>
    <n v="3.4244274352059869"/>
    <m/>
    <n v="6150"/>
    <n v="513326.30490273581"/>
    <e v="#DIV/0!"/>
    <e v="#DIV/0!"/>
    <n v="0"/>
    <e v="#DIV/0!"/>
    <n v="0"/>
    <e v="#DIV/0!"/>
    <e v="#DIV/0!"/>
  </r>
  <r>
    <x v="6"/>
    <x v="0"/>
    <x v="1"/>
    <x v="21"/>
    <x v="0"/>
    <x v="0"/>
    <m/>
    <n v="1.1926698540285199"/>
    <n v="0.58864848545418547"/>
    <n v="1.2667415706111598"/>
    <n v="2.3581148624420165"/>
    <n v="2.8367034435272216"/>
    <n v="2.9957435989161077E-2"/>
    <x v="21"/>
    <n v="24607.229583333334"/>
    <n v="967.7658333333336"/>
    <n v="24.40625"/>
    <n v="43.5"/>
    <n v="0.45074998288687074"/>
    <n v="0.8044608223429015"/>
    <n v="21900"/>
    <n v="7150"/>
    <n v="21900"/>
    <n v="386625.41588311875"/>
    <n v="40374.925841190496"/>
    <n v="1452.0601835129939"/>
    <n v="900"/>
    <n v="17.654128579137844"/>
    <n v="39.166121462879076"/>
    <n v="311025"/>
    <n v="386625.41588311875"/>
    <n v="2.069286917921799"/>
    <n v="28.991783004580469"/>
    <n v="31.06106992250227"/>
    <n v="0.61860592144334658"/>
    <n v="1.9279961809058555"/>
    <n v="0.8534077324260616"/>
    <n v="0.68976230597393307"/>
    <n v="0.49355526465759847"/>
    <n v="9.07982006622243"/>
    <n v="0.37202847902575897"/>
    <n v="9.5758792822025089"/>
    <n v="9.8406385291743845"/>
    <n v="1.0408402314439165"/>
    <n v="3.15640797397608"/>
    <n v="3.5153185119047619"/>
    <n v="0.8534077324260616"/>
    <n v="3.2258861111111119"/>
    <n v="0.92997703473378091"/>
    <n v="5.0649075548447386E-2"/>
    <n v="613.26035245779383"/>
    <n v="3"/>
    <n v="8202.4098611111112"/>
    <n v="0.17177283730158732"/>
    <n v="322.58861111111122"/>
    <n v="7.5295370370370734E-2"/>
    <n v="8363.7041666666664"/>
    <n v="0.16974883449883446"/>
    <n v="4.3299103238814002E-2"/>
    <n v="0.14511562610067605"/>
    <n v="6.6882458406102598"/>
    <n v="0.99906458100131335"/>
    <n v="54.145870053478149"/>
    <n v="54.145870053478141"/>
    <x v="6"/>
    <x v="8"/>
    <n v="0.5"/>
    <x v="14"/>
    <x v="7"/>
    <n v="40375"/>
    <n v="7000"/>
    <m/>
    <m/>
    <n v="0.8044608223429015"/>
    <m/>
    <n v="21900"/>
    <n v="386625.41588311875"/>
    <n v="40374.925841190496"/>
    <n v="1452.0601835129939"/>
    <n v="900"/>
    <n v="17.654128579137844"/>
    <m/>
    <n v="9.5758792822025089"/>
    <n v="28.991783004580469"/>
    <n v="2.069286917921799"/>
    <n v="31.06106992250227"/>
    <n v="3.5153185119047619"/>
    <n v="3.2258861111111119"/>
    <n v="2.3828335460494303"/>
    <n v="3.0325576189511043"/>
    <m/>
    <n v="7150"/>
    <n v="588090.78372674529"/>
    <e v="#DIV/0!"/>
    <e v="#DIV/0!"/>
    <n v="0"/>
    <e v="#DIV/0!"/>
    <n v="0"/>
    <e v="#DIV/0!"/>
    <e v="#DIV/0!"/>
  </r>
  <r>
    <x v="7"/>
    <x v="0"/>
    <x v="1"/>
    <x v="22"/>
    <x v="0"/>
    <x v="0"/>
    <m/>
    <n v="3.011972712674122"/>
    <n v="0.67462474180888077"/>
    <n v="3.8999287827777476"/>
    <n v="7.658454018831252"/>
    <n v="8.2576072025299094"/>
    <n v="4.6026723483287776E-2"/>
    <x v="22"/>
    <n v="25997.733333333337"/>
    <n v="848.95725490196082"/>
    <n v="34.243055555555557"/>
    <n v="47.5"/>
    <n v="0.71910207094216017"/>
    <n v="0.99363847944142747"/>
    <n v="24900"/>
    <n v="8150"/>
    <n v="24900"/>
    <n v="389603.47048719547"/>
    <n v="26901.409026247053"/>
    <n v="1032.0091547956301"/>
    <n v="900"/>
    <n v="15.646725722377328"/>
    <n v="21.75869929268476"/>
    <n v="387125"/>
    <n v="389603.47048719547"/>
    <n v="2.192339267202017"/>
    <n v="39.074720820503607"/>
    <n v="41.267060087705623"/>
    <n v="0.7206514652921685"/>
    <n v="4.1795137562830043"/>
    <n v="0.92315740346594299"/>
    <n v="0.73077975573400566"/>
    <n v="0.22398102710895018"/>
    <n v="12.910298895707289"/>
    <n v="0.37701947697867561"/>
    <n v="14.482641786795213"/>
    <n v="14.731174448452276"/>
    <n v="1.077731102869816"/>
    <n v="2.8013421626434769"/>
    <n v="3.249716666666667"/>
    <n v="0.9231574034659431"/>
    <n v="2.8298575163398696"/>
    <n v="1.0601240460615813"/>
    <n v="4.4434465051705375E-2"/>
    <n v="928.71738277226791"/>
    <n v="3"/>
    <n v="8665.9111111111124"/>
    <n v="8.3238888888889057E-2"/>
    <n v="282.98575163398692"/>
    <n v="5.6714161220043594E-2"/>
    <n v="8807.403986928106"/>
    <n v="8.0663065880749202E-2"/>
    <n v="4.1117778940183293E-2"/>
    <n v="7.4642197394807833E-2"/>
    <n v="7.6049365300533367"/>
    <n v="0.99906687895336765"/>
    <n v="47.619186398240586"/>
    <n v="47.619186398240593"/>
    <x v="7"/>
    <x v="5"/>
    <n v="0.8"/>
    <x v="9"/>
    <x v="15"/>
    <n v="26905"/>
    <n v="8000"/>
    <m/>
    <m/>
    <n v="0.99363847944142747"/>
    <m/>
    <n v="24900"/>
    <n v="389603.47048719547"/>
    <n v="26901.409026247053"/>
    <n v="1032.0091547956301"/>
    <n v="900"/>
    <n v="15.646725722377328"/>
    <m/>
    <n v="14.482641786795213"/>
    <n v="39.074720820503607"/>
    <n v="2.192339267202017"/>
    <n v="41.267060087705623"/>
    <n v="3.249716666666667"/>
    <n v="2.8298575163398696"/>
    <n v="2.1568737320327176"/>
    <n v="2.5992960165889016"/>
    <m/>
    <n v="8150"/>
    <n v="537548.54279547359"/>
    <e v="#DIV/0!"/>
    <e v="#DIV/0!"/>
    <n v="0"/>
    <e v="#DIV/0!"/>
    <n v="0"/>
    <e v="#DIV/0!"/>
    <e v="#DIV/0!"/>
  </r>
  <r>
    <x v="8"/>
    <x v="0"/>
    <x v="1"/>
    <x v="23"/>
    <x v="0"/>
    <x v="0"/>
    <m/>
    <n v="4.9382491700382154"/>
    <n v="0.58397318882651494"/>
    <n v="5.6666361706880117"/>
    <n v="12.60594606399536"/>
    <n v="13.232698035240169"/>
    <n v="4.9659702641519837E-2"/>
    <x v="23"/>
    <n v="26440.126470588235"/>
    <n v="804.46732026143786"/>
    <n v="34.356725146198826"/>
    <n v="42"/>
    <n v="0.81162910184693704"/>
    <n v="0.99685802948021718"/>
    <n v="27900"/>
    <n v="9150"/>
    <n v="27900"/>
    <n v="385511.2650297677"/>
    <n v="24900.797958171577"/>
    <n v="845.7561718237987"/>
    <n v="900"/>
    <n v="13.817608065583071"/>
    <n v="17.024535017460348"/>
    <n v="384300"/>
    <n v="385511.2650297677"/>
    <n v="1.7155916631117512"/>
    <n v="39.949607909003312"/>
    <n v="41.665199572115064"/>
    <n v="0.63363289146803481"/>
    <n v="7.793549287817136"/>
    <n v="1.0211751456648501"/>
    <n v="0.57186388770391705"/>
    <n v="0.11825510797827882"/>
    <n v="14.555352234216659"/>
    <n v="0.42365365651932752"/>
    <n v="15.481883981282467"/>
    <n v="15.919085938120801"/>
    <n v="1.2214232511335166"/>
    <n v="2.6173110525360674"/>
    <n v="2.9377918300653594"/>
    <n v="1.0211751456648501"/>
    <n v="2.6815577342047927"/>
    <n v="1.1187527166517039"/>
    <n v="3.9578239362994407E-2"/>
    <n v="1052.7299910938425"/>
    <n v="3"/>
    <n v="8813.3754901960783"/>
    <n v="2.0736056644880187E-2"/>
    <n v="268.15577342047931"/>
    <n v="0.10614742193173564"/>
    <n v="8947.4533769063182"/>
    <n v="2.2136242961058119E-2"/>
    <n v="4.0474185772914652E-2"/>
    <n v="2.2637348814408195E-2"/>
    <n v="8.5550669972508135"/>
    <n v="0.99906502000030051"/>
    <n v="42.330573248318622"/>
    <n v="42.330573248318629"/>
    <x v="8"/>
    <x v="5"/>
    <n v="0.9"/>
    <x v="15"/>
    <x v="15"/>
    <n v="24905"/>
    <n v="9000"/>
    <m/>
    <m/>
    <n v="0.99685802948021718"/>
    <m/>
    <n v="27900"/>
    <n v="385511.2650297677"/>
    <n v="24900.797958171577"/>
    <n v="845.7561718237987"/>
    <n v="900"/>
    <n v="13.817608065583071"/>
    <m/>
    <n v="15.481883981282467"/>
    <n v="39.949607909003312"/>
    <n v="1.7155916631117512"/>
    <n v="41.665199572115064"/>
    <n v="2.9377918300653594"/>
    <n v="2.6815577342047927"/>
    <n v="1.7669629786715566"/>
    <n v="2.1428370960738845"/>
    <m/>
    <n v="9150"/>
    <n v="560058.50907460984"/>
    <e v="#DIV/0!"/>
    <e v="#DIV/0!"/>
    <n v="0"/>
    <e v="#DIV/0!"/>
    <n v="0"/>
    <e v="#DIV/0!"/>
    <e v="#DIV/0!"/>
  </r>
  <r>
    <x v="9"/>
    <x v="0"/>
    <x v="1"/>
    <x v="24"/>
    <x v="0"/>
    <x v="0"/>
    <m/>
    <n v="10.12125709525824"/>
    <n v="0.70765306539515027"/>
    <n v="10.896078383424459"/>
    <n v="21.766291022300713"/>
    <n v="22.779567379951473"/>
    <n v="5.5731671260744756E-2"/>
    <x v="24"/>
    <n v="26029.615789473686"/>
    <n v="698.1052631578948"/>
    <n v="33.15"/>
    <n v="38"/>
    <n v="0.86822536850271537"/>
    <n v="0.99837083010085337"/>
    <n v="30900"/>
    <n v="10150"/>
    <n v="30900"/>
    <n v="386329.39622348279"/>
    <n v="22168.243098628631"/>
    <n v="681.83851552224553"/>
    <n v="900"/>
    <n v="12.50256945707064"/>
    <n v="14.400142993554487"/>
    <n v="385700"/>
    <n v="386329.39622348279"/>
    <n v="1.8419937404479061"/>
    <n v="38.906573031711503"/>
    <n v="40.748566772159407"/>
    <n v="0.76338473665589501"/>
    <n v="13.258395942779401"/>
    <n v="1.1525333390488202"/>
    <n v="0.61399791348263533"/>
    <n v="6.9917507156960004E-2"/>
    <n v="15.566291978063557"/>
    <n v="0.4695714020531993"/>
    <n v="17.427154443618576"/>
    <n v="17.872034717272246"/>
    <n v="1.4341857436797303"/>
    <n v="2.2800183312523652"/>
    <n v="2.6029615789473688"/>
    <n v="1.1525333390488202"/>
    <n v="2.3270175438596494"/>
    <n v="1.2892038600723761"/>
    <n v="3.5678905435605798E-2"/>
    <n v="1142.091279837703"/>
    <n v="3"/>
    <n v="8676.5385964912293"/>
    <n v="0.13234614035087708"/>
    <n v="232.70175438596493"/>
    <n v="0.2243274853801169"/>
    <n v="8792.8894736842121"/>
    <n v="0.13370547057298401"/>
    <n v="4.1185652481500162E-2"/>
    <n v="0.1543418156656482"/>
    <n v="9.4847634334529154"/>
    <n v="0.99906554054842833"/>
    <n v="38.181330795676146"/>
    <n v="38.181330795676146"/>
    <x v="9"/>
    <x v="7"/>
    <n v="0.9"/>
    <x v="16"/>
    <x v="16"/>
    <n v="22170"/>
    <n v="10000"/>
    <m/>
    <m/>
    <n v="0.99837083010085337"/>
    <m/>
    <n v="30900"/>
    <n v="386329.39622348279"/>
    <n v="22168.243098628631"/>
    <n v="681.83851552224553"/>
    <n v="900"/>
    <n v="12.50256945707064"/>
    <m/>
    <n v="17.427154443618576"/>
    <n v="38.906573031711503"/>
    <n v="1.8419937404479061"/>
    <n v="40.748566772159407"/>
    <n v="2.6029615789473688"/>
    <n v="2.3270175438596494"/>
    <n v="1.2933144567944062"/>
    <n v="1.5897650226270268"/>
    <m/>
    <n v="10150"/>
    <n v="553539.09100956179"/>
    <e v="#DIV/0!"/>
    <e v="#DIV/0!"/>
    <n v="0"/>
    <e v="#DIV/0!"/>
    <n v="0"/>
    <e v="#DIV/0!"/>
    <e v="#DIV/0!"/>
  </r>
  <r>
    <x v="10"/>
    <x v="0"/>
    <x v="1"/>
    <x v="25"/>
    <x v="0"/>
    <x v="0"/>
    <m/>
    <n v="11.842004480973756"/>
    <n v="0.71150757217011518"/>
    <n v="12.395153424890971"/>
    <n v="24.136093688011172"/>
    <n v="25.322933273315428"/>
    <n v="5.398782987364837E-2"/>
    <x v="25"/>
    <n v="26459.121052631581"/>
    <n v="645.54578947368418"/>
    <n v="30.608333333333334"/>
    <n v="34"/>
    <n v="0.88144787395175306"/>
    <n v="0.98467804499612099"/>
    <n v="33900"/>
    <n v="11150"/>
    <n v="33900"/>
    <n v="384998.93637975183"/>
    <n v="22770.416557505796"/>
    <n v="629.77156295358907"/>
    <n v="900"/>
    <n v="11.356900778163771"/>
    <n v="12.884370265989663"/>
    <n v="379100"/>
    <n v="384998.93637975183"/>
    <n v="1.7114422710830071"/>
    <n v="34.851616257755289"/>
    <n v="36.563058528838297"/>
    <n v="0.76549540204376354"/>
    <n v="15.469726466491233"/>
    <n v="1.2472069625577329"/>
    <n v="0.57048075702766909"/>
    <n v="6.008337298919926E-2"/>
    <n v="15.926482865019651"/>
    <n v="0.52033159373873072"/>
    <n v="16.907856534264628"/>
    <n v="17.443555924652244"/>
    <n v="1.5888101964893535"/>
    <n v="2.0960782702089582"/>
    <n v="2.4053746411483257"/>
    <n v="1.2472069625577329"/>
    <n v="2.1518192982456141"/>
    <n v="1.3941691118979695"/>
    <n v="3.2479003602816039E-2"/>
    <n v="1125.7444648230576"/>
    <n v="3"/>
    <n v="8819.7070175438603"/>
    <n v="0.19820845295055817"/>
    <n v="215.18192982456139"/>
    <n v="0.28272690058479538"/>
    <n v="8927.2979824561407"/>
    <n v="0.19934547242545822"/>
    <n v="4.0565565402104355E-2"/>
    <n v="0.2489781367119028"/>
    <n v="10.428804281380064"/>
    <n v="0.99906468123036951"/>
    <n v="34.725063430136217"/>
    <n v="34.72506343013621"/>
    <x v="10"/>
    <x v="6"/>
    <n v="0.9"/>
    <x v="17"/>
    <x v="17"/>
    <n v="22775"/>
    <n v="11000"/>
    <m/>
    <m/>
    <n v="0.98467804499612099"/>
    <m/>
    <n v="33900"/>
    <n v="384998.93637975183"/>
    <n v="22770.416557505796"/>
    <n v="629.77156295358907"/>
    <n v="900"/>
    <n v="11.356900778163771"/>
    <m/>
    <n v="16.907856534264628"/>
    <n v="34.851616257755289"/>
    <n v="1.7114422710830071"/>
    <n v="36.563058528838297"/>
    <n v="2.4053746411483257"/>
    <n v="2.1518192982456141"/>
    <n v="1.1044158786100546"/>
    <n v="1.3192754394706603"/>
    <m/>
    <n v="11150"/>
    <n v="618298.34248739958"/>
    <e v="#DIV/0!"/>
    <e v="#DIV/0!"/>
    <n v="0"/>
    <e v="#DIV/0!"/>
    <n v="0"/>
    <e v="#DIV/0!"/>
    <e v="#DIV/0!"/>
  </r>
  <r>
    <x v="11"/>
    <x v="0"/>
    <x v="1"/>
    <x v="26"/>
    <x v="0"/>
    <x v="0"/>
    <m/>
    <n v="20.290891778366323"/>
    <n v="1.3315193647995767"/>
    <n v="17.495017249160888"/>
    <n v="32.745223838090901"/>
    <n v="33.269934899806984"/>
    <n v="5.2149953802764624E-2"/>
    <x v="26"/>
    <n v="26381.98418972332"/>
    <n v="604.92312252964439"/>
    <n v="27.9375"/>
    <n v="31.5"/>
    <n v="0.87177630395430672"/>
    <n v="0.97932505818463933"/>
    <n v="36900"/>
    <n v="12150"/>
    <n v="36900"/>
    <n v="390804.86790509761"/>
    <n v="23020.33641584936"/>
    <n v="604.02738071706767"/>
    <n v="900"/>
    <n v="10.59091782940644"/>
    <n v="12.148664492676497"/>
    <n v="382725"/>
    <n v="390804.86790509761"/>
    <n v="2.9273435692044059"/>
    <n v="31.546712894145081"/>
    <n v="34.474056463349484"/>
    <n v="1.3836693186023412"/>
    <n v="14.664552798541752"/>
    <n v="1.3645675678186187"/>
    <n v="0.97578118973480188"/>
    <n v="6.562153006104994E-2"/>
    <n v="14.867567243457405"/>
    <n v="0.53217242929601449"/>
    <n v="16.976505505628964"/>
    <n v="17.009553708648006"/>
    <n v="2.0639171179530829"/>
    <n v="2.0267466774170662"/>
    <n v="2.1984986824769432"/>
    <n v="1.3645675678186187"/>
    <n v="2.0164104084321481"/>
    <n v="1.4877923598562646"/>
    <n v="2.9805834582008136E-2"/>
    <n v="1156.6210759338794"/>
    <n v="3"/>
    <n v="8793.9947299077739"/>
    <n v="0.26716710584101883"/>
    <n v="201.6410408432148"/>
    <n v="0.32786319718928403"/>
    <n v="8894.8152503293823"/>
    <n v="0.26791644030210848"/>
    <n v="4.0713705679045829E-2"/>
    <n v="0.36596429021390575"/>
    <n v="11.300432993086162"/>
    <n v="0.99906992321044552"/>
    <n v="32.046638424648343"/>
    <n v="32.046638424648343"/>
    <x v="11"/>
    <x v="6"/>
    <n v="0.9"/>
    <x v="12"/>
    <x v="18"/>
    <n v="23025"/>
    <n v="12000"/>
    <m/>
    <m/>
    <n v="0.97932505818463933"/>
    <m/>
    <n v="36900"/>
    <n v="390804.86790509761"/>
    <n v="23020.33641584936"/>
    <n v="604.02738071706767"/>
    <n v="900"/>
    <n v="10.59091782940644"/>
    <m/>
    <n v="16.976505505628964"/>
    <n v="31.546712894145081"/>
    <n v="2.9273435692044059"/>
    <n v="34.474056463349484"/>
    <n v="2.1984986824769432"/>
    <n v="2.0164104084321481"/>
    <n v="0.79579712996513285"/>
    <n v="0.98199034243541683"/>
    <m/>
    <n v="12150"/>
    <n v="692945.86115429027"/>
    <e v="#DIV/0!"/>
    <e v="#DIV/0!"/>
    <n v="0"/>
    <e v="#DIV/0!"/>
    <n v="0"/>
    <e v="#DIV/0!"/>
    <e v="#DIV/0!"/>
  </r>
  <r>
    <x v="12"/>
    <x v="0"/>
    <x v="1"/>
    <x v="27"/>
    <x v="0"/>
    <x v="0"/>
    <m/>
    <n v="22.320715790623229"/>
    <n v="1.827707541219866"/>
    <n v="19.511414777038858"/>
    <n v="34.75658829212189"/>
    <n v="35.147129015922538"/>
    <n v="5.2832270464367087E-2"/>
    <x v="27"/>
    <n v="26239.925691699602"/>
    <n v="551.88774703557306"/>
    <n v="25.795289855072468"/>
    <n v="29.5"/>
    <n v="0.8748298029030479"/>
    <n v="0.99681923972071373"/>
    <n v="39900"/>
    <n v="13150"/>
    <n v="39900"/>
    <n v="389162.83368355513"/>
    <n v="22014.724047572814"/>
    <n v="558.37085441740351"/>
    <n v="900"/>
    <n v="9.7534544782845902"/>
    <n v="11.14897371570857"/>
    <n v="387925"/>
    <n v="389162.83368355513"/>
    <n v="3.6891469282898672"/>
    <n v="29.157482717353602"/>
    <n v="32.846629645643468"/>
    <n v="1.8805398116842331"/>
    <n v="11.869313083370747"/>
    <n v="1.486284696771712"/>
    <n v="1.2297156427632889"/>
    <n v="8.1883912611246668E-2"/>
    <n v="15.889568407796702"/>
    <n v="0.61598720142592722"/>
    <n v="17.677388680529994"/>
    <n v="17.33596583608184"/>
    <n v="2.2010571714751173"/>
    <n v="1.8947101047741362"/>
    <n v="2.018455822438431"/>
    <n v="1.486284696771712"/>
    <n v="1.8396258234519103"/>
    <n v="1.6307664100793826"/>
    <n v="2.7539231191741356E-2"/>
    <n v="1192.7213732638161"/>
    <n v="3"/>
    <n v="8746.6418972332012"/>
    <n v="0.32718139252052297"/>
    <n v="183.96258234519101"/>
    <n v="0.38679139218269665"/>
    <n v="8838.6231884057961"/>
    <n v="0.32786135449385578"/>
    <n v="4.0972545435180772E-2"/>
    <n v="0.48778828101301119"/>
    <n v="12.281763273517948"/>
    <n v="0.99906602560657654"/>
    <n v="29.486066626300346"/>
    <n v="29.486066626300342"/>
    <x v="12"/>
    <x v="6"/>
    <n v="0.9"/>
    <x v="12"/>
    <x v="8"/>
    <n v="22015"/>
    <n v="13000"/>
    <m/>
    <m/>
    <n v="0.99681923972071373"/>
    <m/>
    <n v="39900"/>
    <n v="389162.83368355513"/>
    <n v="22014.724047572814"/>
    <n v="558.37085441740351"/>
    <n v="900"/>
    <n v="9.7534544782845902"/>
    <m/>
    <n v="17.677388680529994"/>
    <n v="29.157482717353602"/>
    <n v="3.6891469282898672"/>
    <n v="32.846629645643468"/>
    <n v="2.018455822438431"/>
    <n v="1.8396258234519103"/>
    <n v="0.67602233775400189"/>
    <n v="0.86081821468741238"/>
    <m/>
    <n v="13150"/>
    <n v="752818.06583878654"/>
    <e v="#DIV/0!"/>
    <e v="#DIV/0!"/>
    <n v="0"/>
    <e v="#DIV/0!"/>
    <n v="0"/>
    <e v="#DIV/0!"/>
    <e v="#DIV/0!"/>
  </r>
  <r>
    <x v="13"/>
    <x v="0"/>
    <x v="1"/>
    <x v="28"/>
    <x v="0"/>
    <x v="0"/>
    <m/>
    <n v="29.486728188790543"/>
    <n v="1.5742659354815207"/>
    <n v="23.050413631754466"/>
    <n v="41.111394631862638"/>
    <n v="41.736446769237517"/>
    <n v="5.4345286202558019E-2"/>
    <x v="28"/>
    <n v="26511.612500000003"/>
    <n v="508.30769230769226"/>
    <n v="24.974074074074075"/>
    <n v="27"/>
    <n v="0.90925288049880759"/>
    <n v="0.99383242823894491"/>
    <n v="42900"/>
    <n v="14150"/>
    <n v="42900"/>
    <n v="384420.9437570743"/>
    <n v="21502.636230474418"/>
    <n v="496.823218473162"/>
    <n v="900"/>
    <n v="8.9608611598385615"/>
    <n v="9.8551913906752944"/>
    <n v="382050"/>
    <n v="384420.9437570743"/>
    <n v="2.9811663181025772"/>
    <n v="27.624127017423334"/>
    <n v="30.605293335525911"/>
    <n v="1.6286112216840787"/>
    <n v="18.105443334904418"/>
    <n v="1.5842114469649855"/>
    <n v="0.99372210603419242"/>
    <n v="5.3388966229219764E-2"/>
    <n v="13.355094955341333"/>
    <n v="0.53475836244137032"/>
    <n v="17.877851796248926"/>
    <n v="17.887797307732392"/>
    <n v="2.3919925478713635"/>
    <n v="1.7109593098025604"/>
    <n v="1.8936866071428573"/>
    <n v="1.5842114469649855"/>
    <n v="1.6943589743589742"/>
    <n v="1.7705811138014529"/>
    <n v="2.5592995771830305E-2"/>
    <n v="1195.8464576942001"/>
    <n v="3"/>
    <n v="8837.2041666666682"/>
    <n v="0.36877113095238084"/>
    <n v="169.43589743589743"/>
    <n v="0.43521367521367521"/>
    <n v="8921.9221153846174"/>
    <n v="0.36947546887741217"/>
    <n v="4.059000801485782E-2"/>
    <n v="0.58598111673719822"/>
    <n v="13.184779005543767"/>
    <n v="0.99906821349784147"/>
    <n v="27.466587799395839"/>
    <n v="27.466587799395842"/>
    <x v="13"/>
    <x v="6"/>
    <n v="1"/>
    <x v="18"/>
    <x v="7"/>
    <n v="21505"/>
    <n v="14000"/>
    <m/>
    <m/>
    <n v="0.99383242823894491"/>
    <m/>
    <n v="42900"/>
    <n v="384420.9437570743"/>
    <n v="21502.636230474418"/>
    <n v="496.823218473162"/>
    <n v="900"/>
    <n v="8.9608611598385615"/>
    <m/>
    <n v="17.877851796248926"/>
    <n v="27.624127017423334"/>
    <n v="2.9811663181025772"/>
    <n v="30.605293335525911"/>
    <n v="1.8936866071428573"/>
    <n v="1.6943589743589742"/>
    <n v="0.58367717202209224"/>
    <n v="0.71528622082252924"/>
    <m/>
    <n v="14150"/>
    <n v="784528.22959728749"/>
    <e v="#DIV/0!"/>
    <e v="#DIV/0!"/>
    <n v="0"/>
    <e v="#DIV/0!"/>
    <n v="0"/>
    <e v="#DIV/0!"/>
    <e v="#DIV/0!"/>
  </r>
  <r>
    <x v="14"/>
    <x v="0"/>
    <x v="1"/>
    <x v="29"/>
    <x v="0"/>
    <x v="0"/>
    <m/>
    <n v="36.256328886927776"/>
    <n v="1.915492380903296"/>
    <n v="27.11355739988683"/>
    <n v="48.30793373584747"/>
    <n v="48.966524019241334"/>
    <n v="5.2854428180746427E-2"/>
    <x v="29"/>
    <n v="25691.138624338622"/>
    <n v="466.04021164021162"/>
    <n v="23.241995073891623"/>
    <n v="25.5"/>
    <n v="0.90006702220761503"/>
    <n v="0.9859581070597363"/>
    <n v="45900"/>
    <n v="15150"/>
    <n v="45900"/>
    <n v="391826.99268235109"/>
    <n v="22047.656023398467"/>
    <n v="482.45721082815584"/>
    <n v="900"/>
    <n v="8.5365357882865158"/>
    <n v="9.4843334747991968"/>
    <n v="386325"/>
    <n v="391826.99268235109"/>
    <n v="3.2807453527767341"/>
    <n v="24.63228889547743"/>
    <n v="27.913034248254164"/>
    <n v="1.9683468090840424"/>
    <n v="18.419685351993142"/>
    <n v="1.7515767073620099"/>
    <n v="1.0935817842589115"/>
    <n v="5.2831945199888319E-2"/>
    <n v="15.477838827404783"/>
    <n v="0.66594278065188428"/>
    <n v="17.771820835127222"/>
    <n v="17.607905161585936"/>
    <n v="2.9351199255037845"/>
    <n v="1.5852558264085999"/>
    <n v="1.7127425749559082"/>
    <n v="1.7515767073620099"/>
    <n v="1.5534673721340388"/>
    <n v="1.9311638299031806"/>
    <n v="2.3903689120224347E-2"/>
    <n v="1167.7291361958687"/>
    <n v="3"/>
    <n v="8563.7128747795414"/>
    <n v="0.42908580834803056"/>
    <n v="155.34673721340388"/>
    <n v="0.48217754262198703"/>
    <n v="8641.3862433862432"/>
    <n v="0.4296114690834163"/>
    <n v="4.1907731001905667E-2"/>
    <n v="0.75319093179004426"/>
    <n v="14.024229486320467"/>
    <n v="0.99907430828473132"/>
    <n v="25.822515990959705"/>
    <n v="25.822515990959705"/>
    <x v="14"/>
    <x v="6"/>
    <n v="1"/>
    <x v="18"/>
    <x v="9"/>
    <n v="22050"/>
    <n v="15000"/>
    <m/>
    <m/>
    <n v="0.9859581070597363"/>
    <m/>
    <n v="45900"/>
    <n v="391826.99268235109"/>
    <n v="22047.656023398467"/>
    <n v="482.45721082815584"/>
    <n v="900"/>
    <n v="8.5365357882865158"/>
    <m/>
    <n v="17.771820835127222"/>
    <n v="24.63228889547743"/>
    <n v="3.2807453527767341"/>
    <n v="27.913034248254164"/>
    <n v="1.7127425749559082"/>
    <n v="1.5534673721340388"/>
    <n v="0.4497175786769218"/>
    <n v="0.54009916686334591"/>
    <m/>
    <n v="15150"/>
    <n v="856228.67698580748"/>
    <e v="#DIV/0!"/>
    <e v="#DIV/0!"/>
    <n v="0"/>
    <e v="#DIV/0!"/>
    <n v="0"/>
    <e v="#DIV/0!"/>
    <e v="#DIV/0!"/>
  </r>
  <r>
    <x v="4"/>
    <x v="1"/>
    <x v="0"/>
    <x v="30"/>
    <x v="1"/>
    <x v="0"/>
    <m/>
    <n v="0.15310316644821045"/>
    <n v="0.14001906340436057"/>
    <n v="1.155893479584911"/>
    <n v="2.3622004191080728"/>
    <n v="2.7759022140502925"/>
    <n v="9.6372250619072009E-3"/>
    <x v="30"/>
    <n v="13843.581089743588"/>
    <n v="258.15320512820512"/>
    <n v="2.1190476190476191"/>
    <n v="6.333333333333333"/>
    <n v="2.7674917911307269E-2"/>
    <n v="8.2699767261443E-2"/>
    <n v="10200"/>
    <n v="5050"/>
    <n v="10200"/>
    <n v="386740.30644152587"/>
    <n v="350390.26987395756"/>
    <n v="657.17395750846674"/>
    <n v="200"/>
    <n v="37.915716317796651"/>
    <n v="1370.0389803976709"/>
    <n v="31983.333333333332"/>
    <n v="386740.30644152587"/>
    <n v="0.38767305166964289"/>
    <n v="2.4878805382732088"/>
    <n v="2.8755535899428515"/>
    <n v="0.14965628846626777"/>
    <n v="1.0230319622200146"/>
    <n v="0.72235644340674143"/>
    <n v="0.19383652583482144"/>
    <n v="0.91454061109653284"/>
    <n v="0.96155616160490498"/>
    <n v="0.45376807626298887"/>
    <n v="1.1037415695950807"/>
    <n v="1.6860789495974615"/>
    <n v="0.65537981080602647"/>
    <n v="1.7054679382773672"/>
    <n v="2.7687162179487177"/>
    <n v="0.72235644340674143"/>
    <n v="2.5815320512820512"/>
    <n v="0.77473374735237233"/>
    <n v="7.1711067360673036E-2"/>
    <n v="40.099160363632095"/>
    <n v="2"/>
    <n v="6921.7905448717938"/>
    <n v="0.38435810897435879"/>
    <n v="129.07660256410256"/>
    <n v="0.2907660256410256"/>
    <n v="6986.328846153845"/>
    <n v="0.3834314546839297"/>
    <n v="5.1835649043455313E-2"/>
    <n v="0.2771597055898456"/>
    <n v="4.7295866868369725"/>
    <n v="0.99906344818082438"/>
    <n v="76.569246775681677"/>
    <n v="76.569246775681677"/>
    <x v="4"/>
    <x v="0"/>
    <n v="0.1"/>
    <x v="19"/>
    <x v="19"/>
    <n v="350395"/>
    <n v="5000"/>
    <m/>
    <m/>
    <n v="8.2699767261443E-2"/>
    <m/>
    <n v="10200"/>
    <n v="386740.30644152587"/>
    <n v="350390.26987395756"/>
    <n v="657.17395750846674"/>
    <n v="200"/>
    <n v="37.915716317796651"/>
    <m/>
    <n v="1.1037415695950807"/>
    <n v="2.4878805382732088"/>
    <n v="0.38767305166964289"/>
    <n v="2.8755535899428515"/>
    <n v="2.7687162179487177"/>
    <n v="2.5815320512820512"/>
    <n v="1.9176517947573386"/>
    <n v="2.6022588889027229"/>
    <m/>
    <n v="5050"/>
    <n v="87529.09895203622"/>
    <e v="#DIV/0!"/>
    <e v="#DIV/0!"/>
    <n v="0"/>
    <e v="#DIV/0!"/>
    <n v="0"/>
    <e v="#DIV/0!"/>
    <e v="#DIV/0!"/>
  </r>
  <r>
    <x v="4"/>
    <x v="2"/>
    <x v="0"/>
    <x v="31"/>
    <x v="1"/>
    <x v="0"/>
    <m/>
    <n v="0.15337052458484812"/>
    <n v="0.14131639997156367"/>
    <n v="1.0886227086385336"/>
    <n v="2.1854217251141868"/>
    <n v="2.5071182203292834"/>
    <n v="1.0460084484178884E-2"/>
    <x v="31"/>
    <n v="12979.142261904761"/>
    <n v="482.27559523809515"/>
    <n v="4.7281045751633988"/>
    <n v="10"/>
    <n v="6.230122149713261E-2"/>
    <n v="0.13157486423584175"/>
    <n v="10400"/>
    <n v="5100"/>
    <n v="10400"/>
    <n v="387612.02830188675"/>
    <n v="173557.62745130659"/>
    <n v="956.01522292914819"/>
    <n v="400"/>
    <n v="37.270387336719878"/>
    <n v="598.2288379118736"/>
    <n v="51000"/>
    <n v="387612.02830188675"/>
    <n v="0.36683313183423172"/>
    <n v="5.0446434708481345"/>
    <n v="5.4114766026823666"/>
    <n v="0.15177648445574254"/>
    <n v="1.0105025500809408"/>
    <n v="0.77046693827766433"/>
    <n v="0.18341656591711589"/>
    <n v="0.92140520712233831"/>
    <n v="2.0700912506877716"/>
    <n v="0.43782687497266942"/>
    <n v="2.2333332968073405"/>
    <n v="2.8624838351134412"/>
    <n v="0.77310539317010285"/>
    <n v="1.8904828513967513"/>
    <n v="2.5958284523809523"/>
    <n v="0.77046693827766433"/>
    <n v="2.4113779761904759"/>
    <n v="0.82940128828729875"/>
    <n v="7.1008017680666433E-2"/>
    <n v="76.209374369787056"/>
    <n v="2"/>
    <n v="6489.5711309523804"/>
    <n v="0.29791422619047608"/>
    <n v="241.13779761904757"/>
    <n v="0.20568898809523786"/>
    <n v="6610.1400297619039"/>
    <n v="0.29610588818860861"/>
    <n v="5.4785660899901251E-2"/>
    <n v="0.22845809967149797"/>
    <n v="4.7718529599056883"/>
    <n v="0.99906434255688115"/>
    <n v="75.89104132382073"/>
    <n v="75.891041323820716"/>
    <x v="4"/>
    <x v="1"/>
    <n v="0.1"/>
    <x v="20"/>
    <x v="1"/>
    <n v="173560"/>
    <n v="5000"/>
    <m/>
    <m/>
    <n v="0.13157486423584175"/>
    <m/>
    <n v="10400"/>
    <n v="387612.02830188675"/>
    <n v="173557.62745130659"/>
    <n v="956.01522292914819"/>
    <n v="400"/>
    <n v="37.270387336719878"/>
    <m/>
    <n v="2.2333332968073405"/>
    <n v="5.0446434708481345"/>
    <n v="0.36683313183423172"/>
    <n v="5.4114766026823666"/>
    <n v="2.5958284523809523"/>
    <n v="2.4113779761904759"/>
    <n v="2.1365119578733287"/>
    <n v="2.4453106498777162"/>
    <m/>
    <n v="5100"/>
    <n v="130819.0760908727"/>
    <e v="#DIV/0!"/>
    <e v="#DIV/0!"/>
    <n v="0"/>
    <e v="#DIV/0!"/>
    <n v="0"/>
    <e v="#DIV/0!"/>
    <e v="#DIV/0!"/>
  </r>
  <r>
    <x v="4"/>
    <x v="0"/>
    <x v="0"/>
    <x v="32"/>
    <x v="1"/>
    <x v="0"/>
    <m/>
    <n v="0.16116826119435404"/>
    <n v="0.14455132195937925"/>
    <n v="0.79212661878774748"/>
    <n v="1.0923022747039794"/>
    <n v="1.2533288701375327"/>
    <n v="1.1342318018871873E-2"/>
    <x v="32"/>
    <n v="12742.970833333333"/>
    <n v="714.52499999999998"/>
    <n v="7.1372549019607847"/>
    <n v="16.333333333333332"/>
    <n v="9.50714187924976E-2"/>
    <n v="0.21825704680630986"/>
    <n v="10600"/>
    <n v="5150"/>
    <n v="10600"/>
    <n v="385401.83649289084"/>
    <n v="108648.16182419067"/>
    <n v="1440.0348593785834"/>
    <n v="600"/>
    <n v="36.35866382008404"/>
    <n v="382.43527110329842"/>
    <n v="84116.666666666657"/>
    <n v="385401.83649289084"/>
    <n v="0.36840265592962917"/>
    <n v="8.104369782434425"/>
    <n v="8.4727724383640535"/>
    <n v="0.15589363997825112"/>
    <n v="1.0338347428210592"/>
    <n v="0.78474636180142454"/>
    <n v="0.18420132796481459"/>
    <n v="0.89689695035589978"/>
    <n v="3.3832796806404599"/>
    <n v="0.47403094426555892"/>
    <n v="3.5472467276209416"/>
    <n v="4.1874417674629871"/>
    <n v="0.84373844939616138"/>
    <n v="2.0233767796363615"/>
    <n v="2.5485941666666667"/>
    <n v="0.78474636180142454"/>
    <n v="2.3817499999999998"/>
    <n v="0.83971869423743051"/>
    <n v="7.0318619450757056E-2"/>
    <n v="120.49116584686924"/>
    <n v="2"/>
    <n v="6371.4854166666664"/>
    <n v="0.2742970833333333"/>
    <n v="357.26249999999999"/>
    <n v="0.19087499999999996"/>
    <n v="6550.1166666666668"/>
    <n v="0.27186731391585761"/>
    <n v="5.5287700754144152E-2"/>
    <n v="0.21375446238871063"/>
    <n v="4.8238781862637907"/>
    <n v="0.99906332462402647"/>
    <n v="75.07256116097858"/>
    <n v="75.07256116097858"/>
    <x v="4"/>
    <x v="1"/>
    <n v="0.1"/>
    <x v="21"/>
    <x v="12"/>
    <n v="108650"/>
    <n v="5000"/>
    <m/>
    <m/>
    <n v="0.21825704680630986"/>
    <m/>
    <n v="10600"/>
    <n v="385401.83649289084"/>
    <n v="108648.16182419067"/>
    <n v="1440.0348593785834"/>
    <n v="600"/>
    <n v="36.35866382008404"/>
    <m/>
    <n v="3.5472467276209416"/>
    <n v="8.104369782434425"/>
    <n v="0.36840265592962917"/>
    <n v="8.4727724383640535"/>
    <n v="2.5485941666666667"/>
    <n v="2.3817499999999998"/>
    <n v="2.020107990502749"/>
    <n v="2.3981090124367719"/>
    <m/>
    <n v="5150"/>
    <n v="203972.82921335261"/>
    <e v="#DIV/0!"/>
    <e v="#DIV/0!"/>
    <n v="0"/>
    <e v="#DIV/0!"/>
    <n v="0"/>
    <e v="#DIV/0!"/>
    <e v="#DIV/0!"/>
  </r>
  <r>
    <x v="4"/>
    <x v="3"/>
    <x v="0"/>
    <x v="33"/>
    <x v="1"/>
    <x v="0"/>
    <m/>
    <n v="0.15893258931756402"/>
    <n v="0.14438882254426644"/>
    <n v="0.86264109190174754"/>
    <n v="1.3129658778508508"/>
    <n v="1.5561990388234443"/>
    <n v="1.1075833659466924E-2"/>
    <x v="33"/>
    <n v="11301.037499999999"/>
    <n v="830.43333333333339"/>
    <n v="7.9607843137254903"/>
    <n v="17"/>
    <n v="0.10698367787766773"/>
    <n v="0.22865270235324539"/>
    <n v="10800"/>
    <n v="5200"/>
    <n v="10800"/>
    <n v="386612.53110156074"/>
    <n v="84510.601278843315"/>
    <n v="1534.8731772862509"/>
    <n v="800"/>
    <n v="35.797456583477846"/>
    <n v="334.60671098268881"/>
    <n v="88400"/>
    <n v="386612.53110156074"/>
    <n v="0.32634869963072005"/>
    <n v="9.1977414652766498"/>
    <n v="9.5240901649073706"/>
    <n v="0.15546465620373337"/>
    <n v="1.0223068908298101"/>
    <n v="0.8848745082033399"/>
    <n v="0.16317434981536"/>
    <n v="0.90849097195391681"/>
    <n v="4.3797850370583191"/>
    <n v="0.55017004160092187"/>
    <n v="4.5747222863310366"/>
    <n v="5.3152079719901097"/>
    <n v="0.85182777730918879"/>
    <n v="1.7918565397811479"/>
    <n v="2.2602074999999999"/>
    <n v="0.88487450820333979"/>
    <n v="2.0760833333333335"/>
    <n v="0.96335246658371121"/>
    <n v="6.9642478879115163E-2"/>
    <n v="136.75690926279646"/>
    <n v="2"/>
    <n v="5650.5187499999993"/>
    <n v="0.13010374999999985"/>
    <n v="415.2166666666667"/>
    <n v="3.8041666666666744E-2"/>
    <n v="5858.1270833333328"/>
    <n v="0.12656290064102554"/>
    <n v="6.1818544565499088E-2"/>
    <n v="0.11234428239116524"/>
    <n v="4.8667521708420391"/>
    <n v="0.99906408612099185"/>
    <n v="74.411204322479747"/>
    <n v="74.411204322479747"/>
    <x v="4"/>
    <x v="1"/>
    <n v="0.2"/>
    <x v="22"/>
    <x v="12"/>
    <n v="84515"/>
    <n v="5000"/>
    <m/>
    <m/>
    <n v="0.22865270235324539"/>
    <m/>
    <n v="10800"/>
    <n v="386612.53110156074"/>
    <n v="84510.601278843315"/>
    <n v="1534.8731772862509"/>
    <n v="800"/>
    <n v="35.797456583477846"/>
    <m/>
    <n v="4.5747222863310366"/>
    <n v="9.1977414652766498"/>
    <n v="0.32634869963072005"/>
    <n v="9.5240901649073706"/>
    <n v="2.2602074999999999"/>
    <n v="2.0760833333333335"/>
    <n v="1.758262839284668"/>
    <n v="2.1035432132084089"/>
    <m/>
    <n v="5200"/>
    <n v="222958.3127861731"/>
    <e v="#DIV/0!"/>
    <e v="#DIV/0!"/>
    <n v="0"/>
    <e v="#DIV/0!"/>
    <n v="0"/>
    <e v="#DIV/0!"/>
    <e v="#DIV/0!"/>
  </r>
  <r>
    <x v="4"/>
    <x v="4"/>
    <x v="0"/>
    <x v="34"/>
    <x v="1"/>
    <x v="0"/>
    <m/>
    <n v="0.50221464618893996"/>
    <n v="0.34444617464136235"/>
    <n v="3.8024452155977304"/>
    <n v="8.4403578162193256"/>
    <n v="9.385810093879698"/>
    <n v="1.5406034269445123E-2"/>
    <x v="34"/>
    <n v="16988.75"/>
    <n v="1554.0732142857141"/>
    <n v="15.67892156862745"/>
    <n v="35"/>
    <n v="0.21169130957270418"/>
    <n v="0.48582880786139127"/>
    <n v="11000"/>
    <n v="5250"/>
    <n v="11000"/>
    <n v="378219.6465641135"/>
    <n v="46998.617082729907"/>
    <n v="2271.8370859018341"/>
    <n v="1000"/>
    <n v="34.383604233101231"/>
    <n v="162.42331488479161"/>
    <n v="183750"/>
    <n v="378219.6465641135"/>
    <n v="1.170341989887689"/>
    <n v="23.942105196512447"/>
    <n v="25.112447186400136"/>
    <n v="0.35985220891080749"/>
    <n v="1.3956136262412613"/>
    <n v="0.58862482525200499"/>
    <n v="0.5851709949438445"/>
    <n v="0.68585449917718455"/>
    <n v="6.9699286406310561"/>
    <n v="0.44454132958847448"/>
    <n v="8.0474633093639252"/>
    <n v="8.2916419599745677"/>
    <n v="0.8993076749509602"/>
    <n v="3.0286458710618471"/>
    <n v="3.3977499999999998"/>
    <n v="0.58862482525200499"/>
    <n v="3.1081464285714282"/>
    <n v="0.64347032740000076"/>
    <n v="6.8979217175504537E-2"/>
    <n v="364.05816439618729"/>
    <n v="2"/>
    <n v="8494.375"/>
    <n v="0.69887500000000002"/>
    <n v="777.03660714285706"/>
    <n v="0.5540732142857141"/>
    <n v="8882.893303571429"/>
    <n v="0.69197967687074835"/>
    <n v="4.0768348531868281E-2"/>
    <n v="0.40897635257093523"/>
    <n v="4.8894995076449854"/>
    <n v="0.99906866676044848"/>
    <n v="74.065022320827069"/>
    <n v="74.065022320827083"/>
    <x v="4"/>
    <x v="2"/>
    <n v="0.30000000000000004"/>
    <x v="23"/>
    <x v="20"/>
    <n v="47000"/>
    <n v="5000"/>
    <m/>
    <m/>
    <n v="0.48582880786139127"/>
    <m/>
    <n v="11000"/>
    <n v="378219.6465641135"/>
    <n v="46998.617082729907"/>
    <n v="2271.8370859018341"/>
    <n v="1000"/>
    <n v="34.383604233101231"/>
    <m/>
    <n v="8.0474633093639252"/>
    <n v="23.942105196512447"/>
    <n v="1.170341989887689"/>
    <n v="25.112447186400136"/>
    <n v="3.3977499999999998"/>
    <n v="3.1081464285714282"/>
    <n v="2.1026517413181658"/>
    <n v="3.3677527229232211"/>
    <m/>
    <n v="5250"/>
    <n v="346884.65525968099"/>
    <e v="#DIV/0!"/>
    <e v="#DIV/0!"/>
    <n v="0"/>
    <e v="#DIV/0!"/>
    <n v="0"/>
    <e v="#DIV/0!"/>
    <e v="#DIV/0!"/>
  </r>
  <r>
    <x v="4"/>
    <x v="5"/>
    <x v="0"/>
    <x v="35"/>
    <x v="1"/>
    <x v="0"/>
    <m/>
    <n v="0.17005826780993508"/>
    <n v="0.24551542522963241"/>
    <n v="0.85443627847475501"/>
    <n v="1.2550119717915849"/>
    <n v="1.4356961647669477"/>
    <n v="1.4934354230036029E-2"/>
    <x v="35"/>
    <n v="12520.516666666668"/>
    <n v="1383.0625"/>
    <n v="17.666666666666668"/>
    <n v="32"/>
    <n v="0.24133771429440673"/>
    <n v="0.43791052495474525"/>
    <n v="11200"/>
    <n v="5300"/>
    <n v="11200"/>
    <n v="387293.7285933625"/>
    <n v="42069.122886337253"/>
    <n v="2142.7106594031015"/>
    <n v="1200"/>
    <n v="34.579797195835937"/>
    <n v="143.28385141516756"/>
    <n v="169600"/>
    <n v="387293.7285933625"/>
    <n v="0.61479599470227331"/>
    <n v="20.655145297279205"/>
    <n v="21.269941291981478"/>
    <n v="0.26044977945966841"/>
    <n v="0.6529407249364525"/>
    <n v="0.79868908498184965"/>
    <n v="0.30739799735113671"/>
    <n v="1.4437135482529535"/>
    <n v="9.5836097014792596"/>
    <n v="0.54246847366863726"/>
    <n v="9.2061279632512498"/>
    <n v="9.7593016230034682"/>
    <n v="0.99789247133259729"/>
    <n v="2.179453214341331"/>
    <n v="2.5041033333333336"/>
    <n v="0.79868908498184976"/>
    <n v="2.3051041666666667"/>
    <n v="0.86763974874598937"/>
    <n v="6.8328469843660158E-2"/>
    <n v="311.28958896121111"/>
    <n v="2"/>
    <n v="6260.2583333333341"/>
    <n v="0.25205166666666684"/>
    <n v="691.53125"/>
    <n v="0.15255208333333334"/>
    <n v="6606.0239583333341"/>
    <n v="0.24641961477987437"/>
    <n v="5.4819796666732819E-2"/>
    <n v="0.19770197119642857"/>
    <n v="4.9470710199909718"/>
    <n v="0.99906659037358658"/>
    <n v="73.203091022546047"/>
    <n v="73.203091022546047"/>
    <x v="4"/>
    <x v="1"/>
    <n v="0.30000000000000004"/>
    <x v="24"/>
    <x v="21"/>
    <n v="42070"/>
    <n v="5000"/>
    <m/>
    <m/>
    <n v="0.43791052495474525"/>
    <m/>
    <n v="11200"/>
    <n v="387293.7285933625"/>
    <n v="42069.122886337253"/>
    <n v="2142.7106594031015"/>
    <n v="1200"/>
    <n v="34.579797195835937"/>
    <m/>
    <n v="9.2061279632512498"/>
    <n v="20.655145297279205"/>
    <n v="0.61479599470227331"/>
    <n v="21.269941291981478"/>
    <n v="2.5041033333333336"/>
    <n v="2.3051041666666667"/>
    <n v="1.8140620089811696"/>
    <n v="2.1840561753420822"/>
    <m/>
    <n v="5300"/>
    <n v="328410.44238986919"/>
    <e v="#DIV/0!"/>
    <e v="#DIV/0!"/>
    <n v="0"/>
    <e v="#DIV/0!"/>
    <n v="0"/>
    <e v="#DIV/0!"/>
    <e v="#DIV/0!"/>
  </r>
  <r>
    <x v="4"/>
    <x v="6"/>
    <x v="0"/>
    <x v="36"/>
    <x v="1"/>
    <x v="0"/>
    <m/>
    <n v="0.17619657907857875"/>
    <n v="0.15544193767138964"/>
    <n v="0.99250126931340743"/>
    <n v="2.0728516777356458"/>
    <n v="2.4672814178466793"/>
    <n v="1.6075060193484956E-2"/>
    <x v="36"/>
    <n v="12397.255277777776"/>
    <n v="1573.9455555555558"/>
    <n v="21.506127450980397"/>
    <n v="38.666666666666664"/>
    <n v="0.29655056359238813"/>
    <n v="0.53491078355314203"/>
    <n v="11400"/>
    <n v="5350"/>
    <n v="11400"/>
    <n v="386731.15784384811"/>
    <n v="33900.04363307196"/>
    <n v="2405.3823874536929"/>
    <n v="1400"/>
    <n v="33.923785775776153"/>
    <n v="114.3946090165074"/>
    <n v="206866.66666666666"/>
    <n v="386731.15784384811"/>
    <n v="0.38541067643692783"/>
    <n v="25.301269546823679"/>
    <n v="25.686680223260606"/>
    <n v="0.17151699786487459"/>
    <n v="1.0272834836894174"/>
    <n v="0.80663015933253512"/>
    <n v="0.19270533821846395"/>
    <n v="0.88220746670721051"/>
    <n v="11.165873145233881"/>
    <n v="0.51919496760560968"/>
    <n v="11.407984073110859"/>
    <n v="12.059172294772004"/>
    <n v="0.93920166220936385"/>
    <n v="2.1300533399291854"/>
    <n v="2.4794510555555553"/>
    <n v="0.80663015933253512"/>
    <n v="2.2484936507936513"/>
    <n v="0.88948438849007183"/>
    <n v="6.7689886013345579E-2"/>
    <n v="379.47589715539306"/>
    <n v="2"/>
    <n v="6198.6276388888882"/>
    <n v="0.23972552777777764"/>
    <n v="786.97277777777788"/>
    <n v="0.12424682539682554"/>
    <n v="6592.1140277777768"/>
    <n v="0.23217084631360313"/>
    <n v="5.4935471177442255E-2"/>
    <n v="0.18842423273380449"/>
    <n v="4.9936040472633643"/>
    <n v="0.99906661606593217"/>
    <n v="72.520946143069196"/>
    <n v="72.520946143069196"/>
    <x v="4"/>
    <x v="2"/>
    <n v="0.30000000000000004"/>
    <x v="25"/>
    <x v="22"/>
    <n v="33905"/>
    <n v="5000"/>
    <m/>
    <m/>
    <n v="0.53491078355314203"/>
    <m/>
    <n v="11400"/>
    <n v="386731.15784384811"/>
    <n v="33900.04363307196"/>
    <n v="2405.3823874536929"/>
    <n v="1400"/>
    <n v="33.923785775776153"/>
    <m/>
    <n v="11.407984073110859"/>
    <n v="25.301269546823679"/>
    <n v="0.38541067643692783"/>
    <n v="25.686680223260606"/>
    <n v="2.4794510555555553"/>
    <n v="2.2484936507936513"/>
    <n v="1.8988290290399243"/>
    <n v="2.2679403429913871"/>
    <m/>
    <n v="5350"/>
    <n v="379344.32960800134"/>
    <e v="#DIV/0!"/>
    <e v="#DIV/0!"/>
    <n v="0"/>
    <e v="#DIV/0!"/>
    <n v="0"/>
    <e v="#DIV/0!"/>
    <e v="#DIV/0!"/>
  </r>
  <r>
    <x v="4"/>
    <x v="7"/>
    <x v="0"/>
    <x v="37"/>
    <x v="1"/>
    <x v="0"/>
    <m/>
    <n v="0.23137368829244689"/>
    <n v="0.15481857555113479"/>
    <n v="1.1025821170809051"/>
    <n v="2.8050277670224504"/>
    <n v="3.1549166059494014"/>
    <n v="1.614998110024948E-2"/>
    <x v="37"/>
    <n v="11441.094607843137"/>
    <n v="1689.0698529411764"/>
    <n v="22.738562091503269"/>
    <n v="35.333333333333336"/>
    <n v="0.31619645703294674"/>
    <n v="0.49519006982156716"/>
    <n v="11600"/>
    <n v="5400"/>
    <n v="11600"/>
    <n v="385306.59564468113"/>
    <n v="29469.398675756838"/>
    <n v="2187.8250577511521"/>
    <n v="1600"/>
    <n v="33.216085831438029"/>
    <n v="105.04888683169847"/>
    <n v="190800"/>
    <n v="385306.59564468113"/>
    <n v="0.35425879398640875"/>
    <n v="27.278446202001167"/>
    <n v="27.632704995987574"/>
    <n v="0.17096855665138427"/>
    <n v="1.3533113504855312"/>
    <n v="0.87404224357560745"/>
    <n v="0.17712939699320435"/>
    <n v="0.66912783685001564"/>
    <n v="12.710087003127709"/>
    <n v="0.55896617173858565"/>
    <n v="13.074803455750718"/>
    <n v="13.794027123775191"/>
    <n v="0.93702227742049471"/>
    <n v="2.0032369624937325"/>
    <n v="2.2882189215686273"/>
    <n v="0.87404224357560745"/>
    <n v="2.1113373161764706"/>
    <n v="0.94726692162193338"/>
    <n v="6.70631278095183E-2"/>
    <n v="412.04020597538624"/>
    <n v="2"/>
    <n v="5720.5473039215685"/>
    <n v="0.14410946078431369"/>
    <n v="844.53492647058818"/>
    <n v="5.5668658088235221E-2"/>
    <n v="6142.8147671568622"/>
    <n v="0.13755829021423374"/>
    <n v="5.8953574850998149E-2"/>
    <n v="0.12092416836795911"/>
    <n v="5.0358358614831653"/>
    <n v="0.9990674378034291"/>
    <n v="71.912766843981345"/>
    <n v="71.912766843981359"/>
    <x v="4"/>
    <x v="2"/>
    <n v="0.4"/>
    <x v="26"/>
    <x v="10"/>
    <n v="29470"/>
    <n v="5000"/>
    <m/>
    <m/>
    <n v="0.49519006982156716"/>
    <m/>
    <n v="11600"/>
    <n v="385306.59564468113"/>
    <n v="29469.398675756838"/>
    <n v="2187.8250577511521"/>
    <n v="1600"/>
    <n v="33.216085831438029"/>
    <m/>
    <n v="13.074803455750718"/>
    <n v="27.278446202001167"/>
    <n v="0.35425879398640875"/>
    <n v="27.632704995987574"/>
    <n v="2.2882189215686273"/>
    <n v="2.1113373161764706"/>
    <n v="1.7592275033936482"/>
    <n v="2.1378754921477361"/>
    <m/>
    <n v="5400"/>
    <n v="355678.73264207377"/>
    <e v="#DIV/0!"/>
    <e v="#DIV/0!"/>
    <n v="0"/>
    <e v="#DIV/0!"/>
    <n v="0"/>
    <e v="#DIV/0!"/>
    <e v="#DIV/0!"/>
  </r>
  <r>
    <x v="4"/>
    <x v="8"/>
    <x v="0"/>
    <x v="38"/>
    <x v="1"/>
    <x v="0"/>
    <m/>
    <n v="0.17436044400462422"/>
    <n v="0.19344804233874538"/>
    <n v="0.9016296876844011"/>
    <n v="1.5425634225209555"/>
    <n v="1.717054837544759"/>
    <n v="1.7961932173386517E-2"/>
    <x v="38"/>
    <n v="11075.8431372549"/>
    <n v="1852.6117647058825"/>
    <n v="27.888888888888889"/>
    <n v="42.333333333333336"/>
    <n v="0.39154670574375766"/>
    <n v="0.59490561158520816"/>
    <n v="11800"/>
    <n v="5450"/>
    <n v="11800"/>
    <n v="387820.62595088029"/>
    <n v="23706.595320973367"/>
    <n v="2356.8362760024756"/>
    <n v="1800"/>
    <n v="32.866154741600027"/>
    <n v="83.939295771035873"/>
    <n v="230716.66666666669"/>
    <n v="387820.62595088029"/>
    <n v="0.42852003443059766"/>
    <n v="33.276486861264964"/>
    <n v="33.705006895695561"/>
    <n v="0.21140997451213189"/>
    <n v="0.82475031940661081"/>
    <n v="0.90286580227593005"/>
    <n v="0.21426001721529886"/>
    <n v="1.1094720677220513"/>
    <n v="15.93774146338138"/>
    <n v="0.57147280147582635"/>
    <n v="16.359186998386608"/>
    <n v="17.068604758323794"/>
    <n v="0.94290893737896397"/>
    <n v="1.9746785031892395"/>
    <n v="2.2151686274509799"/>
    <n v="0.90286580227593016"/>
    <n v="2.0584575163398693"/>
    <n v="0.971601300548669"/>
    <n v="6.6447869756219968E-2"/>
    <n v="507.23984108671215"/>
    <n v="2"/>
    <n v="5537.9215686274501"/>
    <n v="0.10758431372549003"/>
    <n v="926.30588235294124"/>
    <n v="2.9228758169934709E-2"/>
    <n v="6001.0745098039206"/>
    <n v="0.10111458895484782"/>
    <n v="6.0346007965702039E-2"/>
    <n v="9.1829306385653606E-2"/>
    <n v="5.0842854703406717"/>
    <n v="0.99906710358342377"/>
    <n v="71.227489542819413"/>
    <n v="71.227489542819413"/>
    <x v="4"/>
    <x v="2"/>
    <n v="0.4"/>
    <x v="27"/>
    <x v="18"/>
    <n v="23710"/>
    <n v="5000"/>
    <m/>
    <m/>
    <n v="0.59490561158520816"/>
    <m/>
    <n v="11800"/>
    <n v="387820.62595088029"/>
    <n v="23706.595320973367"/>
    <n v="2356.8362760024756"/>
    <n v="1800"/>
    <n v="32.866154741600027"/>
    <m/>
    <n v="16.359186998386608"/>
    <n v="33.276486861264964"/>
    <n v="0.42852003443059766"/>
    <n v="33.705006895695561"/>
    <n v="2.2151686274509799"/>
    <n v="2.0584575163398693"/>
    <n v="1.7328598441322089"/>
    <n v="2.0942409440707186"/>
    <m/>
    <n v="5450"/>
    <n v="390820.2162742014"/>
    <e v="#DIV/0!"/>
    <e v="#DIV/0!"/>
    <n v="0"/>
    <e v="#DIV/0!"/>
    <n v="0"/>
    <e v="#DIV/0!"/>
    <e v="#DIV/0!"/>
  </r>
  <r>
    <x v="4"/>
    <x v="9"/>
    <x v="0"/>
    <x v="39"/>
    <x v="1"/>
    <x v="0"/>
    <m/>
    <n v="0.18828923375344761"/>
    <n v="0.16248296045972282"/>
    <n v="1.1704781419399841"/>
    <n v="3.2295448025067626"/>
    <n v="4.105344993273417"/>
    <n v="2.0872182953329547E-2"/>
    <x v="39"/>
    <n v="11753.010185185187"/>
    <n v="2126.0847222222224"/>
    <n v="34.896800825593395"/>
    <n v="54"/>
    <n v="0.49386129038198118"/>
    <n v="0.76237393328161362"/>
    <n v="12000"/>
    <n v="5500"/>
    <n v="12000"/>
    <n v="389572.6060852753"/>
    <n v="18520.503614459172"/>
    <n v="2587.1754823510628"/>
    <n v="2000"/>
    <n v="32.464383840439609"/>
    <n v="65.735834074644231"/>
    <n v="297000"/>
    <n v="389572.6060852753"/>
    <n v="0.38193277784043289"/>
    <n v="44.376029296501052"/>
    <n v="44.757962074341485"/>
    <n v="0.18335514341305237"/>
    <n v="1.0269100187131375"/>
    <n v="0.85084585501381782"/>
    <n v="0.19096638892021645"/>
    <n v="0.86294344727369587"/>
    <n v="20.490956377992678"/>
    <n v="0.58718724620064777"/>
    <n v="21.034665913789269"/>
    <n v="21.723028808343365"/>
    <n v="0.95098955173591371"/>
    <n v="2.0603923361345853"/>
    <n v="2.3506020370370373"/>
    <n v="0.85084585501381793"/>
    <n v="2.1260847222222226"/>
    <n v="0.94069628509891345"/>
    <n v="6.5843798212981614E-2"/>
    <n v="679.75972360472224"/>
    <n v="2"/>
    <n v="5876.5050925925934"/>
    <n v="0.17530101851851868"/>
    <n v="1063.0423611111112"/>
    <n v="6.3042361111111181E-2"/>
    <n v="6408.0262731481489"/>
    <n v="0.16509568602693617"/>
    <n v="5.65136400405995E-2"/>
    <n v="0.14170139672383908"/>
    <n v="5.1250361949786321"/>
    <n v="0.99906817523727665"/>
    <n v="70.661138066930022"/>
    <n v="70.661138066930036"/>
    <x v="4"/>
    <x v="3"/>
    <n v="0.5"/>
    <x v="28"/>
    <x v="15"/>
    <n v="18525"/>
    <n v="5000"/>
    <m/>
    <m/>
    <n v="0.76237393328161362"/>
    <m/>
    <n v="12000"/>
    <n v="389572.6060852753"/>
    <n v="18520.503614459172"/>
    <n v="2587.1754823510628"/>
    <n v="2000"/>
    <n v="32.464383840439609"/>
    <m/>
    <n v="21.034665913789269"/>
    <n v="44.376029296501052"/>
    <n v="0.38193277784043289"/>
    <n v="44.757962074341485"/>
    <n v="2.3506020370370373"/>
    <n v="2.1260847222222226"/>
    <n v="1.6892327436077645"/>
    <n v="2.1665772587864867"/>
    <m/>
    <n v="5500"/>
    <n v="438310.03301549674"/>
    <e v="#DIV/0!"/>
    <e v="#DIV/0!"/>
    <n v="0"/>
    <e v="#DIV/0!"/>
    <n v="0"/>
    <e v="#DIV/0!"/>
    <e v="#DIV/0!"/>
  </r>
  <r>
    <x v="4"/>
    <x v="10"/>
    <x v="0"/>
    <x v="40"/>
    <x v="1"/>
    <x v="0"/>
    <m/>
    <n v="0.23504210296204842"/>
    <n v="0.20141286979510664"/>
    <n v="1.3894296544767464"/>
    <n v="3.5152292529741924"/>
    <n v="3.620838298797608"/>
    <n v="1.8766042390591448E-2"/>
    <x v="40"/>
    <n v="10473.480827886708"/>
    <n v="2125.919564270152"/>
    <n v="30.68896198830409"/>
    <n v="46"/>
    <n v="0.43729828190854692"/>
    <n v="0.65254719420739582"/>
    <n v="12200"/>
    <n v="5550"/>
    <n v="12200"/>
    <n v="391236.07038123172"/>
    <n v="18769.667702763742"/>
    <n v="2451.2360700550576"/>
    <n v="2200"/>
    <n v="32.068530359117354"/>
    <n v="73.333309747198854"/>
    <n v="255300"/>
    <n v="391236.07038123172"/>
    <n v="0.42189876605773824"/>
    <n v="39.895096662081372"/>
    <n v="40.316995428139109"/>
    <n v="0.2201789121856981"/>
    <n v="1.0675050604474545"/>
    <n v="0.9547924099287014"/>
    <n v="0.21094938302886912"/>
    <n v="0.85692251412347265"/>
    <n v="20.754997896193792"/>
    <n v="0.67630172386096854"/>
    <n v="20.844059499445699"/>
    <n v="21.597439039579292"/>
    <n v="0.9710074383510684"/>
    <n v="1.8667488934338237"/>
    <n v="2.0946961655773415"/>
    <n v="0.9547924099287014"/>
    <n v="1.9326541493365019"/>
    <n v="1.034846302266041"/>
    <n v="6.5250610841693479E-2"/>
    <n v="617.87920309211222"/>
    <n v="2"/>
    <n v="5236.7404139433538"/>
    <n v="4.734808278867076E-2"/>
    <n v="1062.959782135076"/>
    <n v="3.3672925331749079E-2"/>
    <n v="5768.2203050108919"/>
    <n v="3.9318973875836383E-2"/>
    <n v="6.2782083731580882E-2"/>
    <n v="3.7831478943569856E-2"/>
    <n v="5.1602784460790376"/>
    <n v="0.99907022009980551"/>
    <n v="70.178556051866991"/>
    <n v="70.178556051866991"/>
    <x v="4"/>
    <x v="2"/>
    <n v="0.5"/>
    <x v="29"/>
    <x v="17"/>
    <n v="18770"/>
    <n v="5000"/>
    <m/>
    <m/>
    <n v="0.65254719420739582"/>
    <m/>
    <n v="12200"/>
    <n v="391236.07038123172"/>
    <n v="18769.667702763742"/>
    <n v="2451.2360700550576"/>
    <n v="2200"/>
    <n v="32.068530359117354"/>
    <m/>
    <n v="20.844059499445699"/>
    <n v="39.895096662081372"/>
    <n v="0.42189876605773824"/>
    <n v="40.316995428139109"/>
    <n v="2.0946961655773415"/>
    <n v="1.9326541493365019"/>
    <n v="1.463380911029678"/>
    <n v="1.9224867078298316"/>
    <m/>
    <n v="5550"/>
    <n v="424227.74091790378"/>
    <e v="#DIV/0!"/>
    <e v="#DIV/0!"/>
    <n v="0"/>
    <e v="#DIV/0!"/>
    <n v="0"/>
    <e v="#DIV/0!"/>
    <e v="#DIV/0!"/>
  </r>
  <r>
    <x v="4"/>
    <x v="11"/>
    <x v="0"/>
    <x v="41"/>
    <x v="1"/>
    <x v="0"/>
    <m/>
    <n v="0.18824029019694385"/>
    <n v="0.16432492611937052"/>
    <n v="1.0480099242489727"/>
    <n v="2.0461770534515371"/>
    <n v="2.385656719207764"/>
    <n v="2.0326716039575112E-2"/>
    <x v="41"/>
    <n v="9556.6426785919048"/>
    <n v="2145.7577571379429"/>
    <n v="35.480311890838209"/>
    <n v="55"/>
    <n v="0.51077284626098474"/>
    <n v="0.79175071114559081"/>
    <n v="12400"/>
    <n v="5600"/>
    <n v="12400"/>
    <n v="389011.33357285173"/>
    <n v="15841.55594010124"/>
    <n v="2705.7986097172666"/>
    <n v="2400"/>
    <n v="31.371881739746108"/>
    <n v="61.420418037877283"/>
    <n v="308000"/>
    <n v="389011.33357285173"/>
    <n v="0.3140789204217676"/>
    <n v="43.61620861905854"/>
    <n v="43.930287539480311"/>
    <n v="0.18465164215894564"/>
    <n v="1.0194346933286906"/>
    <n v="1.046392581193945"/>
    <n v="0.1570394602108838"/>
    <n v="0.87295300037759072"/>
    <n v="24.22071172688705"/>
    <n v="0.68265216499242121"/>
    <n v="24.556384173609505"/>
    <n v="25.43845182868408"/>
    <n v="0.95873072250191371"/>
    <n v="1.7269245721135069"/>
    <n v="1.9113285357183809"/>
    <n v="1.046392581193945"/>
    <n v="1.7881314642816191"/>
    <n v="1.1184859949900265"/>
    <n v="6.46680161020355E-2"/>
    <n v="679.32016764153605"/>
    <n v="2"/>
    <n v="4778.3213392959524"/>
    <n v="4.4335732140809526E-2"/>
    <n v="1072.8788785689715"/>
    <n v="0.10593426785919045"/>
    <n v="5314.7607785804385"/>
    <n v="5.0935575253493133E-2"/>
    <n v="6.8138699982678408E-2"/>
    <n v="5.3669249342159178E-2"/>
    <n v="5.2133626612255286"/>
    <n v="0.99906904238192396"/>
    <n v="69.463974348998917"/>
    <n v="69.463974348998917"/>
    <x v="4"/>
    <x v="3"/>
    <n v="0.60000000000000009"/>
    <x v="30"/>
    <x v="23"/>
    <n v="15845"/>
    <n v="5000"/>
    <m/>
    <m/>
    <n v="0.79175071114559081"/>
    <m/>
    <n v="12400"/>
    <n v="389011.33357285173"/>
    <n v="15841.55594010124"/>
    <n v="2705.7986097172666"/>
    <n v="2400"/>
    <n v="31.371881739746108"/>
    <m/>
    <n v="24.556384173609505"/>
    <n v="43.61620861905854"/>
    <n v="0.3140789204217676"/>
    <n v="43.930287539480311"/>
    <n v="1.9113285357183809"/>
    <n v="1.7881314642816191"/>
    <n v="1.4547893312100211"/>
    <n v="1.8012613256065335"/>
    <m/>
    <n v="5600"/>
    <n v="482995.32492561667"/>
    <e v="#DIV/0!"/>
    <e v="#DIV/0!"/>
    <n v="0"/>
    <e v="#DIV/0!"/>
    <n v="0"/>
    <e v="#DIV/0!"/>
    <e v="#DIV/0!"/>
  </r>
  <r>
    <x v="4"/>
    <x v="12"/>
    <x v="0"/>
    <x v="42"/>
    <x v="1"/>
    <x v="0"/>
    <m/>
    <n v="0.4180031805995803"/>
    <n v="0.17561969466664892"/>
    <n v="1.9199125414060869"/>
    <n v="5.2925902485847471"/>
    <n v="5.6682829332351696"/>
    <n v="2.1851780945371161E-2"/>
    <x v="42"/>
    <n v="9893.9683430799232"/>
    <n v="2384.682456140351"/>
    <n v="39.140350877192986"/>
    <n v="63"/>
    <n v="0.56726287207545623"/>
    <n v="0.91130074993535037"/>
    <n v="12600"/>
    <n v="5650"/>
    <n v="12600"/>
    <n v="390595.53064699209"/>
    <n v="13665.340235016183"/>
    <n v="2883.0602026213896"/>
    <n v="2600"/>
    <n v="30.999645289443816"/>
    <n v="54.647759998860458"/>
    <n v="355950"/>
    <n v="390595.53064699209"/>
    <n v="0.34751513989063726"/>
    <n v="52.109558655848623"/>
    <n v="52.457073795739262"/>
    <n v="0.19747147561202008"/>
    <n v="2.116777520925845"/>
    <n v="1.0107167976734268"/>
    <n v="0.17375756994531863"/>
    <n v="0.42013961332720362"/>
    <n v="28.239322982119301"/>
    <n v="0.72148875391340206"/>
    <n v="28.582934923649159"/>
    <n v="29.418032026655936"/>
    <n v="0.97339870851410637"/>
    <n v="1.7831605373264754"/>
    <n v="1.9787936686159846"/>
    <n v="1.0107167976734268"/>
    <n v="1.8343711201079622"/>
    <n v="1.0902919142568543"/>
    <n v="6.4095732773698913E-2"/>
    <n v="818.41756893470654"/>
    <n v="2"/>
    <n v="4946.9841715399616"/>
    <n v="1.0603165692007678E-2"/>
    <n v="1192.3412280701755"/>
    <n v="8.2814439946018864E-2"/>
    <n v="5543.1547855750496"/>
    <n v="1.8910657420345207E-2"/>
    <n v="6.5331188498253381E-2"/>
    <n v="1.9275163432742999E-2"/>
    <n v="5.2485242684498576"/>
    <n v="0.99907105765160187"/>
    <n v="68.998612114326093"/>
    <n v="68.998612114326093"/>
    <x v="4"/>
    <x v="3"/>
    <n v="0.60000000000000009"/>
    <x v="31"/>
    <x v="24"/>
    <n v="13670"/>
    <n v="5000"/>
    <m/>
    <m/>
    <n v="0.91130074993535037"/>
    <m/>
    <n v="12600"/>
    <n v="390595.53064699209"/>
    <n v="13665.340235016183"/>
    <n v="2883.0602026213896"/>
    <n v="2600"/>
    <n v="30.999645289443816"/>
    <m/>
    <n v="28.582934923649159"/>
    <n v="52.109558655848623"/>
    <n v="0.34751513989063726"/>
    <n v="52.457073795739262"/>
    <n v="1.9787936686159846"/>
    <n v="1.8343711201079622"/>
    <n v="1.3668483488475343"/>
    <n v="1.8318912093570279"/>
    <m/>
    <n v="5650"/>
    <n v="525466.98495152709"/>
    <e v="#DIV/0!"/>
    <e v="#DIV/0!"/>
    <n v="0"/>
    <e v="#DIV/0!"/>
    <n v="0"/>
    <e v="#DIV/0!"/>
    <e v="#DIV/0!"/>
  </r>
  <r>
    <x v="4"/>
    <x v="13"/>
    <x v="0"/>
    <x v="43"/>
    <x v="1"/>
    <x v="0"/>
    <m/>
    <n v="1.8249674372255154"/>
    <n v="0.19329064533754595"/>
    <n v="2.2599220545800045"/>
    <n v="6.5031854073206565"/>
    <n v="7.7864677302042651"/>
    <n v="2.4655918108415869E-2"/>
    <x v="43"/>
    <n v="9392.272259079069"/>
    <n v="2441.3438891346009"/>
    <n v="46.14006734006734"/>
    <n v="69.333333333333329"/>
    <n v="0.67386728678039765"/>
    <n v="0.9954228083785881"/>
    <n v="12800"/>
    <n v="5700"/>
    <n v="12800"/>
    <n v="397017.22391084093"/>
    <n v="11437.602946745601"/>
    <n v="2812.0361622091696"/>
    <n v="2800"/>
    <n v="31.016970618034449"/>
    <n v="46.028307393028818"/>
    <n v="395200"/>
    <n v="397017.22391084093"/>
    <n v="0.36308767322866475"/>
    <n v="60.193575004984233"/>
    <n v="60.556662678212895"/>
    <n v="0.21794656344596181"/>
    <n v="8.3734627808343589"/>
    <n v="1.0647050813857604"/>
    <n v="0.18154383661433238"/>
    <n v="0.10591457216979405"/>
    <n v="33.667425532890654"/>
    <n v="0.72967872553697743"/>
    <n v="34.711575997119766"/>
    <n v="35.582990433167978"/>
    <n v="0.99676099788811479"/>
    <n v="1.7018429856802086"/>
    <n v="1.8784544518158137"/>
    <n v="1.0647050813857604"/>
    <n v="1.7438170636675721"/>
    <n v="1.1469092955161406"/>
    <n v="6.3533489503754176E-2"/>
    <n v="953.14554813858638"/>
    <n v="2"/>
    <n v="4696.1361295395345"/>
    <n v="6.0772774092093099E-2"/>
    <n v="1220.6719445673004"/>
    <n v="0.12809146816621397"/>
    <n v="5306.4721018231849"/>
    <n v="6.9039982136283359E-2"/>
    <n v="6.824513221260041E-2"/>
    <n v="7.4159986263115985E-2"/>
    <n v="5.2890017973624035"/>
    <n v="0.99907210494783116"/>
    <n v="68.470555323311956"/>
    <n v="68.470555323311956"/>
    <x v="4"/>
    <x v="3"/>
    <n v="0.70000000000000007"/>
    <x v="32"/>
    <x v="25"/>
    <n v="11440"/>
    <n v="5000"/>
    <m/>
    <m/>
    <n v="0.9954228083785881"/>
    <m/>
    <n v="12800"/>
    <n v="397017.22391084093"/>
    <n v="11437.602946745601"/>
    <n v="2812.0361622091696"/>
    <n v="2800"/>
    <n v="31.016970618034449"/>
    <m/>
    <n v="34.711575997119766"/>
    <n v="60.193575004984233"/>
    <n v="0.36308767322866475"/>
    <n v="60.556662678212895"/>
    <n v="1.8784544518158137"/>
    <n v="1.7438170636675721"/>
    <n v="1.3009024870239203"/>
    <n v="1.7073731709868112"/>
    <m/>
    <n v="5700"/>
    <n v="516768.91086431971"/>
    <e v="#DIV/0!"/>
    <e v="#DIV/0!"/>
    <n v="0"/>
    <e v="#DIV/0!"/>
    <n v="0"/>
    <e v="#DIV/0!"/>
    <e v="#DIV/0!"/>
  </r>
  <r>
    <x v="4"/>
    <x v="14"/>
    <x v="0"/>
    <x v="44"/>
    <x v="1"/>
    <x v="0"/>
    <m/>
    <n v="1.6748234095749341"/>
    <n v="0.2054726877016777"/>
    <n v="2.2110054026521362"/>
    <n v="7.0016373594601946"/>
    <n v="8.4012144899368302"/>
    <n v="2.5381527339316323E-2"/>
    <x v="44"/>
    <n v="9991.0628879892047"/>
    <n v="2529.5523346828609"/>
    <n v="48.647619047619052"/>
    <n v="68.666666666666671"/>
    <n v="0.71598852315687067"/>
    <n v="0.99756917507111453"/>
    <n v="13000"/>
    <n v="5750"/>
    <n v="13000"/>
    <n v="395795.44276233931"/>
    <n v="10340.0879397954"/>
    <n v="2705.3796152094083"/>
    <n v="3000"/>
    <n v="30.445803289410716"/>
    <n v="42.522753235166235"/>
    <n v="394833.33333333337"/>
    <n v="395795.44276233931"/>
    <n v="0.41057810891832558"/>
    <n v="64.20390173898447"/>
    <n v="64.6144798479028"/>
    <n v="0.23085421504099402"/>
    <n v="7.2548963824529986"/>
    <n v="1.0008945106352538"/>
    <n v="0.20528905445916279"/>
    <n v="0.12268319545033475"/>
    <n v="37.070175742362814"/>
    <n v="0.76201418421066858"/>
    <n v="38.277763696676161"/>
    <n v="39.073185519609737"/>
    <n v="0.99095113719781414"/>
    <n v="1.6536783215557023"/>
    <n v="1.998212577597841"/>
    <n v="1.0008945106352538"/>
    <n v="1.6863682231219073"/>
    <n v="1.1859806017320931"/>
    <n v="6.2981024377634587E-2"/>
    <n v="1025.9356764423837"/>
    <n v="2"/>
    <n v="4995.5314439946023"/>
    <n v="8.9371120107953176E-4"/>
    <n v="1264.7761673414304"/>
    <n v="0.15681588843904637"/>
    <n v="5627.9195276653172"/>
    <n v="2.1231386492988311E-2"/>
    <n v="6.4347204751456194E-2"/>
    <n v="2.1691936378010965E-2"/>
    <n v="5.3299365149757447"/>
    <n v="0.99907305451913464"/>
    <n v="67.944691114777157"/>
    <n v="67.944691114777157"/>
    <x v="4"/>
    <x v="8"/>
    <n v="0.8"/>
    <x v="9"/>
    <x v="26"/>
    <n v="10345"/>
    <n v="5000"/>
    <m/>
    <m/>
    <n v="0.99756917507111453"/>
    <m/>
    <n v="13000"/>
    <n v="395795.44276233931"/>
    <n v="10340.0879397954"/>
    <n v="2705.3796152094083"/>
    <n v="3000"/>
    <n v="30.445803289410716"/>
    <m/>
    <n v="38.277763696676161"/>
    <n v="64.20390173898447"/>
    <n v="0.41057810891832558"/>
    <n v="64.6144798479028"/>
    <n v="1.998212577597841"/>
    <n v="1.6863682231219073"/>
    <n v="1.2564075275555768"/>
    <n v="1.6687788726212383"/>
    <m/>
    <n v="5750"/>
    <n v="510938.49091722176"/>
    <e v="#DIV/0!"/>
    <e v="#DIV/0!"/>
    <n v="0"/>
    <e v="#DIV/0!"/>
    <n v="0"/>
    <e v="#DIV/0!"/>
    <e v="#DIV/0!"/>
  </r>
  <r>
    <x v="4"/>
    <x v="15"/>
    <x v="0"/>
    <x v="45"/>
    <x v="1"/>
    <x v="0"/>
    <m/>
    <n v="1.3661789128068271"/>
    <n v="0.18625423975646438"/>
    <n v="1.5875425631830991"/>
    <n v="5.1241823712984704"/>
    <n v="6.0669184684753406"/>
    <n v="2.4125358087585144E-2"/>
    <x v="45"/>
    <n v="8649.2764985994381"/>
    <n v="2556.0095611577967"/>
    <n v="46.273929773929773"/>
    <n v="66.333333333333329"/>
    <n v="0.68742814378966433"/>
    <n v="0.98492371347297647"/>
    <n v="13200"/>
    <n v="5800"/>
    <n v="13200"/>
    <n v="390622.46960905293"/>
    <n v="10071.008587460687"/>
    <n v="2749.5274098115178"/>
    <n v="3200"/>
    <n v="29.592611334019161"/>
    <n v="43.048297631343054"/>
    <n v="384733.33333333331"/>
    <n v="390622.46960905293"/>
    <n v="0.32219288373801852"/>
    <n v="61.664645938223202"/>
    <n v="61.986838821961221"/>
    <n v="0.21037959784404953"/>
    <n v="6.4938754841595907"/>
    <n v="1.1561660679502248"/>
    <n v="0.16109644186900923"/>
    <n v="0.13633224609930725"/>
    <n v="38.152094469722513"/>
    <n v="0.8244835624748903"/>
    <n v="38.786827179892697"/>
    <n v="39.756739008086456"/>
    <n v="0.99339505728597877"/>
    <n v="1.5591529981710321"/>
    <n v="1.7298552997198877"/>
    <n v="1.1561660679502246"/>
    <n v="1.597505975723623"/>
    <n v="1.2519514983936502"/>
    <n v="6.2438084512310144E-2"/>
    <n v="992.77290945304458"/>
    <n v="2"/>
    <n v="4324.6382492997191"/>
    <n v="0.1350723501400562"/>
    <n v="1278.0047805788984"/>
    <n v="0.20124701213818852"/>
    <n v="4963.6406395891681"/>
    <n v="0.1441998897260055"/>
    <n v="7.295872454645963E-2"/>
    <n v="0.16849716188963584"/>
    <n v="5.3798292286192382"/>
    <n v="0.99907244323644495"/>
    <n v="67.31456980918783"/>
    <n v="67.31456980918783"/>
    <x v="4"/>
    <x v="3"/>
    <n v="0.70000000000000007"/>
    <x v="33"/>
    <x v="25"/>
    <n v="10075"/>
    <n v="5000"/>
    <m/>
    <m/>
    <n v="0.98492371347297647"/>
    <m/>
    <n v="13200"/>
    <n v="390622.46960905293"/>
    <n v="10071.008587460687"/>
    <n v="2749.5274098115178"/>
    <n v="3200"/>
    <n v="29.592611334019161"/>
    <m/>
    <n v="38.786827179892697"/>
    <n v="61.664645938223202"/>
    <n v="0.32219288373801852"/>
    <n v="61.986838821961221"/>
    <n v="1.7298552997198877"/>
    <n v="1.597505975723623"/>
    <n v="1.1716654767509409"/>
    <n v="1.5695195851192794"/>
    <m/>
    <n v="5800"/>
    <n v="538893.2661908787"/>
    <e v="#DIV/0!"/>
    <e v="#DIV/0!"/>
    <n v="0"/>
    <e v="#DIV/0!"/>
    <n v="0"/>
    <e v="#DIV/0!"/>
    <e v="#DIV/0!"/>
  </r>
  <r>
    <x v="4"/>
    <x v="16"/>
    <x v="0"/>
    <x v="46"/>
    <x v="1"/>
    <x v="0"/>
    <m/>
    <n v="3.2103631128871375"/>
    <n v="0.19055890054550972"/>
    <n v="2.314320123485555"/>
    <n v="7.9766825318336485"/>
    <n v="8.8034968773523961"/>
    <n v="2.4324583818512577E-2"/>
    <x v="46"/>
    <n v="7827.5383694083694"/>
    <n v="2467.4315440115438"/>
    <n v="47.339983687809784"/>
    <n v="67.333333333333329"/>
    <n v="0.71036971783084368"/>
    <n v="0.99922420480993013"/>
    <n v="13400"/>
    <n v="5850"/>
    <n v="13400"/>
    <n v="394205.82298136648"/>
    <n v="9489.2515655028674"/>
    <n v="2768.1186175974085"/>
    <n v="3400"/>
    <n v="29.418344998609438"/>
    <n v="41.412723910078981"/>
    <n v="393900"/>
    <n v="394205.82298136648"/>
    <n v="0.29832142113045013"/>
    <n v="60.019245408750706"/>
    <n v="60.317566829881159"/>
    <n v="0.2148834843640223"/>
    <n v="14.940017946882497"/>
    <n v="1.2775408472070935"/>
    <n v="0.14916071056522509"/>
    <n v="5.9357429002520737E-2"/>
    <n v="40.944174652696113"/>
    <n v="0.86489625604242415"/>
    <n v="41.54235139201689"/>
    <n v="42.629333338678471"/>
    <n v="1.0352076780362054"/>
    <n v="1.4149310370555055"/>
    <n v="1.5655076738816738"/>
    <n v="1.2775408472070937"/>
    <n v="1.4514303200067904"/>
    <n v="1.377951095847745"/>
    <n v="6.1904425670324587E-2"/>
    <n v="974.36598719299434"/>
    <n v="2"/>
    <n v="3913.7691847041847"/>
    <n v="0.21724616305916306"/>
    <n v="1233.7157720057719"/>
    <n v="0.27428483999660475"/>
    <n v="4530.6270707070707"/>
    <n v="0.2255338340671674"/>
    <n v="7.9931736715394996E-2"/>
    <n v="0.29121199090152039"/>
    <n v="5.4341785088597518"/>
    <n v="0.99907108059677607"/>
    <n v="66.641331266717344"/>
    <n v="66.641331266717344"/>
    <x v="4"/>
    <x v="3"/>
    <n v="0.8"/>
    <x v="9"/>
    <x v="27"/>
    <n v="9490"/>
    <n v="5000"/>
    <m/>
    <m/>
    <n v="0.99922420480993013"/>
    <m/>
    <n v="13400"/>
    <n v="394205.82298136648"/>
    <n v="9489.2515655028674"/>
    <n v="2768.1186175974085"/>
    <n v="3400"/>
    <n v="29.418344998609438"/>
    <m/>
    <n v="41.54235139201689"/>
    <n v="60.019245408750706"/>
    <n v="0.29832142113045013"/>
    <n v="60.317566829881159"/>
    <n v="1.5655076738816738"/>
    <n v="1.4514303200067904"/>
    <n v="1.0727340811344952"/>
    <n v="1.3668088704091119"/>
    <m/>
    <n v="5850"/>
    <n v="550455.63962589612"/>
    <e v="#DIV/0!"/>
    <e v="#DIV/0!"/>
    <n v="0"/>
    <e v="#DIV/0!"/>
    <n v="0"/>
    <e v="#DIV/0!"/>
    <e v="#DIV/0!"/>
  </r>
  <r>
    <x v="4"/>
    <x v="17"/>
    <x v="0"/>
    <x v="47"/>
    <x v="1"/>
    <x v="0"/>
    <m/>
    <n v="3.2667168117106846"/>
    <n v="0.19339880353494768"/>
    <n v="1.9306123339336396"/>
    <n v="6.0410357594490049"/>
    <n v="6.8753524398803707"/>
    <n v="2.4144724083930518E-2"/>
    <x v="47"/>
    <n v="7565.4439826839834"/>
    <n v="2546.24316017316"/>
    <n v="45.810464897421419"/>
    <n v="67"/>
    <n v="0.69163114163282824"/>
    <n v="0.99824153090250833"/>
    <n v="13600"/>
    <n v="5900"/>
    <n v="13600"/>
    <n v="395996.3473395161"/>
    <n v="9071.2703285266016"/>
    <n v="2774.9333463947819"/>
    <n v="3600"/>
    <n v="29.117378480846771"/>
    <n v="42.099576968303353"/>
    <n v="395300"/>
    <n v="395996.3473395161"/>
    <n v="0.29262956289235037"/>
    <n v="61.478338552976247"/>
    <n v="61.770968115868598"/>
    <n v="0.21754352761887819"/>
    <n v="15.016382456727261"/>
    <n v="1.3217994902729175"/>
    <n v="0.14631478144617518"/>
    <n v="5.9202806573756955E-2"/>
    <n v="43.241317667550184"/>
    <n v="0.94391789658489478"/>
    <n v="43.653902154609881"/>
    <n v="44.78230284134785"/>
    <n v="1.0379968604977143"/>
    <n v="1.3793611359091382"/>
    <n v="1.5130887965367967"/>
    <n v="1.3217994902729175"/>
    <n v="1.4145795334295335"/>
    <n v="1.4138476859983702"/>
    <n v="6.1379811893457432E-2"/>
    <n v="1006.3727178423115"/>
    <n v="2"/>
    <n v="3782.7219913419917"/>
    <n v="0.24345560173160166"/>
    <n v="1273.12158008658"/>
    <n v="0.29271023328523332"/>
    <n v="4419.2827813852819"/>
    <n v="0.25096902010418953"/>
    <n v="8.1945625135552216E-2"/>
    <n v="0.33505826439795466"/>
    <n v="5.4674825470996611"/>
    <n v="0.99907330804286454"/>
    <n v="66.235399391170247"/>
    <n v="66.235399391170247"/>
    <x v="4"/>
    <x v="3"/>
    <n v="0.70000000000000007"/>
    <x v="34"/>
    <x v="28"/>
    <n v="9075"/>
    <n v="5000"/>
    <m/>
    <m/>
    <n v="0.99824153090250833"/>
    <m/>
    <n v="13600"/>
    <n v="395996.3473395161"/>
    <n v="9071.2703285266016"/>
    <n v="2774.9333463947819"/>
    <n v="3600"/>
    <n v="29.117378480846771"/>
    <m/>
    <n v="43.653902154609881"/>
    <n v="61.478338552976247"/>
    <n v="0.29262956289235037"/>
    <n v="61.770968115868598"/>
    <n v="1.5130887965367967"/>
    <n v="1.4145795334295335"/>
    <n v="0.98551272577870874"/>
    <n v="1.3288683120368412"/>
    <m/>
    <n v="5900"/>
    <n v="562279.55942183058"/>
    <e v="#DIV/0!"/>
    <e v="#DIV/0!"/>
    <n v="0"/>
    <e v="#DIV/0!"/>
    <n v="0"/>
    <e v="#DIV/0!"/>
    <e v="#DIV/0!"/>
  </r>
  <r>
    <x v="2"/>
    <x v="1"/>
    <x v="1"/>
    <x v="48"/>
    <x v="2"/>
    <x v="0"/>
    <m/>
    <n v="9.4931888558958594E-2"/>
    <n v="8.4236843585686033E-2"/>
    <n v="0.654660305900999"/>
    <n v="0.81828073263168333"/>
    <n v="0.89854340076446548"/>
    <n v="8.4535995613054232E-3"/>
    <x v="48"/>
    <n v="11118.395"/>
    <n v="347.12833333333333"/>
    <n v="2.1341911764705888"/>
    <n v="5.5"/>
    <n v="1.6875256696937891E-2"/>
    <n v="4.3444530643910018E-2"/>
    <n v="9300"/>
    <n v="3050"/>
    <n v="9300"/>
    <n v="386124.55357142846"/>
    <n v="415367.7741675725"/>
    <n v="650.61042460244926"/>
    <n v="300"/>
    <n v="41.518769201228864"/>
    <n v="2460.3340824298498"/>
    <n v="16775"/>
    <n v="386124.55357142846"/>
    <n v="0.3121928335129579"/>
    <n v="2.9344839263833493"/>
    <n v="3.2466767598963071"/>
    <n v="9.2690443146991458E-2"/>
    <n v="1.0241820551921688"/>
    <n v="0.80946935236605644"/>
    <n v="0.10406427783765262"/>
    <n v="0.88733980609023411"/>
    <n v="0.84504036772406388"/>
    <n v="0.39595345395511683"/>
    <n v="0.92959679971622833"/>
    <n v="1.6548293084965988"/>
    <n v="0.56290920878600792"/>
    <n v="1.9619405718925118"/>
    <n v="3.7061316666666668"/>
    <n v="0.80946935236605644"/>
    <n v="3.4712833333333335"/>
    <n v="0.86423368878944862"/>
    <n v="0.11873471808898323"/>
    <n v="27.343954760250949"/>
    <n v="3"/>
    <n v="3706.1316666666667"/>
    <n v="0.23537722222222221"/>
    <n v="115.70944444444444"/>
    <n v="0.15709444444444443"/>
    <n v="3763.986388888889"/>
    <n v="0.23409389799635705"/>
    <n v="9.6212061563352547E-2"/>
    <n v="0.18968888702587858"/>
    <n v="2.8634831544034203"/>
    <n v="0.9990611530641299"/>
    <n v="126.46866443565563"/>
    <n v="126.46866443565564"/>
    <x v="2"/>
    <x v="0"/>
    <n v="0.1"/>
    <x v="0"/>
    <x v="19"/>
    <n v="415370"/>
    <n v="3000"/>
    <m/>
    <m/>
    <n v="4.3444530643910018E-2"/>
    <m/>
    <n v="9300"/>
    <n v="386124.55357142846"/>
    <n v="415367.7741675725"/>
    <n v="650.61042460244926"/>
    <n v="300"/>
    <n v="41.518769201228864"/>
    <m/>
    <n v="0.92959679971622833"/>
    <n v="2.9344839263833493"/>
    <n v="0.3121928335129579"/>
    <n v="3.2466767598963071"/>
    <n v="3.7061316666666668"/>
    <n v="3.4712833333333335"/>
    <n v="2.2910879573592475"/>
    <n v="3.4853588132333275"/>
    <m/>
    <n v="3050"/>
    <n v="47794.33093066587"/>
    <e v="#DIV/0!"/>
    <e v="#DIV/0!"/>
    <n v="0"/>
    <e v="#DIV/0!"/>
    <n v="0"/>
    <e v="#DIV/0!"/>
    <e v="#DIV/0!"/>
  </r>
  <r>
    <x v="2"/>
    <x v="2"/>
    <x v="1"/>
    <x v="49"/>
    <x v="2"/>
    <x v="0"/>
    <m/>
    <n v="0.1025615991401071"/>
    <n v="8.9675797590644396E-2"/>
    <n v="0.64672680205278432"/>
    <n v="0.77011402845382682"/>
    <n v="0.83509726047515853"/>
    <n v="9.0757148595714369E-3"/>
    <x v="49"/>
    <n v="10789.9125"/>
    <n v="674.40625"/>
    <n v="5.1470588235294112"/>
    <n v="10.5"/>
    <n v="4.1308812120658976E-2"/>
    <n v="8.5221101629169904E-2"/>
    <n v="9600"/>
    <n v="3100"/>
    <n v="9600"/>
    <n v="381947.65589440143"/>
    <n v="200516.5331259681"/>
    <n v="1156.9336589421914"/>
    <n v="600"/>
    <n v="39.786214155666812"/>
    <n v="963.14108571931808"/>
    <n v="32550"/>
    <n v="381947.65589440143"/>
    <n v="0.32253133645692128"/>
    <n v="6.1207188245128492"/>
    <n v="6.4432501609697708"/>
    <n v="9.8751512450215836E-2"/>
    <n v="1.0385825654246263"/>
    <n v="0.83411241750106868"/>
    <n v="0.10751044548564043"/>
    <n v="0.8743603682323664"/>
    <n v="1.7974516866611341"/>
    <n v="0.34921918483702036"/>
    <n v="1.9048187695049317"/>
    <n v="2.6492553894153561"/>
    <n v="0.71376190400388928"/>
    <n v="2.4320985385979275"/>
    <n v="3.5966374999999999"/>
    <n v="0.83411241750106868"/>
    <n v="3.37203125"/>
    <n v="0.88967147027477878"/>
    <n v="0.11681964199077381"/>
    <n v="55.155537640482123"/>
    <n v="3"/>
    <n v="3596.6375000000003"/>
    <n v="0.19887916666666675"/>
    <n v="224.80208333333334"/>
    <n v="0.12401041666666672"/>
    <n v="3709.0385416666668"/>
    <n v="0.19646404569892478"/>
    <n v="9.7637402821020514E-2"/>
    <n v="0.16420388594640853"/>
    <n v="2.9064385129837107"/>
    <n v="0.99906243918936011"/>
    <n v="124.59953601414051"/>
    <n v="124.59953601414048"/>
    <x v="2"/>
    <x v="0"/>
    <n v="0.1"/>
    <x v="35"/>
    <x v="2"/>
    <n v="200520"/>
    <n v="3000"/>
    <m/>
    <m/>
    <n v="8.5221101629169904E-2"/>
    <m/>
    <n v="9600"/>
    <n v="381947.65589440143"/>
    <n v="200516.5331259681"/>
    <n v="1156.9336589421914"/>
    <n v="600"/>
    <n v="39.786214155666812"/>
    <m/>
    <n v="1.9048187695049317"/>
    <n v="6.1207188245128492"/>
    <n v="0.32253133645692128"/>
    <n v="6.4432501609697708"/>
    <n v="3.5966374999999999"/>
    <n v="3.37203125"/>
    <n v="2.7219612654722511"/>
    <n v="3.4074367445991838"/>
    <m/>
    <n v="3100"/>
    <n v="90144.147133183913"/>
    <e v="#DIV/0!"/>
    <e v="#DIV/0!"/>
    <n v="0"/>
    <e v="#DIV/0!"/>
    <n v="0"/>
    <e v="#DIV/0!"/>
    <e v="#DIV/0!"/>
  </r>
  <r>
    <x v="2"/>
    <x v="0"/>
    <x v="1"/>
    <x v="50"/>
    <x v="2"/>
    <x v="0"/>
    <m/>
    <n v="0.10188700940503526"/>
    <n v="8.9116244570299888E-2"/>
    <n v="0.65832686801715679"/>
    <n v="0.78860384225845337"/>
    <n v="0.84649495363235472"/>
    <n v="9.7737484105561365E-3"/>
    <x v="50"/>
    <n v="10572.581249999999"/>
    <n v="987.625"/>
    <n v="8.382352941176471"/>
    <n v="15.5"/>
    <n v="6.8285948980057493E-2"/>
    <n v="0.1267649340574088"/>
    <n v="9900"/>
    <n v="3150"/>
    <n v="9900"/>
    <n v="385161.7197062425"/>
    <n v="127484.61619453198"/>
    <n v="1585.8808052864574"/>
    <n v="900"/>
    <n v="38.905224212751769"/>
    <n v="569.73981900894148"/>
    <n v="48825"/>
    <n v="385161.7197062425"/>
    <n v="0.31406291213812226"/>
    <n v="9.6527982739755043"/>
    <n v="9.9668611861136274"/>
    <n v="9.8889992980856017E-2"/>
    <n v="1.0303065692881526"/>
    <n v="0.85125853253669725"/>
    <n v="0.1046876373793741"/>
    <n v="0.87465757500087904"/>
    <n v="2.9305232465268642"/>
    <n v="0.34960628204180133"/>
    <n v="3.0212407677371407"/>
    <n v="3.7833830557035384"/>
    <n v="0.79892425985379611"/>
    <n v="2.6343780260601291"/>
    <n v="3.5241937499999998"/>
    <n v="0.85125853253669725"/>
    <n v="3.2920833333333333"/>
    <n v="0.91127705353752697"/>
    <n v="0.11496536195917423"/>
    <n v="86.694470545423897"/>
    <n v="3"/>
    <n v="3524.1937499999999"/>
    <n v="0.17473124999999998"/>
    <n v="329.20833333333331"/>
    <n v="9.7361111111111051E-2"/>
    <n v="3688.7979166666664"/>
    <n v="0.1710469576719576"/>
    <n v="9.8173144301339957E-2"/>
    <n v="0.1460632782924427"/>
    <n v="2.9501423434892957"/>
    <n v="0.99906344687508275"/>
    <n v="122.75370067163433"/>
    <n v="122.75370067163433"/>
    <x v="2"/>
    <x v="0"/>
    <n v="0.1"/>
    <x v="20"/>
    <x v="3"/>
    <n v="127485"/>
    <n v="3000"/>
    <m/>
    <m/>
    <n v="0.1267649340574088"/>
    <m/>
    <n v="9900"/>
    <n v="385161.7197062425"/>
    <n v="127484.61619453198"/>
    <n v="1585.8808052864574"/>
    <n v="900"/>
    <n v="38.905224212751769"/>
    <m/>
    <n v="3.0212407677371407"/>
    <n v="9.6527982739755043"/>
    <n v="0.31406291213812226"/>
    <n v="9.9668611861136274"/>
    <n v="3.5241937499999998"/>
    <n v="3.2920833333333333"/>
    <n v="2.77319251597681"/>
    <n v="3.2974064732271651"/>
    <m/>
    <n v="3150"/>
    <n v="128402.40964386944"/>
    <e v="#DIV/0!"/>
    <e v="#DIV/0!"/>
    <n v="0"/>
    <e v="#DIV/0!"/>
    <n v="0"/>
    <e v="#DIV/0!"/>
    <e v="#DIV/0!"/>
  </r>
  <r>
    <x v="2"/>
    <x v="3"/>
    <x v="1"/>
    <x v="51"/>
    <x v="2"/>
    <x v="0"/>
    <m/>
    <n v="0.10506066984149426"/>
    <n v="9.1278880747759722E-2"/>
    <n v="0.69672424544182121"/>
    <n v="0.94447686672210696"/>
    <n v="1.372889928817743"/>
    <n v="1.0705457534636925E-2"/>
    <x v="51"/>
    <n v="11033.8375"/>
    <n v="1352.6312499999999"/>
    <n v="12.02941176470588"/>
    <n v="21.5"/>
    <n v="9.8829461963218179E-2"/>
    <n v="0.17564003103180759"/>
    <n v="10200"/>
    <n v="3200"/>
    <n v="10200"/>
    <n v="391710.24734982336"/>
    <n v="89565.259007572284"/>
    <n v="2008.3214501050443"/>
    <n v="1200"/>
    <n v="38.402965426453271"/>
    <n v="388.57810883100711"/>
    <n v="68800"/>
    <n v="391710.24734982336"/>
    <n v="0.33571877911755305"/>
    <n v="14.48053640689786"/>
    <n v="14.816255186015413"/>
    <n v="0.10198433828239664"/>
    <n v="1.0301647450079952"/>
    <n v="0.81567269773548867"/>
    <n v="0.11190625970585102"/>
    <n v="0.86882066224661225"/>
    <n v="4.2532188860762696"/>
    <n v="0.35356831815792955"/>
    <n v="4.3734618946025297"/>
    <n v="5.0978557115902579"/>
    <n v="0.8528240782685701"/>
    <n v="2.9063700552233822"/>
    <n v="3.6779458333333332"/>
    <n v="0.81567269773548867"/>
    <n v="3.3815781249999999"/>
    <n v="0.88715974882289617"/>
    <n v="0.11316902817856214"/>
    <n v="130.92146698156492"/>
    <n v="3"/>
    <n v="3677.9458333333332"/>
    <n v="0.22598194444444442"/>
    <n v="450.8770833333333"/>
    <n v="0.12719270833333327"/>
    <n v="3903.3843749999996"/>
    <n v="0.21980761718749989"/>
    <n v="9.277612845171028E-2"/>
    <n v="0.18019859368832977"/>
    <n v="2.975223562928333"/>
    <n v="0.99907024263658484"/>
    <n v="121.7188834760926"/>
    <n v="121.71888347609261"/>
    <x v="2"/>
    <x v="1"/>
    <n v="0.1"/>
    <x v="21"/>
    <x v="13"/>
    <n v="89570"/>
    <n v="3000"/>
    <m/>
    <m/>
    <n v="0.17564003103180759"/>
    <m/>
    <n v="10200"/>
    <n v="391710.24734982336"/>
    <n v="89565.259007572284"/>
    <n v="2008.3214501050443"/>
    <n v="1200"/>
    <n v="38.402965426453271"/>
    <m/>
    <n v="4.3734618946025297"/>
    <n v="14.48053640689786"/>
    <n v="0.33571877911755305"/>
    <n v="14.816255186015413"/>
    <n v="3.6779458333333332"/>
    <n v="3.3815781249999999"/>
    <n v="2.7669250695875767"/>
    <n v="3.4079362078096866"/>
    <m/>
    <n v="3200"/>
    <n v="167347.19751379566"/>
    <e v="#DIV/0!"/>
    <e v="#DIV/0!"/>
    <n v="0"/>
    <e v="#DIV/0!"/>
    <n v="0"/>
    <e v="#DIV/0!"/>
    <e v="#DIV/0!"/>
  </r>
  <r>
    <x v="2"/>
    <x v="4"/>
    <x v="1"/>
    <x v="52"/>
    <x v="2"/>
    <x v="0"/>
    <m/>
    <n v="0.10315848703317755"/>
    <n v="9.1119561946509747E-2"/>
    <n v="0.66142926622897702"/>
    <n v="0.79806160330772391"/>
    <n v="0.84770335435867294"/>
    <n v="1.0615078085420126E-2"/>
    <x v="52"/>
    <n v="9890.9187500000007"/>
    <n v="1519.2375"/>
    <n v="13.617647058823525"/>
    <n v="23"/>
    <n v="0.1145187788071008"/>
    <n v="0.19379363847944139"/>
    <n v="10500"/>
    <n v="3250"/>
    <n v="10500"/>
    <n v="385719.5756605285"/>
    <n v="71447.299024952037"/>
    <n v="2166.7292331641574"/>
    <n v="1500"/>
    <n v="36.735197681955093"/>
    <n v="320.77881081698456"/>
    <n v="74750"/>
    <n v="385719.5756605285"/>
    <n v="0.30041872791617324"/>
    <n v="16.126824692798458"/>
    <n v="16.427243420714632"/>
    <n v="0.10173464003192988"/>
    <n v="1.0139956950828233"/>
    <n v="0.90992558198903406"/>
    <n v="0.10013957597205776"/>
    <n v="0.88329680443262149"/>
    <n v="5.2815296814217554"/>
    <n v="0.38784451224263444"/>
    <n v="5.398658604656573"/>
    <n v="6.2174646246990974"/>
    <n v="0.86435121303639073"/>
    <n v="2.6421128888223713"/>
    <n v="3.2969729166666668"/>
    <n v="0.90992558198903406"/>
    <n v="3.038475"/>
    <n v="0.98733739787228791"/>
    <n v="0.11142796620658425"/>
    <n v="147.4247801513221"/>
    <n v="3"/>
    <n v="3296.9729166666671"/>
    <n v="9.8990972222222348E-2"/>
    <n v="506.41249999999997"/>
    <n v="1.2824999999999932E-2"/>
    <n v="3550.1791666666672"/>
    <n v="9.2362820512820687E-2"/>
    <n v="0.10200637014931842"/>
    <n v="8.4553244378511458E-2"/>
    <n v="3.0454550862862435"/>
    <n v="0.99906293689652725"/>
    <n v="118.91191296897723"/>
    <n v="118.91191296897723"/>
    <x v="2"/>
    <x v="1"/>
    <n v="0.2"/>
    <x v="36"/>
    <x v="5"/>
    <n v="71450"/>
    <n v="3000"/>
    <m/>
    <m/>
    <n v="0.19379363847944139"/>
    <m/>
    <n v="10500"/>
    <n v="385719.5756605285"/>
    <n v="71447.299024952037"/>
    <n v="2166.7292331641574"/>
    <n v="1500"/>
    <n v="36.735197681955093"/>
    <m/>
    <n v="5.398658604656573"/>
    <n v="16.126824692798458"/>
    <n v="0.30041872791617324"/>
    <n v="16.427243420714632"/>
    <n v="3.2969729166666668"/>
    <n v="3.038475"/>
    <n v="2.5339527077193504"/>
    <n v="3.0567584668977994"/>
    <m/>
    <n v="3250"/>
    <n v="191692.72120842809"/>
    <e v="#DIV/0!"/>
    <e v="#DIV/0!"/>
    <n v="0"/>
    <e v="#DIV/0!"/>
    <n v="0"/>
    <e v="#DIV/0!"/>
    <e v="#DIV/0!"/>
  </r>
  <r>
    <x v="2"/>
    <x v="5"/>
    <x v="1"/>
    <x v="53"/>
    <x v="2"/>
    <x v="0"/>
    <m/>
    <n v="0.10816178198688285"/>
    <n v="9.5279410350119442E-2"/>
    <n v="0.65740238307618215"/>
    <n v="0.79283959865570064"/>
    <n v="0.85448841571807865"/>
    <n v="1.1505180267543465E-2"/>
    <x v="53"/>
    <n v="10032.375"/>
    <n v="1828.9375"/>
    <n v="18.058823529411761"/>
    <n v="25"/>
    <n v="0.15360972938438372"/>
    <n v="0.21408068269976727"/>
    <n v="10800"/>
    <n v="3300"/>
    <n v="10800"/>
    <n v="385368.72621851781"/>
    <n v="55065.359315370071"/>
    <n v="2172.9342277692003"/>
    <n v="1800"/>
    <n v="35.682289464677574"/>
    <n v="232.29185812435335"/>
    <n v="82500"/>
    <n v="385368.72621851781"/>
    <n v="0.31862625813709317"/>
    <n v="21.042255635570275"/>
    <n v="21.360881893707369"/>
    <n v="0.10678459061766291"/>
    <n v="1.012896911073536"/>
    <n v="0.8970956528239824"/>
    <n v="0.10620875271236439"/>
    <n v="0.88089719492301177"/>
    <n v="6.8407990721334411"/>
    <n v="0.37880646327774764"/>
    <n v="6.9983875708761989"/>
    <n v="7.8002038133500617"/>
    <n v="0.8893941542885474"/>
    <n v="2.7385030449009786"/>
    <n v="3.344125"/>
    <n v="0.8970956528239824"/>
    <n v="3.0482291666666668"/>
    <n v="0.98417797218330316"/>
    <n v="0.10973966368830268"/>
    <n v="194.65051354977186"/>
    <n v="3"/>
    <n v="3344.125"/>
    <n v="0.11470833333333333"/>
    <n v="609.64583333333337"/>
    <n v="1.6076388888888953E-2"/>
    <n v="3648.9479166666665"/>
    <n v="0.10574179292929288"/>
    <n v="9.9245288900208936E-2"/>
    <n v="9.56297334562759E-2"/>
    <n v="3.0803980141701075"/>
    <n v="0.99906654605631218"/>
    <n v="117.56301896882098"/>
    <n v="117.56301896882098"/>
    <x v="2"/>
    <x v="1"/>
    <n v="0.2"/>
    <x v="37"/>
    <x v="29"/>
    <n v="55070"/>
    <n v="3000"/>
    <m/>
    <m/>
    <n v="0.21408068269976727"/>
    <m/>
    <n v="10800"/>
    <n v="385368.72621851781"/>
    <n v="55065.359315370071"/>
    <n v="2172.9342277692003"/>
    <n v="1800"/>
    <n v="35.682289464677574"/>
    <m/>
    <n v="6.9983875708761989"/>
    <n v="21.042255635570275"/>
    <n v="0.31862625813709317"/>
    <n v="21.360881893707369"/>
    <n v="3.344125"/>
    <n v="3.0482291666666668"/>
    <n v="2.6030902939640153"/>
    <n v="3.0790657119751228"/>
    <m/>
    <n v="3300"/>
    <n v="200959.16095116953"/>
    <e v="#DIV/0!"/>
    <e v="#DIV/0!"/>
    <n v="0"/>
    <e v="#DIV/0!"/>
    <n v="0"/>
    <e v="#DIV/0!"/>
    <e v="#DIV/0!"/>
  </r>
  <r>
    <x v="2"/>
    <x v="6"/>
    <x v="1"/>
    <x v="54"/>
    <x v="2"/>
    <x v="0"/>
    <m/>
    <n v="0.1082284531207207"/>
    <n v="9.4523633663128437E-2"/>
    <n v="0.67194647343241909"/>
    <n v="0.86422576904296844"/>
    <n v="0.91744881629943853"/>
    <n v="1.1636336481284381E-2"/>
    <x v="54"/>
    <n v="9234.4812500000007"/>
    <n v="1943.9875"/>
    <n v="19.323529411764707"/>
    <n v="30"/>
    <n v="0.166508465294574"/>
    <n v="0.25791311093871216"/>
    <n v="11100"/>
    <n v="3350"/>
    <n v="11100"/>
    <n v="389666.11520529405"/>
    <n v="47289.811410401438"/>
    <n v="2578.1310164286947"/>
    <n v="2100"/>
    <n v="35.105055423900367"/>
    <n v="210.83045454653129"/>
    <n v="100500"/>
    <n v="389666.11520529405"/>
    <n v="0.29095890758134285"/>
    <n v="22.620892665410821"/>
    <n v="22.911851572992163"/>
    <n v="0.10615997014441282"/>
    <n v="1.019484585135942"/>
    <n v="0.97460807557544171"/>
    <n v="9.6986302527114265E-2"/>
    <n v="0.87337138190171149"/>
    <n v="8.0467894193651528"/>
    <n v="0.41642441439637012"/>
    <n v="8.2399591705621944"/>
    <n v="9.1200436124745075"/>
    <n v="0.89291037214624402"/>
    <n v="2.5122524130973507"/>
    <n v="3.078160416666667"/>
    <n v="0.97460807557544171"/>
    <n v="2.7771249999999998"/>
    <n v="1.0802538596570195"/>
    <n v="0.10810175826011906"/>
    <n v="211.94707599353461"/>
    <n v="3"/>
    <n v="3078.1604166666671"/>
    <n v="2.6053472222222353E-2"/>
    <n v="647.99583333333328"/>
    <n v="7.4291666666666742E-2"/>
    <n v="3402.1583333333338"/>
    <n v="1.5569651741293659E-2"/>
    <n v="0.10644445516343266"/>
    <n v="1.5330954124710168E-2"/>
    <n v="3.1205233038918063"/>
    <n v="0.99906850050630092"/>
    <n v="116.05133335160468"/>
    <n v="116.05133335160468"/>
    <x v="2"/>
    <x v="1"/>
    <n v="0.2"/>
    <x v="38"/>
    <x v="30"/>
    <n v="47290"/>
    <n v="3000"/>
    <m/>
    <m/>
    <n v="0.25791311093871216"/>
    <m/>
    <n v="11100"/>
    <n v="389666.11520529405"/>
    <n v="47289.811410401438"/>
    <n v="2578.1310164286947"/>
    <n v="2100"/>
    <n v="35.105055423900367"/>
    <m/>
    <n v="8.2399591705621944"/>
    <n v="22.620892665410821"/>
    <n v="0.29095890758134285"/>
    <n v="22.911851572992163"/>
    <n v="3.078160416666667"/>
    <n v="2.7771249999999998"/>
    <n v="2.3729122019309767"/>
    <n v="2.8135549675145732"/>
    <m/>
    <n v="3350"/>
    <n v="246025.50261624219"/>
    <e v="#DIV/0!"/>
    <e v="#DIV/0!"/>
    <n v="0"/>
    <e v="#DIV/0!"/>
    <n v="0"/>
    <e v="#DIV/0!"/>
    <e v="#DIV/0!"/>
  </r>
  <r>
    <x v="2"/>
    <x v="7"/>
    <x v="1"/>
    <x v="55"/>
    <x v="2"/>
    <x v="0"/>
    <m/>
    <n v="0.11407151165182131"/>
    <n v="9.8829320237326823E-2"/>
    <n v="0.68990817227784329"/>
    <n v="0.86647276282310481"/>
    <n v="1.0170542025566098"/>
    <n v="1.3493247325563274E-2"/>
    <x v="55"/>
    <n v="9705.38823529412"/>
    <n v="2421.5235294117647"/>
    <n v="27.694444444444443"/>
    <n v="42"/>
    <n v="0.24204809930178434"/>
    <n v="0.36788207913110937"/>
    <n v="11400"/>
    <n v="3400"/>
    <n v="11400"/>
    <n v="388167.86166174611"/>
    <n v="35633.217647968195"/>
    <n v="3112.6680617815409"/>
    <n v="2400"/>
    <n v="34.049812426468954"/>
    <n v="140.67374428755923"/>
    <n v="142800"/>
    <n v="388167.86166174611"/>
    <n v="0.31972564064448894"/>
    <n v="32.674215887023834"/>
    <n v="32.993941527668326"/>
    <n v="0.11232256756289009"/>
    <n v="1.0155707274760433"/>
    <n v="0.92731993628766529"/>
    <n v="0.10657521354816299"/>
    <n v="0.86638038548118845"/>
    <n v="10.698977359717812"/>
    <n v="0.3863221514040534"/>
    <n v="10.893427180687945"/>
    <n v="11.721917796738284"/>
    <n v="0.92131303181883184"/>
    <n v="2.8147221384583632"/>
    <n v="3.2351294117647065"/>
    <n v="0.9273199362876654"/>
    <n v="3.0269044117647059"/>
    <n v="0.9911115753572739"/>
    <n v="0.10651202652099966"/>
    <n v="309.76728736978185"/>
    <n v="3"/>
    <n v="3235.1294117647067"/>
    <n v="7.8376470588235561E-2"/>
    <n v="807.17450980392152"/>
    <n v="8.9681372549019044E-3"/>
    <n v="3638.7166666666676"/>
    <n v="7.0210784313725766E-2"/>
    <n v="9.95243442527078E-2"/>
    <n v="6.5604631669590671E-2"/>
    <n v="3.165093790607783"/>
    <n v="0.99906909006158595"/>
    <n v="114.41711182336182"/>
    <n v="114.41711182336181"/>
    <x v="2"/>
    <x v="1"/>
    <n v="0.30000000000000004"/>
    <x v="24"/>
    <x v="18"/>
    <n v="35635"/>
    <n v="3000"/>
    <m/>
    <m/>
    <n v="0.36788207913110937"/>
    <m/>
    <n v="11400"/>
    <n v="388167.86166174611"/>
    <n v="35633.217647968195"/>
    <n v="3112.6680617815409"/>
    <n v="2400"/>
    <n v="34.049812426468954"/>
    <m/>
    <n v="10.893427180687945"/>
    <n v="32.674215887023834"/>
    <n v="0.31972564064448894"/>
    <n v="32.993941527668326"/>
    <n v="3.2351294117647065"/>
    <n v="3.0269044117647059"/>
    <n v="2.56440592636846"/>
    <n v="3.0551202916359634"/>
    <m/>
    <n v="3400"/>
    <n v="310811.44522929547"/>
    <e v="#DIV/0!"/>
    <e v="#DIV/0!"/>
    <n v="0"/>
    <e v="#DIV/0!"/>
    <n v="0"/>
    <e v="#DIV/0!"/>
    <e v="#DIV/0!"/>
  </r>
  <r>
    <x v="2"/>
    <x v="8"/>
    <x v="1"/>
    <x v="56"/>
    <x v="2"/>
    <x v="0"/>
    <m/>
    <n v="0.14441751603154956"/>
    <n v="0.1220509026578615"/>
    <n v="0.91487284931049861"/>
    <n v="1.7330931603908541"/>
    <n v="1.9950839877128606"/>
    <n v="1.7494420013152732E-2"/>
    <x v="56"/>
    <n v="10587.676470588234"/>
    <n v="2964.8764705882354"/>
    <n v="42.527777777777771"/>
    <n v="64"/>
    <n v="0.37595034910783548"/>
    <n v="0.57195500387897602"/>
    <n v="11700"/>
    <n v="3450"/>
    <n v="11700"/>
    <n v="386044.35401831125"/>
    <n v="24329.971042382142"/>
    <n v="3658.3093324547617"/>
    <n v="2700"/>
    <n v="32.995243933188995"/>
    <n v="87.764897709204746"/>
    <n v="220800"/>
    <n v="386044.35401831125"/>
    <n v="0.43074515676156511"/>
    <n v="51.868794263584462"/>
    <n v="52.299539420346029"/>
    <n v="0.13954532267101424"/>
    <n v="1.0349147736898483"/>
    <n v="0.85004486347890595"/>
    <n v="0.14358171892052168"/>
    <n v="0.84512534221401625"/>
    <n v="15.700444836288399"/>
    <n v="0.36918093671220281"/>
    <n v="15.86702891449532"/>
    <n v="16.595022875316364"/>
    <n v="0.95374185689425073"/>
    <n v="3.1515195738679571"/>
    <n v="3.5292254901960782"/>
    <n v="0.85004486347890584"/>
    <n v="3.2943071895424838"/>
    <n v="0.91066188651843438"/>
    <n v="0.10496837396272431"/>
    <n v="498.24092196491779"/>
    <n v="3"/>
    <n v="3529.2254901960782"/>
    <n v="0.17640849673202608"/>
    <n v="988.29215686274517"/>
    <n v="9.8102396514161305E-2"/>
    <n v="4023.3715686274509"/>
    <n v="0.16619465757317417"/>
    <n v="9.0009307863887167E-2"/>
    <n v="0.14251022030835028"/>
    <n v="3.2013662881134879"/>
    <n v="0.99907206774257573"/>
    <n v="113.12072958224424"/>
    <n v="113.12072958224424"/>
    <x v="2"/>
    <x v="2"/>
    <n v="0.4"/>
    <x v="39"/>
    <x v="31"/>
    <n v="24330"/>
    <n v="3000"/>
    <m/>
    <m/>
    <n v="0.57195500387897602"/>
    <m/>
    <n v="11700"/>
    <n v="386044.35401831125"/>
    <n v="24329.971042382142"/>
    <n v="3658.3093324547617"/>
    <n v="2700"/>
    <n v="32.995243933188995"/>
    <m/>
    <n v="15.86702891449532"/>
    <n v="51.868794263584462"/>
    <n v="0.43074515676156511"/>
    <n v="52.299539420346029"/>
    <n v="3.5292254901960782"/>
    <n v="3.2943071895424838"/>
    <n v="2.6869772636655616"/>
    <n v="3.3043737685273809"/>
    <m/>
    <n v="3450"/>
    <n v="382514.74129196082"/>
    <e v="#DIV/0!"/>
    <e v="#DIV/0!"/>
    <n v="0"/>
    <e v="#DIV/0!"/>
    <n v="0"/>
    <e v="#DIV/0!"/>
    <e v="#DIV/0!"/>
  </r>
  <r>
    <x v="2"/>
    <x v="9"/>
    <x v="1"/>
    <x v="57"/>
    <x v="2"/>
    <x v="0"/>
    <m/>
    <n v="0.13289371045961559"/>
    <n v="0.1137712211585975"/>
    <n v="1.2203961207733807"/>
    <n v="3.6079246222972867"/>
    <n v="3.7948041152954102"/>
    <n v="1.6468549703887021E-2"/>
    <x v="57"/>
    <n v="10299.184313725489"/>
    <n v="3171.2952941176472"/>
    <n v="39.854166666666671"/>
    <n v="63.5"/>
    <n v="0.35913983708301006"/>
    <n v="0.57924747866563231"/>
    <n v="12000"/>
    <n v="3500"/>
    <n v="12000"/>
    <n v="383687.47070247104"/>
    <n v="23138.345496796945"/>
    <n v="3855.8343716819395"/>
    <n v="3000"/>
    <n v="31.973955891872585"/>
    <n v="89.029265457071148"/>
    <n v="222250"/>
    <n v="383687.47070247104"/>
    <n v="0.39058359210334032"/>
    <n v="52.226634176879479"/>
    <n v="52.617217768982819"/>
    <n v="0.13023977086248453"/>
    <n v="1.0203773361973529"/>
    <n v="0.87385561087647534"/>
    <n v="0.13019453070111342"/>
    <n v="0.85610688997332851"/>
    <n v="16.500723811563038"/>
    <n v="0.41402757080764546"/>
    <n v="16.582320925045618"/>
    <n v="17.342405314763496"/>
    <n v="0.95818017574371162"/>
    <n v="3.0340207609027603"/>
    <n v="3.4330614379084965"/>
    <n v="0.87385561087647534"/>
    <n v="3.1712952941176473"/>
    <n v="0.94598570040595764"/>
    <n v="0.10346882576325681"/>
    <n v="508.53208568708732"/>
    <n v="3"/>
    <n v="3433.0614379084964"/>
    <n v="0.14435381263616545"/>
    <n v="1057.0984313725492"/>
    <n v="5.7098431372549156E-2"/>
    <n v="3961.6106535947711"/>
    <n v="0.13188875816993459"/>
    <n v="9.1412539453565853E-2"/>
    <n v="0.1165209542174229"/>
    <n v="3.2633782406001646"/>
    <n v="0.99906760621697144"/>
    <n v="110.97116652490699"/>
    <n v="110.97116652490698"/>
    <x v="2"/>
    <x v="2"/>
    <n v="0.4"/>
    <x v="40"/>
    <x v="24"/>
    <n v="23140"/>
    <n v="3000"/>
    <m/>
    <m/>
    <n v="0.57924747866563231"/>
    <m/>
    <n v="12000"/>
    <n v="383687.47070247104"/>
    <n v="23138.345496796945"/>
    <n v="3855.8343716819395"/>
    <n v="3000"/>
    <n v="31.973955891872585"/>
    <m/>
    <n v="16.582320925045618"/>
    <n v="52.226634176879479"/>
    <n v="0.39058359210334032"/>
    <n v="52.617217768982819"/>
    <n v="3.4330614379084965"/>
    <n v="3.1712952941176473"/>
    <n v="2.3983757221564703"/>
    <n v="3.1664407568731439"/>
    <m/>
    <n v="3500"/>
    <n v="422075.40244706377"/>
    <e v="#DIV/0!"/>
    <e v="#DIV/0!"/>
    <n v="0"/>
    <e v="#DIV/0!"/>
    <n v="0"/>
    <e v="#DIV/0!"/>
    <e v="#DIV/0!"/>
  </r>
  <r>
    <x v="2"/>
    <x v="10"/>
    <x v="1"/>
    <x v="58"/>
    <x v="2"/>
    <x v="0"/>
    <m/>
    <n v="0.14606106181244749"/>
    <n v="0.11382646205373795"/>
    <n v="1.9206153177622225"/>
    <n v="7.0599357128143296"/>
    <n v="7.9736025595664985"/>
    <n v="1.7667547286003699E-2"/>
    <x v="58"/>
    <n v="10961.267857142855"/>
    <n v="3688.9303571428572"/>
    <n v="45.692156862745101"/>
    <n v="67.5"/>
    <n v="0.41449276685072783"/>
    <n v="0.61369278510473235"/>
    <n v="12300"/>
    <n v="3550"/>
    <n v="12300"/>
    <n v="390464.09835029393"/>
    <n v="19974.500311707212"/>
    <n v="3820.5642756917237"/>
    <n v="3300"/>
    <n v="31.745048646365362"/>
    <n v="76.587702332083822"/>
    <n v="239625"/>
    <n v="390464.09835029393"/>
    <n v="0.41589411326730957"/>
    <n v="65.174351519595945"/>
    <n v="65.590245632863258"/>
    <n v="0.13149400933974165"/>
    <n v="1.1107811112144956"/>
    <n v="0.82107290117312437"/>
    <n v="0.13863137108910317"/>
    <n v="0.77930737077551171"/>
    <n v="19.236718136426049"/>
    <n v="0.42100700551762799"/>
    <n v="19.548128476657805"/>
    <n v="20.255374915777193"/>
    <n v="0.95604804806001087"/>
    <n v="3.238164976239176"/>
    <n v="3.6537559523809517"/>
    <n v="0.82107290117312437"/>
    <n v="3.353573051948052"/>
    <n v="0.89456825705864218"/>
    <n v="0.10201151835814051"/>
    <n v="642.96901652409485"/>
    <n v="3"/>
    <n v="3653.7559523809518"/>
    <n v="0.21791865079365061"/>
    <n v="1229.6434523809523"/>
    <n v="0.11785768398268394"/>
    <n v="4268.5776785714279"/>
    <n v="0.20241624748490927"/>
    <n v="8.4838772406408955E-2"/>
    <n v="0.16834124448027268"/>
    <n v="3.2851322822826936"/>
    <n v="0.99907461062470915"/>
    <n v="110.23631898310137"/>
    <n v="110.23631898310137"/>
    <x v="2"/>
    <x v="2"/>
    <n v="0.5"/>
    <x v="41"/>
    <x v="28"/>
    <n v="19975"/>
    <n v="3000"/>
    <m/>
    <m/>
    <n v="0.61369278510473235"/>
    <m/>
    <n v="12300"/>
    <n v="390464.09835029393"/>
    <n v="19974.500311707212"/>
    <n v="3820.5642756917237"/>
    <n v="3300"/>
    <n v="31.745048646365362"/>
    <m/>
    <n v="19.548128476657805"/>
    <n v="65.174351519595945"/>
    <n v="0.41589411326730957"/>
    <n v="65.590245632863258"/>
    <n v="3.6537559523809517"/>
    <n v="3.353573051948052"/>
    <n v="2.3595090844982392"/>
    <n v="3.3870316275525907"/>
    <m/>
    <n v="3550"/>
    <n v="427247.83098603034"/>
    <e v="#DIV/0!"/>
    <e v="#DIV/0!"/>
    <n v="0"/>
    <e v="#DIV/0!"/>
    <n v="0"/>
    <e v="#DIV/0!"/>
    <e v="#DIV/0!"/>
  </r>
  <r>
    <x v="2"/>
    <x v="11"/>
    <x v="1"/>
    <x v="59"/>
    <x v="2"/>
    <x v="0"/>
    <m/>
    <n v="0.15061166533489184"/>
    <n v="0.12747489874914486"/>
    <n v="1.2072588019878969"/>
    <n v="3.6578489184379572"/>
    <n v="5.2039145231246948"/>
    <n v="1.8797775393388193E-2"/>
    <x v="59"/>
    <n v="9346.1117647058818"/>
    <n v="3472.0647058823529"/>
    <n v="50.805555555555557"/>
    <n v="72.5"/>
    <n v="0.46908025170243944"/>
    <n v="0.66989914662529093"/>
    <n v="12600"/>
    <n v="3600"/>
    <n v="12600"/>
    <n v="389610.88592935726"/>
    <n v="17174.971508929462"/>
    <n v="3856.839359060577"/>
    <n v="3600"/>
    <n v="30.921498883282322"/>
    <n v="65.919421615082911"/>
    <n v="261000"/>
    <n v="389610.88592935726"/>
    <n v="0.39713155030135794"/>
    <n v="65.26709249248691"/>
    <n v="65.664224042788263"/>
    <n v="0.14627267414253306"/>
    <n v="1.0296637168753113"/>
    <n v="0.96296729876343679"/>
    <n v="0.13237718343378599"/>
    <n v="0.84638131094094649"/>
    <n v="22.633558097533182"/>
    <n v="0.44549376244461153"/>
    <n v="22.684805370814978"/>
    <n v="23.52029777082927"/>
    <n v="0.96790322168918841"/>
    <n v="2.791810915090855"/>
    <n v="3.1153705882352938"/>
    <n v="0.96296729876343679"/>
    <n v="2.8933872549019606"/>
    <n v="1.0368470362608451"/>
    <n v="0.10059469171427746"/>
    <n v="652.76032883819164"/>
    <n v="3"/>
    <n v="3115.3705882352938"/>
    <n v="3.8456862745097929E-2"/>
    <n v="1157.3549019607842"/>
    <n v="3.5537581699346482E-2"/>
    <n v="3694.048039215686"/>
    <n v="2.6124455337690557E-2"/>
    <n v="9.8033616868796317E-2"/>
    <n v="2.5459343846447172E-2"/>
    <n v="3.3435937872500978"/>
    <n v="0.99907122394798609"/>
    <n v="108.30887757727223"/>
    <n v="108.30887757727223"/>
    <x v="2"/>
    <x v="2"/>
    <n v="0.5"/>
    <x v="42"/>
    <x v="32"/>
    <n v="17175"/>
    <n v="3000"/>
    <m/>
    <m/>
    <n v="0.66989914662529093"/>
    <m/>
    <n v="12600"/>
    <n v="389610.88592935726"/>
    <n v="17174.971508929462"/>
    <n v="3856.839359060577"/>
    <n v="3600"/>
    <n v="30.921498883282322"/>
    <m/>
    <n v="22.684805370814978"/>
    <n v="65.26709249248691"/>
    <n v="0.39713155030135794"/>
    <n v="65.664224042788263"/>
    <n v="3.1153705882352938"/>
    <n v="2.8933872549019606"/>
    <n v="2.2317032896940292"/>
    <n v="2.8843905594389652"/>
    <m/>
    <n v="3600"/>
    <n v="449028.09352895844"/>
    <e v="#DIV/0!"/>
    <e v="#DIV/0!"/>
    <n v="0"/>
    <e v="#DIV/0!"/>
    <n v="0"/>
    <e v="#DIV/0!"/>
    <e v="#DIV/0!"/>
  </r>
  <r>
    <x v="2"/>
    <x v="12"/>
    <x v="1"/>
    <x v="60"/>
    <x v="2"/>
    <x v="0"/>
    <m/>
    <n v="0.15257368677639888"/>
    <n v="0.14194134164131386"/>
    <n v="1.7632488303909035"/>
    <n v="8.2933113336563018"/>
    <n v="9.4203063583374025"/>
    <n v="1.995583345049148E-2"/>
    <x v="60"/>
    <n v="9689.7121323529409"/>
    <n v="3922.5095588235295"/>
    <n v="51.800653594771241"/>
    <n v="89"/>
    <n v="0.48496541880263877"/>
    <n v="0.82036462373933283"/>
    <n v="12900"/>
    <n v="3650"/>
    <n v="12900"/>
    <n v="395982.45779942314"/>
    <n v="15180.742621206919"/>
    <n v="4459.8488066559839"/>
    <n v="3900"/>
    <n v="30.696314558094816"/>
    <n v="63.295883310366442"/>
    <n v="324850"/>
    <n v="395982.45779942314"/>
    <n v="0.45845691339476419"/>
    <n v="78.276947463843172"/>
    <n v="78.735404377237941"/>
    <n v="0.16189717509180535"/>
    <n v="0.94241105003765824"/>
    <n v="0.92882016277345703"/>
    <n v="0.15281897113158807"/>
    <n v="0.93031337604978359"/>
    <n v="25.516204781786417"/>
    <n v="0.49258461063823378"/>
    <n v="26.084524827280237"/>
    <n v="26.871403648412382"/>
    <n v="0.9545025250896304"/>
    <n v="2.9300815620731369"/>
    <n v="3.2299040441176468"/>
    <n v="0.92882016277345714"/>
    <n v="3.0173150452488686"/>
    <n v="0.99426143939588496"/>
    <n v="9.9216682238739404E-2"/>
    <n v="793.57022025571723"/>
    <n v="3"/>
    <n v="3229.9040441176471"/>
    <n v="7.6634681372549043E-2"/>
    <n v="1307.5031862745097"/>
    <n v="5.7716817496228801E-3"/>
    <n v="3883.6556372549021"/>
    <n v="6.4015243083534817E-2"/>
    <n v="9.3247425620715474E-2"/>
    <n v="6.0163840226590631E-2"/>
    <n v="3.3904168437994477"/>
    <n v="0.99907111867293164"/>
    <n v="106.81308725612868"/>
    <n v="106.81308725612867"/>
    <x v="2"/>
    <x v="2"/>
    <n v="0.5"/>
    <x v="43"/>
    <x v="33"/>
    <n v="15185"/>
    <n v="3000"/>
    <m/>
    <m/>
    <n v="0.82036462373933283"/>
    <m/>
    <n v="12900"/>
    <n v="395982.45779942314"/>
    <n v="15180.742621206919"/>
    <n v="4459.8488066559839"/>
    <n v="3900"/>
    <n v="30.696314558094816"/>
    <m/>
    <n v="26.084524827280237"/>
    <n v="78.276947463843172"/>
    <n v="0.45845691339476419"/>
    <n v="78.735404377237941"/>
    <n v="3.2299040441176468"/>
    <n v="3.0173150452488686"/>
    <n v="2.0196113611802979"/>
    <n v="3.0697473134479076"/>
    <m/>
    <n v="3650"/>
    <n v="530306.27222321089"/>
    <e v="#DIV/0!"/>
    <e v="#DIV/0!"/>
    <n v="0"/>
    <e v="#DIV/0!"/>
    <n v="0"/>
    <e v="#DIV/0!"/>
    <e v="#DIV/0!"/>
  </r>
  <r>
    <x v="2"/>
    <x v="13"/>
    <x v="1"/>
    <x v="61"/>
    <x v="2"/>
    <x v="0"/>
    <m/>
    <n v="0.43090934808373771"/>
    <n v="0.17051431715836304"/>
    <n v="2.8121873125772447"/>
    <n v="8.6551060199737542"/>
    <n v="10.2838476228714"/>
    <n v="2.045607145350236E-2"/>
    <x v="61"/>
    <n v="9930.9933333333356"/>
    <n v="4343.9666666666672"/>
    <n v="55.5"/>
    <n v="95.5"/>
    <n v="0.52573215671062834"/>
    <n v="0.90232738557020942"/>
    <n v="13200"/>
    <n v="3700"/>
    <n v="13200"/>
    <n v="391598.44381394552"/>
    <n v="13592.913628644203"/>
    <n v="4668.5405952494893"/>
    <n v="4200"/>
    <n v="29.666548773783752"/>
    <n v="56.429016934021618"/>
    <n v="353350"/>
    <n v="391598.44381394552"/>
    <n v="0.56445884897919651"/>
    <n v="88.860492524965807"/>
    <n v="89.424951373945007"/>
    <n v="0.19097038861186541"/>
    <n v="2.2564197057771729"/>
    <n v="0.90625375507921646"/>
    <n v="0.18815294965973214"/>
    <n v="0.39570809479219593"/>
    <n v="28.44478766325436"/>
    <n v="0.51251869663521366"/>
    <n v="28.80901435206167"/>
    <n v="29.544753789982522"/>
    <n v="0.97666208847095848"/>
    <n v="3.0267624502684307"/>
    <n v="3.310331111111112"/>
    <n v="0.90625375507921635"/>
    <n v="3.1028333333333338"/>
    <n v="0.96685824783799734"/>
    <n v="9.7875916262540233E-2"/>
    <n v="913.65633946223761"/>
    <n v="3"/>
    <n v="3310.331111111112"/>
    <n v="0.10344370370370401"/>
    <n v="1447.9888888888891"/>
    <n v="3.4277777777777893E-2"/>
    <n v="4034.3255555555565"/>
    <n v="9.0358258258258523E-2"/>
    <n v="8.9764914899518905E-2"/>
    <n v="8.2870247071450687E-2"/>
    <n v="3.4304344364489427"/>
    <n v="0.99907285555771641"/>
    <n v="105.56706355428076"/>
    <n v="105.56706355428076"/>
    <x v="2"/>
    <x v="3"/>
    <n v="0.60000000000000009"/>
    <x v="44"/>
    <x v="34"/>
    <n v="13595"/>
    <n v="3000"/>
    <m/>
    <m/>
    <n v="0.90232738557020942"/>
    <m/>
    <n v="13200"/>
    <n v="391598.44381394552"/>
    <n v="13592.913628644203"/>
    <n v="4668.5405952494893"/>
    <n v="4200"/>
    <n v="29.666548773783752"/>
    <m/>
    <n v="28.80901435206167"/>
    <n v="88.860492524965807"/>
    <n v="0.56445884897919651"/>
    <n v="89.424951373945007"/>
    <n v="3.310331111111112"/>
    <n v="3.1028333333333338"/>
    <n v="1.9233940938363889"/>
    <n v="3.0990887083649024"/>
    <m/>
    <n v="3700"/>
    <n v="582258.50044571899"/>
    <e v="#DIV/0!"/>
    <e v="#DIV/0!"/>
    <n v="0"/>
    <e v="#DIV/0!"/>
    <n v="0"/>
    <e v="#DIV/0!"/>
    <e v="#DIV/0!"/>
  </r>
  <r>
    <x v="2"/>
    <x v="14"/>
    <x v="1"/>
    <x v="62"/>
    <x v="2"/>
    <x v="0"/>
    <m/>
    <n v="0.15142445000389071"/>
    <n v="0.14617989457196995"/>
    <n v="1.7576015529963041"/>
    <n v="5.252424871921539"/>
    <n v="5.5958923101425162"/>
    <n v="2.1612713884395868E-2"/>
    <x v="62"/>
    <n v="9311.5470833333347"/>
    <n v="3953.8179166666669"/>
    <n v="60.935661764705884"/>
    <n v="97.5"/>
    <n v="0.58152480833295317"/>
    <n v="0.95833979829325056"/>
    <n v="13500"/>
    <n v="3750"/>
    <n v="13500"/>
    <n v="381519.16538492678"/>
    <n v="11715.52980358166"/>
    <n v="4511.2335508403639"/>
    <n v="4500"/>
    <n v="28.260678917401982"/>
    <n v="48.597546506083496"/>
    <n v="365625"/>
    <n v="381519.16538492678"/>
    <n v="0.45372032364786702"/>
    <n v="85.452735383914813"/>
    <n v="85.906455707562685"/>
    <n v="0.16779260845636582"/>
    <n v="0.90245006259181182"/>
    <n v="0.96654185598320497"/>
    <n v="0.15124010788262235"/>
    <n v="0.96536520072031951"/>
    <n v="31.480775638171561"/>
    <n v="0.51662318462594137"/>
    <n v="32.565250721165775"/>
    <n v="33.385612682577005"/>
    <n v="0.94683262742060503"/>
    <n v="2.5731579804852527"/>
    <n v="3.1038490277777782"/>
    <n v="0.96654185598320497"/>
    <n v="2.6358786111111114"/>
    <n v="1.1381404239762769"/>
    <n v="9.6570904045706354E-2"/>
    <n v="889.56872213709153"/>
    <n v="3"/>
    <n v="3103.8490277777782"/>
    <n v="3.4616342592592747E-2"/>
    <n v="1317.9393055555556"/>
    <n v="0.12137379629629626"/>
    <n v="3762.8186805555561"/>
    <n v="3.4183148148149486E-3"/>
    <n v="9.6241918868631496E-2"/>
    <n v="3.4066697451558721E-3"/>
    <n v="3.4560043437228143"/>
    <n v="0.99907839884167393"/>
    <n v="104.78600550058916"/>
    <n v="104.78600550058916"/>
    <x v="2"/>
    <x v="3"/>
    <n v="0.60000000000000009"/>
    <x v="45"/>
    <x v="35"/>
    <n v="11720"/>
    <n v="3000"/>
    <m/>
    <m/>
    <n v="0.95833979829325056"/>
    <m/>
    <n v="13500"/>
    <n v="381519.16538492678"/>
    <n v="11715.52980358166"/>
    <n v="4511.2335508403639"/>
    <n v="4500"/>
    <n v="28.260678917401982"/>
    <m/>
    <n v="32.565250721165775"/>
    <n v="85.452735383914813"/>
    <n v="0.45372032364786702"/>
    <n v="85.906455707562685"/>
    <n v="3.1038490277777782"/>
    <n v="2.6358786111111114"/>
    <n v="1.9276978641107112"/>
    <n v="2.7176481945865563"/>
    <m/>
    <n v="3750"/>
    <n v="598610.02862299827"/>
    <e v="#DIV/0!"/>
    <e v="#DIV/0!"/>
    <n v="0"/>
    <e v="#DIV/0!"/>
    <n v="0"/>
    <e v="#DIV/0!"/>
    <e v="#DIV/0!"/>
  </r>
  <r>
    <x v="2"/>
    <x v="15"/>
    <x v="1"/>
    <x v="63"/>
    <x v="2"/>
    <x v="0"/>
    <m/>
    <n v="0.34651995566792421"/>
    <n v="0.13298162133171454"/>
    <n v="1.8335183536884911"/>
    <n v="5.3484693050384511"/>
    <n v="6.3543482112884515"/>
    <n v="2.2412820088045599E-2"/>
    <x v="63"/>
    <n v="8572.5597222222223"/>
    <n v="4268.0034722222217"/>
    <n v="65.640866873065022"/>
    <n v="102.5"/>
    <n v="0.63672105239139465"/>
    <n v="0.99806051202482537"/>
    <n v="13800"/>
    <n v="3800"/>
    <n v="13800"/>
    <n v="390256.89856198995"/>
    <n v="10842.428943971621"/>
    <n v="4573.2754556250939"/>
    <n v="4800"/>
    <n v="28.279485403042749"/>
    <n v="44.414245919513355"/>
    <n v="389500"/>
    <n v="390256.89856198995"/>
    <n v="0.37999763027468786"/>
    <n v="95.657993958070577"/>
    <n v="96.037991588345264"/>
    <n v="0.15539444141976014"/>
    <n v="2.2299379083443864"/>
    <n v="1.0498614523115826"/>
    <n v="0.1266658767582293"/>
    <n v="0.3837632412118655"/>
    <n v="35.683617338200833"/>
    <n v="0.54361892275440371"/>
    <n v="35.993493762204672"/>
    <n v="36.910373593184538"/>
    <n v="0.97554483925433633"/>
    <n v="2.6019241269906459"/>
    <n v="2.8575199074074074"/>
    <n v="1.0498614523115828"/>
    <n v="2.6675021701388886"/>
    <n v="1.1246476323742969"/>
    <n v="9.5300234255631278E-2"/>
    <n v="1007.7414010414186"/>
    <n v="3"/>
    <n v="2857.5199074074076"/>
    <n v="4.7493364197530807E-2"/>
    <n v="1422.6678240740739"/>
    <n v="0.11083260995370381"/>
    <n v="3568.8538194444445"/>
    <n v="6.0827942251461965E-2"/>
    <n v="0.1014726039487301"/>
    <n v="6.4767623514357733E-2"/>
    <n v="3.5127922540966092"/>
    <n v="0.9990755809857641"/>
    <n v="103.09203163069807"/>
    <n v="103.09203163069807"/>
    <x v="2"/>
    <x v="3"/>
    <n v="0.70000000000000007"/>
    <x v="8"/>
    <x v="36"/>
    <n v="10845"/>
    <n v="3000"/>
    <m/>
    <m/>
    <n v="0.99806051202482537"/>
    <m/>
    <n v="13800"/>
    <n v="390256.89856198995"/>
    <n v="10842.428943971621"/>
    <n v="4573.2754556250939"/>
    <n v="4800"/>
    <n v="28.279485403042749"/>
    <m/>
    <n v="35.993493762204672"/>
    <n v="95.657993958070577"/>
    <n v="0.37999763027468786"/>
    <n v="96.037991588345264"/>
    <n v="2.8575199074074074"/>
    <n v="2.6675021701388886"/>
    <n v="1.8229662616103914"/>
    <n v="2.6671497016779284"/>
    <m/>
    <n v="3800"/>
    <n v="614524.85728419619"/>
    <e v="#DIV/0!"/>
    <e v="#DIV/0!"/>
    <n v="0"/>
    <e v="#DIV/0!"/>
    <n v="0"/>
    <e v="#DIV/0!"/>
    <e v="#DIV/0!"/>
  </r>
  <r>
    <x v="2"/>
    <x v="16"/>
    <x v="1"/>
    <x v="64"/>
    <x v="2"/>
    <x v="0"/>
    <m/>
    <n v="1.0590276121607227"/>
    <n v="0.14047344867591277"/>
    <n v="1.9062586120485201"/>
    <n v="5.6325495243072501"/>
    <n v="6.3762622690200805"/>
    <n v="2.3826842528162459E-2"/>
    <x v="64"/>
    <n v="8332.3647058823517"/>
    <n v="4412.7647058823532"/>
    <n v="66.75"/>
    <n v="103"/>
    <n v="0.65425178863891043"/>
    <n v="0.99930178432893713"/>
    <n v="14100"/>
    <n v="3850"/>
    <n v="14100"/>
    <n v="396827.07087959012"/>
    <n v="9762.9788534723757"/>
    <n v="4322.8556145556322"/>
    <n v="5100"/>
    <n v="28.143763892169513"/>
    <n v="43.016716776149927"/>
    <n v="396550"/>
    <n v="396827.07087959012"/>
    <n v="0.3901586686202505"/>
    <n v="105.14224976089196"/>
    <n v="105.5324084295122"/>
    <n v="0.16430029120407524"/>
    <n v="6.4456831110866286"/>
    <n v="1.0801255487108385"/>
    <n v="0.13005288954008351"/>
    <n v="0.13264380178842203"/>
    <n v="40.415786357192616"/>
    <n v="0.60547994542610661"/>
    <n v="40.646105746552095"/>
    <n v="41.585757846587022"/>
    <n v="0.99675920972129406"/>
    <n v="2.5377055485877924"/>
    <n v="2.7774549019607839"/>
    <n v="1.0801255487108385"/>
    <n v="2.5957439446366783"/>
    <n v="1.155738032712585"/>
    <n v="9.4062568875688007E-2"/>
    <n v="1121.9384043081218"/>
    <n v="3"/>
    <n v="2777.4549019607839"/>
    <n v="7.4181699346405366E-2"/>
    <n v="1470.9215686274511"/>
    <n v="0.13475201845444057"/>
    <n v="3512.9156862745094"/>
    <n v="8.755436720142612E-2"/>
    <n v="0.10308840931945444"/>
    <n v="9.5955708542203214E-2"/>
    <n v="3.5495329608078636"/>
    <n v="0.99907804338680317"/>
    <n v="102.02494079361263"/>
    <n v="102.02494079361263"/>
    <x v="2"/>
    <x v="3"/>
    <n v="0.70000000000000007"/>
    <x v="46"/>
    <x v="37"/>
    <n v="9765"/>
    <n v="3000"/>
    <m/>
    <m/>
    <n v="0.99930178432893713"/>
    <m/>
    <n v="14100"/>
    <n v="396827.07087959012"/>
    <n v="9762.9788534723757"/>
    <n v="4322.8556145556322"/>
    <n v="5100"/>
    <n v="28.143763892169513"/>
    <m/>
    <n v="40.646105746552095"/>
    <n v="105.14224976089196"/>
    <n v="0.3901586686202505"/>
    <n v="105.5324084295122"/>
    <n v="2.7774549019607839"/>
    <n v="2.5957439446366783"/>
    <n v="1.6103355945606046"/>
    <n v="2.5459564595318516"/>
    <m/>
    <n v="3850"/>
    <n v="591356.37222531531"/>
    <e v="#DIV/0!"/>
    <e v="#DIV/0!"/>
    <n v="0"/>
    <e v="#DIV/0!"/>
    <n v="0"/>
    <e v="#DIV/0!"/>
    <e v="#DIV/0!"/>
  </r>
  <r>
    <x v="2"/>
    <x v="17"/>
    <x v="1"/>
    <x v="65"/>
    <x v="2"/>
    <x v="0"/>
    <m/>
    <n v="0.6357855249351404"/>
    <n v="0.12644045595853715"/>
    <n v="1.082758872682297"/>
    <n v="2.3963637471199029"/>
    <n v="2.7211949610710144"/>
    <n v="2.2953772822062748E-2"/>
    <x v="65"/>
    <n v="8052.5895833333343"/>
    <n v="4498.6368055555558"/>
    <n v="67.176470588235304"/>
    <n v="100"/>
    <n v="0.66312162691216692"/>
    <n v="0.99864235841737781"/>
    <n v="14400"/>
    <n v="3900"/>
    <n v="14400"/>
    <n v="390530.20003884251"/>
    <n v="9423.2564780258726"/>
    <n v="4356.5822827993588"/>
    <n v="5400"/>
    <n v="27.120152780475173"/>
    <n v="40.897705156685149"/>
    <n v="390000"/>
    <n v="390530.20003884251"/>
    <n v="0.33939103285454447"/>
    <n v="103.2606872436923"/>
    <n v="103.60007827654685"/>
    <n v="0.14939422878059988"/>
    <n v="4.2557569333474987"/>
    <n v="1.1176528875416112"/>
    <n v="0.11313034428484815"/>
    <n v="0.19887281323593511"/>
    <n v="41.316338168194584"/>
    <n v="0.61504181161060234"/>
    <n v="41.443231535671487"/>
    <n v="42.434443967254559"/>
    <n v="0.98809283214982602"/>
    <n v="2.4414147704278171"/>
    <n v="2.684196527777778"/>
    <n v="1.1176528875416112"/>
    <n v="2.4992426697530865"/>
    <n v="1.2003636286733157"/>
    <n v="9.285663850548688E-2"/>
    <n v="1115.6992105677523"/>
    <n v="3"/>
    <n v="2684.1965277777781"/>
    <n v="0.10526782407407397"/>
    <n v="1499.5456018518519"/>
    <n v="0.16691911008230451"/>
    <n v="3433.9693287037039"/>
    <n v="0.1194950439221272"/>
    <n v="0.10545839391876692"/>
    <n v="0.13571194925966878"/>
    <n v="3.5748150231628122"/>
    <n v="0.99908338076329151"/>
    <n v="101.30339271400824"/>
    <n v="101.30339271400824"/>
    <x v="2"/>
    <x v="3"/>
    <n v="0.70000000000000007"/>
    <x v="47"/>
    <x v="38"/>
    <n v="9425"/>
    <n v="3000"/>
    <m/>
    <m/>
    <n v="0.99864235841737781"/>
    <m/>
    <n v="14400"/>
    <n v="390530.20003884251"/>
    <n v="9423.2564780258726"/>
    <n v="4356.5822827993588"/>
    <n v="5400"/>
    <n v="27.120152780475173"/>
    <m/>
    <n v="41.443231535671487"/>
    <n v="103.2606872436923"/>
    <n v="0.33939103285454447"/>
    <n v="103.60007827654685"/>
    <n v="2.684196527777778"/>
    <n v="2.4992426697530865"/>
    <n v="1.6021416764489669"/>
    <n v="2.4708354225340856"/>
    <m/>
    <n v="3900"/>
    <n v="626496.13519691268"/>
    <e v="#DIV/0!"/>
    <e v="#DIV/0!"/>
    <n v="0"/>
    <e v="#DIV/0!"/>
    <n v="0"/>
    <e v="#DIV/0!"/>
    <e v="#DIV/0!"/>
  </r>
  <r>
    <x v="4"/>
    <x v="0"/>
    <x v="0"/>
    <x v="66"/>
    <x v="3"/>
    <x v="0"/>
    <m/>
    <n v="0.15797126601105918"/>
    <n v="0.14532217116317739"/>
    <n v="0.84658706088967772"/>
    <n v="1.2881464004516598"/>
    <n v="1.4399289385477705"/>
    <n v="1.1154069304209259E-2"/>
    <x v="66"/>
    <n v="12196.995555555557"/>
    <n v="672.84888888888884"/>
    <n v="6.333333333333333"/>
    <n v="16"/>
    <n v="8.4433992759244889E-2"/>
    <n v="0.21533488492371347"/>
    <n v="10600"/>
    <n v="5150"/>
    <n v="10600"/>
    <n v="382659.78143388976"/>
    <n v="109596.18299183532"/>
    <n v="1434.454060094643"/>
    <n v="600"/>
    <n v="36.099979380555638"/>
    <n v="427.55267399815062"/>
    <n v="82400"/>
    <n v="382659.78143388976"/>
    <n v="0.35449877516019168"/>
    <n v="7.5050031379268614"/>
    <n v="7.8595019130870529"/>
    <n v="0.15647624046738665"/>
    <n v="1.0095543293934399"/>
    <n v="0.81987403819665594"/>
    <n v="0.17724938758009587"/>
    <n v="0.91992787569989942"/>
    <n v="3.3414843123628826"/>
    <n v="0.5276027861625604"/>
    <n v="3.4915429624259553"/>
    <n v="4.1660948294594338"/>
    <n v="0.83730727500563218"/>
    <n v="1.8865393695579542"/>
    <n v="2.4393991111111113"/>
    <n v="0.81987403819665605"/>
    <n v="2.2428296296296293"/>
    <n v="0.89173068412257017"/>
    <n v="7.0318619450757056E-2"/>
    <n v="111.76985518879434"/>
    <n v="2"/>
    <n v="6098.4977777777785"/>
    <n v="0.2196995555555557"/>
    <n v="336.42444444444442"/>
    <n v="0.12141481481481473"/>
    <n v="6266.7100000000009"/>
    <n v="0.21683689320388369"/>
    <n v="5.7788040322816724E-2"/>
    <n v="0.17819717204083174"/>
    <n v="4.8279475734565871"/>
    <n v="0.99906253445175608"/>
    <n v="75.009283895790674"/>
    <n v="75.009283895790659"/>
    <x v="4"/>
    <x v="1"/>
    <n v="0.1"/>
    <x v="48"/>
    <x v="11"/>
    <n v="109600"/>
    <n v="5000"/>
    <m/>
    <m/>
    <n v="0.21533488492371347"/>
    <m/>
    <n v="10600"/>
    <n v="382659.78143388976"/>
    <n v="109596.18299183532"/>
    <n v="1434.454060094643"/>
    <n v="600"/>
    <n v="36.099979380555638"/>
    <m/>
    <n v="3.4915429624259553"/>
    <n v="7.5050031379268614"/>
    <n v="0.35449877516019168"/>
    <n v="7.8595019130870529"/>
    <n v="2.4393991111111113"/>
    <n v="2.2428296296296293"/>
    <n v="1.815592292371057"/>
    <n v="2.2531028045173311"/>
    <m/>
    <n v="5150"/>
    <n v="204638.2999727272"/>
    <e v="#DIV/0!"/>
    <e v="#DIV/0!"/>
    <n v="0"/>
    <e v="#DIV/0!"/>
    <n v="0"/>
    <e v="#DIV/0!"/>
    <e v="#DIV/0!"/>
  </r>
  <r>
    <x v="4"/>
    <x v="0"/>
    <x v="1"/>
    <x v="67"/>
    <x v="3"/>
    <x v="0"/>
    <m/>
    <n v="0.33120772337005583"/>
    <n v="0.26971127856781363"/>
    <n v="2.0491161676162375"/>
    <n v="5.6007031043370574"/>
    <n v="6.4501546065012612"/>
    <n v="1.9149387940522167E-2"/>
    <x v="67"/>
    <n v="22495.554285714286"/>
    <n v="1241.3514285714289"/>
    <n v="17.313368983957215"/>
    <n v="38.333333333333336"/>
    <n v="0.22876618141438113"/>
    <n v="0.50680113783294545"/>
    <n v="15900"/>
    <n v="5150"/>
    <n v="15900"/>
    <n v="389534.77395652619"/>
    <n v="64765.646768944418"/>
    <n v="2001.8046243773606"/>
    <n v="900"/>
    <n v="24.499042387202906"/>
    <n v="107.09206332742852"/>
    <n v="197416.66666666669"/>
    <n v="389534.77395652619"/>
    <n v="1.213460941698332"/>
    <n v="23.771120076235686"/>
    <n v="24.984581017934019"/>
    <n v="0.28886066650833581"/>
    <n v="1.1466002878605766"/>
    <n v="0.66679841756669633"/>
    <n v="0.40448698056611065"/>
    <n v="0.81432665827803574"/>
    <n v="5.7658436355644538"/>
    <n v="0.33302840370970876"/>
    <n v="6.0145276607244638"/>
    <n v="6.4116147997233472"/>
    <n v="0.94795182818160573"/>
    <n v="3.8967688793487829"/>
    <n v="4.4991108571428571"/>
    <n v="0.66679841756669633"/>
    <n v="4.137838095238096"/>
    <n v="0.72501628409590457"/>
    <n v="7.0318619450757056E-2"/>
    <n v="355.30534036479912"/>
    <n v="3"/>
    <n v="7498.5180952380952"/>
    <n v="0.49970361904761901"/>
    <n v="413.78380952380962"/>
    <n v="0.37927936507936538"/>
    <n v="7705.41"/>
    <n v="0.49619611650485435"/>
    <n v="4.6998263579926161E-2"/>
    <n v="0.33163842027873919"/>
    <n v="4.7850645738146902"/>
    <n v="0.99907086124780298"/>
    <n v="75.681505355882237"/>
    <n v="75.681505355882251"/>
    <x v="4"/>
    <x v="2"/>
    <n v="0.30000000000000004"/>
    <x v="49"/>
    <x v="21"/>
    <n v="64770"/>
    <n v="5000"/>
    <m/>
    <m/>
    <n v="0.50680113783294545"/>
    <m/>
    <n v="15900"/>
    <n v="389534.77395652619"/>
    <n v="64765.646768944418"/>
    <n v="2001.8046243773606"/>
    <n v="900"/>
    <n v="24.499042387202906"/>
    <m/>
    <n v="6.0145276607244638"/>
    <n v="23.771120076235686"/>
    <n v="1.213460941698332"/>
    <n v="24.984581017934019"/>
    <n v="4.4991108571428571"/>
    <n v="4.137838095238096"/>
    <n v="2.8485765427910916"/>
    <n v="4.1107245785091218"/>
    <m/>
    <n v="5150"/>
    <n v="420803.95031801227"/>
    <e v="#DIV/0!"/>
    <e v="#DIV/0!"/>
    <n v="0"/>
    <e v="#DIV/0!"/>
    <n v="0"/>
    <e v="#DIV/0!"/>
    <e v="#DIV/0!"/>
  </r>
  <r>
    <x v="4"/>
    <x v="0"/>
    <x v="2"/>
    <x v="68"/>
    <x v="3"/>
    <x v="0"/>
    <m/>
    <n v="0.57532700991569519"/>
    <n v="0.24776598173587749"/>
    <n v="2.455169526482591"/>
    <n v="8.0907527367273957"/>
    <n v="9.3781185261408471"/>
    <n v="2.4075493365291672E-2"/>
    <x v="68"/>
    <n v="25250.193727106223"/>
    <n v="1383.6219780219781"/>
    <n v="25.670308123249299"/>
    <n v="57.666666666666664"/>
    <n v="0.33997760986991121"/>
    <n v="0.76560641324023793"/>
    <n v="21200"/>
    <n v="5150"/>
    <n v="21200"/>
    <n v="387906.01567249879"/>
    <n v="51925.638408130777"/>
    <n v="2395.2434033938243"/>
    <n v="1200"/>
    <n v="18.297453569457492"/>
    <n v="53.819584108667677"/>
    <n v="296983.33333333331"/>
    <n v="387906.01567249879"/>
    <n v="1.2512278075635139"/>
    <n v="33.311381751939869"/>
    <n v="34.562609559503386"/>
    <n v="0.27184147510116918"/>
    <n v="2.1164062978306752"/>
    <n v="0.79207313085007691"/>
    <n v="0.31280695189087848"/>
    <n v="0.43065244194285884"/>
    <n v="6.600411438980899"/>
    <n v="0.25712240800892389"/>
    <n v="7.4704139913233796"/>
    <n v="8.0147211404375795"/>
    <n v="0.89231588101652204"/>
    <n v="4.3123907811490456"/>
    <n v="5.0500387454212445"/>
    <n v="0.79207313085007702"/>
    <n v="4.6120732600732604"/>
    <n v="0.86728891204483216"/>
    <n v="7.0318619450757056E-2"/>
    <n v="491.5143361667815"/>
    <n v="4"/>
    <n v="6312.5484317765558"/>
    <n v="0.26250968635531119"/>
    <n v="345.90549450549452"/>
    <n v="0.15301831501831506"/>
    <n v="6485.5011790293029"/>
    <n v="0.25932061728724326"/>
    <n v="5.5838535862482282E-2"/>
    <n v="0.20592104482959783"/>
    <n v="4.7961946418993717"/>
    <n v="0.99906870006953419"/>
    <n v="75.505878557919644"/>
    <n v="75.505878557919644"/>
    <x v="4"/>
    <x v="3"/>
    <n v="0.4"/>
    <x v="7"/>
    <x v="8"/>
    <n v="51930"/>
    <n v="5000"/>
    <m/>
    <m/>
    <n v="0.76560641324023793"/>
    <m/>
    <n v="21200"/>
    <n v="387906.01567249879"/>
    <n v="51925.638408130777"/>
    <n v="2395.2434033938243"/>
    <n v="1200"/>
    <n v="18.297453569457492"/>
    <m/>
    <n v="7.4704139913233796"/>
    <n v="33.311381751939869"/>
    <n v="1.2512278075635139"/>
    <n v="34.562609559503386"/>
    <n v="5.0500387454212445"/>
    <n v="4.6120732600732604"/>
    <n v="3.5894180532368547"/>
    <n v="4.8328073868150714"/>
    <m/>
    <n v="5150"/>
    <n v="674165.04054252047"/>
    <e v="#DIV/0!"/>
    <e v="#DIV/0!"/>
    <n v="0"/>
    <e v="#DIV/0!"/>
    <n v="0"/>
    <e v="#DIV/0!"/>
    <e v="#DIV/0!"/>
  </r>
  <r>
    <x v="4"/>
    <x v="0"/>
    <x v="3"/>
    <x v="69"/>
    <x v="3"/>
    <x v="0"/>
    <m/>
    <n v="2.0035749013798547"/>
    <n v="0.94486020957379535"/>
    <n v="5.4556400209684339"/>
    <n v="12.103664938608803"/>
    <n v="13.997339930534361"/>
    <n v="3.675773757560289E-2"/>
    <x v="69"/>
    <n v="39891.479004329005"/>
    <n v="2204.787012987013"/>
    <n v="35.05740740740741"/>
    <n v="73.333333333333329"/>
    <n v="0.4614724305375974"/>
    <n v="0.96276183087664846"/>
    <n v="26500"/>
    <n v="5150"/>
    <n v="26500"/>
    <n v="392274.24120333063"/>
    <n v="32765.477351372021"/>
    <n v="1995.0448033560872"/>
    <n v="1500"/>
    <n v="14.802801554842665"/>
    <n v="32.077325914351974"/>
    <n v="377666.66666666663"/>
    <n v="392274.24120333063"/>
    <n v="7.5383742424477926"/>
    <n v="81.042982433473981"/>
    <n v="88.581356675921768"/>
    <n v="0.98161794714939821"/>
    <n v="2.0410944066357"/>
    <n v="0.62670025338712088"/>
    <n v="1.5076748484895584"/>
    <n v="0.4715871659817028"/>
    <n v="11.147275656942011"/>
    <n v="0.31797204874273338"/>
    <n v="11.972181482254662"/>
    <n v="11.654021526067988"/>
    <n v="1.1252847604075857"/>
    <n v="7.6009261247528093"/>
    <n v="7.9782958008658014"/>
    <n v="0.62670025338712088"/>
    <n v="7.3492900432900434"/>
    <n v="0.68033782454470382"/>
    <n v="7.0318619450757056E-2"/>
    <n v="1259.7141037155002"/>
    <n v="5"/>
    <n v="7978.2958008658006"/>
    <n v="0.59565916017316012"/>
    <n v="440.95740259740262"/>
    <n v="0.46985800865800875"/>
    <n v="8198.7745021645023"/>
    <n v="0.59199504896398103"/>
    <n v="4.4170124458941092E-2"/>
    <n v="0.37185734299188444"/>
    <n v="4.766982191305269"/>
    <n v="0.99907437239003782"/>
    <n v="75.968584659687892"/>
    <n v="75.968584659687892"/>
    <x v="4"/>
    <x v="9"/>
    <n v="0.5"/>
    <x v="42"/>
    <x v="23"/>
    <n v="32770"/>
    <n v="5000"/>
    <m/>
    <m/>
    <n v="0.96276183087664846"/>
    <m/>
    <n v="26500"/>
    <n v="392274.24120333063"/>
    <n v="32765.477351372021"/>
    <n v="1995.0448033560872"/>
    <n v="1500"/>
    <n v="14.802801554842665"/>
    <m/>
    <n v="11.972181482254662"/>
    <n v="81.042982433473981"/>
    <n v="7.5383742424477926"/>
    <n v="88.581356675921768"/>
    <n v="7.9782958008658014"/>
    <n v="7.3492900432900434"/>
    <n v="2.673262107154466"/>
    <n v="6.7546690332851407"/>
    <m/>
    <n v="5150"/>
    <n v="694090.28414101806"/>
    <e v="#DIV/0!"/>
    <e v="#DIV/0!"/>
    <n v="0"/>
    <e v="#DIV/0!"/>
    <n v="0"/>
    <e v="#DIV/0!"/>
    <e v="#DIV/0!"/>
  </r>
  <r>
    <x v="4"/>
    <x v="0"/>
    <x v="4"/>
    <x v="70"/>
    <x v="3"/>
    <x v="0"/>
    <m/>
    <n v="3.5241948201112305"/>
    <n v="1.0033520229788151"/>
    <n v="11.071278691786256"/>
    <n v="24.911963017781574"/>
    <n v="26.627600100835163"/>
    <n v="3.9154183738759556E-2"/>
    <x v="70"/>
    <n v="50632.435930735934"/>
    <n v="2758.015151515152"/>
    <n v="39.88425925925926"/>
    <n v="74.666666666666671"/>
    <n v="0.52409993391374299"/>
    <n v="0.9845875355572794"/>
    <n v="31800"/>
    <n v="5150"/>
    <n v="31800"/>
    <n v="390552.71313757432"/>
    <n v="30632.529199363238"/>
    <n v="1906.9907615709674"/>
    <n v="1800"/>
    <n v="12.281531859672148"/>
    <n v="23.433568800436937"/>
    <n v="384533.33333333337"/>
    <n v="390552.71313757432"/>
    <n v="10.160431403889829"/>
    <n v="107.98783199670703"/>
    <n v="118.14826340059686"/>
    <n v="1.0425062067175745"/>
    <n v="3.3805024827693622"/>
    <n v="0.59250556384526598"/>
    <n v="1.6934052339816381"/>
    <n v="0.28470390378337462"/>
    <n v="11.795784476118607"/>
    <n v="0.29575037107853963"/>
    <n v="12.749607144606681"/>
    <n v="12.338760685473133"/>
    <n v="1.238440837132188"/>
    <n v="9.5753752270839527"/>
    <n v="10.126487186147187"/>
    <n v="0.59250556384526598"/>
    <n v="9.1933838383838395"/>
    <n v="0.65264326013986773"/>
    <n v="7.0318619450757056E-2"/>
    <n v="1680.1846271076765"/>
    <n v="6"/>
    <n v="8438.7393217893223"/>
    <n v="0.6877478643578645"/>
    <n v="459.66919191919197"/>
    <n v="0.53223063973063989"/>
    <n v="8668.5739177489177"/>
    <n v="0.68321823645610047"/>
    <n v="4.1776293725766682E-2"/>
    <n v="0.40589997283689683"/>
    <n v="4.7587198591943753"/>
    <n v="0.99907597672636994"/>
    <n v="76.100485190718345"/>
    <n v="76.100485190718345"/>
    <x v="4"/>
    <x v="9"/>
    <n v="0.60000000000000009"/>
    <x v="44"/>
    <x v="24"/>
    <n v="30635"/>
    <n v="5000"/>
    <m/>
    <m/>
    <n v="0.9845875355572794"/>
    <m/>
    <n v="31800"/>
    <n v="390552.71313757432"/>
    <n v="30632.529199363238"/>
    <n v="1906.9907615709674"/>
    <n v="1800"/>
    <n v="12.281531859672148"/>
    <m/>
    <n v="12.749607144606681"/>
    <n v="107.98783199670703"/>
    <n v="10.160431403889829"/>
    <n v="118.14826340059686"/>
    <n v="10.126487186147187"/>
    <n v="9.1933838383838395"/>
    <n v="2.6100854479812403"/>
    <n v="7.7317986778095094"/>
    <m/>
    <n v="5150"/>
    <n v="799656.14503992756"/>
    <e v="#DIV/0!"/>
    <e v="#DIV/0!"/>
    <n v="0"/>
    <e v="#DIV/0!"/>
    <n v="0"/>
    <e v="#DIV/0!"/>
    <e v="#DIV/0!"/>
  </r>
  <r>
    <x v="4"/>
    <x v="0"/>
    <x v="5"/>
    <x v="71"/>
    <x v="3"/>
    <x v="0"/>
    <m/>
    <n v="6.3528541746707345"/>
    <n v="0.95899900142358907"/>
    <n v="10.113453465636804"/>
    <n v="18.273969308535253"/>
    <n v="19.245490632057187"/>
    <n v="4.9975882181106622E-2"/>
    <x v="71"/>
    <n v="41305.058741258741"/>
    <n v="2247.8736596736594"/>
    <n v="57.210317460317469"/>
    <n v="75.666666666666671"/>
    <n v="0.75703141354809311"/>
    <n v="0.99689681923972062"/>
    <n v="37100"/>
    <n v="5150"/>
    <n v="37100"/>
    <n v="390896.35538262007"/>
    <n v="24504.898882549594"/>
    <n v="1514.0636515921763"/>
    <n v="2100"/>
    <n v="10.536289902496497"/>
    <n v="13.91790315954589"/>
    <n v="389683.33333333337"/>
    <n v="390896.35538262007"/>
    <n v="7.9223020173219645"/>
    <n v="112.33946917386376"/>
    <n v="120.26177119118573"/>
    <n v="1.0089748836046957"/>
    <n v="6.2963452092824417"/>
    <n v="0.84735383671151276"/>
    <n v="1.1317574310459948"/>
    <n v="0.15095561381641404"/>
    <n v="14.645714936139749"/>
    <n v="0.25599779176716486"/>
    <n v="15.951763655755576"/>
    <n v="15.8401184910435"/>
    <n v="1.3225023058049956"/>
    <n v="7.5922267411816087"/>
    <n v="8.2610117482517484"/>
    <n v="0.84735383671151265"/>
    <n v="7.4929121989121983"/>
    <n v="0.93421620515134851"/>
    <n v="7.0318619450757056E-2"/>
    <n v="1710.2407887203051"/>
    <n v="7"/>
    <n v="5900.7226773226776"/>
    <n v="0.18014453546453552"/>
    <n v="321.12480852480849"/>
    <n v="7.0416028416028287E-2"/>
    <n v="6061.2850815850816"/>
    <n v="0.17694855953108379"/>
    <n v="5.9746552966404229E-2"/>
    <n v="0.15034519401730101"/>
    <n v="4.7920032987087966"/>
    <n v="0.99906951392258081"/>
    <n v="75.571920050426002"/>
    <n v="75.571920050425987"/>
    <x v="4"/>
    <x v="5"/>
    <n v="0.8"/>
    <x v="50"/>
    <x v="39"/>
    <n v="24505"/>
    <n v="5000"/>
    <m/>
    <m/>
    <n v="0.99689681923972062"/>
    <m/>
    <n v="37100"/>
    <n v="390896.35538262007"/>
    <n v="24504.898882549594"/>
    <n v="1514.0636515921763"/>
    <n v="2100"/>
    <n v="10.536289902496497"/>
    <m/>
    <n v="15.951763655755576"/>
    <n v="112.33946917386376"/>
    <n v="7.9223020173219645"/>
    <n v="120.26177119118573"/>
    <n v="8.2610117482517484"/>
    <n v="7.4929121989121983"/>
    <n v="2.7309861256998889"/>
    <n v="5.7408041618198054"/>
    <m/>
    <n v="5150"/>
    <n v="740054.40984042815"/>
    <e v="#DIV/0!"/>
    <e v="#DIV/0!"/>
    <n v="0"/>
    <e v="#DIV/0!"/>
    <n v="0"/>
    <e v="#DIV/0!"/>
    <e v="#DIV/0!"/>
  </r>
  <r>
    <x v="4"/>
    <x v="4"/>
    <x v="0"/>
    <x v="72"/>
    <x v="4"/>
    <x v="0"/>
    <m/>
    <n v="0.17601847184489688"/>
    <n v="0.15039057758938695"/>
    <n v="0.83442367772187764"/>
    <n v="1.3812053680419916"/>
    <n v="1.8643025684356695"/>
    <n v="1.3253454096760171E-2"/>
    <x v="72"/>
    <n v="12258.112499999999"/>
    <n v="1135.8062500000001"/>
    <n v="12.676470588235295"/>
    <n v="25.5"/>
    <n v="0.17211700816866699"/>
    <n v="0.34270752521334363"/>
    <n v="11000"/>
    <n v="5250"/>
    <n v="11000"/>
    <n v="390639.21901528019"/>
    <n v="57640.908801460995"/>
    <n v="1924.0267339993668"/>
    <n v="1000"/>
    <n v="35.512656274116381"/>
    <n v="206.32857061584269"/>
    <n v="133875"/>
    <n v="390639.21901528019"/>
    <n v="0.36870092380613678"/>
    <n v="15.053355997188309"/>
    <n v="15.422056920994445"/>
    <n v="0.16364403168614713"/>
    <n v="1.0756180352637772"/>
    <n v="0.81578628031028433"/>
    <n v="0.18435046190306839"/>
    <n v="0.85440224547516475"/>
    <n v="6.6430011931053112"/>
    <n v="0.52404185746074372"/>
    <n v="6.7771176259694723"/>
    <n v="7.44251332869037"/>
    <n v="0.91444461169020597"/>
    <n v="2.0721571114348549"/>
    <n v="2.4516225"/>
    <n v="0.81578628031028433"/>
    <n v="2.2716125000000003"/>
    <n v="0.88043185182331929"/>
    <n v="6.8979217175504537E-2"/>
    <n v="223.57541231231932"/>
    <n v="2"/>
    <n v="6129.0562499999996"/>
    <n v="0.22581124999999994"/>
    <n v="567.90312500000005"/>
    <n v="0.1358062500000001"/>
    <n v="6413.0078125"/>
    <n v="0.22152529761904763"/>
    <n v="5.6469740995095483E-2"/>
    <n v="0.18135137933764983"/>
    <n v="4.9170316073376457"/>
    <n v="0.99906342255098324"/>
    <n v="73.65030756177751"/>
    <n v="73.65030756177751"/>
    <x v="4"/>
    <x v="1"/>
    <n v="0.2"/>
    <x v="13"/>
    <x v="13"/>
    <n v="57645"/>
    <n v="5000"/>
    <m/>
    <m/>
    <n v="0.34270752521334363"/>
    <m/>
    <n v="11000"/>
    <n v="390639.21901528019"/>
    <n v="57640.908801460995"/>
    <n v="1924.0267339993668"/>
    <n v="1000"/>
    <n v="35.512656274116381"/>
    <m/>
    <n v="6.7771176259694723"/>
    <n v="15.053355997188309"/>
    <n v="0.36870092380613678"/>
    <n v="15.422056920994445"/>
    <n v="2.4516225"/>
    <n v="2.2716125000000003"/>
    <n v="1.8626074119354237"/>
    <n v="2.2660280184764838"/>
    <m/>
    <n v="5250"/>
    <n v="284437.75862688577"/>
    <e v="#DIV/0!"/>
    <e v="#DIV/0!"/>
    <n v="0"/>
    <e v="#DIV/0!"/>
    <n v="0"/>
    <e v="#DIV/0!"/>
    <e v="#DIV/0!"/>
  </r>
  <r>
    <x v="4"/>
    <x v="4"/>
    <x v="6"/>
    <x v="73"/>
    <x v="4"/>
    <x v="0"/>
    <m/>
    <n v="0.20610742363866"/>
    <n v="0.17102828618696231"/>
    <n v="0.79073647075381626"/>
    <n v="1.0388882815837857"/>
    <n v="1.0929871845245362"/>
    <n v="1.6073429748460325E-2"/>
    <x v="73"/>
    <n v="14490.78125"/>
    <n v="1325.7375"/>
    <n v="18.705882352941174"/>
    <n v="32"/>
    <n v="0.25347282435084195"/>
    <n v="0.43231186966640817"/>
    <n v="13750"/>
    <n v="5250"/>
    <n v="13750"/>
    <n v="388608.34454912506"/>
    <n v="47346.552755602512"/>
    <n v="1990.8632134386428"/>
    <n v="1250"/>
    <n v="28.262425058118186"/>
    <n v="111.50080932936237"/>
    <n v="168000"/>
    <n v="388608.34454912506"/>
    <n v="0.49566669653953349"/>
    <n v="21.309148571149418"/>
    <n v="21.804815267688952"/>
    <n v="0.18710171593542263"/>
    <n v="1.1015795478316035"/>
    <n v="0.86261739683635075"/>
    <n v="0.19826667861581337"/>
    <n v="0.82980167898659896"/>
    <n v="8.0316596395072217"/>
    <n v="0.42936545242648677"/>
    <n v="8.2077431604171238"/>
    <n v="8.8993322710665126"/>
    <n v="0.92385511440310775"/>
    <n v="2.4501630688159284"/>
    <n v="2.89815625"/>
    <n v="0.86261739683635075"/>
    <n v="2.651475"/>
    <n v="0.94287142062436946"/>
    <n v="6.8979217175504537E-2"/>
    <n v="316.10702702251223"/>
    <n v="2.5"/>
    <n v="5796.3125"/>
    <n v="0.1592625"/>
    <n v="530.29499999999996"/>
    <n v="6.0589999999999915E-2"/>
    <n v="6061.46"/>
    <n v="0.15456380952380952"/>
    <n v="5.974482883189839E-2"/>
    <n v="0.13387203742992612"/>
    <n v="4.9071662332057642"/>
    <n v="0.99906530166986562"/>
    <n v="73.79837424721164"/>
    <n v="73.79837424721164"/>
    <x v="4"/>
    <x v="2"/>
    <n v="0.30000000000000004"/>
    <x v="51"/>
    <x v="29"/>
    <n v="47350"/>
    <n v="5000"/>
    <m/>
    <m/>
    <n v="0.43231186966640817"/>
    <m/>
    <n v="13750"/>
    <n v="388608.34454912506"/>
    <n v="47346.552755602512"/>
    <n v="1990.8632134386428"/>
    <n v="1250"/>
    <n v="28.262425058118186"/>
    <m/>
    <n v="8.2077431604171238"/>
    <n v="21.309148571149418"/>
    <n v="0.49566669653953349"/>
    <n v="21.804815267688952"/>
    <n v="2.89815625"/>
    <n v="2.651475"/>
    <n v="2.2751860123996628"/>
    <n v="2.6521074902518138"/>
    <m/>
    <n v="5250"/>
    <n v="369820.7726003541"/>
    <e v="#DIV/0!"/>
    <e v="#DIV/0!"/>
    <n v="0"/>
    <e v="#DIV/0!"/>
    <n v="0"/>
    <e v="#DIV/0!"/>
    <e v="#DIV/0!"/>
  </r>
  <r>
    <x v="4"/>
    <x v="4"/>
    <x v="1"/>
    <x v="74"/>
    <x v="4"/>
    <x v="0"/>
    <m/>
    <n v="0.42235602144706441"/>
    <n v="0.29382635968487436"/>
    <n v="1.3417937351097526"/>
    <n v="3.3173728227615342"/>
    <n v="3.5746103167533878"/>
    <n v="2.534745202136612E-2"/>
    <x v="74"/>
    <n v="18807.078431372549"/>
    <n v="1763.443137254902"/>
    <n v="35.180555555555557"/>
    <n v="66"/>
    <n v="0.47636895526247736"/>
    <n v="0.90407292474786649"/>
    <n v="16500"/>
    <n v="5250"/>
    <n v="16500"/>
    <n v="383265.54254086758"/>
    <n v="29555.735083566353"/>
    <n v="2603.8120101526038"/>
    <n v="1500"/>
    <n v="23.228214699446522"/>
    <n v="48.760974960360024"/>
    <n v="346500"/>
    <n v="383265.54254086758"/>
    <n v="1.1052030783596227"/>
    <n v="44.698790313975977"/>
    <n v="45.803993392335599"/>
    <n v="0.31917381170624048"/>
    <n v="1.3232790597362363"/>
    <n v="0.79757204473492982"/>
    <n v="0.36840102611987419"/>
    <n v="0.69568407874990079"/>
    <n v="12.52406239595326"/>
    <n v="0.355993877816279"/>
    <n v="12.967552370367935"/>
    <n v="13.471298055417989"/>
    <n v="0.95915559972205233"/>
    <n v="3.4001172866866978"/>
    <n v="3.7614156862745096"/>
    <n v="0.79757204473492982"/>
    <n v="3.526886274509804"/>
    <n v="0.85060865775065708"/>
    <n v="6.8979217175504537E-2"/>
    <n v="664.02599605901617"/>
    <n v="3"/>
    <n v="6269.0261437908493"/>
    <n v="0.25380522875816985"/>
    <n v="587.8143790849673"/>
    <n v="0.17562875816993459"/>
    <n v="6562.9333333333334"/>
    <n v="0.25008253968253968"/>
    <n v="5.5179730126477818E-2"/>
    <n v="0.20005282190890253"/>
    <n v="4.903637102499661"/>
    <n v="0.99906597388523821"/>
    <n v="73.851486682567753"/>
    <n v="73.851486682567753"/>
    <x v="4"/>
    <x v="8"/>
    <n v="0.5"/>
    <x v="52"/>
    <x v="23"/>
    <n v="29560"/>
    <n v="5000"/>
    <m/>
    <m/>
    <n v="0.90407292474786649"/>
    <m/>
    <n v="16500"/>
    <n v="383265.54254086758"/>
    <n v="29555.735083566353"/>
    <n v="2603.8120101526038"/>
    <n v="1500"/>
    <n v="23.228214699446522"/>
    <m/>
    <n v="12.967552370367935"/>
    <n v="44.698790313975977"/>
    <n v="1.1052030783596227"/>
    <n v="45.803993392335599"/>
    <n v="3.7614156862745096"/>
    <n v="3.526886274509804"/>
    <n v="2.7227275238886324"/>
    <n v="3.5449068823369179"/>
    <m/>
    <n v="5250"/>
    <n v="588508.98487807147"/>
    <e v="#DIV/0!"/>
    <e v="#DIV/0!"/>
    <n v="0"/>
    <e v="#DIV/0!"/>
    <n v="0"/>
    <e v="#DIV/0!"/>
    <e v="#DIV/0!"/>
  </r>
  <r>
    <x v="4"/>
    <x v="4"/>
    <x v="7"/>
    <x v="75"/>
    <x v="4"/>
    <x v="0"/>
    <m/>
    <n v="0.42625374893870271"/>
    <n v="0.31278119207276189"/>
    <n v="1.7727053435068381"/>
    <n v="4.8460215568542484"/>
    <n v="5.3140898966789241"/>
    <n v="3.0594831133307181E-2"/>
    <x v="75"/>
    <n v="21548.682142857146"/>
    <n v="2007.2276785714284"/>
    <n v="44.774509803921561"/>
    <n v="67.5"/>
    <n v="0.60576522307914638"/>
    <n v="0.92385570209464696"/>
    <n v="19250"/>
    <n v="5250"/>
    <n v="19250"/>
    <n v="383582.63005416299"/>
    <n v="24572.568557775165"/>
    <n v="2206.2550273897691"/>
    <n v="1750"/>
    <n v="19.926370392424051"/>
    <n v="32.89454335317722"/>
    <n v="354375"/>
    <n v="383582.63005416299"/>
    <n v="1.348004497647979"/>
    <n v="61.410791871993034"/>
    <n v="62.758796369641011"/>
    <n v="0.34337602320606908"/>
    <n v="1.2413614234296624"/>
    <n v="0.81211462881969398"/>
    <n v="0.38514414218513687"/>
    <n v="0.73379106424643148"/>
    <n v="15.420399152639105"/>
    <n v="0.34440129484764376"/>
    <n v="15.610196758726353"/>
    <n v="16.109530195473283"/>
    <n v="0.98178270120433131"/>
    <n v="3.8957558419224414"/>
    <n v="4.309736428571429"/>
    <n v="0.8121146288196941"/>
    <n v="4.0144553571428565"/>
    <n v="0.87184927683216251"/>
    <n v="6.8979217175504537E-2"/>
    <n v="909.82181212586329"/>
    <n v="3.5"/>
    <n v="6156.7663265306128"/>
    <n v="0.23135326530612255"/>
    <n v="573.49362244897952"/>
    <n v="0.14698724489795906"/>
    <n v="6443.5131377551024"/>
    <n v="0.22733583576287666"/>
    <n v="5.6202398044239495E-2"/>
    <n v="0.18522708222038603"/>
    <n v="4.8994921012299821"/>
    <n v="0.99906676340928957"/>
    <n v="73.913965506850388"/>
    <n v="73.913965506850403"/>
    <x v="4"/>
    <x v="10"/>
    <n v="0.70000000000000007"/>
    <x v="53"/>
    <x v="40"/>
    <n v="24575"/>
    <n v="5000"/>
    <m/>
    <m/>
    <n v="0.92385570209464696"/>
    <m/>
    <n v="19250"/>
    <n v="383582.63005416299"/>
    <n v="24572.568557775165"/>
    <n v="2206.2550273897691"/>
    <n v="1750"/>
    <n v="19.926370392424051"/>
    <m/>
    <n v="15.610196758726353"/>
    <n v="61.410791871993034"/>
    <n v="1.348004497647979"/>
    <n v="62.758796369641011"/>
    <n v="4.309736428571429"/>
    <n v="4.0144553571428565"/>
    <n v="2.830952542314686"/>
    <n v="3.9680428644175567"/>
    <m/>
    <n v="5250"/>
    <n v="581281.92268272047"/>
    <e v="#DIV/0!"/>
    <e v="#DIV/0!"/>
    <n v="0"/>
    <e v="#DIV/0!"/>
    <n v="0"/>
    <e v="#DIV/0!"/>
    <e v="#DIV/0!"/>
  </r>
  <r>
    <x v="4"/>
    <x v="4"/>
    <x v="2"/>
    <x v="76"/>
    <x v="4"/>
    <x v="0"/>
    <m/>
    <n v="0.88521275056337312"/>
    <n v="0.48408511269759902"/>
    <n v="2.4833794965809597"/>
    <n v="6.2768180787563308"/>
    <n v="7.1379978370666466"/>
    <n v="3.1481167201555318E-2"/>
    <x v="76"/>
    <n v="23078.956249999999"/>
    <n v="2081.3019230769232"/>
    <n v="45.394957983193279"/>
    <n v="73.5"/>
    <n v="0.61353338852996586"/>
    <n v="0.99689681923972073"/>
    <n v="22000"/>
    <n v="5250"/>
    <n v="22000"/>
    <n v="387076.16731517512"/>
    <n v="23857.261689028655"/>
    <n v="2334.7291899764364"/>
    <n v="2000"/>
    <n v="17.594371241598868"/>
    <n v="28.677121034529538"/>
    <n v="385875"/>
    <n v="387076.16731517512"/>
    <n v="2.234435827444841"/>
    <n v="65.521813837303242"/>
    <n v="67.756249664748083"/>
    <n v="0.51556627989915438"/>
    <n v="1.7169717746795274"/>
    <n v="0.86659031644899454"/>
    <n v="0.55860895686121037"/>
    <n v="0.54685736551977393"/>
    <n v="15.452838621703368"/>
    <n v="0.34040869973763432"/>
    <n v="16.224668713475257"/>
    <n v="16.607173917226653"/>
    <n v="0.98189916516442022"/>
    <n v="4.0799385857255581"/>
    <n v="4.61579125"/>
    <n v="0.86659031644899454"/>
    <n v="4.1626038461538464"/>
    <n v="0.96093698748102374"/>
    <n v="6.8979217175504537E-2"/>
    <n v="982.27049304365335"/>
    <n v="4"/>
    <n v="5769.7390624999998"/>
    <n v="0.15394781249999998"/>
    <n v="520.32548076923081"/>
    <n v="4.0650961538461615E-2"/>
    <n v="6029.9018028846149"/>
    <n v="0.14855272435897426"/>
    <n v="6.0057510389001034E-2"/>
    <n v="0.12933905532450321"/>
    <n v="4.8944979209888686"/>
    <n v="0.9990677146817164"/>
    <n v="73.989384818909684"/>
    <n v="73.989384818909699"/>
    <x v="4"/>
    <x v="10"/>
    <n v="0.70000000000000007"/>
    <x v="54"/>
    <x v="28"/>
    <n v="23860"/>
    <n v="5000"/>
    <m/>
    <m/>
    <n v="0.99689681923972073"/>
    <m/>
    <n v="22000"/>
    <n v="387076.16731517512"/>
    <n v="23857.261689028655"/>
    <n v="2334.7291899764364"/>
    <n v="2000"/>
    <n v="17.594371241598868"/>
    <m/>
    <n v="16.224668713475257"/>
    <n v="65.521813837303242"/>
    <n v="2.234435827444841"/>
    <n v="67.756249664748083"/>
    <n v="4.61579125"/>
    <n v="4.1626038461538464"/>
    <n v="2.7838446351577102"/>
    <n v="4.155150274562426"/>
    <m/>
    <n v="5250"/>
    <n v="696661.90846285794"/>
    <e v="#DIV/0!"/>
    <e v="#DIV/0!"/>
    <n v="0"/>
    <e v="#DIV/0!"/>
    <n v="0"/>
    <e v="#DIV/0!"/>
    <e v="#DIV/0!"/>
  </r>
  <r>
    <x v="4"/>
    <x v="4"/>
    <x v="8"/>
    <x v="77"/>
    <x v="4"/>
    <x v="0"/>
    <m/>
    <n v="3.1133290778931921"/>
    <n v="0.47236298177643204"/>
    <n v="4.6975138412394992"/>
    <n v="10.721121263504028"/>
    <n v="12.356046118736264"/>
    <n v="3.6644341857891408E-2"/>
    <x v="77"/>
    <n v="24160.740000000005"/>
    <n v="2236.126666666667"/>
    <n v="56.125"/>
    <n v="74.5"/>
    <n v="0.75889012800620637"/>
    <n v="0.99968968192397201"/>
    <n v="24750"/>
    <n v="5250"/>
    <n v="24750"/>
    <n v="391246.41083346272"/>
    <n v="20817.031839787192"/>
    <n v="2033.0560250997203"/>
    <n v="2250"/>
    <n v="15.807935791251019"/>
    <n v="20.830335259179623"/>
    <n v="391125"/>
    <n v="391246.41083346272"/>
    <n v="2.2825278376650231"/>
    <n v="81.941390010880539"/>
    <n v="84.223917848545568"/>
    <n v="0.50900732363432344"/>
    <n v="6.1164720689359715"/>
    <n v="0.93126286694861149"/>
    <n v="0.50722840837000516"/>
    <n v="0.15172279253437701"/>
    <n v="18.2919055745501"/>
    <n v="0.32591368506993496"/>
    <n v="18.794533910722134"/>
    <n v="19.253433795894313"/>
    <n v="1.1098586640239796"/>
    <n v="4.3744881428114839"/>
    <n v="4.832148000000001"/>
    <n v="0.93126286694861149"/>
    <n v="4.4722533333333336"/>
    <n v="1.0062041804429682"/>
    <n v="6.8979217175504537E-2"/>
    <n v="1221.0042574744475"/>
    <n v="4.5"/>
    <n v="5369.0533333333342"/>
    <n v="7.3810666666666844E-2"/>
    <n v="496.91703703703712"/>
    <n v="6.1659259259257623E-3"/>
    <n v="5617.511851851853"/>
    <n v="7.0002257495591039E-2"/>
    <n v="6.4466422096112974E-2"/>
    <n v="6.5422532527581623E-2"/>
    <n v="4.8966618529791424"/>
    <n v="0.9990673025041944"/>
    <n v="73.956687442297309"/>
    <n v="73.956687442297309"/>
    <x v="4"/>
    <x v="9"/>
    <n v="0.8"/>
    <x v="50"/>
    <x v="41"/>
    <n v="20820"/>
    <n v="5000"/>
    <m/>
    <m/>
    <n v="0.99968968192397201"/>
    <m/>
    <n v="24750"/>
    <n v="391246.41083346272"/>
    <n v="20817.031839787192"/>
    <n v="2033.0560250997203"/>
    <n v="2250"/>
    <n v="15.807935791251019"/>
    <m/>
    <n v="18.794533910722134"/>
    <n v="81.941390010880539"/>
    <n v="2.2825278376650231"/>
    <n v="84.223917848545568"/>
    <n v="4.832148000000001"/>
    <n v="4.4722533333333336"/>
    <n v="2.626518604374068"/>
    <n v="3.9414821766143087"/>
    <m/>
    <n v="5250"/>
    <n v="675201.63750164385"/>
    <e v="#DIV/0!"/>
    <e v="#DIV/0!"/>
    <n v="0"/>
    <e v="#DIV/0!"/>
    <n v="0"/>
    <e v="#DIV/0!"/>
    <e v="#DIV/0!"/>
  </r>
  <r>
    <x v="4"/>
    <x v="4"/>
    <x v="3"/>
    <x v="78"/>
    <x v="4"/>
    <x v="0"/>
    <m/>
    <n v="5.9768859181663343"/>
    <n v="0.70102937710468272"/>
    <n v="9.8312541939618381"/>
    <n v="20.088616091012955"/>
    <n v="22.265688579082489"/>
    <n v="3.7746585141523716E-2"/>
    <x v="78"/>
    <n v="31447.682638888888"/>
    <n v="2800.0798611111113"/>
    <n v="55.344117647058823"/>
    <n v="74.5"/>
    <n v="0.74480582302742671"/>
    <n v="0.99786656322730805"/>
    <n v="27500"/>
    <n v="5250"/>
    <n v="27500"/>
    <n v="391961.22448979592"/>
    <n v="20024.255528938862"/>
    <n v="1973.6884732930482"/>
    <n v="2500"/>
    <n v="14.253135435992579"/>
    <n v="19.136713214804878"/>
    <n v="391125"/>
    <n v="391961.22448979592"/>
    <n v="4.4091498743452044"/>
    <n v="105.69345288049647"/>
    <n v="110.10260275484167"/>
    <n v="0.73877596224620645"/>
    <n v="8.0902549942122519"/>
    <n v="0.79497113625423255"/>
    <n v="0.8818299748690408"/>
    <n v="0.11729007156953625"/>
    <n v="18.362643630065254"/>
    <n v="0.33179034034235988"/>
    <n v="19.57432194786654"/>
    <n v="19.668263707016092"/>
    <n v="1.235583543372011"/>
    <n v="5.5979828415441526"/>
    <n v="6.2895365277777779"/>
    <n v="0.79497113625423244"/>
    <n v="5.600159722222223"/>
    <n v="0.89283167766792348"/>
    <n v="6.8979217175504537E-2"/>
    <n v="1596.1706621678015"/>
    <n v="5"/>
    <n v="6289.5365277777773"/>
    <n v="0.25790730555555547"/>
    <n v="560.01597222222222"/>
    <n v="0.12003194444444444"/>
    <n v="6569.5445138888881"/>
    <n v="0.25134181216931201"/>
    <n v="5.512420068176492E-2"/>
    <n v="0.20085783894137496"/>
    <n v="4.8735919050346945"/>
    <n v="0.9990716967799933"/>
    <n v="74.30677357233931"/>
    <n v="74.30677357233931"/>
    <x v="4"/>
    <x v="9"/>
    <n v="0.8"/>
    <x v="55"/>
    <x v="34"/>
    <n v="20025"/>
    <n v="5000"/>
    <m/>
    <m/>
    <n v="0.99786656322730805"/>
    <m/>
    <n v="27500"/>
    <n v="391961.22448979592"/>
    <n v="20024.255528938862"/>
    <n v="1973.6884732930482"/>
    <n v="2500"/>
    <n v="14.253135435992579"/>
    <m/>
    <n v="19.57432194786654"/>
    <n v="105.69345288049647"/>
    <n v="4.4091498743452044"/>
    <n v="110.10260275484167"/>
    <n v="6.2895365277777779"/>
    <n v="5.600159722222223"/>
    <n v="2.2773686083492866"/>
    <n v="4.5306388803680475"/>
    <m/>
    <n v="5250"/>
    <n v="726988.42520097818"/>
    <e v="#DIV/0!"/>
    <e v="#DIV/0!"/>
    <n v="0"/>
    <e v="#DIV/0!"/>
    <n v="0"/>
    <e v="#DIV/0!"/>
    <e v="#DIV/0!"/>
  </r>
  <r>
    <x v="4"/>
    <x v="4"/>
    <x v="9"/>
    <x v="79"/>
    <x v="4"/>
    <x v="0"/>
    <m/>
    <n v="9.5070217260960135"/>
    <n v="0.43838685597627414"/>
    <n v="11.2067737248091"/>
    <n v="21.429997074604035"/>
    <n v="22.937023150920865"/>
    <n v="3.985327849326771E-2"/>
    <x v="79"/>
    <n v="25903.76833333333"/>
    <n v="2428.3995833333338"/>
    <n v="60.29227941176471"/>
    <n v="74.5"/>
    <n v="0.81599065052708442"/>
    <n v="0.99778898370830105"/>
    <n v="30250"/>
    <n v="5250"/>
    <n v="30250"/>
    <n v="391991.70003498811"/>
    <n v="19248.278792274548"/>
    <n v="1869.3568714198771"/>
    <n v="2750"/>
    <n v="12.958403306941756"/>
    <n v="15.880578164187728"/>
    <n v="391125"/>
    <n v="391991.70003498811"/>
    <n v="2.2711743115175538"/>
    <n v="96.779684887518627"/>
    <n v="99.050859199036182"/>
    <n v="0.47824013446954183"/>
    <n v="19.879180020390983"/>
    <n v="1.0616216006152517"/>
    <n v="0.41294078391228251"/>
    <n v="4.6111902192559139E-2"/>
    <n v="19.823783091968963"/>
    <n v="0.32879471941312588"/>
    <n v="20.365026102610127"/>
    <n v="20.988260847249105"/>
    <n v="1.3955873596554249"/>
    <n v="4.7193457294970971"/>
    <n v="5.180753666666666"/>
    <n v="1.0616216006152517"/>
    <n v="4.8567991666666677"/>
    <n v="1.1324330719185935"/>
    <n v="6.8979217175504537E-2"/>
    <n v="1435.9522078515338"/>
    <n v="5.5"/>
    <n v="4709.7760606060601"/>
    <n v="5.8044787878787973E-2"/>
    <n v="441.52719696969706"/>
    <n v="0.11694560606060589"/>
    <n v="4930.5396590909086"/>
    <n v="6.0849588744588845E-2"/>
    <n v="7.3448530021188438E-2"/>
    <n v="6.4792165360656129E-2"/>
    <n v="4.9011844208987752"/>
    <n v="0.99906644106268594"/>
    <n v="73.888443909031636"/>
    <n v="73.888443909031636"/>
    <x v="4"/>
    <x v="9"/>
    <n v="0.9"/>
    <x v="15"/>
    <x v="35"/>
    <n v="19250"/>
    <n v="5000"/>
    <m/>
    <m/>
    <n v="0.99778898370830105"/>
    <m/>
    <n v="30250"/>
    <n v="391991.70003498811"/>
    <n v="19248.278792274548"/>
    <n v="1869.3568714198771"/>
    <n v="2750"/>
    <n v="12.958403306941756"/>
    <m/>
    <n v="20.365026102610127"/>
    <n v="96.779684887518627"/>
    <n v="2.2711743115175538"/>
    <n v="99.050859199036182"/>
    <n v="5.180753666666666"/>
    <n v="4.8567991666666677"/>
    <n v="2.0583926517481208"/>
    <n v="3.3816197150584104"/>
    <m/>
    <n v="5250"/>
    <n v="757355.92900531006"/>
    <e v="#DIV/0!"/>
    <e v="#DIV/0!"/>
    <n v="0"/>
    <e v="#DIV/0!"/>
    <n v="0"/>
    <e v="#DIV/0!"/>
    <e v="#DIV/0!"/>
  </r>
  <r>
    <x v="4"/>
    <x v="4"/>
    <x v="4"/>
    <x v="80"/>
    <x v="4"/>
    <x v="0"/>
    <m/>
    <n v="11.39422035002732"/>
    <n v="0.46343671585796753"/>
    <n v="12.332827720867044"/>
    <n v="22.788018000125884"/>
    <n v="23.14633337020874"/>
    <n v="4.0817544585313267E-2"/>
    <x v="80"/>
    <n v="26569.114117647059"/>
    <n v="2467.9709803921564"/>
    <n v="63.701388888888886"/>
    <n v="75"/>
    <n v="0.86249757564003104"/>
    <n v="0.99930178432893713"/>
    <n v="33000"/>
    <n v="5250"/>
    <n v="33000"/>
    <n v="394025.11450974306"/>
    <n v="18877.978576632911"/>
    <n v="1837.4451663362931"/>
    <n v="3000"/>
    <n v="11.94015498514373"/>
    <n v="13.843696866374765"/>
    <n v="393750"/>
    <n v="394025.11450974306"/>
    <n v="2.4626205979875828"/>
    <n v="100.73651552741615"/>
    <n v="103.19913612540373"/>
    <n v="0.50425426044328081"/>
    <n v="22.596180625248195"/>
    <n v="1.1291306088400654"/>
    <n v="0.41043676633126375"/>
    <n v="4.0672964153870901E-2"/>
    <n v="19.818136110310537"/>
    <n v="0.31110995311072903"/>
    <n v="20.872209008514599"/>
    <n v="21.537902901496697"/>
    <n v="1.4472875589752239"/>
    <n v="4.7915127390713739"/>
    <n v="5.3138228235294118"/>
    <n v="1.1291306088400654"/>
    <n v="4.9359419607843131"/>
    <n v="1.215573450350419"/>
    <n v="6.8979217175504537E-2"/>
    <n v="1496.090276913887"/>
    <n v="6"/>
    <n v="4428.1856862745099"/>
    <n v="0.11436286274509802"/>
    <n v="411.32849673202605"/>
    <n v="0.17734300653594789"/>
    <n v="4633.8499346405233"/>
    <n v="0.11736191721132889"/>
    <n v="7.8151190754840963E-2"/>
    <n v="0.13296720309249202"/>
    <n v="4.9032783313055068"/>
    <n v="0.99906604222260842"/>
    <n v="73.85689037052444"/>
    <n v="73.85689037052444"/>
    <x v="4"/>
    <x v="4"/>
    <n v="0.9"/>
    <x v="16"/>
    <x v="42"/>
    <n v="18880"/>
    <n v="5000"/>
    <m/>
    <m/>
    <n v="0.99930178432893713"/>
    <m/>
    <n v="33000"/>
    <n v="394025.11450974306"/>
    <n v="18877.978576632911"/>
    <n v="1837.4451663362931"/>
    <n v="3000"/>
    <n v="11.94015498514373"/>
    <m/>
    <n v="20.872209008514599"/>
    <n v="100.73651552741615"/>
    <n v="2.4626205979875828"/>
    <n v="103.19913612540373"/>
    <n v="5.3138228235294118"/>
    <n v="4.9359419607843131"/>
    <n v="2.0435753608782328"/>
    <n v="3.3106846731026169"/>
    <m/>
    <n v="5250"/>
    <n v="807911.38266363274"/>
    <e v="#DIV/0!"/>
    <e v="#DIV/0!"/>
    <n v="0"/>
    <e v="#DIV/0!"/>
    <n v="0"/>
    <e v="#DIV/0!"/>
    <e v="#DIV/0!"/>
  </r>
  <r>
    <x v="4"/>
    <x v="4"/>
    <x v="10"/>
    <x v="81"/>
    <x v="4"/>
    <x v="0"/>
    <m/>
    <n v="11.447014465963726"/>
    <n v="0.51192707631293743"/>
    <n v="13.185278125955509"/>
    <n v="23.53955572247505"/>
    <n v="23.969319953918458"/>
    <n v="4.0333052586724066E-2"/>
    <x v="81"/>
    <n v="27595.104201680668"/>
    <n v="2526.8252100840336"/>
    <n v="62.105555555555554"/>
    <n v="74"/>
    <n v="0.84196233083354888"/>
    <n v="0.99910783553141969"/>
    <n v="35750"/>
    <n v="5250"/>
    <n v="35750"/>
    <n v="388846.91540163837"/>
    <n v="18804.448691113615"/>
    <n v="1834.7235146877445"/>
    <n v="3250"/>
    <n v="10.876836794451423"/>
    <n v="12.918436367198607"/>
    <n v="388500"/>
    <n v="388846.91540163837"/>
    <n v="2.8253362029034479"/>
    <n v="101.91457407577941"/>
    <n v="104.73991027868286"/>
    <n v="0.55226012889966147"/>
    <n v="20.727577217589612"/>
    <n v="1.1777451450254208"/>
    <n v="0.43466710813899201"/>
    <n v="4.47214492333428E-2"/>
    <n v="20.084945824598275"/>
    <n v="0.3234001474575266"/>
    <n v="20.678453369674969"/>
    <n v="21.344271438387452"/>
    <n v="1.4754135473248298"/>
    <n v="4.9071672734778478"/>
    <n v="5.5190208403361334"/>
    <n v="1.177745145025421"/>
    <n v="5.0536504201680676"/>
    <n v="1.2861989768939799"/>
    <n v="6.8979217175504537E-2"/>
    <n v="1518.4270649548257"/>
    <n v="6.5"/>
    <n v="4245.4006464124104"/>
    <n v="0.15091987071751792"/>
    <n v="388.74234001292825"/>
    <n v="0.22251531997414351"/>
    <n v="4439.7718164188746"/>
    <n v="0.15432917782497627"/>
    <n v="8.1567455523762059E-2"/>
    <n v="0.18249320394908419"/>
    <n v="4.9095283868138919"/>
    <n v="0.99906485173584503"/>
    <n v="73.762867151159355"/>
    <n v="73.762867151159369"/>
    <x v="4"/>
    <x v="4"/>
    <n v="0.9"/>
    <x v="56"/>
    <x v="43"/>
    <n v="18805"/>
    <n v="5000"/>
    <m/>
    <m/>
    <n v="0.99910783553141969"/>
    <m/>
    <n v="35750"/>
    <n v="388846.91540163837"/>
    <n v="18804.448691113615"/>
    <n v="1834.7235146877445"/>
    <n v="3250"/>
    <n v="10.876836794451423"/>
    <m/>
    <n v="20.678453369674969"/>
    <n v="101.91457407577941"/>
    <n v="2.8253362029034479"/>
    <n v="104.73991027868286"/>
    <n v="5.5190208403361334"/>
    <n v="5.0536504201680676"/>
    <n v="1.972129134078642"/>
    <n v="3.3259605636503466"/>
    <m/>
    <n v="5250"/>
    <n v="885579.01843524585"/>
    <e v="#DIV/0!"/>
    <e v="#DIV/0!"/>
    <n v="0"/>
    <e v="#DIV/0!"/>
    <n v="0"/>
    <e v="#DIV/0!"/>
    <e v="#DIV/0!"/>
  </r>
  <r>
    <x v="4"/>
    <x v="4"/>
    <x v="5"/>
    <x v="82"/>
    <x v="4"/>
    <x v="0"/>
    <m/>
    <n v="14.245442759659214"/>
    <n v="0.46475651800967327"/>
    <n v="14.786196548419639"/>
    <n v="25.480479049682614"/>
    <n v="28.256826920509329"/>
    <n v="4.0722935856781238E-2"/>
    <x v="82"/>
    <n v="26745.607450980395"/>
    <n v="2470.4658823529417"/>
    <n v="64.152777777777771"/>
    <n v="75"/>
    <n v="0.86774469873286786"/>
    <n v="0.99743987587276961"/>
    <n v="38500"/>
    <n v="5250"/>
    <n v="38500"/>
    <n v="394760.63622929144"/>
    <n v="18954.978481350412"/>
    <n v="1841.7139732697071"/>
    <n v="3500"/>
    <n v="10.253523018942635"/>
    <n v="11.816290014696069"/>
    <n v="393750"/>
    <n v="394760.63622929144"/>
    <n v="2.4860390781942443"/>
    <n v="100.6046236634253"/>
    <n v="103.09066274161954"/>
    <n v="0.50547945386645454"/>
    <n v="28.182041130840499"/>
    <n v="1.3086261010952298"/>
    <n v="0.35514843974203486"/>
    <n v="3.2624926150122087E-2"/>
    <n v="20.151139628618896"/>
    <n v="0.3141117240226371"/>
    <n v="20.826224446400293"/>
    <n v="21.670094029485849"/>
    <n v="1.5854042629291012"/>
    <n v="4.7572780534014827"/>
    <n v="5.3491214901960786"/>
    <n v="1.3086261010952298"/>
    <n v="4.9409317647058835"/>
    <n v="1.4167368288715247"/>
    <n v="6.8979217175504537E-2"/>
    <n v="1494.5177252349051"/>
    <n v="7"/>
    <n v="3820.8010644257706"/>
    <n v="0.23583978711484588"/>
    <n v="352.92369747899164"/>
    <n v="0.29415260504201673"/>
    <n v="3997.2629131652666"/>
    <n v="0.23861658796852064"/>
    <n v="9.0597215654407509E-2"/>
    <n v="0.31339872158740328"/>
    <n v="4.8983979887693403"/>
    <n v="0.99906697181166304"/>
    <n v="73.930475025036117"/>
    <n v="73.930475025036117"/>
    <x v="4"/>
    <x v="4"/>
    <n v="0.9"/>
    <x v="16"/>
    <x v="44"/>
    <n v="18955"/>
    <n v="5000"/>
    <m/>
    <m/>
    <n v="0.99743987587276961"/>
    <m/>
    <n v="38500"/>
    <n v="394760.63622929144"/>
    <n v="18954.978481350412"/>
    <n v="1841.7139732697071"/>
    <n v="3500"/>
    <n v="10.253523018942635"/>
    <m/>
    <n v="20.826224446400293"/>
    <n v="100.6046236634253"/>
    <n v="2.4860390781942443"/>
    <n v="103.09066274161954"/>
    <n v="5.3491214901960786"/>
    <n v="4.9409317647058835"/>
    <n v="1.8673023699675317"/>
    <n v="3.0006719198623899"/>
    <m/>
    <n v="5250"/>
    <n v="942992.79787085799"/>
    <e v="#DIV/0!"/>
    <e v="#DIV/0!"/>
    <n v="0"/>
    <e v="#DIV/0!"/>
    <n v="0"/>
    <e v="#DIV/0!"/>
    <e v="#DIV/0!"/>
  </r>
  <r>
    <x v="4"/>
    <x v="4"/>
    <x v="0"/>
    <x v="83"/>
    <x v="4"/>
    <x v="0"/>
    <m/>
    <n v="0.17598431917840884"/>
    <n v="0.15181905510606336"/>
    <n v="0.81407380497564708"/>
    <n v="1.1390088438987731"/>
    <n v="1.3229177117347719"/>
    <n v="1.3675466659039886E-2"/>
    <x v="83"/>
    <n v="12454.506249999999"/>
    <n v="1162.1812500000001"/>
    <n v="13.176470588235295"/>
    <n v="26"/>
    <n v="0.17859033450463196"/>
    <n v="0.35128006206361517"/>
    <n v="11000"/>
    <n v="5250"/>
    <n v="11000"/>
    <n v="388578.84275618376"/>
    <n v="55594.238568250701"/>
    <n v="1901.2148285859946"/>
    <n v="1000"/>
    <n v="35.325349341471252"/>
    <n v="197.80101448074194"/>
    <n v="136500"/>
    <n v="388578.84275618376"/>
    <n v="0.37816627413751208"/>
    <n v="15.8933709361363"/>
    <n v="16.271537210273813"/>
    <n v="0.16549452176510324"/>
    <n v="1.0633845598115594"/>
    <n v="0.80292223547601504"/>
    <n v="0.18908313706875604"/>
    <n v="0.86268512907762374"/>
    <n v="6.8744520079341687"/>
    <n v="0.52172180417357528"/>
    <n v="6.9895523846260064"/>
    <n v="7.6406555649959582"/>
    <n v="0.92096297243013603"/>
    <n v="2.1295996229457597"/>
    <n v="2.4909012499999998"/>
    <n v="0.80292223547601504"/>
    <n v="2.3243625000000003"/>
    <n v="0.86045098387192176"/>
    <n v="6.8979217175504537E-2"/>
    <n v="235.89043014034172"/>
    <n v="2"/>
    <n v="6227.2531249999993"/>
    <n v="0.24545062499999987"/>
    <n v="581.09062500000005"/>
    <n v="0.16218125000000008"/>
    <n v="6517.7984374999996"/>
    <n v="0.24148541666666659"/>
    <n v="5.5561842490837052E-2"/>
    <n v="0.19451329304781062"/>
    <n v="4.9083601166507149"/>
    <n v="0.99906507426349522"/>
    <n v="73.780423922625815"/>
    <n v="73.780423922625815"/>
    <x v="4"/>
    <x v="1"/>
    <n v="0.2"/>
    <x v="13"/>
    <x v="5"/>
    <n v="55595"/>
    <n v="5000"/>
    <m/>
    <m/>
    <n v="0.35128006206361517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1"/>
    <x v="84"/>
    <x v="4"/>
    <x v="0"/>
    <m/>
    <n v="0.20305258798256787"/>
    <n v="0.16800686798882636"/>
    <n v="0.91278575280776297"/>
    <n v="1.516696518659592"/>
    <n v="1.855468022823334"/>
    <n v="1.5582201915096445E-2"/>
    <x v="84"/>
    <n v="14155.45"/>
    <n v="1320.2125000000001"/>
    <n v="17.647058823529409"/>
    <n v="32"/>
    <n v="0.23920275635467531"/>
    <n v="0.4313421256788208"/>
    <n v="12100.000000000002"/>
    <n v="5250"/>
    <n v="12100.000000000002"/>
    <n v="389482.01438848919"/>
    <n v="48935.38609174559"/>
    <n v="2053.6250379991266"/>
    <n v="1100"/>
    <n v="32.188596230453648"/>
    <n v="134.56615935782258"/>
    <n v="168000"/>
    <n v="389482.01438848919"/>
    <n v="0.47564256389448645"/>
    <n v="20.571817745834267"/>
    <n v="21.047460309728752"/>
    <n v="0.18358906990392279"/>
    <n v="1.1060167584531633"/>
    <n v="0.77708585739061631"/>
    <n v="0.21620116540658474"/>
    <n v="0.82740569651468709"/>
    <n v="7.7840573368324213"/>
    <n v="0.44109658242050392"/>
    <n v="7.9591078255370489"/>
    <n v="8.5681868149388389"/>
    <n v="0.93036343570396285"/>
    <n v="2.4564660837030305"/>
    <n v="2.8310900000000001"/>
    <n v="0.77708585739061642"/>
    <n v="2.640425"/>
    <n v="0.83319920088622101"/>
    <n v="6.8979217175504537E-2"/>
    <n v="305.12756119248905"/>
    <n v="2.2000000000000002"/>
    <n v="6434.295454545454"/>
    <n v="0.28685909090909079"/>
    <n v="600.09659090909088"/>
    <n v="0.20019318181818174"/>
    <n v="6734.3437499999991"/>
    <n v="0.28273214285714271"/>
    <n v="5.3775230908193375E-2"/>
    <n v="0.22041401584230078"/>
    <n v="4.9087556166716135"/>
    <n v="0.99906499893015777"/>
    <n v="73.774479410109407"/>
    <n v="73.774479410109407"/>
    <x v="4"/>
    <x v="2"/>
    <n v="0.30000000000000004"/>
    <x v="57"/>
    <x v="21"/>
    <n v="48940"/>
    <n v="5000"/>
    <m/>
    <m/>
    <n v="0.4313421256788208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2"/>
    <x v="85"/>
    <x v="4"/>
    <x v="0"/>
    <m/>
    <n v="0.19155025033248335"/>
    <n v="0.16208390292466535"/>
    <n v="0.87404989314019976"/>
    <n v="1.6647070646286011"/>
    <n v="2.334600269794461"/>
    <n v="1.4772788022741266E-2"/>
    <x v="85"/>
    <n v="13888.606250000001"/>
    <n v="1296.21875"/>
    <n v="15.764705882352942"/>
    <n v="30"/>
    <n v="0.2133619312736732"/>
    <n v="0.40461598138091548"/>
    <n v="13200"/>
    <n v="5250"/>
    <n v="13200"/>
    <n v="389257.98101811903"/>
    <n v="51567.744575491539"/>
    <n v="2030.7608796537206"/>
    <n v="1200"/>
    <n v="29.489240986221137"/>
    <n v="138.21228937225985"/>
    <n v="157500"/>
    <n v="389257.98101811903"/>
    <n v="0.45022390143678015"/>
    <n v="19.148764824852655"/>
    <n v="19.598988726289434"/>
    <n v="0.17685669094740661"/>
    <n v="1.0830817273938835"/>
    <n v="0.86401758275780904"/>
    <n v="0.18759329226532506"/>
    <n v="0.84616909997939549"/>
    <n v="7.3745598650858373"/>
    <n v="0.46778924517335535"/>
    <n v="7.5484779142952982"/>
    <n v="8.2504115941284422"/>
    <n v="0.91526795254307414"/>
    <n v="2.375516482139802"/>
    <n v="2.7777212500000004"/>
    <n v="0.86401758275780893"/>
    <n v="2.5924375"/>
    <n v="0.92576966657826854"/>
    <n v="6.8979217175504537E-2"/>
    <n v="284.12889459768041"/>
    <n v="2.4"/>
    <n v="5786.9192708333339"/>
    <n v="0.15738385416666678"/>
    <n v="540.09114583333337"/>
    <n v="8.0182291666666738E-2"/>
    <n v="6056.9648437500009"/>
    <n v="0.15370758928571446"/>
    <n v="5.9789168257280062E-2"/>
    <n v="0.13322924345230155"/>
    <n v="4.9012699822474852"/>
    <n v="0.99906642476528607"/>
    <n v="73.887154040296011"/>
    <n v="73.887154040296011"/>
    <x v="4"/>
    <x v="1"/>
    <n v="0.30000000000000004"/>
    <x v="23"/>
    <x v="20"/>
    <n v="51570"/>
    <n v="5000"/>
    <m/>
    <m/>
    <n v="0.40461598138091548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3"/>
    <x v="86"/>
    <x v="4"/>
    <x v="0"/>
    <m/>
    <n v="0.22424565019571374"/>
    <n v="0.18478550120979248"/>
    <n v="1.0842929298124317"/>
    <n v="3.4313482642173749"/>
    <n v="4.1654850387573221"/>
    <n v="1.7040464900077414E-2"/>
    <x v="86"/>
    <n v="15640.955"/>
    <n v="1447.45875"/>
    <n v="19.601102941176471"/>
    <n v="34"/>
    <n v="0.26573095879158481"/>
    <n v="0.46307214895267645"/>
    <n v="14300"/>
    <n v="5250"/>
    <n v="14300"/>
    <n v="385469.09029988275"/>
    <n v="44281.251625058132"/>
    <n v="1995.2507281562218"/>
    <n v="1300"/>
    <n v="26.95588044055124"/>
    <n v="101.44049667051772"/>
    <n v="178500"/>
    <n v="385469.09029988275"/>
    <n v="0.57804434181496189"/>
    <n v="24.665370023684929"/>
    <n v="25.243414365499891"/>
    <n v="0.20182596610986989"/>
    <n v="1.1110842401400376"/>
    <n v="0.83115129478986416"/>
    <n v="0.22232474685190845"/>
    <n v="0.82403159681589444"/>
    <n v="8.5894423501194286"/>
    <n v="0.43821219529822464"/>
    <n v="8.7050179512484984"/>
    <n v="9.3513837448285706"/>
    <n v="0.94067870332876868"/>
    <n v="2.6994309135757377"/>
    <n v="3.1281910000000002"/>
    <n v="0.83115129478986416"/>
    <n v="2.8949175"/>
    <n v="0.89812576696917967"/>
    <n v="6.8979217175504537E-2"/>
    <n v="365.95681132873415"/>
    <n v="2.6"/>
    <n v="6015.751923076923"/>
    <n v="0.20315038461538462"/>
    <n v="556.71490384615379"/>
    <n v="0.11342980769230758"/>
    <n v="6294.109375"/>
    <n v="0.1988779761904762"/>
    <n v="5.7536478728795339E-2"/>
    <n v="0.1658867542320076"/>
    <n v="4.9095219922919258"/>
    <n v="0.99906485295384917"/>
    <n v="73.762963225334204"/>
    <n v="73.762963225334204"/>
    <x v="4"/>
    <x v="2"/>
    <n v="0.30000000000000004"/>
    <x v="58"/>
    <x v="30"/>
    <n v="44285"/>
    <n v="5000"/>
    <m/>
    <m/>
    <n v="0.46307214895267645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4"/>
    <x v="87"/>
    <x v="4"/>
    <x v="0"/>
    <m/>
    <n v="0.21542263479260726"/>
    <n v="0.17878856696611251"/>
    <n v="1.0393779060152848"/>
    <n v="1.9823090612888326"/>
    <n v="3.7103665113449091"/>
    <n v="1.7937609454206145E-2"/>
    <x v="87"/>
    <n v="16450.195833333331"/>
    <n v="1498.2666666666664"/>
    <n v="22.84191176470588"/>
    <n v="36.5"/>
    <n v="0.3095032058595355"/>
    <n v="0.49476338246702872"/>
    <n v="15399.999999999998"/>
    <n v="5250"/>
    <n v="15399.999999999998"/>
    <n v="387306.35045080358"/>
    <n v="42339.699416010604"/>
    <n v="2034.8307890849528"/>
    <n v="1400"/>
    <n v="25.149763016285949"/>
    <n v="81.258489541138658"/>
    <n v="191625"/>
    <n v="387306.35045080358"/>
    <n v="0.58822138787071632"/>
    <n v="26.875322324921921"/>
    <n v="27.463543712792639"/>
    <n v="0.19672617642031864"/>
    <n v="1.0950379797569103"/>
    <n v="0.85105369819558896"/>
    <n v="0.21007906709668436"/>
    <n v="0.82994327470851292"/>
    <n v="8.93795670246584"/>
    <n v="0.39129635008380953"/>
    <n v="9.1475932940691855"/>
    <n v="9.819858425298662"/>
    <n v="0.93030279380289493"/>
    <n v="2.7967351995665211"/>
    <n v="3.2900391666666664"/>
    <n v="0.85105369819558885"/>
    <n v="2.9965333333333328"/>
    <n v="0.93441309958173902"/>
    <n v="6.8979217175504537E-2"/>
    <n v="398.14229324923855"/>
    <n v="2.8"/>
    <n v="5875.0699404761899"/>
    <n v="0.17501398809523799"/>
    <n v="535.09523809523807"/>
    <n v="7.019047619047615E-2"/>
    <n v="6142.6175595238092"/>
    <n v="0.17002239229024937"/>
    <n v="5.895546754492606E-2"/>
    <n v="0.14531550285754832"/>
    <n v="4.9069345699014484"/>
    <n v="0.9990653457962092"/>
    <n v="73.801858372583141"/>
    <n v="73.801858372583126"/>
    <x v="4"/>
    <x v="2"/>
    <n v="0.4"/>
    <x v="59"/>
    <x v="10"/>
    <n v="42340"/>
    <n v="5000"/>
    <m/>
    <m/>
    <n v="0.49476338246702872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"/>
    <x v="88"/>
    <x v="4"/>
    <x v="0"/>
    <m/>
    <n v="0.22765649223340814"/>
    <n v="0.18453547350022789"/>
    <n v="0.98965067951804131"/>
    <n v="1.9092706143856044"/>
    <n v="2.2732530474662771"/>
    <n v="1.9511345407451829E-2"/>
    <x v="88"/>
    <n v="17020.168750000001"/>
    <n v="1586.14375"/>
    <n v="25.02941176470588"/>
    <n v="41.5"/>
    <n v="0.33898827180212654"/>
    <n v="0.56559348332040349"/>
    <n v="16500"/>
    <n v="5250"/>
    <n v="16500"/>
    <n v="385214.83437349973"/>
    <n v="38753.195859223502"/>
    <n v="2126.9676249055692"/>
    <n v="1500"/>
    <n v="23.346353598393922"/>
    <n v="68.870682381665404"/>
    <n v="217875"/>
    <n v="385214.83437349973"/>
    <n v="0.62816497986700637"/>
    <n v="30.94779857212092"/>
    <n v="31.575963551987925"/>
    <n v="0.20404681890767973"/>
    <n v="1.1157071374703005"/>
    <n v="0.88130736071579785"/>
    <n v="0.20938832662233545"/>
    <n v="0.81058735329643139"/>
    <n v="9.764293124151493"/>
    <n v="0.39011276876750972"/>
    <n v="9.9402081772261415"/>
    <n v="10.636980064441712"/>
    <n v="0.93752533243098246"/>
    <n v="2.9685082947126129"/>
    <n v="3.40403375"/>
    <n v="0.88130736071579785"/>
    <n v="3.1722874999999999"/>
    <n v="0.94568982161925741"/>
    <n v="6.8979217175504537E-2"/>
    <n v="457.76053781023455"/>
    <n v="3"/>
    <n v="5673.3895833333336"/>
    <n v="0.1346779166666667"/>
    <n v="528.71458333333328"/>
    <n v="5.7429166666666559E-2"/>
    <n v="5937.7468749999998"/>
    <n v="0.13099940476190472"/>
    <n v="6.0989614039651842E-2"/>
    <n v="0.1158262366985793"/>
    <n v="4.9046903563747728"/>
    <n v="0.99906577326545243"/>
    <n v="73.835627503113116"/>
    <n v="73.835627503113116"/>
    <x v="4"/>
    <x v="2"/>
    <n v="0.4"/>
    <x v="7"/>
    <x v="8"/>
    <n v="38755"/>
    <n v="5000"/>
    <m/>
    <m/>
    <n v="0.56559348332040349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5"/>
    <x v="89"/>
    <x v="4"/>
    <x v="0"/>
    <m/>
    <n v="0.3272140751714292"/>
    <n v="0.23780301124955791"/>
    <n v="2.198067640912706"/>
    <n v="5.0593351125717163"/>
    <n v="6.0444070100784302"/>
    <n v="2.4015037537711399E-2"/>
    <x v="89"/>
    <n v="21015.885714285709"/>
    <n v="1909.7"/>
    <n v="35.200000000000003"/>
    <n v="61"/>
    <n v="0.47599172485130598"/>
    <n v="0.83607447633824672"/>
    <n v="17600"/>
    <n v="5250"/>
    <n v="17600"/>
    <n v="383040.03897188458"/>
    <n v="31280.520500016788"/>
    <n v="2540.0751468412327"/>
    <n v="1600"/>
    <n v="21.763638577947987"/>
    <n v="45.722724664481682"/>
    <n v="320250"/>
    <n v="383040.03897188458"/>
    <n v="0.9995281813867416"/>
    <n v="45.861517185767461"/>
    <n v="46.861045367154205"/>
    <n v="0.26181804878726933"/>
    <n v="1.2497766165742645"/>
    <n v="0.76132884511852283"/>
    <n v="0.31235255668335671"/>
    <n v="0.7267505565736182"/>
    <n v="12.182295041234223"/>
    <n v="0.34608792730779042"/>
    <n v="12.245321780105257"/>
    <n v="12.768847613974224"/>
    <n v="0.97780899704714297"/>
    <n v="3.6699510232912083"/>
    <n v="4.2031771428571414"/>
    <n v="0.76132884511852295"/>
    <n v="3.8193999999999999"/>
    <n v="0.83782793108865272"/>
    <n v="6.8979217175504537E-2"/>
    <n v="679.35020555430719"/>
    <n v="3.2"/>
    <n v="6567.4642857142835"/>
    <n v="0.31349285714285668"/>
    <n v="596.78125"/>
    <n v="0.1935625"/>
    <n v="6865.8549107142835"/>
    <n v="0.30778188775510162"/>
    <n v="5.2745199961372884E-2"/>
    <n v="0.2353464982478313"/>
    <n v="4.8970473565872572"/>
    <n v="0.99906722907493584"/>
    <n v="73.950865450436268"/>
    <n v="73.950865450436254"/>
    <x v="4"/>
    <x v="3"/>
    <n v="0.5"/>
    <x v="52"/>
    <x v="23"/>
    <n v="31285"/>
    <n v="5000"/>
    <m/>
    <m/>
    <n v="0.83607447633824672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6"/>
    <x v="90"/>
    <x v="4"/>
    <x v="0"/>
    <m/>
    <n v="2.1085595476216281"/>
    <n v="1.1353691109673829"/>
    <n v="5.8375862573755199"/>
    <n v="16.30083003044129"/>
    <n v="17.47421408176422"/>
    <n v="2.899486974076091E-2"/>
    <x v="90"/>
    <n v="28098.254545454551"/>
    <n v="2635.7454545454539"/>
    <n v="35.666666666666657"/>
    <n v="74"/>
    <n v="0.47788337212309279"/>
    <n v="0.98867339022498057"/>
    <n v="18700"/>
    <n v="5250"/>
    <n v="18700"/>
    <n v="392950.80037664785"/>
    <n v="25136.296779867138"/>
    <n v="2552.1756318143066"/>
    <n v="1700"/>
    <n v="21.013411784847477"/>
    <n v="43.971841270582772"/>
    <n v="388500"/>
    <n v="392950.80037664785"/>
    <n v="6.3803780566015922"/>
    <n v="76.423096124348092"/>
    <n v="82.803474180949678"/>
    <n v="1.1643639807081438"/>
    <n v="1.8109110059718978"/>
    <n v="0.60501978770599785"/>
    <n v="1.8765817813534091"/>
    <n v="0.53845721940745495"/>
    <n v="14.111911868443823"/>
    <n v="0.39566108042365866"/>
    <n v="15.632803981347839"/>
    <n v="15.102454658086454"/>
    <n v="1.0721089328121327"/>
    <n v="5.4827825049362691"/>
    <n v="5.6196509090909101"/>
    <n v="0.60501978770599774"/>
    <n v="5.2714909090909075"/>
    <n v="0.64497882262047668"/>
    <n v="6.8979217175504537E-2"/>
    <n v="1200.4119149434814"/>
    <n v="3.4"/>
    <n v="8264.1925133689856"/>
    <n v="0.65283850267379717"/>
    <n v="775.2192513368982"/>
    <n v="0.55043850267379635"/>
    <n v="8651.8021390374342"/>
    <n v="0.64796231219760647"/>
    <n v="4.1857278327875537E-2"/>
    <n v="0.39319000647140384"/>
    <n v="4.8521806480028049"/>
    <n v="0.99907577511466605"/>
    <n v="74.634667676781334"/>
    <n v="74.634667676781334"/>
    <x v="4"/>
    <x v="8"/>
    <n v="0.5"/>
    <x v="52"/>
    <x v="23"/>
    <n v="25140"/>
    <n v="5000"/>
    <m/>
    <m/>
    <n v="0.98867339022498057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7"/>
    <x v="91"/>
    <x v="4"/>
    <x v="0"/>
    <m/>
    <n v="0.68332388432197322"/>
    <n v="0.52980489719111601"/>
    <n v="3.1475115282083652"/>
    <n v="6.8255829215049744"/>
    <n v="7.6076858997344958"/>
    <n v="2.6898599939678539E-2"/>
    <x v="91"/>
    <n v="25088.76923076923"/>
    <n v="2353.8461538461538"/>
    <n v="35.857142857142847"/>
    <n v="73"/>
    <n v="0.48270530865565769"/>
    <n v="0.98991466252909233"/>
    <n v="19800"/>
    <n v="5250"/>
    <n v="19800"/>
    <n v="387154.58463949844"/>
    <n v="27695.234303063255"/>
    <n v="2713.89589657849"/>
    <n v="1800"/>
    <n v="19.553261850479718"/>
    <n v="40.507658606315886"/>
    <n v="383250"/>
    <n v="387154.58463949844"/>
    <n v="2.6584305605918654"/>
    <n v="63.315166011858715"/>
    <n v="65.973596572450575"/>
    <n v="0.55670349713079459"/>
    <n v="1.2274467249510197"/>
    <n v="0.71745249176769255"/>
    <n v="0.73845293349774044"/>
    <n v="0.77533496098532229"/>
    <n v="13.471084891535947"/>
    <n v="0.3756876264571779"/>
    <n v="13.979104867030387"/>
    <n v="14.166752461606963"/>
    <n v="0.99722997307992278"/>
    <n v="4.6569315551495887"/>
    <n v="5.0177538461538465"/>
    <n v="0.71745249176769255"/>
    <n v="4.7076923076923078"/>
    <n v="0.76470588235294112"/>
    <n v="6.8979217175504537E-2"/>
    <n v="956.42715695936749"/>
    <n v="3.6"/>
    <n v="6969.1025641025635"/>
    <n v="0.39382051282051272"/>
    <n v="653.84615384615381"/>
    <n v="0.3076923076923076"/>
    <n v="7296.0256410256407"/>
    <n v="0.38971916971916964"/>
    <n v="4.963536423653396E-2"/>
    <n v="0.2804301604315661"/>
    <n v="4.8751048253750531"/>
    <n v="0.99907140860469046"/>
    <n v="74.283713508363078"/>
    <n v="74.283713508363078"/>
    <x v="4"/>
    <x v="8"/>
    <n v="0.5"/>
    <x v="43"/>
    <x v="23"/>
    <n v="27700"/>
    <n v="5000"/>
    <m/>
    <m/>
    <n v="0.98991466252909233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8"/>
    <x v="92"/>
    <x v="4"/>
    <x v="0"/>
    <m/>
    <n v="1.8313010636107021"/>
    <n v="1.097514941873035"/>
    <n v="4.4845863933762606"/>
    <n v="11.8969829082489"/>
    <n v="13.724070405960081"/>
    <n v="2.7495596487765641E-2"/>
    <x v="92"/>
    <n v="25486.966666666671"/>
    <n v="2391.666666666667"/>
    <n v="36.846153846153847"/>
    <n v="73"/>
    <n v="0.49365638240735221"/>
    <n v="0.99666408068269974"/>
    <n v="20900"/>
    <n v="5250"/>
    <n v="20900"/>
    <n v="384532.77029656729"/>
    <n v="25902.63778776511"/>
    <n v="2654.9705889261891"/>
    <n v="1900"/>
    <n v="18.398697143376424"/>
    <n v="37.270250723091642"/>
    <n v="383250"/>
    <n v="384532.77029656729"/>
    <n v="5.5944653479373301"/>
    <n v="65.760301599906171"/>
    <n v="71.354766947843501"/>
    <n v="1.1250105383608007"/>
    <n v="1.6278079192742529"/>
    <n v="0.74547906184729695"/>
    <n v="1.4722277231414027"/>
    <n v="0.59930885406089884"/>
    <n v="13.747283322075933"/>
    <n v="0.37309954736322992"/>
    <n v="14.845313185755856"/>
    <n v="14.493277305730118"/>
    <n v="1.0729863550634287"/>
    <n v="4.9233010203725565"/>
    <n v="5.0973933333333346"/>
    <n v="0.74547906184729695"/>
    <n v="4.7833333333333341"/>
    <n v="0.79442508710801374"/>
    <n v="6.8979217175504537E-2"/>
    <n v="1034.4386304978618"/>
    <n v="3.8"/>
    <n v="6707.0964912280715"/>
    <n v="0.34141929824561429"/>
    <n v="629.38596491228077"/>
    <n v="0.25877192982456154"/>
    <n v="7021.7894736842118"/>
    <n v="0.33748370927318322"/>
    <n v="5.1573874655257895E-2"/>
    <n v="0.2523273419581154"/>
    <n v="4.8518812169713632"/>
    <n v="0.9990758321491483"/>
    <n v="74.639273711950864"/>
    <n v="74.639273711950864"/>
    <x v="4"/>
    <x v="8"/>
    <n v="0.5"/>
    <x v="28"/>
    <x v="45"/>
    <n v="25905"/>
    <n v="5000"/>
    <m/>
    <m/>
    <n v="0.99666408068269974"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9"/>
    <x v="0"/>
    <x v="93"/>
    <x v="5"/>
    <x v="0"/>
    <m/>
    <n v="0.22058631616677774"/>
    <n v="0.18708273940370831"/>
    <n v="1.7244043041525279"/>
    <n v="4.8457100659608834"/>
    <n v="5.9301235830783856"/>
    <n v="1.9820489445293736E-2"/>
    <x v="93"/>
    <n v="9376.3686507936472"/>
    <n v="1742.5408730158731"/>
    <n v="29.425000000000001"/>
    <n v="51"/>
    <n v="0.41702999741401603"/>
    <n v="0.72443754848719943"/>
    <n v="12000"/>
    <n v="5500"/>
    <n v="12000"/>
    <n v="387196.93724566285"/>
    <n v="19352.51981956141"/>
    <n v="2573.094884501435"/>
    <n v="2000"/>
    <n v="32.266411437138572"/>
    <n v="77.371919615426023"/>
    <n v="280500"/>
    <n v="387196.93724566285"/>
    <n v="0.35083134656990561"/>
    <n v="34.538012981604048"/>
    <n v="34.888844328173953"/>
    <n v="0.20690322884900206"/>
    <n v="1.0661327877476556"/>
    <n v="1.066510967351264"/>
    <n v="0.17541567328495281"/>
    <n v="0.84811579727484765"/>
    <n v="20.038469987120884"/>
    <n v="0.68100152887411669"/>
    <n v="20.007572184697445"/>
    <n v="20.887000412644998"/>
    <n v="0.96898718887320578"/>
    <n v="1.6703616430750023"/>
    <n v="1.8752737301587294"/>
    <n v="1.066510967351264"/>
    <n v="1.7425408730158731"/>
    <n v="1.1477492614210729"/>
    <n v="6.5843798212981614E-2"/>
    <n v="529.87290033483134"/>
    <n v="2"/>
    <n v="4688.1843253968236"/>
    <n v="6.2363134920635277E-2"/>
    <n v="871.27043650793655"/>
    <n v="0.12872956349206344"/>
    <n v="5123.8195436507922"/>
    <n v="6.8396446608946879E-2"/>
    <n v="7.067791655936588E-2"/>
    <n v="7.3417975232042174E-2"/>
    <n v="5.1324932707455533"/>
    <n v="0.99906681940531894"/>
    <n v="70.558473449063825"/>
    <n v="70.558473449063811"/>
    <x v="4"/>
    <x v="2"/>
    <n v="0.5"/>
    <x v="41"/>
    <x v="46"/>
    <n v="19355"/>
    <n v="5000"/>
    <m/>
    <m/>
    <n v="0.72443754848719943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9"/>
    <x v="11"/>
    <x v="94"/>
    <x v="5"/>
    <x v="0"/>
    <m/>
    <n v="0.36363777946386272"/>
    <n v="0.21287415386511527"/>
    <n v="2.6572337137385209"/>
    <n v="10.409152847528459"/>
    <n v="11.270163493156433"/>
    <n v="2.21166259454268E-2"/>
    <x v="94"/>
    <n v="11476.888958333337"/>
    <n v="1999.0216666666668"/>
    <n v="38.209226190476194"/>
    <n v="58.75"/>
    <n v="0.54082065739406704"/>
    <n v="0.83436772692009309"/>
    <n v="13200.000000000002"/>
    <n v="5500"/>
    <n v="13200.000000000002"/>
    <n v="387269.29335192934"/>
    <n v="17343.392894147681"/>
    <n v="2656.3726377145754"/>
    <n v="2200"/>
    <n v="29.338582829691614"/>
    <n v="54.248265905853074"/>
    <n v="323125"/>
    <n v="387269.29335192934"/>
    <n v="0.48862660520181861"/>
    <n v="44.211614458470329"/>
    <n v="44.700241063672145"/>
    <n v="0.23499077981054206"/>
    <n v="1.5474555204125049"/>
    <n v="0.95844788948776327"/>
    <n v="0.22210300236446301"/>
    <n v="0.58540164385276716"/>
    <n v="21.811905855579777"/>
    <n v="0.57085442523346586"/>
    <n v="22.329500099291916"/>
    <n v="23.075073834914566"/>
    <n v="0.96005877023796027"/>
    <n v="1.9371656785789715"/>
    <n v="2.2953777916666671"/>
    <n v="0.95844788948776338"/>
    <n v="1.9990216666666667"/>
    <n v="1.1005383466745817"/>
    <n v="6.5843798212981614E-2"/>
    <n v="678.88308810926321"/>
    <n v="2.2000000000000002"/>
    <n v="5216.7677083333347"/>
    <n v="4.3353541666666932E-2"/>
    <n v="908.6462121212121"/>
    <n v="9.1353787878787895E-2"/>
    <n v="5671.0908143939405"/>
    <n v="3.1107420798898271E-2"/>
    <n v="6.3857360430949153E-2"/>
    <n v="3.0168942800156064E-2"/>
    <n v="5.1258110623707367"/>
    <n v="0.9990680343522963"/>
    <n v="70.650456242900461"/>
    <n v="70.650456242900461"/>
    <x v="4"/>
    <x v="3"/>
    <n v="0.60000000000000009"/>
    <x v="60"/>
    <x v="47"/>
    <n v="17345"/>
    <n v="5000"/>
    <m/>
    <m/>
    <n v="0.83436772692009309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9"/>
    <x v="12"/>
    <x v="95"/>
    <x v="5"/>
    <x v="0"/>
    <m/>
    <n v="0.49804553552893949"/>
    <n v="0.34084885026655765"/>
    <n v="2.9002478197423951"/>
    <n v="8.688214436173439"/>
    <n v="9.9302989912033048"/>
    <n v="2.3147635654410761E-2"/>
    <x v="95"/>
    <n v="10908.357430555556"/>
    <n v="1969.4657638888891"/>
    <n v="39.763194444444444"/>
    <n v="66.25"/>
    <n v="0.56045971252478244"/>
    <n v="0.91885182311869662"/>
    <n v="14400"/>
    <n v="5500"/>
    <n v="14400"/>
    <n v="396554.69013846677"/>
    <n v="16882.940662242378"/>
    <n v="2862.0633653085915"/>
    <n v="2400"/>
    <n v="27.538520148504638"/>
    <n v="49.135592680601356"/>
    <n v="364375"/>
    <n v="396554.69013846677"/>
    <n v="0.7436202177003044"/>
    <n v="45.588475936335776"/>
    <n v="46.33209615403608"/>
    <n v="0.36399648592096839"/>
    <n v="1.3682701751056907"/>
    <n v="1.100073964058661"/>
    <n v="0.30984175737512687"/>
    <n v="0.68437286543401266"/>
    <n v="22.767324785696079"/>
    <n v="0.57257283032191186"/>
    <n v="23.48848450467732"/>
    <n v="24.247709618469425"/>
    <n v="0.95853270479068498"/>
    <n v="1.9107823742142238"/>
    <n v="2.1816714861111111"/>
    <n v="1.100073964058661"/>
    <n v="1.9694657638888891"/>
    <n v="1.2186045799856819"/>
    <n v="6.5843798212981614E-2"/>
    <n v="703.66682074092967"/>
    <n v="2.4"/>
    <n v="4545.1489293981485"/>
    <n v="9.0970214120370291E-2"/>
    <n v="820.61073495370385"/>
    <n v="0.17938926504629615"/>
    <n v="4955.4542968750002"/>
    <n v="9.9008309659090882E-2"/>
    <n v="7.3079251361428454E-2"/>
    <n v="0.10988814960283254"/>
    <n v="5.1043529584250624"/>
    <n v="0.99907193582574094"/>
    <n v="70.947462513081518"/>
    <n v="70.947462513081518"/>
    <x v="4"/>
    <x v="3"/>
    <n v="0.60000000000000009"/>
    <x v="31"/>
    <x v="24"/>
    <n v="16885"/>
    <n v="5000"/>
    <m/>
    <m/>
    <n v="0.91885182311869662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9"/>
    <x v="13"/>
    <x v="96"/>
    <x v="5"/>
    <x v="0"/>
    <m/>
    <n v="1.4924599860886767"/>
    <n v="0.32445321451237169"/>
    <n v="3.8372524363317222"/>
    <n v="13.436211395263673"/>
    <n v="14.159840741157533"/>
    <n v="2.7029909332638716E-2"/>
    <x v="96"/>
    <n v="12396.37544642857"/>
    <n v="2235.1123511904761"/>
    <n v="45.961111111111116"/>
    <n v="70.75"/>
    <n v="0.65109408671666236"/>
    <n v="0.9960240496508922"/>
    <n v="15600"/>
    <n v="5500"/>
    <n v="15600"/>
    <n v="390678.31759322365"/>
    <n v="14282.121066422444"/>
    <n v="2617.4708590150212"/>
    <n v="2600"/>
    <n v="25.043481897001517"/>
    <n v="38.463691205200163"/>
    <n v="389125"/>
    <n v="390678.31759322365"/>
    <n v="0.80440877237919717"/>
    <n v="60.414884200939518"/>
    <n v="61.219292973318716"/>
    <n v="0.3514831238450104"/>
    <n v="4.2461782226187061"/>
    <n v="1.0486936327622551"/>
    <n v="0.30938798937661433"/>
    <n v="0.21739491680622774"/>
    <n v="26.423328197341803"/>
    <n v="0.57490621002315045"/>
    <n v="27.354362547151087"/>
    <n v="28.078602965400972"/>
    <n v="0.99323881278790604"/>
    <n v="2.1802827244914704"/>
    <n v="2.4792750892857143"/>
    <n v="1.0486936327622551"/>
    <n v="2.2351123511904762"/>
    <n v="1.1632524864422031"/>
    <n v="6.5843798212981614E-2"/>
    <n v="929.76551527747165"/>
    <n v="2.6"/>
    <n v="4767.8367101648346"/>
    <n v="4.6432657967033081E-2"/>
    <n v="859.65859661172158"/>
    <n v="0.14034140338827841"/>
    <n v="5197.6660084706955"/>
    <n v="5.4969816641691732E-2"/>
    <n v="6.9673751561030214E-2"/>
    <n v="5.8167260273473957E-2"/>
    <n v="5.1301586591083144"/>
    <n v="0.99906724388016221"/>
    <n v="70.590582910810681"/>
    <n v="70.590582910810681"/>
    <x v="4"/>
    <x v="8"/>
    <n v="0.70000000000000007"/>
    <x v="46"/>
    <x v="28"/>
    <n v="14285"/>
    <n v="5000"/>
    <m/>
    <m/>
    <n v="0.9960240496508922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9"/>
    <x v="14"/>
    <x v="97"/>
    <x v="5"/>
    <x v="0"/>
    <m/>
    <n v="2.1318950119705917"/>
    <n v="0.284615048688595"/>
    <n v="3.9895933152286811"/>
    <n v="10.66984308063984"/>
    <n v="11.958593722581863"/>
    <n v="2.7770829411846651E-2"/>
    <x v="97"/>
    <n v="11845.038749999998"/>
    <n v="2187.6231944444444"/>
    <n v="47.489236111111111"/>
    <n v="70.25"/>
    <n v="0.67199419769847424"/>
    <n v="0.99617920868890608"/>
    <n v="16800"/>
    <n v="5500"/>
    <n v="16800"/>
    <n v="387856.92035122559"/>
    <n v="13824.657844819114"/>
    <n v="2529.6327653084904"/>
    <n v="2800"/>
    <n v="23.086721449477714"/>
    <n v="34.355536890865828"/>
    <n v="386375"/>
    <n v="387856.92035122559"/>
    <n v="0.67425525610990877"/>
    <n v="60.752110550315699"/>
    <n v="61.426365806425608"/>
    <n v="0.31238587810044166"/>
    <n v="6.8245562985568826"/>
    <n v="1.1819294386014569"/>
    <n v="0.24080544861068168"/>
    <n v="0.13350331376098792"/>
    <n v="27.72604110485792"/>
    <n v="0.5838384310917738"/>
    <n v="28.055444460535249"/>
    <n v="28.952758850448109"/>
    <n v="1.0303047609901594"/>
    <n v="2.1216066532283122"/>
    <n v="2.3690077499999997"/>
    <n v="1.1819294386014567"/>
    <n v="2.1876231944444444"/>
    <n v="1.2799279177102851"/>
    <n v="6.5843798212981614E-2"/>
    <n v="932.91042548506755"/>
    <n v="2.8"/>
    <n v="4230.3709821428565"/>
    <n v="0.15392580357142871"/>
    <n v="781.29399801587306"/>
    <n v="0.21870600198412693"/>
    <n v="4621.0179811507933"/>
    <n v="0.15981491251803759"/>
    <n v="7.8368206236932497E-2"/>
    <n v="0.19021393607092368"/>
    <n v="5.124457600774126"/>
    <n v="0.99906828043622298"/>
    <n v="70.669116301536391"/>
    <n v="70.669116301536391"/>
    <x v="4"/>
    <x v="8"/>
    <n v="0.70000000000000007"/>
    <x v="32"/>
    <x v="27"/>
    <n v="13825"/>
    <n v="5000"/>
    <m/>
    <m/>
    <n v="0.99617920868890608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9"/>
    <x v="1"/>
    <x v="98"/>
    <x v="5"/>
    <x v="0"/>
    <m/>
    <n v="3.5608779512379258"/>
    <n v="0.35638908945720671"/>
    <n v="5.4412847553205728"/>
    <n v="14.315434846282001"/>
    <n v="15.292170528173443"/>
    <n v="2.8225682364917449E-2"/>
    <x v="98"/>
    <n v="12423.338720238096"/>
    <n v="2235.7259623015871"/>
    <n v="48.752525252525253"/>
    <n v="71.5"/>
    <n v="0.69155535181136429"/>
    <n v="0.99807990690457715"/>
    <n v="18000"/>
    <n v="5500"/>
    <n v="18000"/>
    <n v="394006.52921629976"/>
    <n v="13785.093562768863"/>
    <n v="2533.1539934308021"/>
    <n v="3000"/>
    <n v="21.889251623127766"/>
    <n v="31.652204795746417"/>
    <n v="393250"/>
    <n v="394006.52921629976"/>
    <n v="0.88550847490482298"/>
    <n v="63.104890866924002"/>
    <n v="63.990399341828827"/>
    <n v="0.38461477182212417"/>
    <n v="9.2582974241164955"/>
    <n v="1.2074048963636823"/>
    <n v="0.29516949163494099"/>
    <n v="0.10008461237299902"/>
    <n v="27.383128953419977"/>
    <n v="0.56167611444909926"/>
    <n v="28.582071454374656"/>
    <n v="29.433087261281131"/>
    <n v="1.0503750744136964"/>
    <n v="2.174097428984537"/>
    <n v="2.4846677440476195"/>
    <n v="1.2074048963636821"/>
    <n v="2.2357259623015873"/>
    <n v="1.341846027011121"/>
    <n v="6.5843798212981614E-2"/>
    <n v="971.85158023299789"/>
    <n v="3"/>
    <n v="4141.1129067460324"/>
    <n v="0.17177741865079352"/>
    <n v="745.24198743386239"/>
    <n v="0.25475801256613761"/>
    <n v="4513.7339004629639"/>
    <n v="0.17932110900673384"/>
    <n v="8.0230890468366955E-2"/>
    <n v="0.21850337686851146"/>
    <n v="5.1369743292382628"/>
    <n v="0.99906600466741124"/>
    <n v="70.496924251731457"/>
    <n v="70.496924251731471"/>
    <x v="4"/>
    <x v="8"/>
    <n v="0.70000000000000007"/>
    <x v="34"/>
    <x v="26"/>
    <n v="13790"/>
    <n v="5000"/>
    <m/>
    <m/>
    <n v="0.99807990690457715"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2"/>
    <x v="0"/>
    <x v="99"/>
    <x v="6"/>
    <x v="0"/>
    <m/>
    <n v="0.17111156936045049"/>
    <n v="0.14817790955466786"/>
    <n v="0.78302010879935935"/>
    <n v="1.0646291335423763"/>
    <n v="1.4754151487350453"/>
    <n v="1.0464462487309993E-2"/>
    <x v="99"/>
    <n v="12566.9625"/>
    <n v="463.47499999999997"/>
    <n v="5.2962962962962967"/>
    <n v="10.666666666666666"/>
    <n v="6.9947992989110142E-2"/>
    <n v="0.14116886475303855"/>
    <n v="10400"/>
    <n v="5100"/>
    <n v="10400"/>
    <n v="385354.09415643883"/>
    <n v="171950.9092395833"/>
    <n v="1019.3229398645062"/>
    <n v="400"/>
    <n v="37.053278284272963"/>
    <n v="529.72611079836997"/>
    <n v="54400"/>
    <n v="385354.09415643883"/>
    <n v="0.37242924654038051"/>
    <n v="4.8500167513059989"/>
    <n v="5.2224459978463793"/>
    <n v="0.15864237204197787"/>
    <n v="1.0785994129939838"/>
    <n v="0.79573723562873688"/>
    <n v="0.18621462327019025"/>
    <n v="0.86597247695465673"/>
    <n v="2.0909054137896188"/>
    <n v="0.39478633686936854"/>
    <n v="2.2410704070166667"/>
    <n v="2.8886297330907356"/>
    <n v="0.77945348788391611"/>
    <n v="1.8079319540405547"/>
    <n v="2.5133925000000001"/>
    <n v="0.79573723562873677"/>
    <n v="2.3173749999999997"/>
    <n v="0.86304547170829071"/>
    <n v="7.1008017680666433E-2"/>
    <n v="73.547272102884094"/>
    <n v="2"/>
    <n v="6283.4812499999998"/>
    <n v="0.25669624999999996"/>
    <n v="231.73749999999998"/>
    <n v="0.15868749999999993"/>
    <n v="6399.3499999999995"/>
    <n v="0.25477450980392147"/>
    <n v="5.6590261537718498E-2"/>
    <n v="0.20304405916225854"/>
    <n v="4.782781594846405"/>
    <n v="0.99906219968728494"/>
    <n v="75.717630627670061"/>
    <n v="75.717630627670061"/>
    <x v="4"/>
    <x v="1"/>
    <n v="0.1"/>
    <x v="20"/>
    <x v="2"/>
    <n v="171955"/>
    <n v="5000"/>
    <m/>
    <m/>
    <n v="0.14116886475303855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1"/>
    <x v="100"/>
    <x v="6"/>
    <x v="0"/>
    <m/>
    <n v="0.17417187530369771"/>
    <n v="0.1488430971451522"/>
    <n v="0.76926682079348796"/>
    <n v="1.0059027671813963"/>
    <n v="1.1269246069590251"/>
    <n v="1.0721021489823184E-2"/>
    <x v="100"/>
    <n v="12653.112499999997"/>
    <n v="465.85416666666669"/>
    <n v="4.4814814814814818"/>
    <n v="11"/>
    <n v="5.8994914231531768E-2"/>
    <n v="0.14453064391000778"/>
    <n v="11440.000000000002"/>
    <n v="5100"/>
    <n v="11440.000000000002"/>
    <n v="388152.9790660225"/>
    <n v="169273.85796464887"/>
    <n v="1026.021635199746"/>
    <n v="440.00000000000006"/>
    <n v="33.929456212064899"/>
    <n v="575.12510449468857"/>
    <n v="56100"/>
    <n v="388152.9790660225"/>
    <n v="0.37666569060520788"/>
    <n v="4.9944325319570053"/>
    <n v="5.371098222562213"/>
    <n v="0.15956411863497538"/>
    <n v="1.0915478792706494"/>
    <n v="0.8693513157335796"/>
    <n v="0.17121167754782174"/>
    <n v="0.85457595771773964"/>
    <n v="2.1417565700799446"/>
    <n v="0.47791262307569005"/>
    <n v="2.2930473951097889"/>
    <n v="3.0135556136982165"/>
    <n v="0.76494603697221419"/>
    <n v="1.7823126270335643"/>
    <n v="2.5306224999999993"/>
    <n v="0.86935131573357971"/>
    <n v="2.3292708333333336"/>
    <n v="0.94450158758552838"/>
    <n v="7.1008017680666433E-2"/>
    <n v="75.640729004953172"/>
    <n v="2.2000000000000002"/>
    <n v="5751.4147727272712"/>
    <n v="0.15028295454545423"/>
    <n v="211.75189393939394"/>
    <n v="5.8759469696969685E-2"/>
    <n v="5857.2907196969682"/>
    <n v="0.14848837641117021"/>
    <n v="6.1827371647029075E-2"/>
    <n v="0.12929027359873757"/>
    <n v="4.7672785983106651"/>
    <n v="0.99906523949052739"/>
    <n v="75.963861289694137"/>
    <n v="75.963861289694137"/>
    <x v="4"/>
    <x v="1"/>
    <n v="0.1"/>
    <x v="2"/>
    <x v="1"/>
    <n v="169275"/>
    <n v="5000"/>
    <m/>
    <m/>
    <n v="0.14453064391000778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2"/>
    <x v="101"/>
    <x v="6"/>
    <x v="0"/>
    <m/>
    <n v="0.17846621555900777"/>
    <n v="0.15019183677874534"/>
    <n v="0.78176807028953599"/>
    <n v="1.0494675954182942"/>
    <n v="1.1592359701792398"/>
    <n v="1.128819261719761E-2"/>
    <x v="101"/>
    <n v="13654.179166666667"/>
    <n v="505.87083333333334"/>
    <n v="4.8518518518518521"/>
    <n v="12.333333333333334"/>
    <n v="6.3885297244490422E-2"/>
    <n v="0.16247737264028958"/>
    <n v="12480"/>
    <n v="5100"/>
    <n v="12480"/>
    <n v="387130.82922170951"/>
    <n v="160779.94347850009"/>
    <n v="1092.5870731992513"/>
    <n v="480"/>
    <n v="31.02009849532929"/>
    <n v="485.55927315505318"/>
    <n v="62900"/>
    <n v="387130.82922170951"/>
    <n v="0.41014924974954903"/>
    <n v="5.7103674060889356"/>
    <n v="6.1205166558384843"/>
    <n v="0.16148002939594294"/>
    <n v="1.1051906308576112"/>
    <n v="0.87885180452993172"/>
    <n v="0.17089552072897876"/>
    <n v="0.84157013308261786"/>
    <n v="2.2585820011611997"/>
    <n v="0.46550926741490373"/>
    <n v="2.4078303602182674"/>
    <n v="3.1364903279694536"/>
    <n v="0.77339949129491925"/>
    <n v="1.9513902533858196"/>
    <n v="2.7308358333333334"/>
    <n v="0.87885180452993172"/>
    <n v="2.5293541666666668"/>
    <n v="0.94885881606800149"/>
    <n v="7.1008017680666433E-2"/>
    <n v="86.194726395029832"/>
    <n v="2.4"/>
    <n v="5689.2413194444443"/>
    <n v="0.13784826388888888"/>
    <n v="210.77951388888889"/>
    <n v="5.3897569444444432E-2"/>
    <n v="5794.6310763888887"/>
    <n v="0.13620217184095856"/>
    <n v="6.2495935530218191E-2"/>
    <n v="0.11987494410459865"/>
    <n v="4.7683810469509362"/>
    <n v="0.99906502332412728"/>
    <n v="75.946298461815246"/>
    <n v="75.946298461815232"/>
    <x v="4"/>
    <x v="1"/>
    <n v="0.1"/>
    <x v="20"/>
    <x v="1"/>
    <n v="160780"/>
    <n v="5000"/>
    <m/>
    <m/>
    <n v="0.16247737264028958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3"/>
    <x v="102"/>
    <x v="6"/>
    <x v="0"/>
    <m/>
    <n v="0.17831290570116409"/>
    <n v="0.15084290821219767"/>
    <n v="0.76583296281099533"/>
    <n v="0.97412598133087158"/>
    <n v="1.0951165946324666"/>
    <n v="1.1873789179147687E-2"/>
    <x v="102"/>
    <n v="14541.495833333334"/>
    <n v="536.63333333333333"/>
    <n v="6.0740740740740753"/>
    <n v="12"/>
    <n v="8.0174122920437893E-2"/>
    <n v="0.1581070597362296"/>
    <n v="13520"/>
    <n v="5100"/>
    <n v="13520"/>
    <n v="387079.48969578027"/>
    <n v="153262.34386371556"/>
    <n v="1010.6293634616623"/>
    <n v="520"/>
    <n v="28.63013977039795"/>
    <n v="357.09950701686552"/>
    <n v="61200"/>
    <n v="387079.48969578027"/>
    <n v="0.438696304251111"/>
    <n v="6.3718710665032869"/>
    <n v="6.8105673707543977"/>
    <n v="0.16271669739134537"/>
    <n v="1.0958488499327683"/>
    <n v="0.89399331052313213"/>
    <n v="0.16872934778888884"/>
    <n v="0.8459449842906851"/>
    <n v="2.3688637209192271"/>
    <n v="0.3899958564927995"/>
    <n v="2.5256007440417352"/>
    <n v="3.2687511463526695"/>
    <n v="0.77561818686325479"/>
    <n v="2.0835380442936899"/>
    <n v="2.9082991666666667"/>
    <n v="0.89399331052313225"/>
    <n v="2.6831666666666667"/>
    <n v="0.96900428598049571"/>
    <n v="7.1008017680666433E-2"/>
    <n v="95.912653151120594"/>
    <n v="2.6"/>
    <n v="5592.8830128205127"/>
    <n v="0.11857660256410255"/>
    <n v="206.39743589743588"/>
    <n v="3.1987179487179419E-2"/>
    <n v="5696.0817307692305"/>
    <n v="0.1168787707390648"/>
    <n v="6.3577193461810344E-2"/>
    <n v="0.1046476786927584"/>
    <n v="4.7800418449036597"/>
    <n v="0.99906273689315617"/>
    <n v="75.761029280005744"/>
    <n v="75.761029280005744"/>
    <x v="4"/>
    <x v="1"/>
    <n v="0.1"/>
    <x v="48"/>
    <x v="11"/>
    <n v="153265"/>
    <n v="5000"/>
    <m/>
    <m/>
    <n v="0.1581070597362296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9"/>
    <x v="103"/>
    <x v="6"/>
    <x v="0"/>
    <m/>
    <n v="0.19986834212535834"/>
    <n v="0.16607952366403897"/>
    <n v="0.77877536199467901"/>
    <n v="1.0451834638913473"/>
    <n v="1.33935687383016"/>
    <n v="1.3731578108277158E-2"/>
    <x v="103"/>
    <n v="17188.204166666666"/>
    <n v="626.12500000000011"/>
    <n v="7.7037037037037024"/>
    <n v="16.666666666666668"/>
    <n v="0.1015458437491021"/>
    <n v="0.22061029221618825"/>
    <n v="14559.999999999996"/>
    <n v="5100"/>
    <n v="14559.999999999996"/>
    <n v="385294.80717383663"/>
    <n v="132294.82537527452"/>
    <n v="1213.7473592070448"/>
    <n v="559.99999999999989"/>
    <n v="26.462555437763513"/>
    <n v="260.59712993420771"/>
    <n v="85000"/>
    <n v="385294.80717383663"/>
    <n v="0.57092175212804996"/>
    <n v="8.5976843430450369"/>
    <n v="9.1686060951730877"/>
    <n v="0.17981110177231613"/>
    <n v="1.1115461734862149"/>
    <n v="0.81451208423218524"/>
    <n v="0.20390062576001788"/>
    <n v="0.83094462033348504"/>
    <n v="2.7091449410245874"/>
    <n v="0.35166785292146091"/>
    <n v="2.9123951453194707"/>
    <n v="3.560827705887617"/>
    <n v="0.81309233250867263"/>
    <n v="2.5748524928665719"/>
    <n v="3.4376408333333335"/>
    <n v="0.81451208423218513"/>
    <n v="3.1306250000000007"/>
    <n v="0.89439009782391654"/>
    <n v="7.1008017680666433E-2"/>
    <n v="129.12071614793791"/>
    <n v="2.7999999999999994"/>
    <n v="6138.6443452380963"/>
    <n v="0.22772886904761927"/>
    <n v="223.61607142857153"/>
    <n v="0.11808035714285765"/>
    <n v="6250.4523809523816"/>
    <n v="0.2255788982259572"/>
    <n v="5.7938348794558676E-2"/>
    <n v="0.18405905858242644"/>
    <n v="4.7735353880271711"/>
    <n v="0.99906401266901435"/>
    <n v="75.864293596672397"/>
    <n v="75.864293596672397"/>
    <x v="4"/>
    <x v="1"/>
    <n v="0.2"/>
    <x v="22"/>
    <x v="12"/>
    <n v="132295"/>
    <n v="5000"/>
    <m/>
    <m/>
    <n v="0.22061029221618825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"/>
    <x v="104"/>
    <x v="6"/>
    <x v="0"/>
    <m/>
    <n v="0.19872078809769675"/>
    <n v="0.16534524085197999"/>
    <n v="0.78404027139021137"/>
    <n v="1.1013087868690488"/>
    <n v="1.3202181116739906"/>
    <n v="1.42198915768788E-2"/>
    <x v="104"/>
    <n v="17477.541666666668"/>
    <n v="650.625"/>
    <n v="7.0740740740740735"/>
    <n v="16"/>
    <n v="9.3204608798092115E-2"/>
    <n v="0.21008533747090766"/>
    <n v="15600"/>
    <n v="5100"/>
    <n v="15600"/>
    <n v="388413.58936484496"/>
    <n v="129070.06578306614"/>
    <n v="1125.1843879045894"/>
    <n v="600"/>
    <n v="24.898307010566985"/>
    <n v="267.13600680953289"/>
    <n v="81600"/>
    <n v="388413.58936484496"/>
    <n v="0.57796566727510312"/>
    <n v="9.2518169572067688"/>
    <n v="9.8297826244818722"/>
    <n v="0.1795651324288588"/>
    <n v="1.1066780360403607"/>
    <n v="0.85824427062349051"/>
    <n v="0.19265522242503441"/>
    <n v="0.83204803299537844"/>
    <n v="2.8803084213686447"/>
    <n v="0.40716401768038435"/>
    <n v="3.0093235562277401"/>
    <n v="3.7022225859992508"/>
    <n v="0.82782956634744131"/>
    <n v="2.6551030890620422"/>
    <n v="3.4955083333333334"/>
    <n v="0.85824427062349062"/>
    <n v="3.2531249999999998"/>
    <n v="0.92219020172910671"/>
    <n v="7.1008017680666433E-2"/>
    <n v="138.43201015254164"/>
    <n v="3"/>
    <n v="5825.8472222222226"/>
    <n v="0.16516944444444454"/>
    <n v="216.875"/>
    <n v="8.4375000000000006E-2"/>
    <n v="5934.2847222222226"/>
    <n v="0.16358523965141619"/>
    <n v="6.1025196316463103E-2"/>
    <n v="0.14058724198015998"/>
    <n v="4.7713947641460104"/>
    <n v="0.99906443239918707"/>
    <n v="75.898329120167702"/>
    <n v="75.898329120167702"/>
    <x v="4"/>
    <x v="1"/>
    <n v="0.1"/>
    <x v="21"/>
    <x v="12"/>
    <n v="129075"/>
    <n v="5000"/>
    <m/>
    <m/>
    <n v="0.21008533747090766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0"/>
    <x v="105"/>
    <x v="6"/>
    <x v="0"/>
    <m/>
    <n v="0.22499002826243786"/>
    <n v="0.18404528138351414"/>
    <n v="0.82990540044826944"/>
    <n v="1.2650979876518249"/>
    <n v="1.4520468330383298"/>
    <n v="1.6155172768504214E-2"/>
    <x v="105"/>
    <n v="19139.383333333335"/>
    <n v="705.55833333333339"/>
    <n v="9.7407407407407405"/>
    <n v="19.666666666666668"/>
    <n v="0.12825331149613536"/>
    <n v="0.25914145332298943"/>
    <n v="16640.000000000004"/>
    <n v="5100"/>
    <n v="16640.000000000004"/>
    <n v="387047.30066859588"/>
    <n v="113334.773814749"/>
    <n v="1217.3603432461205"/>
    <n v="640.00000000000011"/>
    <n v="23.260054126718497"/>
    <n v="181.36026162115422"/>
    <n v="100300"/>
    <n v="387047.30066859588"/>
    <n v="0.70450263821805492"/>
    <n v="11.398416773257887"/>
    <n v="12.102919411475941"/>
    <n v="0.20020045415201837"/>
    <n v="1.1238237656124197"/>
    <n v="0.83597259751489739"/>
    <n v="0.22015707444314211"/>
    <n v="0.81801528185434047"/>
    <n v="3.2226039221371567"/>
    <n v="0.33083766501027845"/>
    <n v="3.4150798350843568"/>
    <n v="4.0670071512157397"/>
    <n v="0.84372577919007086"/>
    <n v="2.975878566591172"/>
    <n v="3.827876666666667"/>
    <n v="0.83597259751489739"/>
    <n v="3.5277916666666669"/>
    <n v="0.90708304298014586"/>
    <n v="7.1008017680666433E-2"/>
    <n v="170.44440623458271"/>
    <n v="3.2000000000000006"/>
    <n v="5981.0572916666661"/>
    <n v="0.1962114583333332"/>
    <n v="220.48697916666663"/>
    <n v="0.10243489583333315"/>
    <n v="6091.3007812499991"/>
    <n v="0.19437270220588218"/>
    <n v="5.9452143832090278E-2"/>
    <n v="0.16274040912597548"/>
    <n v="4.7681967551379634"/>
    <n v="0.99906505945977686"/>
    <n v="75.949233802312051"/>
    <n v="75.949233802312051"/>
    <x v="4"/>
    <x v="2"/>
    <n v="0.2"/>
    <x v="61"/>
    <x v="4"/>
    <n v="113335"/>
    <n v="5000"/>
    <m/>
    <m/>
    <n v="0.25914145332298943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6"/>
    <x v="106"/>
    <x v="6"/>
    <x v="0"/>
    <m/>
    <n v="0.25547595453570227"/>
    <n v="0.20070684176064443"/>
    <n v="0.8863056414173216"/>
    <n v="1.5485959966977436"/>
    <n v="1.8422667598724367"/>
    <n v="1.8282164253900317E-2"/>
    <x v="106"/>
    <n v="20205.862499999999"/>
    <n v="746.6875"/>
    <n v="10.74074074074074"/>
    <n v="27.666666666666668"/>
    <n v="0.14127517742723331"/>
    <n v="0.36312386863201446"/>
    <n v="17680"/>
    <n v="5100"/>
    <n v="17680"/>
    <n v="388572.6392251816"/>
    <n v="100741.13726724473"/>
    <n v="1513.3146318146803"/>
    <n v="680"/>
    <n v="21.978090453912987"/>
    <n v="155.56937074266466"/>
    <n v="141100"/>
    <n v="388572.6392251816"/>
    <n v="0.81109096948496784"/>
    <n v="13.651063521334192"/>
    <n v="14.462154490819159"/>
    <n v="0.21898900601454474"/>
    <n v="1.1666154351088025"/>
    <n v="0.84133998239372365"/>
    <n v="0.23855616749557876"/>
    <n v="0.78561930466374297"/>
    <n v="3.6489589618735723"/>
    <n v="0.33973066196753948"/>
    <n v="3.857139692540708"/>
    <n v="4.4977728331737872"/>
    <n v="0.86401712498520467"/>
    <n v="3.2154034957372786"/>
    <n v="4.0411725000000001"/>
    <n v="0.84133998239372354"/>
    <n v="3.7334375"/>
    <n v="0.91068887586841885"/>
    <n v="7.1008017680666433E-2"/>
    <n v="203.66931739817903"/>
    <n v="3.4"/>
    <n v="5942.900735294118"/>
    <n v="0.18858014705882362"/>
    <n v="219.6139705882353"/>
    <n v="9.8069852941176525E-2"/>
    <n v="6052.707720588236"/>
    <n v="0.18680543540945804"/>
    <n v="5.9831220486589752E-2"/>
    <n v="0.15740190416722225"/>
    <n v="4.7633137925543299"/>
    <n v="0.99906601690342078"/>
    <n v="76.027090790758209"/>
    <n v="76.027090790758209"/>
    <x v="4"/>
    <x v="2"/>
    <n v="0.2"/>
    <x v="62"/>
    <x v="48"/>
    <n v="100745"/>
    <n v="5000"/>
    <m/>
    <m/>
    <n v="0.36312386863201446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1"/>
    <x v="107"/>
    <x v="6"/>
    <x v="0"/>
    <m/>
    <n v="0.25385492319650577"/>
    <n v="0.20060907582293877"/>
    <n v="0.86868638330636327"/>
    <n v="1.4941689213116962"/>
    <n v="1.9685821580886855"/>
    <n v="1.8460602292626395E-2"/>
    <x v="107"/>
    <n v="20893.150000000001"/>
    <n v="766.80416666666667"/>
    <n v="13.000000000000002"/>
    <n v="26.333333333333332"/>
    <n v="0.17125822486567252"/>
    <n v="0.34665115076286535"/>
    <n v="19759.999999999996"/>
    <n v="5100"/>
    <n v="19759.999999999996"/>
    <n v="387421.18612458027"/>
    <n v="99524.301060759011"/>
    <n v="1426.4612235241909"/>
    <n v="759.99999999999989"/>
    <n v="19.606335330191314"/>
    <n v="114.48405088613798"/>
    <n v="134300"/>
    <n v="387421.18612458027"/>
    <n v="0.83827110250600667"/>
    <n v="14.155666757162139"/>
    <n v="14.993937859668145"/>
    <n v="0.21906967811556516"/>
    <n v="1.1587862153273008"/>
    <n v="0.90938896241112499"/>
    <n v="0.22059765855421232"/>
    <n v="0.79025087753626078"/>
    <n v="3.6810318636134776"/>
    <n v="0.28315629720103669"/>
    <n v="3.8927295343482178"/>
    <n v="4.601509420936404"/>
    <n v="0.85111771513451928"/>
    <n v="3.2584824865178454"/>
    <n v="4.1786300000000001"/>
    <n v="0.90938896241112499"/>
    <n v="3.8340208333333332"/>
    <n v="0.99112659142653747"/>
    <n v="7.1008017680666433E-2"/>
    <n v="211.15837829888596"/>
    <n v="3.7999999999999994"/>
    <n v="5498.1973684210543"/>
    <n v="9.9639473684210861E-2"/>
    <n v="201.79057017543863"/>
    <n v="8.9528508771931567E-3"/>
    <n v="5599.0926535087738"/>
    <n v="9.7861304609563479E-2"/>
    <n v="6.4678495710274883E-2"/>
    <n v="8.9138130835539536E-2"/>
    <n v="4.7707389232329405"/>
    <n v="0.99906456099544461"/>
    <n v="75.908762981729112"/>
    <n v="75.908762981729112"/>
    <x v="4"/>
    <x v="2"/>
    <n v="0.2"/>
    <x v="13"/>
    <x v="13"/>
    <n v="99525"/>
    <n v="5000"/>
    <m/>
    <m/>
    <n v="0.34665115076286535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"/>
    <x v="108"/>
    <x v="6"/>
    <x v="0"/>
    <m/>
    <n v="0.28309615836930163"/>
    <n v="0.21021471894285801"/>
    <n v="0.93316867847127771"/>
    <n v="1.5945345560709632"/>
    <n v="1.9195634269714354"/>
    <n v="2.2218246486298266E-2"/>
    <x v="108"/>
    <n v="23420.162500000002"/>
    <n v="852.19166666666661"/>
    <n v="17.407407407407405"/>
    <n v="29.333333333333332"/>
    <n v="0.22976180214349332"/>
    <n v="0.38818205327126981"/>
    <n v="20800"/>
    <n v="5100"/>
    <n v="20800"/>
    <n v="385386.18346545857"/>
    <n v="82809.93645790458"/>
    <n v="1320.2362009721539"/>
    <n v="800"/>
    <n v="18.528181897377817"/>
    <n v="80.640827694267458"/>
    <n v="149600"/>
    <n v="385386.18346545857"/>
    <n v="0.9846525755067127"/>
    <n v="18.93420450356933"/>
    <n v="19.918857079076041"/>
    <n v="0.23243296542915629"/>
    <n v="1.2179690511911792"/>
    <n v="0.85396503973872928"/>
    <n v="0.24616314387667818"/>
    <n v="0.74255588685393215"/>
    <n v="4.393559018086008"/>
    <n v="0.25239594359217499"/>
    <n v="4.6538640162025109"/>
    <n v="5.2976143369983824"/>
    <n v="0.8785911230763932"/>
    <n v="3.7599673762514816"/>
    <n v="4.6840325000000007"/>
    <n v="0.85396503973872928"/>
    <n v="4.260958333333333"/>
    <n v="0.93875595278839863"/>
    <n v="7.1008017680666433E-2"/>
    <n v="280.51560555674274"/>
    <n v="4"/>
    <n v="5855.0406250000005"/>
    <n v="0.17100812500000012"/>
    <n v="213.04791666666665"/>
    <n v="6.5239583333333254E-2"/>
    <n v="5961.5645833333338"/>
    <n v="0.16893423202614388"/>
    <n v="6.0745947663442455E-2"/>
    <n v="0.14451987750698836"/>
    <n v="4.7799273957489286"/>
    <n v="0.99906275933416688"/>
    <n v="75.762843279475774"/>
    <n v="75.762843279475774"/>
    <x v="4"/>
    <x v="3"/>
    <n v="0.30000000000000004"/>
    <x v="49"/>
    <x v="21"/>
    <n v="82810"/>
    <n v="5000"/>
    <m/>
    <m/>
    <n v="0.38818205327126981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2"/>
    <x v="109"/>
    <x v="6"/>
    <x v="0"/>
    <m/>
    <n v="0.32677555311318401"/>
    <n v="0.25286004256319128"/>
    <n v="0.96999690396026716"/>
    <n v="1.6522001902262371"/>
    <n v="1.8191676918665565"/>
    <n v="2.5528575404787906E-2"/>
    <x v="109"/>
    <n v="24309.541666666668"/>
    <n v="873.70833333333337"/>
    <n v="21.407407407407405"/>
    <n v="41.333333333333336"/>
    <n v="0.28184351923684736"/>
    <n v="0.54504784070338763"/>
    <n v="21840"/>
    <n v="5100"/>
    <n v="21840"/>
    <n v="386755.0410399962"/>
    <n v="72174.977885890781"/>
    <n v="1619.1006618246795"/>
    <n v="840"/>
    <n v="17.708564150182976"/>
    <n v="62.831191570885736"/>
    <n v="210800"/>
    <n v="386755.0410399962"/>
    <n v="1.229382348105001"/>
    <n v="22.304529069291569"/>
    <n v="23.53391141739657"/>
    <n v="0.2783886179679792"/>
    <n v="1.1738107523877659"/>
    <n v="0.86385832723433353"/>
    <n v="0.29271008288214312"/>
    <n v="0.77380342609536978"/>
    <n v="5.0413325490693621"/>
    <n v="0.23549477305341313"/>
    <n v="5.3585751235207724"/>
    <n v="5.9695734081919145"/>
    <n v="0.89496839413118756"/>
    <n v="3.9423104145266898"/>
    <n v="4.8619083333333339"/>
    <n v="0.86385832723433353"/>
    <n v="4.3685416666666672"/>
    <n v="0.96141923792264761"/>
    <n v="7.1008017680666433E-2"/>
    <n v="331.4261147696314"/>
    <n v="4.2"/>
    <n v="5787.9861111111113"/>
    <n v="0.15759722222222225"/>
    <n v="208.02579365079364"/>
    <n v="4.0128968253968222E-2"/>
    <n v="5891.999007936508"/>
    <n v="0.15529392312480547"/>
    <n v="6.1463162109089968E-2"/>
    <n v="0.13441940619298925"/>
    <n v="4.7678385804978127"/>
    <n v="0.99906512969009853"/>
    <n v="75.954939341421138"/>
    <n v="75.954939341421138"/>
    <x v="4"/>
    <x v="8"/>
    <n v="0.30000000000000004"/>
    <x v="63"/>
    <x v="22"/>
    <n v="72175"/>
    <n v="5000"/>
    <m/>
    <m/>
    <n v="0.54504784070338763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3"/>
    <x v="110"/>
    <x v="6"/>
    <x v="0"/>
    <m/>
    <n v="0.3266886337283364"/>
    <n v="0.25693345001399481"/>
    <n v="0.95574524956475482"/>
    <n v="1.5234337250391643"/>
    <n v="1.6795192098617548"/>
    <n v="2.9272509485958415E-2"/>
    <x v="110"/>
    <n v="25692.991666666669"/>
    <n v="917.10833333333323"/>
    <n v="27.333333333333332"/>
    <n v="46.666666666666664"/>
    <n v="0.36012700054593"/>
    <n v="0.61401603310059472"/>
    <n v="22880.000000000004"/>
    <n v="5100"/>
    <n v="22880.000000000004"/>
    <n v="387612.02830188681"/>
    <n v="63424.057734508155"/>
    <n v="1594.2147593820737"/>
    <n v="880.00000000000011"/>
    <n v="16.941085153054491"/>
    <n v="47.041974435054485"/>
    <n v="238000"/>
    <n v="387612.02830188681"/>
    <n v="1.3202777980194971"/>
    <n v="26.846062387151509"/>
    <n v="28.166340185171006"/>
    <n v="0.2862059594999532"/>
    <n v="1.1414459513670254"/>
    <n v="0.85626462988123542"/>
    <n v="0.30006313591352207"/>
    <n v="0.78647808184123202"/>
    <n v="5.8382731532828025"/>
    <n v="0.21359535926644399"/>
    <n v="6.1114353472056777"/>
    <n v="6.7107665270729182"/>
    <n v="0.91430528133742528"/>
    <n v="4.1971867254718092"/>
    <n v="5.1385983333333334"/>
    <n v="0.85626462988123553"/>
    <n v="4.585541666666666"/>
    <n v="0.95953767730093709"/>
    <n v="7.1008017680666433E-2"/>
    <n v="396.66422335346982"/>
    <n v="4.4000000000000004"/>
    <n v="5839.316287878788"/>
    <n v="0.1678632575757576"/>
    <n v="208.43371212121207"/>
    <n v="4.2168560606060342E-2"/>
    <n v="5943.533143939394"/>
    <n v="0.16539865567439099"/>
    <n v="6.0930238193535269E-2"/>
    <n v="0.14192452931797689"/>
    <n v="4.7713431421631318"/>
    <n v="0.99906444252114446"/>
    <n v="75.899150277256936"/>
    <n v="75.899150277256936"/>
    <x v="4"/>
    <x v="8"/>
    <n v="0.4"/>
    <x v="64"/>
    <x v="18"/>
    <n v="63425"/>
    <n v="5000"/>
    <m/>
    <m/>
    <n v="0.61401603310059472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4"/>
    <x v="111"/>
    <x v="6"/>
    <x v="0"/>
    <m/>
    <n v="0.35544496792904373"/>
    <n v="0.27919130141827481"/>
    <n v="1.059824705999391"/>
    <n v="2.0505916754404701"/>
    <n v="2.4307533311843872"/>
    <n v="2.6751555661055363E-2"/>
    <x v="111"/>
    <n v="24445.774999999998"/>
    <n v="884.96249999999998"/>
    <n v="22.148148148148142"/>
    <n v="42"/>
    <n v="0.29222768152170792"/>
    <n v="0.5559606930437031"/>
    <n v="23919.999999999996"/>
    <n v="5100"/>
    <n v="23919.999999999996"/>
    <n v="385279.03623424348"/>
    <n v="68439.26986027672"/>
    <n v="1570.0021535997312"/>
    <n v="919.99999999999989"/>
    <n v="16.106983120160685"/>
    <n v="55.117923929339284"/>
    <n v="214200"/>
    <n v="385279.03623424348"/>
    <n v="1.3650095472856651"/>
    <n v="23.674123576696704"/>
    <n v="25.039133123982371"/>
    <n v="0.30594285707933017"/>
    <n v="1.1618018192099115"/>
    <n v="0.94085787830412426"/>
    <n v="0.29674120593166636"/>
    <n v="0.78546983811572435"/>
    <n v="5.321183287657278"/>
    <n v="0.2402540949276698"/>
    <n v="5.629502433629348"/>
    <n v="6.2911690105151967"/>
    <n v="0.89806468249095506"/>
    <n v="3.9800445802888809"/>
    <n v="4.8891549999999997"/>
    <n v="0.94085787830412415"/>
    <n v="4.4248124999999998"/>
    <n v="1.0395920731104424"/>
    <n v="7.1008017680666433E-2"/>
    <n v="352.62402672029316"/>
    <n v="4.5999999999999996"/>
    <n v="5314.298913043478"/>
    <n v="6.2859782608695611E-2"/>
    <n v="192.38315217391306"/>
    <n v="3.8084239130434697E-2"/>
    <n v="5410.490489130435"/>
    <n v="6.0880488064791176E-2"/>
    <n v="6.6933098006351277E-2"/>
    <n v="5.7386754445683481E-2"/>
    <n v="4.7781689020282192"/>
    <n v="0.99906310413685717"/>
    <n v="75.790726028474765"/>
    <n v="75.790726028474765"/>
    <x v="4"/>
    <x v="8"/>
    <n v="0.30000000000000004"/>
    <x v="25"/>
    <x v="10"/>
    <n v="68440"/>
    <n v="5000"/>
    <m/>
    <m/>
    <n v="0.5559606930437031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5"/>
    <x v="112"/>
    <x v="6"/>
    <x v="0"/>
    <m/>
    <n v="0.8747314821377975"/>
    <n v="0.59217835931553797"/>
    <n v="2.2686812809211454"/>
    <n v="4.7535823742548615"/>
    <n v="5.3293503650029512"/>
    <n v="3.4661223681564719E-2"/>
    <x v="112"/>
    <n v="27799.237500000003"/>
    <n v="1001.0291666666666"/>
    <n v="27.597222222222218"/>
    <n v="63"/>
    <n v="0.36374881475734844"/>
    <n v="0.835195241789501"/>
    <n v="24960"/>
    <n v="5100"/>
    <n v="24960"/>
    <n v="384700.46753568441"/>
    <n v="51126.905364902545"/>
    <n v="1817.5930711156004"/>
    <n v="960"/>
    <n v="15.412678987807869"/>
    <n v="42.371764147436309"/>
    <n v="321300"/>
    <n v="384700.46753568441"/>
    <n v="3.2924213705945955"/>
    <n v="34.696895857603657"/>
    <n v="37.989317228198253"/>
    <n v="0.62683958299710274"/>
    <n v="1.3954630592335144"/>
    <n v="0.86333303206607725"/>
    <n v="0.68592111887387419"/>
    <n v="0.67698301868395705"/>
    <n v="6.7511263765384086"/>
    <n v="0.24463064877240337"/>
    <n v="7.5244230956284817"/>
    <n v="7.7955777683790206"/>
    <n v="0.97378242646575808"/>
    <n v="4.8731881531979884"/>
    <n v="5.5598475000000009"/>
    <n v="0.86333303206607714"/>
    <n v="5.0051458333333327"/>
    <n v="0.95901301577126885"/>
    <n v="7.1008017680666433E-2"/>
    <n v="535.00039106910208"/>
    <n v="4.8"/>
    <n v="5791.5078125000009"/>
    <n v="0.15830156250000019"/>
    <n v="208.54774305555554"/>
    <n v="4.2738715277777714E-2"/>
    <n v="5895.7816840277783"/>
    <n v="0.1560356243191722"/>
    <n v="6.1423727943060079E-2"/>
    <n v="0.13497475426941677"/>
    <n v="4.7732456011078286"/>
    <n v="0.99906406948997883"/>
    <n v="75.868899368460973"/>
    <n v="75.868899368460973"/>
    <x v="4"/>
    <x v="10"/>
    <n v="0.4"/>
    <x v="64"/>
    <x v="18"/>
    <n v="51130"/>
    <n v="5000"/>
    <m/>
    <m/>
    <n v="0.835195241789501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"/>
    <x v="113"/>
    <x v="6"/>
    <x v="0"/>
    <m/>
    <n v="1.6278743904343511"/>
    <n v="0.98734279889595244"/>
    <n v="2.9217657266462069"/>
    <n v="6.0123484651247665"/>
    <n v="6.3483891153335579"/>
    <n v="4.0627822946799279E-2"/>
    <x v="113"/>
    <n v="28352.924999999999"/>
    <n v="1042.325"/>
    <n v="35.592592592592602"/>
    <n v="65.333333333333329"/>
    <n v="0.46837916271585794"/>
    <n v="0.85751228342384278"/>
    <n v="26000"/>
    <n v="5100"/>
    <n v="26000"/>
    <n v="388565.86248492158"/>
    <n v="42639.066318799967"/>
    <n v="1608.0933851386783"/>
    <n v="1000"/>
    <n v="14.944840864804677"/>
    <n v="31.907569880240295"/>
    <n v="333200"/>
    <n v="388565.86248492158"/>
    <n v="5.598811265277404"/>
    <n v="42.347395553022558"/>
    <n v="47.946206818299963"/>
    <n v="1.0279706218427518"/>
    <n v="1.583580654781948"/>
    <n v="0.8817432416584885"/>
    <n v="1.1197622530554809"/>
    <n v="0.60652271741464558"/>
    <n v="8.0793595891849357"/>
    <n v="0.22699553476378065"/>
    <n v="9.1129073882558078"/>
    <n v="9.0073078310183448"/>
    <n v="1.0731959357915721"/>
    <n v="5.3230341093915161"/>
    <n v="5.670585"/>
    <n v="0.8817432416584885"/>
    <n v="5.2116250000000006"/>
    <n v="0.95939366320485442"/>
    <n v="7.1008017680666433E-2"/>
    <n v="675.2224380339859"/>
    <n v="5"/>
    <n v="5670.585"/>
    <n v="0.13411700000000001"/>
    <n v="208.465"/>
    <n v="4.2325000000000015E-2"/>
    <n v="5774.8175000000001"/>
    <n v="0.13231715686274512"/>
    <n v="6.2710361006455842E-2"/>
    <n v="0.11685520797843395"/>
    <n v="4.7655771768352659"/>
    <n v="0.99906557310258137"/>
    <n v="75.990982148334467"/>
    <n v="75.990982148334453"/>
    <x v="4"/>
    <x v="4"/>
    <n v="0.5"/>
    <x v="42"/>
    <x v="23"/>
    <n v="42640"/>
    <n v="5000"/>
    <m/>
    <m/>
    <n v="0.85751228342384278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6"/>
    <x v="114"/>
    <x v="6"/>
    <x v="0"/>
    <m/>
    <n v="1.208558537846488"/>
    <n v="0.86688896098379542"/>
    <n v="2.8352766547246322"/>
    <n v="7.3769126335779802"/>
    <n v="8.7471639680862427"/>
    <n v="3.8099701908507574E-2"/>
    <x v="114"/>
    <n v="27488.004166666666"/>
    <n v="1014.2333333333332"/>
    <n v="31.962962962962958"/>
    <n v="69.666666666666671"/>
    <n v="0.41909030830675514"/>
    <n v="0.91189552624773729"/>
    <n v="27040"/>
    <n v="5100"/>
    <n v="27040"/>
    <n v="389627.96699089697"/>
    <n v="45909.720963897118"/>
    <n v="1828.5357411447428"/>
    <n v="1040"/>
    <n v="14.409318305876367"/>
    <n v="34.382370625782634"/>
    <n v="355300"/>
    <n v="389627.96699089697"/>
    <n v="4.7658094743119808"/>
    <n v="38.641987665671998"/>
    <n v="43.407797139983977"/>
    <n v="0.90498866289230295"/>
    <n v="1.335440528043732"/>
    <n v="0.94586714416788786"/>
    <n v="0.91650182198307317"/>
    <n v="0.71729166096372265"/>
    <n v="7.630351578723487"/>
    <n v="0.23872478867385188"/>
    <n v="8.4868293426853096"/>
    <n v="8.5658075258694026"/>
    <n v="1.0274349952508668"/>
    <n v="5.0675662520887919"/>
    <n v="5.4976008333333333"/>
    <n v="0.94586714416788786"/>
    <n v="5.0711666666666666"/>
    <n v="1.0254050678673547"/>
    <n v="7.1008017680666433E-2"/>
    <n v="611.30839245781044"/>
    <n v="5.2"/>
    <n v="5286.1546474358975"/>
    <n v="5.7230929487179491E-2"/>
    <n v="195.04487179487177"/>
    <n v="2.4775641025641164E-2"/>
    <n v="5383.677083333333"/>
    <n v="5.5622957516339812E-2"/>
    <n v="6.7266458326875972E-2"/>
    <n v="5.2692068811395452E-2"/>
    <n v="4.7483000086155114"/>
    <n v="0.9990689607826243"/>
    <n v="76.267482996928479"/>
    <n v="76.267482996928464"/>
    <x v="4"/>
    <x v="9"/>
    <n v="0.5"/>
    <x v="41"/>
    <x v="49"/>
    <n v="45910"/>
    <n v="5000"/>
    <m/>
    <m/>
    <n v="0.91189552624773729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7"/>
    <x v="115"/>
    <x v="6"/>
    <x v="0"/>
    <m/>
    <n v="1.8809171567324012"/>
    <n v="1.1216695541638895"/>
    <n v="3.2894202022516201"/>
    <n v="6.9959011435508707"/>
    <n v="8.1253693517049133"/>
    <n v="4.6991688022651655E-2"/>
    <x v="115"/>
    <n v="29551.037500000002"/>
    <n v="1068.320238095238"/>
    <n v="41.337962962962969"/>
    <n v="74.333333333333329"/>
    <n v="0.54142099818981126"/>
    <n v="0.97763123868632018"/>
    <n v="28080.000000000007"/>
    <n v="5100"/>
    <n v="28080.000000000007"/>
    <n v="387774.02459992061"/>
    <n v="36860.623643154679"/>
    <n v="1581.840033018223"/>
    <n v="1080.0000000000002"/>
    <n v="13.809616260680929"/>
    <n v="25.506244321613025"/>
    <n v="379100"/>
    <n v="387774.02459992061"/>
    <n v="6.6292998115410766"/>
    <n v="50.20217133685636"/>
    <n v="56.831471148397434"/>
    <n v="1.1686612421865412"/>
    <n v="1.6094631094407168"/>
    <n v="0.91367350469505526"/>
    <n v="1.2276481132483472"/>
    <n v="0.59634181662338348"/>
    <n v="9.3574905134658835"/>
    <n v="0.22636554495560876"/>
    <n v="10.52000715869422"/>
    <n v="10.312011109225386"/>
    <n v="1.0852796669471689"/>
    <n v="5.5111918079252806"/>
    <n v="5.9102075000000003"/>
    <n v="0.91367350469505526"/>
    <n v="5.3416011904761902"/>
    <n v="1.0109328284612362"/>
    <n v="7.1008017680666433E-2"/>
    <n v="800.35287569886782"/>
    <n v="5.4000000000000012"/>
    <n v="5472.4143518518513"/>
    <n v="9.4482870370370259E-2"/>
    <n v="197.83708112874774"/>
    <n v="1.0814594356261295E-2"/>
    <n v="5571.3328924162251"/>
    <n v="9.2418214199259829E-2"/>
    <n v="6.5000763222091792E-2"/>
    <n v="8.4599664302560204E-2"/>
    <n v="4.7431142753119317"/>
    <n v="0.99906997759307603"/>
    <n v="76.350867626435715"/>
    <n v="76.350867626435715"/>
    <x v="4"/>
    <x v="5"/>
    <n v="0.60000000000000009"/>
    <x v="60"/>
    <x v="50"/>
    <n v="36865"/>
    <n v="5000"/>
    <m/>
    <m/>
    <n v="0.97763123868632018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8"/>
    <x v="116"/>
    <x v="6"/>
    <x v="0"/>
    <m/>
    <n v="2.3685369670477088"/>
    <n v="1.0457511996065998"/>
    <n v="4.2087037981031132"/>
    <n v="9.1919135610262561"/>
    <n v="10.924168987274165"/>
    <n v="5.388280799580767E-2"/>
    <x v="116"/>
    <n v="33032.855357142857"/>
    <n v="1229.4053571428569"/>
    <n v="46.782407407407412"/>
    <n v="75.333333333333329"/>
    <n v="0.61607476366979863"/>
    <n v="0.99705197827773462"/>
    <n v="30160"/>
    <n v="5100"/>
    <n v="30160"/>
    <n v="385335.97883597884"/>
    <n v="32593.95901588141"/>
    <n v="1398.0959073104468"/>
    <n v="1160"/>
    <n v="12.776391871219458"/>
    <n v="20.73837888621469"/>
    <n v="384200"/>
    <n v="385335.97883597884"/>
    <n v="6.9088296232326876"/>
    <n v="66.243812807945915"/>
    <n v="73.152642431178606"/>
    <n v="1.0996340076024074"/>
    <n v="2.1539320816495668"/>
    <n v="0.87791381297376059"/>
    <n v="1.1911775212470153"/>
    <n v="0.4415177867838343"/>
    <n v="10.766045588508492"/>
    <n v="0.2301302174287812"/>
    <n v="11.822312798768134"/>
    <n v="11.654475412135294"/>
    <n v="1.1223756784402354"/>
    <n v="6.2767855132293615"/>
    <n v="6.6065710714285713"/>
    <n v="0.87791381297376059"/>
    <n v="6.1470267857142851"/>
    <n v="0.94354558751545103"/>
    <n v="7.1008017680666433E-2"/>
    <n v="1030.202571773752"/>
    <n v="5.8"/>
    <n v="5695.3198891625616"/>
    <n v="0.13906397783251231"/>
    <n v="211.96644088669947"/>
    <n v="5.983220443349737E-2"/>
    <n v="5801.3031096059112"/>
    <n v="0.13751041364821789"/>
    <n v="6.2424059444809714E-2"/>
    <n v="0.12088716903012346"/>
    <n v="4.7690120216470309"/>
    <n v="0.99906489960359868"/>
    <n v="75.936250218620643"/>
    <n v="75.936250218620657"/>
    <x v="4"/>
    <x v="6"/>
    <n v="0.70000000000000007"/>
    <x v="54"/>
    <x v="25"/>
    <n v="32595"/>
    <n v="5000"/>
    <m/>
    <m/>
    <n v="0.99705197827773462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4"/>
    <x v="117"/>
    <x v="6"/>
    <x v="0"/>
    <m/>
    <n v="3.0727622157033161"/>
    <n v="1.4690196156259414"/>
    <n v="5.3383856277784103"/>
    <n v="10.845544890562694"/>
    <n v="12.586471074422201"/>
    <n v="5.2543123906379351E-2"/>
    <x v="117"/>
    <n v="32186.697023809524"/>
    <n v="1100.9738095238097"/>
    <n v="43.879629629629626"/>
    <n v="76"/>
    <n v="0.57643881274602771"/>
    <n v="0.9960175846909749"/>
    <n v="31200"/>
    <n v="5100"/>
    <n v="31200"/>
    <n v="389149.75594558107"/>
    <n v="32489.673515957798"/>
    <n v="1446.4309380503489"/>
    <n v="1200"/>
    <n v="12.472748587999392"/>
    <n v="21.637593292134444"/>
    <n v="387600"/>
    <n v="389149.75594558107"/>
    <n v="9.4565778580370594"/>
    <n v="57.848603291488033"/>
    <n v="67.305181149525097"/>
    <n v="1.5215627395323208"/>
    <n v="2.0194778275444518"/>
    <n v="0.93206208694878034"/>
    <n v="1.5760963096728433"/>
    <n v="0.47807787017118786"/>
    <n v="9.6037021364157713"/>
    <n v="0.21886470367860381"/>
    <n v="11.977644396901811"/>
    <n v="11.440686868224651"/>
    <n v="1.1034233672870088"/>
    <n v="5.8829668117618379"/>
    <n v="6.4373394047619046"/>
    <n v="0.93206208694878034"/>
    <n v="5.5048690476190485"/>
    <n v="1.0899441836123429"/>
    <n v="7.1008017680666433E-2"/>
    <n v="947.85326147543594"/>
    <n v="6"/>
    <n v="5364.4495039682542"/>
    <n v="7.2889900793650847E-2"/>
    <n v="183.49563492063496"/>
    <n v="8.2521825396825219E-2"/>
    <n v="5456.1973214285717"/>
    <n v="6.9842612044817995E-2"/>
    <n v="6.6372396164840516E-2"/>
    <n v="6.5283071788780137E-2"/>
    <n v="4.7573798261102773"/>
    <n v="0.99906718042625298"/>
    <n v="76.121920764836645"/>
    <n v="76.121920764836645"/>
    <x v="4"/>
    <x v="6"/>
    <n v="0.60000000000000009"/>
    <x v="65"/>
    <x v="51"/>
    <n v="32490"/>
    <n v="5000"/>
    <m/>
    <m/>
    <n v="0.9960175846909749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9"/>
    <x v="118"/>
    <x v="6"/>
    <x v="0"/>
    <m/>
    <n v="4.7031946429810354"/>
    <n v="1.8639268350212816"/>
    <n v="6.5371868190442202"/>
    <n v="12.892095843950907"/>
    <n v="14.754504570960998"/>
    <n v="5.1672567798732034E-2"/>
    <x v="118"/>
    <n v="31883.462500000005"/>
    <n v="1166.0208333333333"/>
    <n v="44.444444444444436"/>
    <n v="75"/>
    <n v="0.58347268913599404"/>
    <n v="0.99268166537367464"/>
    <n v="32240"/>
    <n v="5100"/>
    <n v="32240"/>
    <n v="385319.8999661344"/>
    <n v="31587.636410586616"/>
    <n v="1451.4471255256717"/>
    <n v="1240"/>
    <n v="11.951609800438412"/>
    <n v="20.483580505089876"/>
    <n v="382500"/>
    <n v="385319.8999661344"/>
    <n v="11.885688269428945"/>
    <n v="60.25129056515069"/>
    <n v="72.136978834579637"/>
    <n v="1.9155994028200136"/>
    <n v="2.455207824797458"/>
    <n v="0.97229088590989754"/>
    <n v="1.9170464950691848"/>
    <n v="0.39631080074539826"/>
    <n v="10.571295611375287"/>
    <n v="0.237854151255944"/>
    <n v="12.198440394767688"/>
    <n v="11.306804445656304"/>
    <n v="1.3463412903020258"/>
    <n v="6.379961657715965"/>
    <n v="6.3766925000000008"/>
    <n v="0.97229088590989754"/>
    <n v="5.8301041666666666"/>
    <n v="1.0634458360878343"/>
    <n v="7.1008017680666433E-2"/>
    <n v="1015.8990659194334"/>
    <n v="6.2"/>
    <n v="5142.4939516129043"/>
    <n v="2.8498790322580861E-2"/>
    <n v="188.06787634408602"/>
    <n v="5.9660618279569914E-2"/>
    <n v="5236.5278897849475"/>
    <n v="2.6770174467636774E-2"/>
    <n v="6.915668125779259E-2"/>
    <n v="2.6072216678397868E-2"/>
    <n v="4.754234678274198"/>
    <n v="0.99906779712190708"/>
    <n v="76.172278963489688"/>
    <n v="76.172278963489688"/>
    <x v="4"/>
    <x v="6"/>
    <n v="0.60000000000000009"/>
    <x v="45"/>
    <x v="40"/>
    <n v="31590"/>
    <n v="5000"/>
    <m/>
    <m/>
    <n v="0.99268166537367464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0"/>
    <x v="119"/>
    <x v="6"/>
    <x v="0"/>
    <m/>
    <n v="3.6113220324175601"/>
    <n v="1.3741587436765066"/>
    <n v="5.7031288058201683"/>
    <n v="11.832127559185025"/>
    <n v="12.858048308690387"/>
    <n v="5.1964322290533771E-2"/>
    <x v="119"/>
    <n v="32060.889285714289"/>
    <n v="1182.0226190476189"/>
    <n v="44.796296296296305"/>
    <n v="72"/>
    <n v="0.58683698244404214"/>
    <n v="0.94517713990173269"/>
    <n v="33280.000000000007"/>
    <n v="5100"/>
    <n v="33280.000000000007"/>
    <n v="388498.60465116275"/>
    <n v="33015.878186786176"/>
    <n v="1385.5660350470132"/>
    <n v="1280.0000000000002"/>
    <n v="11.673635957066185"/>
    <n v="19.892468106642077"/>
    <n v="367200"/>
    <n v="388498.60465116275"/>
    <n v="8.8113502684017444"/>
    <n v="61.423004330891295"/>
    <n v="70.234354599293042"/>
    <n v="1.4261230659670403"/>
    <n v="2.5322653553525956"/>
    <n v="0.99810082355571428"/>
    <n v="1.3767734794377722"/>
    <n v="0.38051404204365319"/>
    <n v="10.431191666372539"/>
    <n v="0.23285835055151594"/>
    <n v="11.76702320178326"/>
    <n v="11.390965281662467"/>
    <n v="1.2282145569368024"/>
    <n v="6.1657948086593244"/>
    <n v="6.4121778571428578"/>
    <n v="0.99810082355571417"/>
    <n v="5.9101130952380947"/>
    <n v="1.0828895990428034"/>
    <n v="7.1008017680666433E-2"/>
    <n v="989.10456724967776"/>
    <n v="6.4000000000000012"/>
    <n v="5009.5139508928569"/>
    <n v="1.9027901785713766E-3"/>
    <n v="184.69103422619042"/>
    <n v="7.6544828869047871E-2"/>
    <n v="5101.8594680059523"/>
    <n v="3.6460156979456753E-4"/>
    <n v="7.0982137481913163E-2"/>
    <n v="3.6446868394012676E-4"/>
    <n v="4.7440901319637367"/>
    <n v="0.99906978624863452"/>
    <n v="76.335162296230806"/>
    <n v="76.335162296230806"/>
    <x v="4"/>
    <x v="6"/>
    <n v="0.60000000000000009"/>
    <x v="45"/>
    <x v="40"/>
    <n v="33020"/>
    <n v="5000"/>
    <m/>
    <m/>
    <n v="0.94517713990173269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1"/>
    <x v="120"/>
    <x v="6"/>
    <x v="0"/>
    <m/>
    <n v="4.7297283733849502"/>
    <n v="1.2600287174116651"/>
    <n v="7.5669091572976184"/>
    <n v="15.780579980214441"/>
    <n v="17.197256290117895"/>
    <n v="5.4497487006289348E-2"/>
    <x v="120"/>
    <n v="33396.366666666669"/>
    <n v="1211.0541666666666"/>
    <n v="43.995370370370374"/>
    <n v="73.666666666666671"/>
    <n v="0.57772749475619911"/>
    <n v="0.96951124903025587"/>
    <n v="34319.999999999993"/>
    <n v="5100"/>
    <n v="34319.999999999993"/>
    <n v="387514.84356245503"/>
    <n v="31869.238963800668"/>
    <n v="1351.7442860835965"/>
    <n v="1319.9999999999998"/>
    <n v="11.291225045526081"/>
    <n v="19.544205785620392"/>
    <n v="375700"/>
    <n v="387514.84356245503"/>
    <n v="8.4160762114419363"/>
    <n v="65.999408711829233"/>
    <n v="74.415484923271165"/>
    <n v="1.3145262044179544"/>
    <n v="3.598047994394435"/>
    <n v="0.98813144344045378"/>
    <n v="1.2751630623396879"/>
    <n v="0.266406148078625"/>
    <n v="10.493436732863506"/>
    <n v="0.23851229446474978"/>
    <n v="12.159526118669534"/>
    <n v="11.887628844698323"/>
    <n v="1.2760044763684837"/>
    <n v="6.2599098521198515"/>
    <n v="6.6792733333333336"/>
    <n v="0.98813144344045389"/>
    <n v="6.0552708333333332"/>
    <n v="1.0899595049767246"/>
    <n v="7.1008017680666433E-2"/>
    <n v="1047.987077430166"/>
    <n v="6.5999999999999988"/>
    <n v="5060.0555555555566"/>
    <n v="1.2011111111111313E-2"/>
    <n v="183.49305555555557"/>
    <n v="8.2534722222222148E-2"/>
    <n v="5151.8020833333339"/>
    <n v="1.0157271241830185E-2"/>
    <n v="7.0294022230195111E-2"/>
    <n v="1.0055138472985758E-2"/>
    <n v="4.7554719386657318"/>
    <n v="0.99906755452183038"/>
    <n v="76.152460753034461"/>
    <n v="76.152460753034461"/>
    <x v="4"/>
    <x v="6"/>
    <n v="0.60000000000000009"/>
    <x v="65"/>
    <x v="51"/>
    <n v="31870"/>
    <n v="5000"/>
    <m/>
    <m/>
    <n v="0.96951124903025587"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2"/>
    <x v="121"/>
    <x v="6"/>
    <x v="0"/>
    <m/>
    <n v="2.9973468623482744"/>
    <n v="1.0035043611307832"/>
    <n v="5.8338504617620801"/>
    <n v="16.488277618090311"/>
    <n v="17.274262119928995"/>
    <n v="5.4876145341185456E-2"/>
    <x v="121"/>
    <n v="35524.65"/>
    <n v="1147.9666666666667"/>
    <n v="47.592592592592588"/>
    <n v="72.666666666666671"/>
    <n v="0.62465017383558896"/>
    <n v="0.95888285492629943"/>
    <n v="35360"/>
    <n v="5100"/>
    <n v="35360"/>
    <n v="386491.42394822009"/>
    <n v="32264.798797564985"/>
    <n v="1324.1940776793069"/>
    <n v="1360"/>
    <n v="10.930187328852378"/>
    <n v="17.498093791820921"/>
    <n v="370600"/>
    <n v="386491.42394822009"/>
    <n v="7.1298282405289353"/>
    <n v="62.995985646836196"/>
    <n v="70.125813887365126"/>
    <n v="1.0583805064719687"/>
    <n v="2.8320125361527144"/>
    <n v="0.95708191354453875"/>
    <n v="1.0485041530189612"/>
    <n v="0.33479754169812254"/>
    <n v="10.64391202371586"/>
    <n v="0.22364640049830992"/>
    <n v="11.978733429367875"/>
    <n v="11.93231098178163"/>
    <n v="1.1386212412219872"/>
    <n v="5.8769683420448828"/>
    <n v="7.1049300000000004"/>
    <n v="0.95708191354453875"/>
    <n v="5.7398333333333333"/>
    <n v="1.1847033886001335"/>
    <n v="7.1008017680666433E-2"/>
    <n v="987.57599744202537"/>
    <n v="6.8"/>
    <n v="5224.213235294118"/>
    <n v="4.4842647058823605E-2"/>
    <n v="168.81862745098042"/>
    <n v="0.15590686274509793"/>
    <n v="5308.6225490196084"/>
    <n v="4.0906382160707529E-2"/>
    <n v="6.8217487083966577E-2"/>
    <n v="3.9298810019585177E-2"/>
    <n v="4.7530793696191127"/>
    <n v="0.99906802365301595"/>
    <n v="76.190793801202389"/>
    <n v="76.190793801202389"/>
    <x v="4"/>
    <x v="6"/>
    <n v="0.70000000000000007"/>
    <x v="66"/>
    <x v="27"/>
    <n v="32265"/>
    <n v="5000"/>
    <m/>
    <m/>
    <n v="0.95888285492629943"/>
    <m/>
    <m/>
    <m/>
    <m/>
    <m/>
    <m/>
    <m/>
    <m/>
    <m/>
    <m/>
    <m/>
    <m/>
    <m/>
    <m/>
    <m/>
    <m/>
    <m/>
    <n v="5100"/>
    <m/>
    <m/>
    <m/>
    <m/>
    <m/>
    <m/>
    <m/>
    <m/>
  </r>
  <r>
    <x v="5"/>
    <x v="1"/>
    <x v="0"/>
    <x v="122"/>
    <x v="7"/>
    <x v="0"/>
    <m/>
    <n v="0.21398596348679985"/>
    <n v="0.18273021965980119"/>
    <n v="0.82711112814061227"/>
    <n v="1.145523754755656"/>
    <n v="1.3494903262456264"/>
    <n v="1.1061016764952936E-2"/>
    <x v="122"/>
    <n v="13909.445833333333"/>
    <n v="215.375"/>
    <n v="2.8518518518518516"/>
    <n v="8.3333333333333339"/>
    <n v="4.4642703215240054E-2"/>
    <n v="0.12997155417636408"/>
    <n v="12200"/>
    <n v="6050"/>
    <n v="12200"/>
    <n v="387905.39196179877"/>
    <n v="300974.38860647136"/>
    <n v="753.39668227767959"/>
    <n v="200"/>
    <n v="31.79552393129498"/>
    <n v="712.22219178789953"/>
    <n v="50416.666666666672"/>
    <n v="387905.39196179877"/>
    <n v="0.42361268207851771"/>
    <n v="2.3822664857517384"/>
    <n v="2.8058791678302559"/>
    <n v="0.19379123642475413"/>
    <n v="1.1042086702918943"/>
    <n v="0.86272308356401695"/>
    <n v="0.21180634103925886"/>
    <n v="0.85393554176310849"/>
    <n v="1.1031098426149746"/>
    <n v="0.38680475000784825"/>
    <n v="1.2888318961550946"/>
    <n v="1.9688247600593105"/>
    <n v="0.66335756022160008"/>
    <n v="1.4251543482954416"/>
    <n v="2.3182409722222221"/>
    <n v="0.86272308356401695"/>
    <n v="2.1537500000000001"/>
    <n v="0.92861288450377244"/>
    <n v="5.9857998375437822E-2"/>
    <n v="46.875592969737902"/>
    <n v="2"/>
    <n v="6954.7229166666666"/>
    <n v="0.1591204861111111"/>
    <n v="107.6875"/>
    <n v="7.6874999999999999E-2"/>
    <n v="7008.5666666666666"/>
    <n v="0.15844077134986226"/>
    <n v="5.1671177202861095E-2"/>
    <n v="0.13677071393580234"/>
    <n v="5.6689299170735623"/>
    <n v="0.99906298679056627"/>
    <n v="63.881701744223477"/>
    <n v="63.881701744223477"/>
    <x v="5"/>
    <x v="1"/>
    <n v="0.1"/>
    <x v="35"/>
    <x v="19"/>
    <n v="300975"/>
    <n v="6000"/>
    <m/>
    <m/>
    <n v="0.12997155417636408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1"/>
    <x v="123"/>
    <x v="7"/>
    <x v="0"/>
    <m/>
    <n v="0.2180064322344645"/>
    <n v="0.18401447805069526"/>
    <n v="0.81775052915205271"/>
    <n v="1.0985199054082233"/>
    <n v="1.2533580112457274"/>
    <n v="1.1654574736677229E-2"/>
    <x v="123"/>
    <n v="14788.987500000001"/>
    <n v="228.9708333333333"/>
    <n v="2.9629629629629624"/>
    <n v="8"/>
    <n v="4.6332212740281015E-2"/>
    <n v="0.12503232479958626"/>
    <n v="13420.000000000002"/>
    <n v="6050"/>
    <n v="13420.000000000002"/>
    <n v="387099.89658738358"/>
    <n v="286852.86574089254"/>
    <n v="686.42573244854714"/>
    <n v="220.00000000000003"/>
    <n v="28.844999745706673"/>
    <n v="622.56900846501037"/>
    <n v="48400"/>
    <n v="387099.89658738358"/>
    <n v="0.45356463595179281"/>
    <n v="2.6685576896025984"/>
    <n v="3.1221223255543911"/>
    <n v="0.19566905278737248"/>
    <n v="1.1141589798125378"/>
    <n v="0.89255603197987698"/>
    <n v="0.20616574361445125"/>
    <n v="0.84407820523748989"/>
    <n v="1.1664201030158137"/>
    <n v="0.39366678476783717"/>
    <n v="1.3494719517184182"/>
    <n v="2.0580135056475997"/>
    <n v="0.66703739151683938"/>
    <n v="1.5170562860674455"/>
    <n v="2.46483125"/>
    <n v="0.89255603197987698"/>
    <n v="2.289708333333333"/>
    <n v="0.96082106527396161"/>
    <n v="5.9857998375437822E-2"/>
    <n v="52.158816036112647"/>
    <n v="2.2000000000000002"/>
    <n v="6722.267045454545"/>
    <n v="0.12037784090909084"/>
    <n v="104.07765151515149"/>
    <n v="4.0776515151514869E-2"/>
    <n v="6774.305871212121"/>
    <n v="0.11971997871274728"/>
    <n v="5.3458006924420327E-2"/>
    <n v="0.10691957006106093"/>
    <n v="5.6628412083143989"/>
    <n v="0.99906399318870831"/>
    <n v="63.950387596899205"/>
    <n v="63.950387596899205"/>
    <x v="5"/>
    <x v="1"/>
    <n v="0.1"/>
    <x v="35"/>
    <x v="19"/>
    <n v="286855"/>
    <n v="6000"/>
    <m/>
    <m/>
    <n v="0.12503232479958626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2"/>
    <x v="124"/>
    <x v="7"/>
    <x v="0"/>
    <m/>
    <n v="0.23314669970428922"/>
    <n v="0.19235890049024437"/>
    <n v="0.82638623463940319"/>
    <n v="1.1102161010106408"/>
    <n v="1.2729561408360799"/>
    <n v="1.3275207717987576E-2"/>
    <x v="124"/>
    <n v="17185.579166666666"/>
    <n v="266.09583333333336"/>
    <n v="3.7777777777777781"/>
    <n v="11.333333333333334"/>
    <n v="5.9106973536764078E-2"/>
    <n v="0.17708818205327126"/>
    <n v="14640"/>
    <n v="6050"/>
    <n v="14640"/>
    <n v="387189.39836448606"/>
    <n v="254750.03411379451"/>
    <n v="853.7217325780108"/>
    <n v="240"/>
    <n v="26.44736327626271"/>
    <n v="447.44911968488213"/>
    <n v="68566.666666666672"/>
    <n v="387189.39836448606"/>
    <n v="0.55096651879800829"/>
    <n v="3.5324774603910027"/>
    <n v="4.0834439791890107"/>
    <n v="0.20563410820823194"/>
    <n v="1.1337939106298316"/>
    <n v="0.83791182481242144"/>
    <n v="0.2295693828325035"/>
    <n v="0.82505521516805558"/>
    <n v="1.3213189774751986"/>
    <n v="0.34976090580225838"/>
    <n v="1.519879672289002"/>
    <n v="2.1654325966111792"/>
    <n v="0.71172405544896922"/>
    <n v="1.8857405146571855"/>
    <n v="2.8642631944444443"/>
    <n v="0.83791182481242144"/>
    <n v="2.6609583333333338"/>
    <n v="0.9019306953948294"/>
    <n v="5.9857998375437822E-2"/>
    <n v="68.218852785171222"/>
    <n v="2.4"/>
    <n v="7160.6579861111113"/>
    <n v="0.19344299768518522"/>
    <n v="110.8732638888889"/>
    <n v="0.108732638888889"/>
    <n v="7216.0946180555557"/>
    <n v="0.19274291207529845"/>
    <n v="5.01851637678472E-2"/>
    <n v="0.16159635921871687"/>
    <n v="5.6660431796314557"/>
    <n v="0.99906346393725098"/>
    <n v="63.91424821350445"/>
    <n v="63.91424821350445"/>
    <x v="5"/>
    <x v="1"/>
    <n v="0.1"/>
    <x v="2"/>
    <x v="0"/>
    <n v="254755"/>
    <n v="6000"/>
    <m/>
    <m/>
    <n v="0.17708818205327126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3"/>
    <x v="125"/>
    <x v="7"/>
    <x v="0"/>
    <m/>
    <n v="0.24523011470325082"/>
    <n v="0.20026413565238368"/>
    <n v="0.82163083173955542"/>
    <n v="1.1550458431243893"/>
    <n v="1.2966849120457968"/>
    <n v="1.5086350243453263E-2"/>
    <x v="125"/>
    <n v="18996.45"/>
    <n v="294.98750000000001"/>
    <n v="5.1481481481481488"/>
    <n v="13.666666666666666"/>
    <n v="8.0536160675803811E-2"/>
    <n v="0.2139643134212568"/>
    <n v="15860"/>
    <n v="6050"/>
    <n v="15860"/>
    <n v="386435.15832729026"/>
    <n v="226131.04820521304"/>
    <n v="905.8961542137954"/>
    <n v="260"/>
    <n v="24.365394598189802"/>
    <n v="302.53980812758203"/>
    <n v="82683.333333333328"/>
    <n v="386435.15832729026"/>
    <n v="0.63405127328562072"/>
    <n v="4.4502847424406697"/>
    <n v="5.08433601572629"/>
    <n v="0.21535048589583694"/>
    <n v="1.1387488339444305"/>
    <n v="0.82120606744944447"/>
    <n v="0.24386587434062335"/>
    <n v="0.81663761359293185"/>
    <n v="1.5121686055305024"/>
    <n v="0.29373059244117666"/>
    <n v="1.7088991599977101"/>
    <n v="2.3298410917947709"/>
    <n v="0.74782455169426432"/>
    <n v="2.182267294379987"/>
    <n v="3.1660750000000002"/>
    <n v="0.82120606744944447"/>
    <n v="2.949875"/>
    <n v="0.88139327937624479"/>
    <n v="5.9857998375437822E-2"/>
    <n v="84.939960468384129"/>
    <n v="2.6"/>
    <n v="7306.3269230769229"/>
    <n v="0.21772115384615381"/>
    <n v="113.45673076923077"/>
    <n v="0.13456730769230774"/>
    <n v="7363.0552884615381"/>
    <n v="0.21703393197711374"/>
    <n v="4.9183508201941777E-2"/>
    <n v="0.17833022258018277"/>
    <n v="5.66522875387989"/>
    <n v="0.99906359855307769"/>
    <n v="63.923436440829143"/>
    <n v="63.92343644082915"/>
    <x v="5"/>
    <x v="2"/>
    <n v="0.1"/>
    <x v="48"/>
    <x v="2"/>
    <n v="226135"/>
    <n v="6000"/>
    <m/>
    <m/>
    <n v="0.2139643134212568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9"/>
    <x v="126"/>
    <x v="7"/>
    <x v="0"/>
    <m/>
    <n v="0.24909473342863278"/>
    <n v="0.20094196874183576"/>
    <n v="0.83027633199092765"/>
    <n v="1.1549267530441283"/>
    <n v="1.228891956011454"/>
    <n v="1.4768636010278974E-2"/>
    <x v="126"/>
    <n v="19715.070833333335"/>
    <n v="302.02083333333337"/>
    <n v="4.3703703703703702"/>
    <n v="13.666666666666666"/>
    <n v="6.8267103410625515E-2"/>
    <n v="0.21334367726920087"/>
    <n v="17079.999999999996"/>
    <n v="6050"/>
    <n v="17079.999999999996"/>
    <n v="387559.33333333343"/>
    <n v="230991.802814508"/>
    <n v="925.38448758264906"/>
    <n v="279.99999999999994"/>
    <n v="22.690827478532405"/>
    <n v="332.38304168330461"/>
    <n v="82683.333333333328"/>
    <n v="387559.33333333343"/>
    <n v="0.66026419118912416"/>
    <n v="4.4604357550211313"/>
    <n v="5.1206999462102551"/>
    <n v="0.21571060475211473"/>
    <n v="1.1547635023084823"/>
    <n v="0.85213997667182251"/>
    <n v="0.23580863971040153"/>
    <n v="0.80668894912387579"/>
    <n v="1.4614051393245127"/>
    <n v="0.33438931154035462"/>
    <n v="1.6778055697697332"/>
    <n v="2.3290035776997202"/>
    <n v="0.72809301496122392"/>
    <n v="2.198665556052001"/>
    <n v="3.285845138888889"/>
    <n v="0.85213997667182251"/>
    <n v="3.0202083333333336"/>
    <n v="0.92708836310960863"/>
    <n v="5.9857998375437822E-2"/>
    <n v="85.547463750667063"/>
    <n v="2.7999999999999994"/>
    <n v="7041.096726190478"/>
    <n v="0.17351612103174632"/>
    <n v="107.86458333333337"/>
    <n v="7.8645833333333706E-2"/>
    <n v="7095.0290178571449"/>
    <n v="0.17273206906729668"/>
    <n v="5.1041495286339694E-2"/>
    <n v="0.14729030920479122"/>
    <n v="5.6567996539047902"/>
    <n v="0.999064991792743"/>
    <n v="64.018687655204346"/>
    <n v="64.018687655204346"/>
    <x v="5"/>
    <x v="1"/>
    <n v="0.1"/>
    <x v="20"/>
    <x v="1"/>
    <n v="230995"/>
    <n v="6000"/>
    <m/>
    <m/>
    <n v="0.21334367726920087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"/>
    <x v="127"/>
    <x v="7"/>
    <x v="0"/>
    <m/>
    <n v="0.2647654223543669"/>
    <n v="0.21283558649133549"/>
    <n v="0.85179240884166652"/>
    <n v="1.3023287057876585"/>
    <n v="1.5408209005991615"/>
    <n v="1.5918493463828256E-2"/>
    <x v="127"/>
    <n v="20089.174999999999"/>
    <n v="310.07083333333327"/>
    <n v="5.0740740740740735"/>
    <n v="11.666666666666666"/>
    <n v="7.9329368157917426E-2"/>
    <n v="0.18233772950607707"/>
    <n v="18300"/>
    <n v="6050"/>
    <n v="18300"/>
    <n v="387102.18408736342"/>
    <n v="214498.48504628465"/>
    <n v="732.90017633747459"/>
    <n v="300"/>
    <n v="21.153124813517127"/>
    <n v="266.64935451658391"/>
    <n v="70583.333333333328"/>
    <n v="387102.18408736342"/>
    <n v="0.7126152238753457"/>
    <n v="4.9358605337404464"/>
    <n v="5.6484757576157918"/>
    <n v="0.22875407995516375"/>
    <n v="1.1574238256483182"/>
    <n v="0.89600493798276937"/>
    <n v="0.23753840795844858"/>
    <n v="0.80386473656092616"/>
    <n v="1.6035121985830625"/>
    <n v="0.31602065227549408"/>
    <n v="1.804684932874161"/>
    <n v="2.4878542843655951"/>
    <n v="0.74456094117503924"/>
    <n v="2.2704206565121066"/>
    <n v="3.348195833333333"/>
    <n v="0.89600493798276937"/>
    <n v="3.1007083333333325"/>
    <n v="0.96752086216859079"/>
    <n v="5.9857998375437822E-2"/>
    <n v="94.364594722793001"/>
    <n v="3"/>
    <n v="6696.3916666666664"/>
    <n v="0.11606527777777774"/>
    <n v="103.35694444444442"/>
    <n v="3.3569444444444228E-2"/>
    <n v="6748.0701388888883"/>
    <n v="0.11538349403122121"/>
    <n v="5.3665845599972908E-2"/>
    <n v="0.10344737451170447"/>
    <n v="5.6618030367807064"/>
    <n v="0.99906416478730897"/>
    <n v="63.962113803469869"/>
    <n v="63.962113803469869"/>
    <x v="5"/>
    <x v="2"/>
    <n v="0.1"/>
    <x v="3"/>
    <x v="2"/>
    <n v="214500"/>
    <n v="6000"/>
    <m/>
    <m/>
    <n v="0.18233772950607707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0"/>
    <x v="128"/>
    <x v="7"/>
    <x v="0"/>
    <m/>
    <n v="0.27853915419619951"/>
    <n v="0.22444158374208048"/>
    <n v="0.85072288001848229"/>
    <n v="1.234657347202301"/>
    <n v="1.4402343018849686"/>
    <n v="1.8346191558481693E-2"/>
    <x v="128"/>
    <n v="21742.775000000001"/>
    <n v="334.39583333333331"/>
    <n v="3.5185185185185186"/>
    <n v="10"/>
    <n v="5.5009625606987904E-2"/>
    <n v="0.156477889837083"/>
    <n v="19520.000000000004"/>
    <n v="6050"/>
    <n v="19520.000000000004"/>
    <n v="386636.09320773429"/>
    <n v="187773.03931533091"/>
    <n v="545.0722548123"/>
    <n v="320.00000000000006"/>
    <n v="19.807176906133925"/>
    <n v="360.06747342082997"/>
    <n v="60500"/>
    <n v="386636.09320773429"/>
    <n v="0.81333047599128572"/>
    <n v="6.1348900146914511"/>
    <n v="6.9482204906827372"/>
    <n v="0.24278777530056217"/>
    <n v="1.1472536203743309"/>
    <n v="0.88305195633951983"/>
    <n v="0.25416577374727672"/>
    <n v="0.80578109167369205"/>
    <n v="1.8274663690517763"/>
    <n v="0.51938517857261013"/>
    <n v="2.0590607395902496"/>
    <n v="2.7176711121876891"/>
    <n v="0.76817953516419291"/>
    <n v="2.556681880865824"/>
    <n v="3.6237958333333338"/>
    <n v="0.88305195633951972"/>
    <n v="3.3439583333333331"/>
    <n v="0.95694972275870682"/>
    <n v="5.9857998375437822E-2"/>
    <n v="116.07839686022437"/>
    <n v="3.2000000000000006"/>
    <n v="6794.6171874999991"/>
    <n v="0.13243619791666653"/>
    <n v="104.49869791666664"/>
    <n v="4.4986979166666427E-2"/>
    <n v="6846.8665364583321"/>
    <n v="0.13171347710055076"/>
    <n v="5.2891477910817129E-2"/>
    <n v="0.11638411997884882"/>
    <n v="5.661824623193362"/>
    <n v="0.99906416121930686"/>
    <n v="63.961869939932093"/>
    <n v="63.9618699399321"/>
    <x v="5"/>
    <x v="2"/>
    <n v="0.1"/>
    <x v="2"/>
    <x v="0"/>
    <n v="187775"/>
    <n v="6000"/>
    <m/>
    <m/>
    <n v="0.156477889837083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16"/>
    <x v="129"/>
    <x v="7"/>
    <x v="0"/>
    <m/>
    <n v="0.31697018139158972"/>
    <n v="0.24826633152047695"/>
    <n v="0.93876672174961506"/>
    <n v="1.4726770718892412"/>
    <n v="1.6587575372060142"/>
    <n v="2.2143876234593563E-2"/>
    <x v="129"/>
    <n v="24268.654166666664"/>
    <n v="372.51249999999999"/>
    <n v="8.851851851851853"/>
    <n v="22"/>
    <n v="0.13848806137401951"/>
    <n v="0.34403930695629686"/>
    <n v="20740"/>
    <n v="6050"/>
    <n v="20740"/>
    <n v="386874.3986770896"/>
    <n v="157096.53315065848"/>
    <n v="993.5026626291924"/>
    <n v="340"/>
    <n v="18.653538991180792"/>
    <n v="134.69420256236046"/>
    <n v="133100"/>
    <n v="386874.3986770896"/>
    <n v="1.0041816234829115"/>
    <n v="8.2488706958390345"/>
    <n v="9.2530523193219452"/>
    <n v="0.27041020775507052"/>
    <n v="1.1721827516167282"/>
    <n v="0.84059049421948107"/>
    <n v="0.29534753631850347"/>
    <n v="0.7832482236357905"/>
    <n v="2.2057933999214732"/>
    <n v="0.24919004936351366"/>
    <n v="2.4626539549798334"/>
    <n v="3.0549781176788375"/>
    <n v="0.8185393180421312"/>
    <n v="3.0288440580885028"/>
    <n v="4.0447756944444437"/>
    <n v="0.84059049421948107"/>
    <n v="3.7251249999999998"/>
    <n v="0.91272104962920708"/>
    <n v="5.9857998375437822E-2"/>
    <n v="154.5833901976724"/>
    <n v="3.4"/>
    <n v="7137.8394607843129"/>
    <n v="0.18963991013071882"/>
    <n v="109.5625"/>
    <n v="9.5625000000000002E-2"/>
    <n v="7192.6207107843129"/>
    <n v="0.18886292740236577"/>
    <n v="5.0348948558961271E-2"/>
    <n v="0.15886013689990847"/>
    <n v="5.6657285575341669"/>
    <n v="0.99906351594090348"/>
    <n v="63.91779741898003"/>
    <n v="63.917797418980037"/>
    <x v="5"/>
    <x v="3"/>
    <n v="0.2"/>
    <x v="4"/>
    <x v="3"/>
    <n v="157100"/>
    <n v="6000"/>
    <m/>
    <m/>
    <n v="0.34403930695629686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1"/>
    <x v="130"/>
    <x v="7"/>
    <x v="0"/>
    <m/>
    <n v="0.33946513884285467"/>
    <n v="0.26500080159138367"/>
    <n v="0.93748992106740536"/>
    <n v="1.3775530536969505"/>
    <n v="1.5793193260828655"/>
    <n v="2.4129971595228988E-2"/>
    <x v="130"/>
    <n v="26484.625"/>
    <n v="409.63333333333338"/>
    <n v="9.9259259259259238"/>
    <n v="21.333333333333332"/>
    <n v="0.15521075769330225"/>
    <n v="0.33361779156969229"/>
    <n v="23179.999999999996"/>
    <n v="6050"/>
    <n v="23179.999999999996"/>
    <n v="386869.85504999605"/>
    <n v="144462.34114719945"/>
    <n v="884.10105453880385"/>
    <n v="379.99999999999994"/>
    <n v="16.689812556082661"/>
    <n v="107.52999859108908"/>
    <n v="129066.66666666666"/>
    <n v="386869.85504999605"/>
    <n v="1.1697411424745332"/>
    <n v="9.8844406977923018"/>
    <n v="11.054181840266835"/>
    <n v="0.28913077318661268"/>
    <n v="1.174088579715985"/>
    <n v="0.86087682948125555"/>
    <n v="0.30782661644066667"/>
    <n v="0.78064216695328448"/>
    <n v="2.4267764049841216"/>
    <n v="0.2444886676663108"/>
    <n v="2.6779979611142823"/>
    <n v="3.2738739890041542"/>
    <n v="0.83757395105663235"/>
    <n v="3.376483602421513"/>
    <n v="4.4141041666666663"/>
    <n v="0.86087682948125555"/>
    <n v="4.0963333333333338"/>
    <n v="0.92765888192692625"/>
    <n v="5.9857998375437822E-2"/>
    <n v="184.67342945438043"/>
    <n v="3.7999999999999994"/>
    <n v="6969.6381578947376"/>
    <n v="0.16160635964912293"/>
    <n v="107.79824561403512"/>
    <n v="7.798245614035125E-2"/>
    <n v="7023.5372807017548"/>
    <n v="0.1609152530085545"/>
    <n v="5.1561040498273772E-2"/>
    <n v="0.13861068031584281"/>
    <n v="5.662762585041806"/>
    <n v="0.9990640061842907"/>
    <n v="63.951275500759017"/>
    <n v="63.95127550075901"/>
    <x v="5"/>
    <x v="3"/>
    <n v="0.2"/>
    <x v="37"/>
    <x v="4"/>
    <n v="144465"/>
    <n v="6000"/>
    <m/>
    <m/>
    <n v="0.33361779156969229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"/>
    <x v="131"/>
    <x v="7"/>
    <x v="0"/>
    <m/>
    <n v="0.44506980535367413"/>
    <n v="0.34435389896390012"/>
    <n v="1.089453201804327"/>
    <n v="1.9410173575083409"/>
    <n v="2.2711013031005858"/>
    <n v="3.164305115443973E-2"/>
    <x v="131"/>
    <n v="28824.745833333334"/>
    <n v="440.46249999999992"/>
    <n v="12.962962962962962"/>
    <n v="31.333333333333332"/>
    <n v="0.2027382696893946"/>
    <n v="0.4917765709852599"/>
    <n v="24400"/>
    <n v="6050"/>
    <n v="24400"/>
    <n v="385473.15559762315"/>
    <n v="109863.38484723805"/>
    <n v="990.21213790052161"/>
    <n v="400"/>
    <n v="15.798080147443571"/>
    <n v="77.923522636584792"/>
    <n v="189566.66666666666"/>
    <n v="385473.15559762315"/>
    <n v="1.6543189357252948"/>
    <n v="13.937577419112408"/>
    <n v="15.591896354837703"/>
    <n v="0.37599695011833983"/>
    <n v="1.1837058923312931"/>
    <n v="0.83261792276572544"/>
    <n v="0.41357973393132363"/>
    <n v="0.77370761804490362"/>
    <n v="3.1376764603492346"/>
    <n v="0.24204932694122669"/>
    <n v="3.5086590144078733"/>
    <n v="3.9969230382096987"/>
    <n v="0.8884592424224107"/>
    <n v="3.900974876369304"/>
    <n v="4.8041243055555558"/>
    <n v="0.83261792276572544"/>
    <n v="4.4046249999999993"/>
    <n v="0.908136333967137"/>
    <n v="5.9857998375437822E-2"/>
    <n v="260.4814189917131"/>
    <n v="4"/>
    <n v="7206.1864583333336"/>
    <n v="0.20103107638888892"/>
    <n v="110.11562499999998"/>
    <n v="0.10115624999999979"/>
    <n v="7261.2442708333338"/>
    <n v="0.20020566460055103"/>
    <n v="4.9873117700506432E-2"/>
    <n v="0.16680946483216508"/>
    <n v="5.6638144895497575"/>
    <n v="0.99906383231577689"/>
    <n v="63.939398234101958"/>
    <n v="63.939398234101951"/>
    <x v="5"/>
    <x v="10"/>
    <n v="0.30000000000000004"/>
    <x v="67"/>
    <x v="13"/>
    <n v="109865"/>
    <n v="6000"/>
    <m/>
    <m/>
    <n v="0.4917765709852599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2"/>
    <x v="132"/>
    <x v="7"/>
    <x v="0"/>
    <m/>
    <n v="0.43071882204681411"/>
    <n v="0.3306238962355677"/>
    <n v="1.0237459001392446"/>
    <n v="1.7616113026936844"/>
    <n v="2.0138722642262779"/>
    <n v="3.5378277627620171E-2"/>
    <x v="132"/>
    <n v="29226.3125"/>
    <n v="448.87916666666661"/>
    <n v="13.555555555555557"/>
    <n v="29.666666666666668"/>
    <n v="0.21213113812027698"/>
    <n v="0.46444272045513318"/>
    <n v="25620"/>
    <n v="6050"/>
    <n v="25620"/>
    <n v="386448.80289532297"/>
    <n v="99897.539625831021"/>
    <n v="838.55599130426879"/>
    <n v="420"/>
    <n v="15.08387208802978"/>
    <n v="71.106355350233031"/>
    <n v="179483.33333333334"/>
    <n v="386448.80289532297"/>
    <n v="1.610486218558046"/>
    <n v="15.880571779588116"/>
    <n v="17.491057998146161"/>
    <n v="0.3660021738631879"/>
    <n v="1.1768203928969487"/>
    <n v="0.86223672589554357"/>
    <n v="0.38344909965667762"/>
    <n v="0.76760958498264265"/>
    <n v="3.541408831733035"/>
    <n v="0.26125147119342057"/>
    <n v="3.8684516589975848"/>
    <n v="4.4000644886575611"/>
    <n v="0.89470265408617056"/>
    <n v="3.9751821918143295"/>
    <n v="4.8710520833333337"/>
    <n v="0.86223672589554357"/>
    <n v="4.4887916666666658"/>
    <n v="0.93566382935273995"/>
    <n v="5.9857998375437822E-2"/>
    <n v="292.20920299472385"/>
    <n v="4.2"/>
    <n v="6958.645833333333"/>
    <n v="0.1597743055555555"/>
    <n v="106.87599206349205"/>
    <n v="6.8759920634920493E-2"/>
    <n v="7012.0838293650795"/>
    <n v="0.15902212055621148"/>
    <n v="5.1645259666581803E-2"/>
    <n v="0.13720369761355136"/>
    <n v="5.6671494485864056"/>
    <n v="0.99906328108287834"/>
    <n v="63.901771685539373"/>
    <n v="63.901771685539373"/>
    <x v="5"/>
    <x v="9"/>
    <n v="0.30000000000000004"/>
    <x v="23"/>
    <x v="5"/>
    <n v="99900"/>
    <n v="6000"/>
    <m/>
    <m/>
    <n v="0.46444272045513318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3"/>
    <x v="133"/>
    <x v="7"/>
    <x v="0"/>
    <m/>
    <n v="0.65032245420202872"/>
    <n v="0.49033358348481709"/>
    <n v="1.3849129057987657"/>
    <n v="2.6112248778343203"/>
    <n v="2.9196690893173218"/>
    <n v="3.8194114817827314E-2"/>
    <x v="133"/>
    <n v="30109.675000000003"/>
    <n v="458.8458333333333"/>
    <n v="14.888888888888886"/>
    <n v="30.666666666666668"/>
    <n v="0.23186219578771949"/>
    <n v="0.48088957848461344"/>
    <n v="26840.000000000004"/>
    <n v="6050"/>
    <n v="26840.000000000004"/>
    <n v="385812.75543127552"/>
    <n v="89521.015649060035"/>
    <n v="802.91602025432542"/>
    <n v="440.00000000000006"/>
    <n v="14.374543794011753"/>
    <n v="61.996065141953153"/>
    <n v="185533.33333333334"/>
    <n v="385812.75543127552"/>
    <n v="2.4606308067188687"/>
    <n v="17.525210442014988"/>
    <n v="19.985841248733855"/>
    <n v="0.52852769830264446"/>
    <n v="1.2304415762703176"/>
    <n v="0.8767945851291985"/>
    <n v="0.55923427425428829"/>
    <n v="0.75398531961575233"/>
    <n v="3.7950458560060301"/>
    <n v="0.2548911395824946"/>
    <n v="4.3097450652675491"/>
    <n v="4.6962060669119303"/>
    <n v="0.93845417611502802"/>
    <n v="4.2557419678723516"/>
    <n v="5.0182791666666668"/>
    <n v="0.8767945851291985"/>
    <n v="4.5884583333333326"/>
    <n v="0.95892774443122708"/>
    <n v="5.9857998375437822E-2"/>
    <n v="333.88756375346594"/>
    <n v="4.4000000000000004"/>
    <n v="6843.107954545455"/>
    <n v="0.14051799242424248"/>
    <n v="104.28314393939392"/>
    <n v="4.2831439393939234E-2"/>
    <n v="6895.249526515152"/>
    <n v="0.13971066553969455"/>
    <n v="5.2520345895940949E-2"/>
    <n v="0.12258432755258671"/>
    <n v="5.6395599837085015"/>
    <n v="0.99906784132500681"/>
    <n v="64.214387508519707"/>
    <n v="64.214387508519707"/>
    <x v="5"/>
    <x v="9"/>
    <n v="0.30000000000000004"/>
    <x v="57"/>
    <x v="6"/>
    <n v="89525"/>
    <n v="6000"/>
    <m/>
    <m/>
    <n v="0.48088957848461344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4"/>
    <x v="134"/>
    <x v="7"/>
    <x v="0"/>
    <m/>
    <n v="0.52589768124548075"/>
    <n v="0.3821734862349872"/>
    <n v="1.1477708492757888"/>
    <n v="1.9405119260152179"/>
    <n v="2.1956372165679934"/>
    <n v="4.5377523930434899E-2"/>
    <x v="134"/>
    <n v="31678.066666666666"/>
    <n v="477.67916666666662"/>
    <n v="21"/>
    <n v="47.333333333333336"/>
    <n v="0.32849179668419387"/>
    <n v="0.74000517196793381"/>
    <n v="28059.999999999996"/>
    <n v="6050"/>
    <n v="28059.999999999996"/>
    <n v="386979.27732736932"/>
    <n v="78655.509620019133"/>
    <n v="1043.1008400964483"/>
    <n v="459.99999999999994"/>
    <n v="13.791136041602615"/>
    <n v="41.983197695682996"/>
    <n v="286366.66666666669"/>
    <n v="386979.27732736932"/>
    <n v="2.0177528625307231"/>
    <n v="21.675897816486867"/>
    <n v="23.69365067901759"/>
    <n v="0.42755101016542207"/>
    <n v="1.230023245745596"/>
    <n v="0.87126529186335011"/>
    <n v="0.43864192663711382"/>
    <n v="0.72670692392080471"/>
    <n v="4.4524822887875697"/>
    <n v="0.21202296613274141"/>
    <n v="4.9199258792784768"/>
    <n v="5.4090176849068392"/>
    <n v="0.91199599141032905"/>
    <n v="4.3803980795129664"/>
    <n v="5.2796777777777777"/>
    <n v="0.87126529186335022"/>
    <n v="4.7767916666666661"/>
    <n v="0.96298945421874871"/>
    <n v="5.9857998375437822E-2"/>
    <n v="395.83098870776911"/>
    <n v="4.5999999999999996"/>
    <n v="6886.536231884058"/>
    <n v="0.14775603864734299"/>
    <n v="103.84329710144927"/>
    <n v="3.8432971014492667E-2"/>
    <n v="6938.457880434783"/>
    <n v="0.14685254222062527"/>
    <n v="5.2193282197845685E-2"/>
    <n v="0.1280483207861037"/>
    <n v="5.6647767459626728"/>
    <n v="0.99906367326513013"/>
    <n v="63.928537065383779"/>
    <n v="63.928537065383779"/>
    <x v="5"/>
    <x v="5"/>
    <n v="0.4"/>
    <x v="68"/>
    <x v="14"/>
    <n v="78660"/>
    <n v="6000"/>
    <m/>
    <m/>
    <n v="0.74000517196793381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5"/>
    <x v="135"/>
    <x v="7"/>
    <x v="0"/>
    <m/>
    <n v="0.81898924844690424"/>
    <n v="0.58959784170468954"/>
    <n v="1.5143748462449012"/>
    <n v="2.8537968556086217"/>
    <n v="3.3870527474085486"/>
    <n v="5.6983425120598952E-2"/>
    <x v="135"/>
    <n v="33652.995833333334"/>
    <n v="500.74166666666662"/>
    <n v="25.074074074074073"/>
    <n v="49.333333333333336"/>
    <n v="0.39190299686808611"/>
    <n v="0.76935608999224214"/>
    <n v="29280"/>
    <n v="6050"/>
    <n v="29280"/>
    <n v="387943.46408524079"/>
    <n v="61696.428760329982"/>
    <n v="865.74882483678255"/>
    <n v="480"/>
    <n v="13.249435248812869"/>
    <n v="33.807945728143046"/>
    <n v="298466.66666666669"/>
    <n v="387943.46408524079"/>
    <n v="3.3069556183717075"/>
    <n v="28.533975267263916"/>
    <n v="31.840930885635622"/>
    <n v="0.64658126682528849"/>
    <n v="1.2666454944915715"/>
    <n v="0.85579305160919916"/>
    <n v="0.68894908716077241"/>
    <n v="0.71990913534307976"/>
    <n v="5.6330929328109844"/>
    <n v="0.22465806379009837"/>
    <n v="6.2879403537645846"/>
    <n v="6.5541355636690941"/>
    <n v="0.9757348919644907"/>
    <n v="4.858143469313692"/>
    <n v="5.6088326388888889"/>
    <n v="0.85579305160919916"/>
    <n v="5.007416666666666"/>
    <n v="0.95857810913811192"/>
    <n v="5.9857998375437822E-2"/>
    <n v="531.94112315491748"/>
    <n v="4.8"/>
    <n v="7011.0407986111113"/>
    <n v="0.16850679976851854"/>
    <n v="104.32118055555554"/>
    <n v="4.3211805555555427E-2"/>
    <n v="7063.2013888888887"/>
    <n v="0.16747130394857665"/>
    <n v="5.1271494359637279E-2"/>
    <n v="0.14344789750477083"/>
    <n v="5.660193063455667"/>
    <n v="0.99906443089860231"/>
    <n v="63.980307051629829"/>
    <n v="63.980307051629829"/>
    <x v="5"/>
    <x v="7"/>
    <n v="0.4"/>
    <x v="27"/>
    <x v="8"/>
    <n v="61700"/>
    <n v="6000"/>
    <m/>
    <m/>
    <n v="0.76935608999224214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3"/>
    <x v="136"/>
    <x v="7"/>
    <x v="0"/>
    <m/>
    <n v="0.65627406597952154"/>
    <n v="0.50133485819597334"/>
    <n v="1.3134894057534456"/>
    <n v="2.3419449885686223"/>
    <n v="2.6325037304560337"/>
    <n v="5.5761778610436331E-2"/>
    <x v="136"/>
    <n v="32936.787499999999"/>
    <n v="486.94583333333338"/>
    <n v="26.222222222222218"/>
    <n v="55"/>
    <n v="0.40995029164152513"/>
    <n v="0.85932247220067237"/>
    <n v="30500"/>
    <n v="6050"/>
    <n v="30500"/>
    <n v="387223.66837195307"/>
    <n v="63714.16832187245"/>
    <n v="986.33869597743148"/>
    <n v="500"/>
    <n v="12.695857979408297"/>
    <n v="30.969261977035007"/>
    <n v="332750"/>
    <n v="387223.66837195307"/>
    <n v="2.7520599484572346"/>
    <n v="27.152965753607763"/>
    <n v="29.905025702064997"/>
    <n v="0.55709663680640964"/>
    <n v="1.1780255392343644"/>
    <n v="0.91083564236493919"/>
    <n v="0.55041198969144689"/>
    <n v="0.76391081742306277"/>
    <n v="5.5694845750204083"/>
    <n v="0.21239559819993087"/>
    <n v="6.077512719239607"/>
    <n v="6.4870135034085727"/>
    <n v="0.95113057174114035"/>
    <n v="4.6099835750845184"/>
    <n v="5.4894645833333326"/>
    <n v="0.9108356423649393"/>
    <n v="4.8694583333333341"/>
    <n v="1.0268082521156527"/>
    <n v="5.9857998375437822E-2"/>
    <n v="499.59949403079685"/>
    <n v="5"/>
    <n v="6587.3575000000001"/>
    <n v="9.7892916666666677E-2"/>
    <n v="97.389166666666682"/>
    <n v="2.6108333333333178E-2"/>
    <n v="6636.052083333333"/>
    <n v="9.6868112947658347E-2"/>
    <n v="5.4571737175018231E-2"/>
    <n v="8.8313364026364763E-2"/>
    <n v="5.6616011519905873"/>
    <n v="0.99906419815669567"/>
    <n v="63.964394603118961"/>
    <n v="63.964394603118969"/>
    <x v="5"/>
    <x v="7"/>
    <n v="0.5"/>
    <x v="69"/>
    <x v="52"/>
    <n v="63715"/>
    <n v="6000"/>
    <m/>
    <m/>
    <n v="0.85932247220067237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6"/>
    <x v="137"/>
    <x v="7"/>
    <x v="0"/>
    <m/>
    <n v="1.1605770143365433"/>
    <n v="0.74375447320014987"/>
    <n v="2.0436184726584883"/>
    <n v="4.0180083235104851"/>
    <n v="4.302049371401468"/>
    <n v="7.0172334482096241E-2"/>
    <x v="137"/>
    <n v="33728.558333333327"/>
    <n v="518.05833333333339"/>
    <n v="34.296296296296291"/>
    <n v="56"/>
    <n v="0.53462057868574553"/>
    <n v="0.87362296353762614"/>
    <n v="31720"/>
    <n v="6050"/>
    <n v="31720"/>
    <n v="387810.3187993961"/>
    <n v="49969.19499508135"/>
    <n v="798.0352999982897"/>
    <n v="520"/>
    <n v="12.226050403511858"/>
    <n v="22.868649077383221"/>
    <n v="338800"/>
    <n v="387810.3187993961"/>
    <n v="4.1809610225014753"/>
    <n v="36.353362647903978"/>
    <n v="40.534323670405456"/>
    <n v="0.81392680768224612"/>
    <n v="1.4258985001875353"/>
    <n v="0.9250321253477829"/>
    <n v="0.80403096586566836"/>
    <n v="0.64084887432078375"/>
    <n v="7.1028564965542733"/>
    <n v="0.20710272722134493"/>
    <n v="7.7609879214097743"/>
    <n v="7.9422655735574068"/>
    <n v="1.0316025195237699"/>
    <n v="5.1036222970632545"/>
    <n v="5.6214263888888878"/>
    <n v="0.9250321253477829"/>
    <n v="5.1805833333333338"/>
    <n v="1.0037479691797899"/>
    <n v="5.9857998375437822E-2"/>
    <n v="677.17472636101945"/>
    <n v="5.2"/>
    <n v="6486.2612179487169"/>
    <n v="8.1043536324786142E-2"/>
    <n v="99.626602564102569"/>
    <n v="3.7339743589743079E-3"/>
    <n v="6536.0745192307686"/>
    <n v="8.0342895740622908E-2"/>
    <n v="5.5406481230574962E-2"/>
    <n v="7.4367958596649283E-2"/>
    <n v="5.6451568588212915"/>
    <n v="0.99906691622168253"/>
    <n v="64.15072233210077"/>
    <n v="64.15072233210077"/>
    <x v="5"/>
    <x v="11"/>
    <n v="0.60000000000000009"/>
    <x v="70"/>
    <x v="15"/>
    <n v="49970"/>
    <n v="6000"/>
    <m/>
    <m/>
    <n v="0.87362296353762614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7"/>
    <x v="138"/>
    <x v="7"/>
    <x v="0"/>
    <m/>
    <n v="1.435064111913392"/>
    <n v="0.61902965535370225"/>
    <n v="2.2936428410349152"/>
    <n v="4.2085972944895422"/>
    <n v="4.6697428464889521"/>
    <n v="9.0844476588396894E-2"/>
    <x v="138"/>
    <n v="35490.23333333333"/>
    <n v="532.35833333333335"/>
    <n v="45.74074074074074"/>
    <n v="61"/>
    <n v="0.71633479872424777"/>
    <n v="0.95730540470649084"/>
    <n v="32940.000000000007"/>
    <n v="6050"/>
    <n v="32940.000000000007"/>
    <n v="385509.15745968284"/>
    <n v="39728.96982979431"/>
    <n v="671.47725751541418"/>
    <n v="540.00000000000011"/>
    <n v="11.703374543402633"/>
    <n v="16.337855656664576"/>
    <n v="369050"/>
    <n v="385509.15745968284"/>
    <n v="3.6615844847926344"/>
    <n v="48.361814149137992"/>
    <n v="52.023398633930626"/>
    <n v="0.70987413194209914"/>
    <n v="2.0215754418143002"/>
    <n v="0.91292721847419089"/>
    <n v="0.67807120088752471"/>
    <n v="0.4313602787601879"/>
    <n v="9.0192459962509588"/>
    <n v="0.19718189627431246"/>
    <n v="9.7034773141933925"/>
    <n v="9.9973748773138809"/>
    <n v="1.0366186882811417"/>
    <n v="5.2037059000340697"/>
    <n v="5.9150388888888887"/>
    <n v="0.91292721847419078"/>
    <n v="5.3235833333333336"/>
    <n v="1.0143543665763977"/>
    <n v="5.9857998375437822E-2"/>
    <n v="869.11356954558551"/>
    <n v="5.4000000000000012"/>
    <n v="6572.2654320987631"/>
    <n v="9.5377572016460507E-2"/>
    <n v="98.584876543209859"/>
    <n v="1.4151234567901412E-2"/>
    <n v="6621.5578703703677"/>
    <n v="9.4472375267829367E-2"/>
    <n v="5.4691191598865083E-2"/>
    <n v="8.6317733916957892E-2"/>
    <n v="5.6714018502916765"/>
    <n v="0.99906257820656341"/>
    <n v="63.853858310670432"/>
    <n v="63.853858310670432"/>
    <x v="5"/>
    <x v="12"/>
    <n v="0.8"/>
    <x v="9"/>
    <x v="28"/>
    <n v="39730"/>
    <n v="6000"/>
    <m/>
    <m/>
    <n v="0.95730540470649084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8"/>
    <x v="139"/>
    <x v="7"/>
    <x v="0"/>
    <m/>
    <n v="3.5289551875927123"/>
    <n v="1.3774511413063049"/>
    <n v="4.9888406751636927"/>
    <n v="9.005064344406124"/>
    <n v="9.3004104820887239"/>
    <n v="9.6583568567583281E-2"/>
    <x v="139"/>
    <n v="35706.416666666664"/>
    <n v="509.20416666666665"/>
    <n v="50.25925925925926"/>
    <n v="64"/>
    <n v="0.78210499094905606"/>
    <n v="0.99775019394879749"/>
    <n v="35380"/>
    <n v="6050"/>
    <n v="35380"/>
    <n v="388073.08918435581"/>
    <n v="35164.900408960799"/>
    <n v="662.63859318075117"/>
    <n v="580"/>
    <n v="10.968713656991403"/>
    <n v="14.024605115588466"/>
    <n v="387200"/>
    <n v="388073.08918435581"/>
    <n v="8.197307398243078"/>
    <n v="49.180755546149101"/>
    <n v="57.378062944392177"/>
    <n v="1.4740347098738882"/>
    <n v="2.3940787580874767"/>
    <n v="0.9746147401144053"/>
    <n v="1.4133288617660478"/>
    <n v="0.39032831761344566"/>
    <n v="8.8453682009347752"/>
    <n v="0.17599479839737578"/>
    <n v="11.035807998064632"/>
    <n v="10.632971596872734"/>
    <n v="1.1546856594228949"/>
    <n v="5.3962396515069839"/>
    <n v="5.9510694444444443"/>
    <n v="0.97461474011440519"/>
    <n v="5.0920416666666668"/>
    <n v="1.1390323134957328"/>
    <n v="5.9857998375437822E-2"/>
    <n v="958.56968996037688"/>
    <n v="5.8"/>
    <n v="6156.2787356321833"/>
    <n v="2.6046455938697213E-2"/>
    <n v="87.793821839080465"/>
    <n v="0.12206178160919536"/>
    <n v="6200.1756465517237"/>
    <n v="2.4822420917640284E-2"/>
    <n v="5.8408166286838398E-2"/>
    <n v="2.4221192287551496E-2"/>
    <n v="5.6354232395019856"/>
    <n v="0.99906852508437982"/>
    <n v="64.261524783611819"/>
    <n v="64.261524783611819"/>
    <x v="5"/>
    <x v="13"/>
    <n v="0.8"/>
    <x v="71"/>
    <x v="32"/>
    <n v="35165"/>
    <n v="6000"/>
    <m/>
    <m/>
    <n v="0.99775019394879749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4"/>
    <x v="140"/>
    <x v="7"/>
    <x v="0"/>
    <m/>
    <n v="2.7787750410736831"/>
    <n v="1.2817617600254509"/>
    <n v="3.997555226543712"/>
    <n v="12.724696377913155"/>
    <n v="13.233069755236306"/>
    <n v="8.4682442355198839E-2"/>
    <x v="140"/>
    <n v="35089.066666666658"/>
    <n v="531.5916666666667"/>
    <n v="44.925925925925924"/>
    <n v="62.666666666666664"/>
    <n v="0.69932189753756857"/>
    <n v="0.97659684509956035"/>
    <n v="36600"/>
    <n v="6050"/>
    <n v="36600"/>
    <n v="388218.87991526542"/>
    <n v="39817.296532190667"/>
    <n v="740.01959466181393"/>
    <n v="600"/>
    <n v="10.607073221728564"/>
    <n v="15.167654922687069"/>
    <n v="379133.33333333331"/>
    <n v="388218.87991526542"/>
    <n v="7.4959706413861742"/>
    <n v="45.016480669004082"/>
    <n v="52.512451310390254"/>
    <n v="1.3664442023806498"/>
    <n v="2.0335810538274735"/>
    <n v="1.0259606031128408"/>
    <n v="1.2493284402310287"/>
    <n v="0.46126863134994711"/>
    <n v="9.0021914185525684"/>
    <n v="0.20037853940718825"/>
    <n v="9.7500059955453331"/>
    <n v="9.494204838632724"/>
    <n v="1.2319392951875108"/>
    <n v="5.5310004579543763"/>
    <n v="5.8481777777777761"/>
    <n v="1.0259606031128408"/>
    <n v="5.3159166666666673"/>
    <n v="1.1286858647771627"/>
    <n v="5.9857998375437822E-2"/>
    <n v="877.28378388172518"/>
    <n v="6"/>
    <n v="5848.1777777777761"/>
    <n v="2.5303703703703984E-2"/>
    <n v="88.598611111111111"/>
    <n v="0.11401388888888889"/>
    <n v="5892.4770833333314"/>
    <n v="2.6036845730027867E-2"/>
    <n v="6.1458175407368469E-2"/>
    <n v="2.6732885752278425E-2"/>
    <n v="5.6371248732451651"/>
    <n v="0.99906824382260417"/>
    <n v="64.242126671734084"/>
    <n v="64.242126671734084"/>
    <x v="5"/>
    <x v="14"/>
    <n v="0.70000000000000007"/>
    <x v="34"/>
    <x v="40"/>
    <n v="39820"/>
    <n v="6000"/>
    <m/>
    <m/>
    <n v="0.97659684509956035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29"/>
    <x v="141"/>
    <x v="7"/>
    <x v="0"/>
    <m/>
    <n v="2.9788035527552004"/>
    <n v="1.227755021093192"/>
    <n v="3.9927787936789039"/>
    <n v="7.4239736080169676"/>
    <n v="7.9053410498301178"/>
    <n v="9.7520763342730118E-2"/>
    <x v="141"/>
    <n v="35939.995833333327"/>
    <n v="523.57499999999993"/>
    <n v="47.407407407407412"/>
    <n v="63.333333333333336"/>
    <n v="0.73818061661351031"/>
    <n v="0.99056115852081728"/>
    <n v="37820"/>
    <n v="6050"/>
    <n v="37820"/>
    <n v="386817.77835791669"/>
    <n v="35229.846965624492"/>
    <n v="649.43434774759328"/>
    <n v="620"/>
    <n v="10.227862992012604"/>
    <n v="13.855501975836372"/>
    <n v="383166.66666666669"/>
    <n v="386817.77835791669"/>
    <n v="7.3542517237405649"/>
    <n v="51.059433667169912"/>
    <n v="58.41368539091048"/>
    <n v="1.3252757844359222"/>
    <n v="2.2476857932049743"/>
    <n v="1.0350585507163041"/>
    <n v="1.1861696328613813"/>
    <n v="0.4121638098482856"/>
    <n v="9.4360909096458094"/>
    <n v="0.19904254262534127"/>
    <n v="10.979831355366203"/>
    <n v="10.787134884989316"/>
    <n v="1.1418577620827144"/>
    <n v="5.4151251480312173"/>
    <n v="5.9899993055555543"/>
    <n v="1.0350585507163041"/>
    <n v="5.2357499999999995"/>
    <n v="1.1841665472950391"/>
    <n v="5.9857998375437822E-2"/>
    <n v="975.87101099725373"/>
    <n v="6.2"/>
    <n v="5796.7735215053754"/>
    <n v="3.387107974910411E-2"/>
    <n v="84.447580645161281"/>
    <n v="0.1555241935483872"/>
    <n v="5838.9973118279559"/>
    <n v="3.4876477383808953E-2"/>
    <n v="6.202107499481397E-2"/>
    <n v="3.6136801732143217E-2"/>
    <n v="5.6388948526621832"/>
    <n v="0.99906795126402281"/>
    <n v="64.221961861982265"/>
    <n v="64.221961861982265"/>
    <x v="5"/>
    <x v="13"/>
    <n v="0.8"/>
    <x v="72"/>
    <x v="27"/>
    <n v="35230"/>
    <n v="6000"/>
    <m/>
    <m/>
    <n v="0.99056115852081728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30"/>
    <x v="142"/>
    <x v="7"/>
    <x v="0"/>
    <m/>
    <n v="4.6107999336990897"/>
    <n v="1.1255584311320885"/>
    <n v="5.3410633471729767"/>
    <n v="9.5125555833180737"/>
    <n v="9.9086410649617509"/>
    <n v="0.10106962356492293"/>
    <x v="142"/>
    <n v="35547.347222222219"/>
    <n v="552.27083333333337"/>
    <n v="48.918518518518518"/>
    <n v="63"/>
    <n v="0.76341579748872235"/>
    <n v="0.98766485647788971"/>
    <n v="39040.000000000007"/>
    <n v="6050"/>
    <n v="39040.000000000007"/>
    <n v="385910.25842431863"/>
    <n v="34356.514064901778"/>
    <n v="623.33268669524057"/>
    <n v="640.00000000000011"/>
    <n v="9.884996373573733"/>
    <n v="12.94837807403345"/>
    <n v="381150"/>
    <n v="385910.25842431863"/>
    <n v="6.6684360617253402"/>
    <n v="55.817805230886293"/>
    <n v="62.486241292611631"/>
    <n v="1.2266280546970114"/>
    <n v="3.7589226139442902"/>
    <n v="1.0802493856980266"/>
    <n v="1.0419431346445844"/>
    <n v="0.24411348297844943"/>
    <n v="10.296349730196297"/>
    <n v="0.21047959018420656"/>
    <n v="11.232520787624381"/>
    <n v="11.187211742190319"/>
    <n v="1.3234825961586398"/>
    <n v="5.5855062666738791"/>
    <n v="5.9245578703703696"/>
    <n v="1.0802493856980266"/>
    <n v="5.522708333333334"/>
    <n v="1.1588517107397489"/>
    <n v="5.9857998375437822E-2"/>
    <n v="1043.9079653263561"/>
    <n v="6.4000000000000012"/>
    <n v="5554.2730034722208"/>
    <n v="7.4287832754629871E-2"/>
    <n v="86.292317708333329"/>
    <n v="0.1370768229166667"/>
    <n v="5597.4191623263878"/>
    <n v="7.4806750028696231E-2"/>
    <n v="6.4697832995749174E-2"/>
    <n v="8.0855270000096319E-2"/>
    <n v="5.6515218540156011"/>
    <n v="0.99906586415636112"/>
    <n v="64.078472936291533"/>
    <n v="64.078472936291533"/>
    <x v="5"/>
    <x v="15"/>
    <n v="0.8"/>
    <x v="73"/>
    <x v="26"/>
    <n v="34360"/>
    <n v="6000"/>
    <m/>
    <m/>
    <n v="0.98766485647788971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31"/>
    <x v="143"/>
    <x v="7"/>
    <x v="0"/>
    <m/>
    <n v="5.9770145541377246"/>
    <n v="1.0074532958660602"/>
    <n v="6.9000731865115412"/>
    <n v="12.674003088474274"/>
    <n v="13.061408584912618"/>
    <n v="0.11063943531066119"/>
    <x v="143"/>
    <n v="36130.188888888886"/>
    <n v="554.60740740740732"/>
    <n v="53.966666666666669"/>
    <n v="64"/>
    <n v="0.84485906387380394"/>
    <n v="0.99862942849754333"/>
    <n v="40259.999999999993"/>
    <n v="6050"/>
    <n v="40259.999999999993"/>
    <n v="387731.41362612322"/>
    <n v="32119.846541790899"/>
    <n v="578.45559153746854"/>
    <n v="659.99999999999989"/>
    <n v="9.6306858824173691"/>
    <n v="11.39916264644099"/>
    <n v="387200"/>
    <n v="387731.41362612322"/>
    <n v="6.0665796460624026"/>
    <n v="61.361450374665353"/>
    <n v="67.428030020727761"/>
    <n v="1.1180927311767215"/>
    <n v="5.3457234695080231"/>
    <n v="1.0960363401858155"/>
    <n v="0.91917873425187946"/>
    <n v="0.16855459974890435"/>
    <n v="10.676872397277775"/>
    <n v="0.19784198389026142"/>
    <n v="12.07139682693218"/>
    <n v="12.159979871251934"/>
    <n v="1.3604666859042771"/>
    <n v="5.5450774371870475"/>
    <n v="6.0216981481481477"/>
    <n v="1.0960363401858155"/>
    <n v="5.546074074074073"/>
    <n v="1.1900309862164762"/>
    <n v="5.9857998375437822E-2"/>
    <n v="1126.4665015660837"/>
    <n v="6.5999999999999988"/>
    <n v="5474.2710437710448"/>
    <n v="8.7621492704825873E-2"/>
    <n v="84.031425364758704"/>
    <n v="0.15968574635241295"/>
    <n v="5516.2867564534245"/>
    <n v="8.8217065049020757E-2"/>
    <n v="6.5649395355985699E-2"/>
    <n v="9.6752265991646033E-2"/>
    <n v="5.6693887608517732"/>
    <n v="0.99906291094861954"/>
    <n v="63.87653157110195"/>
    <n v="63.876531571101943"/>
    <x v="5"/>
    <x v="16"/>
    <n v="0.9"/>
    <x v="56"/>
    <x v="53"/>
    <n v="32120"/>
    <n v="6000"/>
    <m/>
    <m/>
    <n v="0.99862942849754333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32"/>
    <x v="144"/>
    <x v="7"/>
    <x v="0"/>
    <m/>
    <n v="6.268921307044212"/>
    <n v="1.3392629044221371"/>
    <n v="7.8909833342756714"/>
    <n v="13.987683173020679"/>
    <n v="15.12877874215444"/>
    <n v="0.10462679664851991"/>
    <x v="144"/>
    <n v="37708.883796296293"/>
    <n v="583.04398148148141"/>
    <n v="48.603703703703701"/>
    <n v="64"/>
    <n v="0.7583958279458668"/>
    <n v="0.99707783811740358"/>
    <n v="41480"/>
    <n v="6050"/>
    <n v="41480"/>
    <n v="388334.77708327933"/>
    <n v="32904.310015394665"/>
    <n v="611.69797843471838"/>
    <n v="680"/>
    <n v="9.3619763038399064"/>
    <n v="12.344445946118984"/>
    <n v="387200"/>
    <n v="388334.77708327933"/>
    <n v="8.4170182059241068"/>
    <n v="61.002024087606365"/>
    <n v="69.419042293530467"/>
    <n v="1.4438897010706571"/>
    <n v="4.3416898828184394"/>
    <n v="1.0819731557264316"/>
    <n v="1.2377967949888391"/>
    <n v="0.213635303240646"/>
    <n v="10.688751126274811"/>
    <n v="0.21991639138110181"/>
    <n v="11.801942569274129"/>
    <n v="11.544652820578424"/>
    <n v="1.4598139847592326"/>
    <n v="6.013090507996095"/>
    <n v="6.2848139660493825"/>
    <n v="1.0819731557264314"/>
    <n v="5.830439814814814"/>
    <n v="1.1662928039702234"/>
    <n v="5.9857998375437822E-2"/>
    <n v="1159.7287610274641"/>
    <n v="6.8"/>
    <n v="5545.4240876906315"/>
    <n v="7.5762652051561422E-2"/>
    <n v="85.741761982570793"/>
    <n v="0.14258238017429206"/>
    <n v="5588.2949686819165"/>
    <n v="7.6314881209600574E-2"/>
    <n v="6.4803467283119309E-2"/>
    <n v="8.2620018074490348E-2"/>
    <n v="5.6507245190383024"/>
    <n v="0.99906599594726631"/>
    <n v="64.087514610078998"/>
    <n v="64.087514610078998"/>
    <x v="5"/>
    <x v="15"/>
    <n v="0.8"/>
    <x v="50"/>
    <x v="26"/>
    <n v="32905"/>
    <n v="6000"/>
    <m/>
    <m/>
    <n v="0.99707783811740358"/>
    <m/>
    <m/>
    <m/>
    <m/>
    <m/>
    <m/>
    <m/>
    <m/>
    <m/>
    <m/>
    <m/>
    <m/>
    <m/>
    <m/>
    <m/>
    <m/>
    <m/>
    <n v="6050"/>
    <m/>
    <m/>
    <m/>
    <m/>
    <m/>
    <m/>
    <m/>
    <m/>
  </r>
  <r>
    <x v="5"/>
    <x v="1"/>
    <x v="5"/>
    <x v="145"/>
    <x v="7"/>
    <x v="0"/>
    <m/>
    <n v="8.0779408992271104"/>
    <n v="1.3740283270689924"/>
    <n v="9.3262275481629953"/>
    <n v="14.841223613421127"/>
    <n v="15.866198527018232"/>
    <n v="0.10782964884424413"/>
    <x v="145"/>
    <n v="35971.4"/>
    <n v="532.4666666666667"/>
    <n v="51.033333333333331"/>
    <n v="64"/>
    <n v="0.79698991466252911"/>
    <n v="0.99904318593224717"/>
    <n v="42700"/>
    <n v="6050"/>
    <n v="42700"/>
    <n v="387570.8332254808"/>
    <n v="31880.484465440477"/>
    <n v="593.52878068299742"/>
    <n v="700"/>
    <n v="9.0766003097302299"/>
    <n v="11.388601214073772"/>
    <n v="387200"/>
    <n v="387570.8332254808"/>
    <n v="8.2376204273882596"/>
    <n v="57.415693687931864"/>
    <n v="65.653314115320129"/>
    <n v="1.4818579759132364"/>
    <n v="5.4512247668329037"/>
    <n v="1.1675942554362633"/>
    <n v="1.1768029181983226"/>
    <n v="0.17009635799643669"/>
    <n v="10.197990161895833"/>
    <n v="0.19982998357731874"/>
    <n v="12.156993211493404"/>
    <n v="11.950559139860676"/>
    <n v="1.5202720809672934"/>
    <n v="5.4937441292044467"/>
    <n v="5.9952333333333332"/>
    <n v="1.1675942554362633"/>
    <n v="5.3246666666666673"/>
    <n v="1.3146362839614372"/>
    <n v="5.9857998375437822E-2"/>
    <n v="1096.8177335889727"/>
    <n v="7"/>
    <n v="5138.7714285714292"/>
    <n v="0.14353809523809513"/>
    <n v="76.066666666666677"/>
    <n v="0.23933333333333323"/>
    <n v="5176.8047619047629"/>
    <n v="0.14432979142070035"/>
    <n v="6.9954519597944437E-2"/>
    <n v="0.16867455472165652"/>
    <n v="5.6555709435698658"/>
    <n v="0.99906519488536039"/>
    <n v="64.032596140118628"/>
    <n v="64.032596140118628"/>
    <x v="5"/>
    <x v="17"/>
    <n v="0.8"/>
    <x v="74"/>
    <x v="33"/>
    <n v="31885"/>
    <n v="6000"/>
    <m/>
    <m/>
    <n v="0.99904318593224717"/>
    <m/>
    <m/>
    <m/>
    <m/>
    <m/>
    <m/>
    <m/>
    <m/>
    <m/>
    <m/>
    <m/>
    <m/>
    <m/>
    <m/>
    <m/>
    <m/>
    <m/>
    <n v="6050"/>
    <m/>
    <m/>
    <m/>
    <m/>
    <m/>
    <m/>
    <m/>
    <m/>
  </r>
  <r>
    <x v="0"/>
    <x v="0"/>
    <x v="0"/>
    <x v="146"/>
    <x v="0"/>
    <x v="1"/>
    <n v="0"/>
    <n v="3.6813165959942801E-2"/>
    <n v="3.1516070129098697E-2"/>
    <n v="4.9095033114591867E-2"/>
    <n v="6.3904261589050299E-2"/>
    <n v="7.216400861740116E-2"/>
    <n v="6.6212960266655973E-3"/>
    <x v="146"/>
    <n v="2174.8166666666666"/>
    <n v="603.84444444444443"/>
    <n v="4"/>
    <n v="8.5"/>
    <n v="1.1850271528316525E-2"/>
    <n v="2.5019394879751741E-2"/>
    <n v="2600"/>
    <n v="1150"/>
    <n v="2600"/>
    <n v="390696.89922480629"/>
    <n v="193615.12203048103"/>
    <n v="1283.7365926199941"/>
    <n v="600"/>
    <n v="150.26803816338705"/>
    <n v="12680.556542887456"/>
    <n v="9775"/>
    <n v="390696.89922480629"/>
    <n v="6.8541674584599338E-2"/>
    <n v="3.9982328207240951"/>
    <n v="4.0667744953086942"/>
    <n v="3.8137366155764296E-2"/>
    <n v="0.96527814242826659"/>
    <n v="0.91961774555709674"/>
    <n v="3.4270837292299669E-2"/>
    <n v="0.85610865860849927"/>
    <n v="1.9859780918978607"/>
    <n v="0.49649452297446517"/>
    <n v="2.0179048781287778"/>
    <n v="2.9060065535567761"/>
    <n v="0.69379401755425085"/>
    <n v="1.3994374824555054"/>
    <n v="2.1748166666666666"/>
    <n v="0.91961774555709674"/>
    <n v="2.0128148148148148"/>
    <n v="0.99363338608177232"/>
    <n v="0.31490512188817288"/>
    <n v="12.914285010432003"/>
    <n v="2"/>
    <n v="1087.4083333333333"/>
    <n v="8.7408333333333296E-2"/>
    <n v="301.92222222222222"/>
    <n v="6.4074074074073903E-3"/>
    <n v="1238.3694444444445"/>
    <n v="7.684299516908219E-2"/>
    <n v="0.29243364473827271"/>
    <n v="7.1359516209711232E-2"/>
    <n v="1.0728669700093323"/>
    <n v="0.99906707219999191"/>
    <n v="337.54500818330604"/>
    <n v="337.54500818330604"/>
    <x v="0"/>
    <x v="0"/>
    <n v="0.1"/>
    <x v="0"/>
    <x v="0"/>
    <n v="193620"/>
    <n v="1000"/>
    <m/>
    <m/>
    <m/>
    <m/>
    <m/>
    <m/>
    <m/>
    <m/>
    <m/>
    <m/>
    <m/>
    <m/>
    <m/>
    <m/>
    <m/>
    <m/>
    <m/>
    <m/>
    <m/>
    <m/>
    <n v="1150"/>
    <m/>
    <m/>
    <m/>
    <m/>
    <m/>
    <m/>
    <m/>
    <m/>
  </r>
  <r>
    <x v="1"/>
    <x v="0"/>
    <x v="0"/>
    <x v="147"/>
    <x v="0"/>
    <x v="1"/>
    <n v="0"/>
    <n v="6.246258813404177E-2"/>
    <n v="5.4630473282162834E-2"/>
    <n v="7.6301067071120429E-2"/>
    <n v="0.11124184131622314"/>
    <n v="0.12285841464996336"/>
    <n v="7.490851774883912E-3"/>
    <x v="147"/>
    <n v="4546.6166666666668"/>
    <n v="634.69444444444446"/>
    <n v="4.6500000000000004"/>
    <n v="11"/>
    <n v="2.5965865011636929E-2"/>
    <n v="6.0861132660977479E-2"/>
    <n v="4600"/>
    <n v="2150"/>
    <n v="4600"/>
    <n v="388589.54748247308"/>
    <n v="168813.54963375459"/>
    <n v="1468.4578377163884"/>
    <n v="600"/>
    <n v="84.475988583146318"/>
    <n v="3253.3477527240993"/>
    <n v="23650"/>
    <n v="388589.54748247308"/>
    <n v="0.12419191016628478"/>
    <n v="4.7544020056756251"/>
    <n v="4.8785939158419103"/>
    <n v="6.2121325057046747E-2"/>
    <n v="1.0054934932035278"/>
    <n v="0.87977507084022177"/>
    <n v="6.2095955083142397E-2"/>
    <n v="0.87461110584992752"/>
    <n v="2.2459070169420658"/>
    <n v="0.48299075633162702"/>
    <n v="2.3018860057473365"/>
    <n v="3.1270306033053954"/>
    <n v="0.73580308132229466"/>
    <n v="1.56013628734079"/>
    <n v="2.2733083333333335"/>
    <n v="0.87977507084022177"/>
    <n v="2.1156481481481482"/>
    <n v="0.94533677622653067"/>
    <n v="0.16843762333553433"/>
    <n v="28.963801668725523"/>
    <n v="2"/>
    <n v="2273.3083333333334"/>
    <n v="0.13665416666666669"/>
    <n v="317.34722222222223"/>
    <n v="5.7824074074074097E-2"/>
    <n v="2431.9819444444447"/>
    <n v="0.13115439276485799"/>
    <n v="0.148907721539078"/>
    <n v="0.11594738402092035"/>
    <n v="2.0222153697601239"/>
    <n v="0.99905943471173952"/>
    <n v="179.08126680609502"/>
    <n v="179.08126680609502"/>
    <x v="1"/>
    <x v="0"/>
    <n v="0.1"/>
    <x v="19"/>
    <x v="1"/>
    <n v="168815"/>
    <n v="2000"/>
    <m/>
    <m/>
    <m/>
    <m/>
    <m/>
    <m/>
    <m/>
    <m/>
    <m/>
    <m/>
    <m/>
    <m/>
    <m/>
    <m/>
    <m/>
    <m/>
    <m/>
    <m/>
    <m/>
    <m/>
    <n v="2150"/>
    <m/>
    <m/>
    <m/>
    <m/>
    <m/>
    <m/>
    <m/>
    <m/>
  </r>
  <r>
    <x v="2"/>
    <x v="0"/>
    <x v="0"/>
    <x v="148"/>
    <x v="0"/>
    <x v="1"/>
    <n v="0"/>
    <n v="9.0961071314662315E-2"/>
    <n v="8.2817684456790747E-2"/>
    <n v="0.10633152847603525"/>
    <n v="0.15767917633056625"/>
    <n v="0.19386476039886469"/>
    <n v="8.1016796352175388E-3"/>
    <x v="148"/>
    <n v="6074.7111111111108"/>
    <n v="555.71111111111111"/>
    <n v="4.5500000000000007"/>
    <n v="8.5"/>
    <n v="3.6869666408068269E-2"/>
    <n v="6.9743987587276957E-2"/>
    <n v="6600"/>
    <n v="3150"/>
    <n v="6600"/>
    <n v="383904.06006674084"/>
    <n v="152747.68811204447"/>
    <n v="1049.1651586728985"/>
    <n v="600"/>
    <n v="58.167281828294065"/>
    <n v="1577.6460026653563"/>
    <n v="26775"/>
    <n v="383904.06006674084"/>
    <n v="0.16769783598872023"/>
    <n v="4.5021933919529999"/>
    <n v="4.6698912279417204"/>
    <n v="9.0919364092008292E-2"/>
    <n v="1.0004587276106751"/>
    <n v="0.98770128986472161"/>
    <n v="8.3848917994360103E-2"/>
    <n v="0.9104739341767305"/>
    <n v="2.4192064582485879"/>
    <n v="0.53169372708760165"/>
    <n v="2.5133215750220526"/>
    <n v="3.4182051804299833"/>
    <n v="0.7319823468330513"/>
    <n v="1.3661822451963768"/>
    <n v="2.0249037037037034"/>
    <n v="0.98770128986472161"/>
    <n v="1.8523703703703704"/>
    <n v="1.0796976846482984"/>
    <n v="0.11496536195917423"/>
    <n v="40.619984561959299"/>
    <n v="2"/>
    <n v="3037.3555555555554"/>
    <n v="1.2451851851851794E-2"/>
    <n v="277.85555555555555"/>
    <n v="7.3814814814814819E-2"/>
    <n v="3176.2833333333333"/>
    <n v="8.3439153439153341E-3"/>
    <n v="0.11401403847412821"/>
    <n v="8.2748705247746631E-3"/>
    <n v="2.9345085304044751"/>
    <n v="0.99906840999034785"/>
    <n v="123.40768016833248"/>
    <n v="123.40768016833248"/>
    <x v="2"/>
    <x v="0"/>
    <n v="0.1"/>
    <x v="1"/>
    <x v="1"/>
    <n v="152750"/>
    <n v="3000"/>
    <m/>
    <m/>
    <m/>
    <m/>
    <m/>
    <m/>
    <m/>
    <m/>
    <m/>
    <m/>
    <m/>
    <m/>
    <m/>
    <m/>
    <m/>
    <m/>
    <m/>
    <m/>
    <m/>
    <m/>
    <n v="3150"/>
    <m/>
    <m/>
    <m/>
    <m/>
    <m/>
    <m/>
    <m/>
    <m/>
  </r>
  <r>
    <x v="3"/>
    <x v="0"/>
    <x v="0"/>
    <x v="149"/>
    <x v="0"/>
    <x v="1"/>
    <n v="0"/>
    <n v="0.12463708682076555"/>
    <n v="0.1113570210150551"/>
    <n v="0.14154943876929116"/>
    <n v="0.22691340446472164"/>
    <n v="0.24051264762878422"/>
    <n v="9.0222427353906856E-3"/>
    <x v="149"/>
    <n v="7931.3"/>
    <n v="549.54999999999995"/>
    <n v="5.45"/>
    <n v="9.5"/>
    <n v="5.8219550038789744E-2"/>
    <n v="0.10174553917765707"/>
    <n v="8600"/>
    <n v="4150"/>
    <n v="8600"/>
    <n v="387486.27525733906"/>
    <n v="137502.54505214861"/>
    <n v="1052.9532710015949"/>
    <n v="600"/>
    <n v="45.056543634574311"/>
    <n v="773.90745212827369"/>
    <n v="39425"/>
    <n v="387486.27525733906"/>
    <n v="0.22080148519417661"/>
    <n v="4.9581734952339511"/>
    <n v="5.1789749804281273"/>
    <n v="0.12037926375044578"/>
    <n v="1.0353700707054208"/>
    <n v="1.0086618839282337"/>
    <n v="0.11040074259708831"/>
    <n v="0.89345012672826785"/>
    <n v="2.7053111485385442"/>
    <n v="0.49638736670431999"/>
    <n v="2.8180298416322604"/>
    <n v="3.7153347045454392"/>
    <n v="0.75926564278925479"/>
    <n v="1.3939457390183532"/>
    <n v="1.9828250000000001"/>
    <n v="1.0086618839282337"/>
    <n v="1.8318333333333332"/>
    <n v="1.091802383768538"/>
    <n v="8.7262865101541895E-2"/>
    <n v="59.349128342298918"/>
    <n v="2"/>
    <n v="3965.65"/>
    <n v="8.5874999999999771E-3"/>
    <n v="274.77499999999998"/>
    <n v="8.4083333333333413E-2"/>
    <n v="4103.0375000000004"/>
    <n v="1.1316265060240875E-2"/>
    <n v="8.8261657411466216E-2"/>
    <n v="1.1445788638295266E-2"/>
    <n v="3.8685650782432317"/>
    <n v="0.99906781564379676"/>
    <n v="93.611166633353363"/>
    <n v="93.611166633353349"/>
    <x v="3"/>
    <x v="0"/>
    <n v="0.1"/>
    <x v="2"/>
    <x v="2"/>
    <n v="137505"/>
    <n v="4000"/>
    <m/>
    <m/>
    <m/>
    <m/>
    <m/>
    <m/>
    <m/>
    <m/>
    <m/>
    <m/>
    <m/>
    <m/>
    <m/>
    <m/>
    <m/>
    <m/>
    <m/>
    <m/>
    <m/>
    <m/>
    <n v="4150"/>
    <m/>
    <m/>
    <m/>
    <m/>
    <m/>
    <m/>
    <m/>
    <m/>
  </r>
  <r>
    <x v="4"/>
    <x v="0"/>
    <x v="0"/>
    <x v="150"/>
    <x v="0"/>
    <x v="1"/>
    <n v="0"/>
    <n v="0.1748638947946029"/>
    <n v="0.14798907552566348"/>
    <n v="0.19374229171619575"/>
    <n v="0.35423344969749448"/>
    <n v="0.40572762012481678"/>
    <n v="1.1071213533300241E-2"/>
    <x v="150"/>
    <n v="10865.05"/>
    <n v="594.37777777777774"/>
    <n v="6.1"/>
    <n v="11"/>
    <n v="8.0896043444530635E-2"/>
    <n v="0.14476338246702869"/>
    <n v="10600"/>
    <n v="5150"/>
    <n v="10600"/>
    <n v="391328.24222936766"/>
    <n v="112795.7365375534"/>
    <n v="993.56768496190205"/>
    <n v="600"/>
    <n v="36.917758700883745"/>
    <n v="456.36049834993196"/>
    <n v="56650"/>
    <n v="391328.24222936766"/>
    <n v="0.321581741008022"/>
    <n v="6.5804832972262561"/>
    <n v="6.9020650382342783"/>
    <n v="0.15906028905896372"/>
    <n v="1.0993560732797409"/>
    <n v="0.92038232681856047"/>
    <n v="0.160790870504011"/>
    <n v="0.84631007275397307"/>
    <n v="3.2996695432615604"/>
    <n v="0.54092943332156729"/>
    <n v="3.4693531355157354"/>
    <n v="4.2417463868086323"/>
    <n v="0.81651798780187623"/>
    <n v="1.6271753209241708"/>
    <n v="2.1730099999999997"/>
    <n v="0.92038232681856058"/>
    <n v="1.9812592592592591"/>
    <n v="1.0094590047481962"/>
    <n v="7.0318619450757056E-2"/>
    <n v="98.154160194622108"/>
    <n v="2"/>
    <n v="5432.5249999999996"/>
    <n v="8.6504999999999929E-2"/>
    <n v="297.18888888888887"/>
    <n v="9.3703703703704386E-3"/>
    <n v="5581.1194444444445"/>
    <n v="8.3712513484358167E-2"/>
    <n v="6.4886783695676131E-2"/>
    <n v="7.7246052290385864E-2"/>
    <n v="4.8025844564502425"/>
    <n v="0.99906745932884466"/>
    <n v="75.405418364900513"/>
    <n v="75.405418364900513"/>
    <x v="4"/>
    <x v="1"/>
    <n v="0.1"/>
    <x v="48"/>
    <x v="11"/>
    <n v="112800"/>
    <n v="5000"/>
    <m/>
    <m/>
    <m/>
    <m/>
    <m/>
    <m/>
    <m/>
    <m/>
    <m/>
    <m/>
    <m/>
    <m/>
    <m/>
    <m/>
    <m/>
    <m/>
    <m/>
    <m/>
    <m/>
    <m/>
    <n v="5150"/>
    <m/>
    <m/>
    <m/>
    <m/>
    <m/>
    <m/>
    <m/>
    <m/>
  </r>
  <r>
    <x v="5"/>
    <x v="0"/>
    <x v="0"/>
    <x v="151"/>
    <x v="0"/>
    <x v="1"/>
    <n v="0"/>
    <n v="0.21243351354558992"/>
    <n v="0.18913921871163175"/>
    <n v="0.23286247325945955"/>
    <n v="0.40724282264709449"/>
    <n v="0.51673037528991705"/>
    <n v="1.2433206767652884E-2"/>
    <x v="151"/>
    <n v="12576.57777777778"/>
    <n v="567.22222222222217"/>
    <n v="7.45"/>
    <n v="14"/>
    <n v="0.11821179208688905"/>
    <n v="0.22199379363847946"/>
    <n v="12600"/>
    <n v="6150"/>
    <n v="12600"/>
    <n v="387848.68076183816"/>
    <n v="98963.67971102045"/>
    <n v="1126.0168242696161"/>
    <n v="600"/>
    <n v="30.781641330304616"/>
    <n v="260.39399950623562"/>
    <n v="86100"/>
    <n v="387848.68076183816"/>
    <n v="0.39645401582582651"/>
    <n v="7.0523911720964412"/>
    <n v="7.4488451879222675"/>
    <n v="0.20157242547928464"/>
    <n v="1.0538818146404725"/>
    <n v="0.95415463666144806"/>
    <n v="0.19822700791291328"/>
    <n v="0.89034548059217111"/>
    <n v="3.6844981980446962"/>
    <n v="0.49456351651606661"/>
    <n v="3.9191012490074972"/>
    <n v="4.6841166669573138"/>
    <n v="0.82929157854343272"/>
    <n v="1.5902347694428485"/>
    <n v="2.0960962962962966"/>
    <n v="0.95415463666144817"/>
    <n v="1.8907407407407406"/>
    <n v="1.0577864838393731"/>
    <n v="5.888469758884534E-2"/>
    <n v="126.49882724936197"/>
    <n v="2"/>
    <n v="6288.2888888888901"/>
    <n v="4.8048148148148354E-2"/>
    <n v="283.61111111111109"/>
    <n v="5.4629629629629715E-2"/>
    <n v="6430.0944444444458"/>
    <n v="4.5543812104787931E-2"/>
    <n v="5.6319684461911115E-2"/>
    <n v="4.3559926975325437E-2"/>
    <n v="5.7462179349130631"/>
    <n v="0.99906565562033933"/>
    <n v="63.02247744052503"/>
    <n v="63.02247744052503"/>
    <x v="5"/>
    <x v="1"/>
    <n v="0.2"/>
    <x v="36"/>
    <x v="12"/>
    <n v="98965"/>
    <n v="6000"/>
    <m/>
    <m/>
    <m/>
    <m/>
    <m/>
    <m/>
    <m/>
    <m/>
    <m/>
    <m/>
    <m/>
    <m/>
    <m/>
    <m/>
    <m/>
    <m/>
    <m/>
    <m/>
    <m/>
    <m/>
    <n v="6150"/>
    <m/>
    <m/>
    <m/>
    <m/>
    <m/>
    <m/>
    <m/>
    <m/>
  </r>
  <r>
    <x v="6"/>
    <x v="0"/>
    <x v="0"/>
    <x v="152"/>
    <x v="0"/>
    <x v="1"/>
    <n v="0"/>
    <n v="0.27449511138991234"/>
    <n v="0.23599330376907415"/>
    <n v="0.29831104303266909"/>
    <n v="0.58797749280929557"/>
    <n v="0.73020378351211557"/>
    <n v="1.584888159105512E-2"/>
    <x v="152"/>
    <n v="15042.45555555556"/>
    <n v="595.53888888888878"/>
    <n v="8.65"/>
    <n v="16.5"/>
    <n v="0.15977501939487976"/>
    <n v="0.30492629945694338"/>
    <n v="14600"/>
    <n v="7150"/>
    <n v="14600"/>
    <n v="386896.76885892375"/>
    <n v="77524.203387626927"/>
    <n v="1041.0829246974979"/>
    <n v="600"/>
    <n v="26.499778688967382"/>
    <n v="165.8568328724397"/>
    <n v="117975"/>
    <n v="386896.76885892375"/>
    <n v="0.50713125476500287"/>
    <n v="9.4386253328685292"/>
    <n v="9.9457565876335323"/>
    <n v="0.25184218536012926"/>
    <n v="1.0899488939765587"/>
    <n v="0.93069911014823947"/>
    <n v="0.25356562738250144"/>
    <n v="0.85973590776941933"/>
    <n v="4.8160038062438"/>
    <n v="0.55676344580853177"/>
    <n v="4.9906577810856101"/>
    <n v="5.6853635874647752"/>
    <n v="0.89258144320468191"/>
    <n v="1.7493615728573935"/>
    <n v="2.1489222222222226"/>
    <n v="0.93069911014823947"/>
    <n v="1.9851296296296292"/>
    <n v="1.0074908812746628"/>
    <n v="5.0649075548447386E-2"/>
    <n v="196.36600431374336"/>
    <n v="2"/>
    <n v="7521.2277777777799"/>
    <n v="7.4461111111111422E-2"/>
    <n v="297.76944444444439"/>
    <n v="7.43518518518537E-3"/>
    <n v="7670.112500000002"/>
    <n v="7.2743006993007273E-2"/>
    <n v="4.7214547396977391E-2"/>
    <n v="6.7810283095587093E-2"/>
    <n v="6.6891407804409564"/>
    <n v="0.99906445583490344"/>
    <n v="54.13862588006797"/>
    <n v="54.138625880067977"/>
    <x v="6"/>
    <x v="2"/>
    <n v="0.2"/>
    <x v="37"/>
    <x v="3"/>
    <n v="77525"/>
    <n v="7000"/>
    <m/>
    <m/>
    <m/>
    <m/>
    <m/>
    <m/>
    <m/>
    <m/>
    <m/>
    <m/>
    <m/>
    <m/>
    <m/>
    <m/>
    <m/>
    <m/>
    <m/>
    <m/>
    <m/>
    <m/>
    <n v="7150"/>
    <m/>
    <m/>
    <m/>
    <m/>
    <m/>
    <m/>
    <m/>
    <m/>
  </r>
  <r>
    <x v="7"/>
    <x v="0"/>
    <x v="0"/>
    <x v="153"/>
    <x v="0"/>
    <x v="1"/>
    <n v="0"/>
    <n v="0.35701287879116284"/>
    <n v="0.29188743233135361"/>
    <n v="0.38542098755271847"/>
    <n v="0.79309196472167942"/>
    <n v="0.89239452838897693"/>
    <n v="2.3421438229960803E-2"/>
    <x v="153"/>
    <n v="18614.483333333337"/>
    <n v="615.09444444444443"/>
    <n v="14.55"/>
    <n v="28.5"/>
    <n v="0.30568657874321181"/>
    <n v="0.5986423584173779"/>
    <n v="16600"/>
    <n v="8150"/>
    <n v="16600"/>
    <n v="388002.94822782342"/>
    <n v="53018.04327737906"/>
    <n v="1216.8338989337844"/>
    <n v="600"/>
    <n v="23.373671579989363"/>
    <n v="76.462864925529246"/>
    <n v="232275"/>
    <n v="388002.94822782342"/>
    <n v="0.67916671804268047"/>
    <n v="14.406396536147613"/>
    <n v="15.085563254190292"/>
    <n v="0.3153088705613144"/>
    <n v="1.1322639865970365"/>
    <n v="0.85954574797939576"/>
    <n v="0.33958335902134029"/>
    <n v="0.81758236094921155"/>
    <n v="6.8208086241477481"/>
    <n v="0.46878409787957032"/>
    <n v="7.3183189013195946"/>
    <n v="7.8859772169676363"/>
    <n v="0.90723062822390488"/>
    <n v="1.9129605423829876"/>
    <n v="2.326810416666667"/>
    <n v="0.85954574797939587"/>
    <n v="2.0503148148148149"/>
    <n v="0.97545995646558337"/>
    <n v="4.4434465051705375E-2"/>
    <n v="339.50140362073103"/>
    <n v="2"/>
    <n v="9307.2416666666686"/>
    <n v="0.16340520833333358"/>
    <n v="307.54722222222222"/>
    <n v="2.5157407407407392E-2"/>
    <n v="9461.0152777777803"/>
    <n v="0.16086077027948226"/>
    <n v="3.8277170001194537E-2"/>
    <n v="0.1385702526933994"/>
    <n v="7.6083580576987027"/>
    <n v="0.9990664591340247"/>
    <n v="47.597771743268282"/>
    <n v="47.597771743268275"/>
    <x v="7"/>
    <x v="3"/>
    <n v="0.4"/>
    <x v="59"/>
    <x v="6"/>
    <n v="53020"/>
    <n v="8000"/>
    <m/>
    <m/>
    <m/>
    <m/>
    <m/>
    <m/>
    <m/>
    <m/>
    <m/>
    <m/>
    <m/>
    <m/>
    <m/>
    <m/>
    <m/>
    <m/>
    <m/>
    <m/>
    <m/>
    <m/>
    <n v="8150"/>
    <m/>
    <m/>
    <m/>
    <m/>
    <m/>
    <m/>
    <m/>
    <m/>
  </r>
  <r>
    <x v="8"/>
    <x v="0"/>
    <x v="0"/>
    <x v="154"/>
    <x v="0"/>
    <x v="1"/>
    <n v="0"/>
    <n v="0.44413695305020179"/>
    <n v="0.36464825923816491"/>
    <n v="0.46983284523650443"/>
    <n v="1.0251788794994354"/>
    <n v="1.2463106966018676"/>
    <n v="2.7628285836238893E-2"/>
    <x v="154"/>
    <n v="18810.705555555556"/>
    <n v="568.95555555555552"/>
    <n v="14.8"/>
    <n v="32.5"/>
    <n v="0.34968192397207143"/>
    <n v="0.76733902249806052"/>
    <n v="18600"/>
    <n v="9150"/>
    <n v="18600"/>
    <n v="387540.56718228693"/>
    <n v="44786.151090403364"/>
    <n v="1176.3306704092035"/>
    <n v="600"/>
    <n v="20.835514364639081"/>
    <n v="59.584190477924686"/>
    <n v="297375"/>
    <n v="387540.56718228693"/>
    <n v="0.76214344843055681"/>
    <n v="15.719266717004984"/>
    <n v="16.481410165435541"/>
    <n v="0.39227654507440379"/>
    <n v="1.1322036931011552"/>
    <n v="0.9569019060363676"/>
    <n v="0.38107172421527841"/>
    <n v="0.82102661517774655"/>
    <n v="8.4064949774805928"/>
    <n v="0.56800641739733737"/>
    <n v="8.6531340101098326"/>
    <n v="9.2453876569080364"/>
    <n v="0.95431408309873522"/>
    <n v="1.7826629641776937"/>
    <n v="2.0900783950617283"/>
    <n v="0.9569019060363676"/>
    <n v="1.8965185185185185"/>
    <n v="1.0545639182908253"/>
    <n v="3.9578239362994407E-2"/>
    <n v="416.42605711373898"/>
    <n v="2"/>
    <n v="9405.3527777777781"/>
    <n v="4.5039197530864231E-2"/>
    <n v="284.47777777777776"/>
    <n v="5.1740740740740802E-2"/>
    <n v="9547.5916666666672"/>
    <n v="4.3452641165755972E-2"/>
    <n v="3.7930077323660029E-2"/>
    <n v="4.164313688181407E-2"/>
    <n v="8.5563596773036057"/>
    <n v="0.9990648787237919"/>
    <n v="42.324178018369786"/>
    <n v="42.324178018369786"/>
    <x v="8"/>
    <x v="8"/>
    <n v="0.4"/>
    <x v="75"/>
    <x v="6"/>
    <n v="44790"/>
    <n v="9000"/>
    <m/>
    <m/>
    <m/>
    <m/>
    <m/>
    <m/>
    <m/>
    <m/>
    <m/>
    <m/>
    <m/>
    <m/>
    <m/>
    <m/>
    <m/>
    <m/>
    <m/>
    <m/>
    <m/>
    <m/>
    <n v="9150"/>
    <m/>
    <m/>
    <m/>
    <m/>
    <m/>
    <m/>
    <m/>
    <m/>
  </r>
  <r>
    <x v="9"/>
    <x v="0"/>
    <x v="0"/>
    <x v="155"/>
    <x v="0"/>
    <x v="1"/>
    <n v="0"/>
    <n v="0.72652567131101664"/>
    <n v="0.40136825147095978"/>
    <n v="0.84067703176909392"/>
    <n v="2.4793742299079891"/>
    <n v="2.8898556470870966"/>
    <n v="3.9794129214593008E-2"/>
    <x v="155"/>
    <n v="20836.56111111111"/>
    <n v="543.05555555555566"/>
    <n v="21.9"/>
    <n v="33.5"/>
    <n v="0.57404965089216442"/>
    <n v="0.88079906904577188"/>
    <n v="20600"/>
    <n v="10150"/>
    <n v="20600"/>
    <n v="386041.50702426565"/>
    <n v="31284.748900709561"/>
    <n v="841.83271907643928"/>
    <n v="600"/>
    <n v="18.739878981760469"/>
    <n v="32.645048999917897"/>
    <n v="340025"/>
    <n v="386041.50702426565"/>
    <n v="0.83631340998344661"/>
    <n v="21.610422948480373"/>
    <n v="22.44673635846382"/>
    <n v="0.4411623806855528"/>
    <n v="1.6468441170845485"/>
    <n v="0.95985128704059453"/>
    <n v="0.41815670499172325"/>
    <n v="0.55244882227862668"/>
    <n v="11.635973168345462"/>
    <n v="0.53132297572353715"/>
    <n v="12.339607015848861"/>
    <n v="12.898090051418496"/>
    <n v="0.95538988030919103"/>
    <n v="1.7403147496241267"/>
    <n v="2.0836561111111109"/>
    <n v="0.95985128704059464"/>
    <n v="1.8101851851851856"/>
    <n v="1.1048593350383629"/>
    <n v="3.5678905435605798E-2"/>
    <n v="629.13186613799758"/>
    <n v="2"/>
    <n v="10418.280555555555"/>
    <n v="4.1828055555555514E-2"/>
    <n v="271.52777777777783"/>
    <n v="9.4907407407407232E-2"/>
    <n v="10554.044444444444"/>
    <n v="3.9807334428024019E-2"/>
    <n v="3.4312996508369512E-2"/>
    <n v="3.8283375304254054E-2"/>
    <n v="9.4925503003045293"/>
    <n v="0.99906477336942812"/>
    <n v="38.150010135819983"/>
    <n v="38.15001013581999"/>
    <x v="9"/>
    <x v="9"/>
    <n v="0.60000000000000009"/>
    <x v="65"/>
    <x v="22"/>
    <n v="31285"/>
    <n v="10000"/>
    <m/>
    <m/>
    <m/>
    <m/>
    <m/>
    <m/>
    <m/>
    <m/>
    <m/>
    <m/>
    <m/>
    <m/>
    <m/>
    <m/>
    <m/>
    <m/>
    <m/>
    <m/>
    <m/>
    <m/>
    <n v="10150"/>
    <m/>
    <m/>
    <m/>
    <m/>
    <m/>
    <m/>
    <m/>
    <m/>
  </r>
  <r>
    <x v="10"/>
    <x v="0"/>
    <x v="0"/>
    <x v="156"/>
    <x v="0"/>
    <x v="1"/>
    <n v="0"/>
    <n v="2.8074965140509485"/>
    <n v="0.52995351329146589"/>
    <n v="2.8747102409760581"/>
    <n v="5.8300770878791814"/>
    <n v="6.6289416599273672"/>
    <n v="4.381452327098001E-2"/>
    <x v="156"/>
    <n v="21315.113333333335"/>
    <n v="514.26444444444439"/>
    <n v="23.518181818181819"/>
    <n v="34"/>
    <n v="0.67751675012342194"/>
    <n v="0.9833979829325058"/>
    <n v="22600"/>
    <n v="11150"/>
    <n v="22600"/>
    <n v="385500.07888923952"/>
    <n v="28191.555182389897"/>
    <n v="775.99840102606947"/>
    <n v="600"/>
    <n v="17.057525614568121"/>
    <n v="25.176537128359975"/>
    <n v="379100"/>
    <n v="385500.07888923952"/>
    <n v="1.0269108361096153"/>
    <n v="22.532251468548715"/>
    <n v="23.559162304658329"/>
    <n v="0.5737680365624459"/>
    <n v="4.8930862912322501"/>
    <n v="1.0321315048133295"/>
    <n v="0.51345541805480777"/>
    <n v="0.18876372976392186"/>
    <n v="12.558698605301696"/>
    <n v="0.53399955414889311"/>
    <n v="13.674310494585468"/>
    <n v="14.176488486107331"/>
    <n v="1.0808304617252209"/>
    <n v="1.6618475250585381"/>
    <n v="1.9377375757575759"/>
    <n v="1.0321315048133295"/>
    <n v="1.7142148148148146"/>
    <n v="1.1667149196911231"/>
    <n v="3.2479003602816039E-2"/>
    <n v="725.36591924931065"/>
    <n v="2"/>
    <n v="10657.556666666667"/>
    <n v="3.1131212121212063E-2"/>
    <n v="257.1322222222222"/>
    <n v="0.14289259259259268"/>
    <n v="10786.122777777779"/>
    <n v="3.263472845042345E-2"/>
    <n v="3.3574704982730526E-2"/>
    <n v="3.3735683314480909E-2"/>
    <n v="10.432631267696255"/>
    <n v="0.99906433800289718"/>
    <n v="34.712325287747582"/>
    <n v="34.712325287747582"/>
    <x v="10"/>
    <x v="4"/>
    <n v="0.70000000000000007"/>
    <x v="32"/>
    <x v="9"/>
    <n v="28195"/>
    <n v="11000"/>
    <m/>
    <m/>
    <m/>
    <m/>
    <m/>
    <m/>
    <m/>
    <m/>
    <m/>
    <m/>
    <m/>
    <m/>
    <m/>
    <m/>
    <m/>
    <m/>
    <m/>
    <m/>
    <m/>
    <m/>
    <n v="11150"/>
    <m/>
    <m/>
    <m/>
    <m/>
    <m/>
    <m/>
    <m/>
    <m/>
  </r>
  <r>
    <x v="11"/>
    <x v="0"/>
    <x v="0"/>
    <x v="157"/>
    <x v="0"/>
    <x v="1"/>
    <n v="0"/>
    <n v="5.9473348135878679"/>
    <n v="0.81733888416106915"/>
    <n v="6.1528956972945315"/>
    <n v="14.475498586893082"/>
    <n v="14.807129189968109"/>
    <n v="5.524709918565901E-2"/>
    <x v="157"/>
    <n v="22508.98"/>
    <n v="474.02499999999998"/>
    <n v="26.90909090909091"/>
    <n v="31.5"/>
    <n v="0.84277805204880463"/>
    <n v="0.98898370830100846"/>
    <n v="24600"/>
    <n v="12150"/>
    <n v="24600"/>
    <n v="386988.17461562599"/>
    <n v="22251.609834071412"/>
    <n v="570.1656822586034"/>
    <n v="600"/>
    <n v="15.7312266103913"/>
    <n v="18.665918710327681"/>
    <n v="382725"/>
    <n v="386988.17461562599"/>
    <n v="1.5331220497336517"/>
    <n v="26.188506191482009"/>
    <n v="27.721628241215662"/>
    <n v="0.87258598334672821"/>
    <n v="6.8157579047710328"/>
    <n v="1.0662411179893536"/>
    <n v="0.76656102486682587"/>
    <n v="0.13742943852659784"/>
    <n v="14.726948984207608"/>
    <n v="0.5472852663050124"/>
    <n v="17.391468639858772"/>
    <n v="17.640370873687058"/>
    <n v="1.1688550567474651"/>
    <n v="1.5714878354721062"/>
    <n v="1.8757483333333334"/>
    <n v="1.0662411179893536"/>
    <n v="1.5800833333333333"/>
    <n v="1.2657560255260798"/>
    <n v="2.9805834582008136E-2"/>
    <n v="930.07388083504372"/>
    <n v="2"/>
    <n v="11254.49"/>
    <n v="6.2125833333333352E-2"/>
    <n v="237.01249999999999"/>
    <n v="0.20995833333333336"/>
    <n v="11372.99625"/>
    <n v="6.3950925925925911E-2"/>
    <n v="3.1842170894182689E-2"/>
    <n v="6.8320056818800115E-2"/>
    <n v="11.342055181907391"/>
    <n v="0.99906649751589238"/>
    <n v="31.929036172304858"/>
    <n v="31.929036172304858"/>
    <x v="11"/>
    <x v="7"/>
    <n v="0.9"/>
    <x v="56"/>
    <x v="52"/>
    <n v="22255"/>
    <n v="12000"/>
    <m/>
    <m/>
    <m/>
    <m/>
    <m/>
    <m/>
    <m/>
    <m/>
    <m/>
    <m/>
    <m/>
    <m/>
    <m/>
    <m/>
    <m/>
    <m/>
    <m/>
    <m/>
    <m/>
    <m/>
    <n v="12150"/>
    <m/>
    <m/>
    <m/>
    <m/>
    <m/>
    <m/>
    <m/>
    <m/>
  </r>
  <r>
    <x v="12"/>
    <x v="0"/>
    <x v="0"/>
    <x v="158"/>
    <x v="0"/>
    <x v="1"/>
    <n v="0"/>
    <n v="8.0599214460731865"/>
    <n v="0.78761256556323433"/>
    <n v="7.9382463185361489"/>
    <n v="16.943825656175616"/>
    <n v="17.693002469539643"/>
    <n v="5.3554148032525548E-2"/>
    <x v="158"/>
    <n v="22710.102727272726"/>
    <n v="451.47818181818178"/>
    <n v="25.06818181818182"/>
    <n v="29"/>
    <n v="0.85145637915226746"/>
    <n v="0.98960434445306444"/>
    <n v="26600"/>
    <n v="13150"/>
    <n v="26600"/>
    <n v="385356.02853559109"/>
    <n v="22864.560266523436"/>
    <n v="541.50800760357822"/>
    <n v="600"/>
    <n v="14.487068741939515"/>
    <n v="17.014457929557384"/>
    <n v="381350"/>
    <n v="385356.02853559109"/>
    <n v="1.3759047902486059"/>
    <n v="24.17852938254639"/>
    <n v="25.554434172794995"/>
    <n v="0.8411667135957599"/>
    <n v="9.5818359378715847"/>
    <n v="1.1448649225516894"/>
    <n v="0.68795239512430295"/>
    <n v="9.7719632980661511E-2"/>
    <n v="16.082151223159943"/>
    <n v="0.64153640418770397"/>
    <n v="16.853856975320898"/>
    <n v="17.211109332309356"/>
    <n v="1.3995912788712992"/>
    <n v="1.4847639207557197"/>
    <n v="1.7469309790209788"/>
    <n v="1.1448649225516894"/>
    <n v="1.5049272727272727"/>
    <n v="1.328967875221998"/>
    <n v="2.7539231191741356E-2"/>
    <n v="927.92837951331137"/>
    <n v="2"/>
    <n v="11355.051363636363"/>
    <n v="0.12653451048951053"/>
    <n v="225.73909090909089"/>
    <n v="0.24753636363636369"/>
    <n v="11467.920909090908"/>
    <n v="0.12791475976494995"/>
    <n v="3.1578600257377139E-2"/>
    <n v="0.14667690021960869"/>
    <n v="12.300340460458749"/>
    <n v="0.99906461289274073"/>
    <n v="29.441533861241801"/>
    <n v="29.441533861241801"/>
    <x v="12"/>
    <x v="6"/>
    <n v="0.9"/>
    <x v="11"/>
    <x v="8"/>
    <n v="22865"/>
    <n v="13000"/>
    <m/>
    <m/>
    <m/>
    <m/>
    <m/>
    <m/>
    <m/>
    <m/>
    <m/>
    <m/>
    <m/>
    <m/>
    <m/>
    <m/>
    <m/>
    <m/>
    <m/>
    <m/>
    <m/>
    <m/>
    <n v="13150"/>
    <m/>
    <m/>
    <m/>
    <m/>
    <m/>
    <m/>
    <m/>
    <m/>
  </r>
  <r>
    <x v="13"/>
    <x v="0"/>
    <x v="0"/>
    <x v="159"/>
    <x v="0"/>
    <x v="1"/>
    <n v="0"/>
    <n v="13.119819063916863"/>
    <n v="1.0442719843969275"/>
    <n v="12.070902129281945"/>
    <n v="24.466510671377179"/>
    <n v="25.272707598209379"/>
    <n v="5.3560281516683059E-2"/>
    <x v="159"/>
    <n v="22186.480681818182"/>
    <n v="411.40681818181815"/>
    <n v="23.487179487179489"/>
    <n v="27.5"/>
    <n v="0.85536268425135764"/>
    <n v="0.99507370054305655"/>
    <n v="28600"/>
    <n v="14150"/>
    <n v="28600"/>
    <n v="391051.43647916429"/>
    <n v="22851.992235198748"/>
    <n v="513.44016911924268"/>
    <n v="600"/>
    <n v="13.673127149621129"/>
    <n v="15.985180790986121"/>
    <n v="389125"/>
    <n v="391051.43647916429"/>
    <n v="1.6549085863133122"/>
    <n v="22.035064999701021"/>
    <n v="23.689973586014332"/>
    <n v="1.0978322659136106"/>
    <n v="11.950659013468341"/>
    <n v="1.2620298100250751"/>
    <n v="0.82745429315665608"/>
    <n v="7.959499893325242E-2"/>
    <n v="14.932703331418747"/>
    <n v="0.63578103703638766"/>
    <n v="17.112356439401847"/>
    <n v="17.330114265029994"/>
    <n v="1.61562478386639"/>
    <n v="1.3669831152710712"/>
    <n v="1.5847486201298702"/>
    <n v="1.2620298100250751"/>
    <n v="1.3713560606060604"/>
    <n v="1.4584104431026579"/>
    <n v="2.5592995771830305E-2"/>
    <n v="925.64285155274433"/>
    <n v="2"/>
    <n v="11093.240340909091"/>
    <n v="0.20762568993506492"/>
    <n v="205.70340909090908"/>
    <n v="0.31432196969696974"/>
    <n v="11196.092045454545"/>
    <n v="0.20875674590427246"/>
    <n v="3.2345294117014957E-2"/>
    <n v="0.26383383974988855"/>
    <n v="13.188548419075509"/>
    <n v="0.99906794710819258"/>
    <n v="27.458737585374401"/>
    <n v="27.458737585374401"/>
    <x v="13"/>
    <x v="6"/>
    <n v="0.9"/>
    <x v="11"/>
    <x v="9"/>
    <n v="22855"/>
    <n v="14000"/>
    <m/>
    <m/>
    <m/>
    <m/>
    <m/>
    <m/>
    <m/>
    <m/>
    <m/>
    <m/>
    <m/>
    <m/>
    <m/>
    <m/>
    <m/>
    <m/>
    <m/>
    <m/>
    <m/>
    <m/>
    <n v="14150"/>
    <m/>
    <m/>
    <m/>
    <m/>
    <m/>
    <m/>
    <m/>
    <m/>
  </r>
  <r>
    <x v="14"/>
    <x v="0"/>
    <x v="0"/>
    <x v="160"/>
    <x v="0"/>
    <x v="1"/>
    <n v="0"/>
    <n v="11.041592456032248"/>
    <n v="0.93494058354496523"/>
    <n v="10.070530901749931"/>
    <n v="22.243165546655653"/>
    <n v="23.396513042449953"/>
    <n v="5.3300864370715025E-2"/>
    <x v="160"/>
    <n v="21756.108712121211"/>
    <n v="390.54583333333335"/>
    <n v="21.727564102564106"/>
    <n v="25"/>
    <n v="0.84901011517574743"/>
    <n v="0.98238944918541504"/>
    <n v="30600"/>
    <n v="15150"/>
    <n v="30600"/>
    <n v="385539.56408434018"/>
    <n v="22779.025741593414"/>
    <n v="469.03554557992675"/>
    <n v="600"/>
    <n v="12.59933215961896"/>
    <n v="14.840025971905957"/>
    <n v="378750"/>
    <n v="385539.56408434018"/>
    <n v="1.3560445983318872"/>
    <n v="20.816430493047875"/>
    <n v="22.172475091379763"/>
    <n v="0.98824144791568025"/>
    <n v="11.17297041054116"/>
    <n v="1.3789230600454658"/>
    <n v="0.67802229916594359"/>
    <n v="8.4674433263852988E-2"/>
    <n v="16.952874556138688"/>
    <n v="0.78024736119121851"/>
    <n v="16.925199894759473"/>
    <n v="17.369182371259974"/>
    <n v="1.6086632951723303"/>
    <n v="1.2765410954557992"/>
    <n v="1.4504072474747474"/>
    <n v="1.3789230600454658"/>
    <n v="1.3018194444444444"/>
    <n v="1.5363113591021114"/>
    <n v="2.3903689120224347E-2"/>
    <n v="927.57544577586373"/>
    <n v="2"/>
    <n v="10878.054356060606"/>
    <n v="0.27479637626262626"/>
    <n v="195.27291666666667"/>
    <n v="0.34909027777777774"/>
    <n v="10975.690814393938"/>
    <n v="0.27553195944594466"/>
    <n v="3.2994815205296554E-2"/>
    <n v="0.38032313921705169"/>
    <n v="14.150747751699557"/>
    <n v="0.99906595724411229"/>
    <n v="25.591643390569548"/>
    <n v="25.591643390569548"/>
    <x v="14"/>
    <x v="6"/>
    <n v="0.9"/>
    <x v="56"/>
    <x v="22"/>
    <n v="22780"/>
    <n v="15000"/>
    <m/>
    <m/>
    <m/>
    <m/>
    <m/>
    <m/>
    <m/>
    <m/>
    <m/>
    <m/>
    <m/>
    <m/>
    <m/>
    <m/>
    <m/>
    <m/>
    <m/>
    <m/>
    <m/>
    <m/>
    <n v="15150"/>
    <m/>
    <m/>
    <m/>
    <m/>
    <m/>
    <m/>
    <m/>
    <m/>
  </r>
  <r>
    <x v="4"/>
    <x v="1"/>
    <x v="0"/>
    <x v="161"/>
    <x v="1"/>
    <x v="1"/>
    <n v="0"/>
    <n v="0.17292548195048646"/>
    <n v="0.1503830835350268"/>
    <n v="0.1899713414802307"/>
    <n v="0.35551908612251276"/>
    <n v="0.42215857744216922"/>
    <n v="9.6815497098528564E-3"/>
    <x v="161"/>
    <n v="11058.268749999999"/>
    <n v="204.18124999999998"/>
    <n v="2.3888888888888893"/>
    <n v="5.5"/>
    <n v="3.1234376346866644E-2"/>
    <n v="7.1761055081458469E-2"/>
    <n v="10200"/>
    <n v="5050"/>
    <n v="10200"/>
    <n v="387048.37837837852"/>
    <n v="346030.58591901464"/>
    <n v="568.0908702459775"/>
    <n v="200"/>
    <n v="37.945919448860636"/>
    <n v="1214.8768084068781"/>
    <n v="27775"/>
    <n v="387048.37837837852"/>
    <n v="0.33259531063680525"/>
    <n v="1.9767909216948933"/>
    <n v="2.3093862323316987"/>
    <n v="0.16006463324487966"/>
    <n v="1.0803478472719907"/>
    <n v="0.90430068449909939"/>
    <n v="0.16629765531840263"/>
    <n v="0.8696409681141487"/>
    <n v="0.96230295129483612"/>
    <n v="0.40282449123969877"/>
    <n v="1.1185380545203125"/>
    <n v="1.872455655484385"/>
    <n v="0.60110736413904675"/>
    <n v="1.2333462881043686"/>
    <n v="2.21165375"/>
    <n v="0.90430068449909939"/>
    <n v="2.0418124999999998"/>
    <n v="0.97952187088677345"/>
    <n v="7.1711067360673036E-2"/>
    <n v="32.20404210017638"/>
    <n v="2"/>
    <n v="5529.1343749999996"/>
    <n v="0.10582687499999993"/>
    <n v="102.09062499999999"/>
    <n v="2.0906249999999887E-2"/>
    <n v="5580.1796875"/>
    <n v="0.10498607673267327"/>
    <n v="6.4897711265932925E-2"/>
    <n v="9.5011221356839176E-2"/>
    <n v="4.7349397064104615"/>
    <n v="0.99906238817694837"/>
    <n v="76.482682489305944"/>
    <n v="76.482682489305944"/>
    <x v="4"/>
    <x v="0"/>
    <n v="0.1"/>
    <x v="1"/>
    <x v="19"/>
    <n v="346035"/>
    <n v="5000"/>
    <m/>
    <m/>
    <m/>
    <m/>
    <m/>
    <m/>
    <m/>
    <m/>
    <m/>
    <m/>
    <m/>
    <m/>
    <m/>
    <m/>
    <m/>
    <m/>
    <m/>
    <m/>
    <m/>
    <m/>
    <n v="5050"/>
    <m/>
    <m/>
    <m/>
    <m/>
    <m/>
    <m/>
    <m/>
    <m/>
  </r>
  <r>
    <x v="4"/>
    <x v="2"/>
    <x v="0"/>
    <x v="162"/>
    <x v="1"/>
    <x v="1"/>
    <n v="0"/>
    <n v="0.1641618222144442"/>
    <n v="0.1460348556196808"/>
    <n v="0.18312027043846965"/>
    <n v="0.32359210252761833"/>
    <n v="0.36215081214904787"/>
    <n v="9.9585361931964558E-3"/>
    <x v="162"/>
    <n v="10749.97777777778"/>
    <n v="401.0555555555556"/>
    <n v="4.3499999999999996"/>
    <n v="9.5"/>
    <n v="5.7327385570209471E-2"/>
    <n v="0.12486423584173781"/>
    <n v="10400"/>
    <n v="5100"/>
    <n v="10400"/>
    <n v="388021.43522833171"/>
    <n v="181509.93811198525"/>
    <n v="953.95546249962706"/>
    <n v="400"/>
    <n v="37.30975338733959"/>
    <n v="650.81902857136106"/>
    <n v="48450"/>
    <n v="388021.43522833171"/>
    <n v="0.313974290538511"/>
    <n v="3.9939262654825125"/>
    <n v="4.3079005560210231"/>
    <n v="0.15599339181287725"/>
    <n v="1.0523639514894672"/>
    <n v="0.93023448110487028"/>
    <n v="0.15698714526925553"/>
    <n v="0.88957867090995013"/>
    <n v="1.9032037053418904"/>
    <n v="0.43751809318204382"/>
    <n v="2.137742094258972"/>
    <n v="2.9219417197441615"/>
    <n v="0.70412321281455259"/>
    <n v="1.474328021983345"/>
    <n v="2.1499955555555559"/>
    <n v="0.93023448110487039"/>
    <n v="2.0052777777777782"/>
    <n v="0.99736805651752303"/>
    <n v="7.1008017680666433E-2"/>
    <n v="60.667804801906875"/>
    <n v="2"/>
    <n v="5374.98888888889"/>
    <n v="7.4997777777777996E-2"/>
    <n v="200.5277777777778"/>
    <n v="2.6388888888889996E-3"/>
    <n v="5475.2527777777786"/>
    <n v="7.3578976034858565E-2"/>
    <n v="6.6141401113243153E-2"/>
    <n v="6.8536155864949988E-2"/>
    <n v="4.7725495268033713"/>
    <n v="0.99906420597513668"/>
    <n v="75.879964814940095"/>
    <n v="75.879964814940109"/>
    <x v="4"/>
    <x v="0"/>
    <n v="0.1"/>
    <x v="2"/>
    <x v="1"/>
    <n v="18151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0"/>
    <x v="0"/>
    <x v="163"/>
    <x v="1"/>
    <x v="1"/>
    <n v="0"/>
    <n v="0.18010354331357459"/>
    <n v="0.15584917510258506"/>
    <n v="0.19935697078417081"/>
    <n v="0.36718264222145081"/>
    <n v="0.39521757364273064"/>
    <n v="1.1780866166576431E-2"/>
    <x v="163"/>
    <n v="11221.144444444444"/>
    <n v="618.81111111111113"/>
    <n v="6.4"/>
    <n v="14.5"/>
    <n v="8.5151280062063614E-2"/>
    <n v="0.19313421256788205"/>
    <n v="10600"/>
    <n v="5150"/>
    <n v="10600"/>
    <n v="386648.22253464558"/>
    <n v="104779.62030586161"/>
    <n v="1230.8093305684129"/>
    <n v="600"/>
    <n v="36.476247408928828"/>
    <n v="428.36992447256978"/>
    <n v="74675"/>
    <n v="386648.22253464558"/>
    <n v="0.34976122107472435"/>
    <n v="7.2901308823904571"/>
    <n v="7.6398921034651819"/>
    <n v="0.16763004126916148"/>
    <n v="1.0744108988458969"/>
    <n v="0.89117469697584817"/>
    <n v="0.17488061053736217"/>
    <n v="0.86533097703269091"/>
    <n v="3.5090037767739242"/>
    <n v="0.54828184012092562"/>
    <n v="3.6901090250755146"/>
    <n v="4.4254345469487779"/>
    <n v="0.83095262508318946"/>
    <n v="1.7263597557290027"/>
    <n v="2.2442288888888888"/>
    <n v="0.89117469697584817"/>
    <n v="2.0627037037037037"/>
    <n v="0.96960120661483484"/>
    <n v="7.0318619450757056E-2"/>
    <n v="108.6467874815897"/>
    <n v="2"/>
    <n v="5610.5722222222221"/>
    <n v="0.12211444444444441"/>
    <n v="309.40555555555557"/>
    <n v="3.1351851851851888E-2"/>
    <n v="5765.2749999999996"/>
    <n v="0.11947087378640769"/>
    <n v="6.2814157203498339E-2"/>
    <n v="0.10672084159038368"/>
    <n v="4.8182438063921564"/>
    <n v="0.99906441867837048"/>
    <n v="75.160349854227405"/>
    <n v="75.160349854227405"/>
    <x v="4"/>
    <x v="1"/>
    <n v="0.1"/>
    <x v="48"/>
    <x v="11"/>
    <n v="104780"/>
    <n v="5000"/>
    <m/>
    <m/>
    <m/>
    <m/>
    <m/>
    <m/>
    <m/>
    <m/>
    <m/>
    <m/>
    <m/>
    <m/>
    <m/>
    <m/>
    <m/>
    <m/>
    <m/>
    <m/>
    <m/>
    <m/>
    <n v="5150"/>
    <m/>
    <m/>
    <m/>
    <m/>
    <m/>
    <m/>
    <m/>
    <m/>
  </r>
  <r>
    <x v="4"/>
    <x v="3"/>
    <x v="0"/>
    <x v="164"/>
    <x v="1"/>
    <x v="1"/>
    <n v="0"/>
    <n v="0.17207564024201721"/>
    <n v="0.15262846417983117"/>
    <n v="0.19287694842680492"/>
    <n v="0.31914190053939817"/>
    <n v="0.35192007541656489"/>
    <n v="1.1676885233167225E-2"/>
    <x v="164"/>
    <n v="10128.844444444445"/>
    <n v="742.85555555555561"/>
    <n v="7.15"/>
    <n v="18"/>
    <n v="9.5996896819239702E-2"/>
    <n v="0.24146625290923196"/>
    <n v="10800"/>
    <n v="5200"/>
    <n v="10800"/>
    <n v="387631.80722891568"/>
    <n v="80365.138491961188"/>
    <n v="1541.5069721566238"/>
    <n v="800"/>
    <n v="35.891834002677378"/>
    <n v="373.88535663044405"/>
    <n v="93600"/>
    <n v="387631.80722891568"/>
    <n v="0.3091899942943942"/>
    <n v="8.6742390670429028"/>
    <n v="8.9834290613372971"/>
    <n v="0.1643053494129984"/>
    <n v="1.0472917702118596"/>
    <n v="0.98727945274002948"/>
    <n v="0.1545949971471971"/>
    <n v="0.88698472349232926"/>
    <n v="4.6294465637028308"/>
    <n v="0.64747504387452171"/>
    <n v="4.8233825574467213"/>
    <n v="5.6580335460069193"/>
    <n v="0.84655654296925287"/>
    <n v="1.5877299044430782"/>
    <n v="2.025768888888889"/>
    <n v="0.98727945274002959"/>
    <n v="1.8571388888888891"/>
    <n v="1.0769253780456796"/>
    <n v="6.9642478879115163E-2"/>
    <n v="128.99352817309475"/>
    <n v="2"/>
    <n v="5064.4222222222224"/>
    <n v="1.2884444444444488E-2"/>
    <n v="371.42777777777781"/>
    <n v="7.1430555555555483E-2"/>
    <n v="5250.1361111111109"/>
    <n v="9.6415598290597974E-3"/>
    <n v="6.8977428871793048E-2"/>
    <n v="9.5494878704203475E-3"/>
    <n v="4.8621540794141804"/>
    <n v="0.9990649703693435"/>
    <n v="74.481574268627782"/>
    <n v="74.481574268627782"/>
    <x v="4"/>
    <x v="1"/>
    <n v="0.1"/>
    <x v="21"/>
    <x v="12"/>
    <n v="80370"/>
    <n v="5000"/>
    <m/>
    <m/>
    <m/>
    <m/>
    <m/>
    <m/>
    <m/>
    <m/>
    <m/>
    <m/>
    <m/>
    <m/>
    <m/>
    <m/>
    <m/>
    <m/>
    <m/>
    <m/>
    <m/>
    <m/>
    <n v="5200"/>
    <m/>
    <m/>
    <m/>
    <m/>
    <m/>
    <m/>
    <m/>
    <m/>
  </r>
  <r>
    <x v="4"/>
    <x v="4"/>
    <x v="0"/>
    <x v="165"/>
    <x v="1"/>
    <x v="1"/>
    <n v="0"/>
    <n v="0.1777169260467413"/>
    <n v="0.15293560778137025"/>
    <n v="0.19825439575876058"/>
    <n v="0.36117444634437562"/>
    <n v="0.39942485332489014"/>
    <n v="1.2692933260667404E-2"/>
    <x v="165"/>
    <n v="10510.31111111111"/>
    <n v="942.40555555555557"/>
    <n v="11.649999999999999"/>
    <n v="23.5"/>
    <n v="0.15773467804499613"/>
    <n v="0.31726144297905357"/>
    <n v="11000"/>
    <n v="5250"/>
    <n v="11000"/>
    <n v="388874.8624526225"/>
    <n v="59832.404305138414"/>
    <n v="1851.423900007519"/>
    <n v="1000"/>
    <n v="35.352260222965683"/>
    <n v="224.12484471474897"/>
    <n v="123375"/>
    <n v="388874.8624526225"/>
    <n v="0.32148016354981329"/>
    <n v="11.961890821148854"/>
    <n v="12.283370984698667"/>
    <n v="0.16562854104203764"/>
    <n v="1.07298491509163"/>
    <n v="0.95144662173019523"/>
    <n v="0.16074008177490665"/>
    <n v="0.8605573547966201"/>
    <n v="6.1934572227936808"/>
    <n v="0.53162722942435037"/>
    <n v="6.4994022381150724"/>
    <n v="7.2979132520638972"/>
    <n v="0.87127388281595919"/>
    <n v="1.6831346934995219"/>
    <n v="2.1020622222222221"/>
    <n v="0.95144662173019523"/>
    <n v="1.8848111111111112"/>
    <n v="1.0611142879038866"/>
    <n v="6.8979217175504537E-2"/>
    <n v="178.07350514642633"/>
    <n v="2"/>
    <n v="5255.1555555555551"/>
    <n v="5.103111111111102E-2"/>
    <n v="471.20277777777778"/>
    <n v="5.7594444444444434E-2"/>
    <n v="5490.7569444444443"/>
    <n v="4.5858465608465591E-2"/>
    <n v="6.5954638647375108E-2"/>
    <n v="4.3847678358453428E-2"/>
    <n v="4.9031911346020518"/>
    <n v="0.99906605883150434"/>
    <n v="73.858203816643709"/>
    <n v="73.858203816643694"/>
    <x v="4"/>
    <x v="1"/>
    <n v="0.2"/>
    <x v="37"/>
    <x v="54"/>
    <n v="5983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5"/>
    <x v="0"/>
    <x v="166"/>
    <x v="1"/>
    <x v="1"/>
    <n v="0"/>
    <n v="0.16731351777059139"/>
    <n v="0.1516079727410618"/>
    <n v="0.1869830685508008"/>
    <n v="0.29341171979904168"/>
    <n v="0.3577267122268678"/>
    <n v="1.2816159787474895E-2"/>
    <x v="166"/>
    <n v="9472.177777777777"/>
    <n v="998.05000000000018"/>
    <n v="13.1"/>
    <n v="25"/>
    <n v="0.17876260667183863"/>
    <n v="0.34208688906128781"/>
    <n v="11200"/>
    <n v="5300"/>
    <n v="11200"/>
    <n v="387328.49529425107"/>
    <n v="49395.929929442442"/>
    <n v="1950.6623212073441"/>
    <n v="1200"/>
    <n v="34.582901365558129"/>
    <n v="193.45713295087091"/>
    <n v="132500"/>
    <n v="387328.49529425107"/>
    <n v="0.2872115340663649"/>
    <n v="12.791168275889321"/>
    <n v="13.078379809955686"/>
    <n v="0.16442413252853669"/>
    <n v="1.0175727564903116"/>
    <n v="1.055723428614328"/>
    <n v="0.14360576703318245"/>
    <n v="0.90613104524486821"/>
    <n v="7.473023369789968"/>
    <n v="0.5704597992206083"/>
    <n v="7.8413038452259993"/>
    <n v="8.7454193010992647"/>
    <n v="0.87217324466241841"/>
    <n v="1.4954548615309715"/>
    <n v="1.8944355555555554"/>
    <n v="1.0557234286143278"/>
    <n v="1.663416666666667"/>
    <n v="1.2023445719152346"/>
    <n v="6.8328469843660158E-2"/>
    <n v="191.40454688770058"/>
    <n v="2"/>
    <n v="4736.0888888888885"/>
    <n v="5.27822222222223E-2"/>
    <n v="499.02500000000009"/>
    <n v="0.16829166666666651"/>
    <n v="4985.6013888888883"/>
    <n v="5.9320492662473905E-2"/>
    <n v="7.2637353435130336E-2"/>
    <n v="6.3061321310563148E-2"/>
    <n v="4.941774771717502"/>
    <n v="0.99906758966571374"/>
    <n v="73.281544971248792"/>
    <n v="73.281544971248778"/>
    <x v="4"/>
    <x v="1"/>
    <n v="0.2"/>
    <x v="13"/>
    <x v="5"/>
    <n v="49400"/>
    <n v="5000"/>
    <m/>
    <m/>
    <m/>
    <m/>
    <m/>
    <m/>
    <m/>
    <m/>
    <m/>
    <m/>
    <m/>
    <m/>
    <m/>
    <m/>
    <m/>
    <m/>
    <m/>
    <m/>
    <m/>
    <m/>
    <n v="5300"/>
    <m/>
    <m/>
    <m/>
    <m/>
    <m/>
    <m/>
    <m/>
    <m/>
  </r>
  <r>
    <x v="4"/>
    <x v="6"/>
    <x v="0"/>
    <x v="167"/>
    <x v="1"/>
    <x v="1"/>
    <n v="0"/>
    <n v="0.1833545089583293"/>
    <n v="0.15902160522976924"/>
    <n v="0.20503954037363739"/>
    <n v="0.34544935822486872"/>
    <n v="0.38713609457015974"/>
    <n v="1.622387482705575E-2"/>
    <x v="167"/>
    <n v="10865.144444444446"/>
    <n v="1315.5277777777781"/>
    <n v="21.1"/>
    <n v="37.5"/>
    <n v="0.29114817688130334"/>
    <n v="0.5187742435996896"/>
    <n v="11400"/>
    <n v="5350"/>
    <n v="11400"/>
    <n v="386728.91431135044"/>
    <n v="33582.654379043866"/>
    <n v="2311.4083657415254"/>
    <n v="1400"/>
    <n v="33.923588974679866"/>
    <n v="116.51657701607382"/>
    <n v="200625"/>
    <n v="386728.91431135044"/>
    <n v="0.345558542121773"/>
    <n v="21.342957998181483"/>
    <n v="21.688516540303254"/>
    <n v="0.175245480056825"/>
    <n v="1.0462723997153871"/>
    <n v="0.92037432646495454"/>
    <n v="0.17277927106088653"/>
    <n v="0.86729039898282423"/>
    <n v="11.021547581262006"/>
    <n v="0.52234822660009506"/>
    <n v="11.515733984168794"/>
    <n v="12.277086705403979"/>
    <n v="0.91134635470712955"/>
    <n v="1.7665849448433615"/>
    <n v="2.1730288888888891"/>
    <n v="0.92037432646495465"/>
    <n v="1.8793253968253971"/>
    <n v="1.0642116598745748"/>
    <n v="6.7689886013345579E-2"/>
    <n v="320.41000240460141"/>
    <n v="2"/>
    <n v="5432.572222222223"/>
    <n v="8.6514444444444602E-2"/>
    <n v="657.76388888888903"/>
    <n v="6.0337301587301391E-2"/>
    <n v="5761.4541666666673"/>
    <n v="7.6907320872274268E-2"/>
    <n v="6.2855813774687755E-2"/>
    <n v="7.1414985655386537E-2"/>
    <n v="4.9969981017808092"/>
    <n v="0.99906598166321847"/>
    <n v="72.471688560846275"/>
    <n v="72.471688560846275"/>
    <x v="4"/>
    <x v="2"/>
    <n v="0.30000000000000004"/>
    <x v="25"/>
    <x v="22"/>
    <n v="33585"/>
    <n v="5000"/>
    <m/>
    <m/>
    <m/>
    <m/>
    <m/>
    <m/>
    <m/>
    <m/>
    <m/>
    <m/>
    <m/>
    <m/>
    <m/>
    <m/>
    <m/>
    <m/>
    <m/>
    <m/>
    <m/>
    <m/>
    <n v="5350"/>
    <m/>
    <m/>
    <m/>
    <m/>
    <m/>
    <m/>
    <m/>
    <m/>
  </r>
  <r>
    <x v="4"/>
    <x v="7"/>
    <x v="0"/>
    <x v="168"/>
    <x v="1"/>
    <x v="1"/>
    <n v="0"/>
    <n v="0.18352554637288288"/>
    <n v="0.16067702786601851"/>
    <n v="0.20557532457533079"/>
    <n v="0.3485398113727568"/>
    <n v="0.42603714466094955"/>
    <n v="1.6070387078168404E-2"/>
    <x v="168"/>
    <n v="10507.927777777775"/>
    <n v="1452.5611111111116"/>
    <n v="22.15"/>
    <n v="34.5"/>
    <n v="0.3084910783553142"/>
    <n v="0.48432893716058956"/>
    <n v="11600"/>
    <n v="5400"/>
    <n v="11600"/>
    <n v="384655.93464680447"/>
    <n v="29550.305596491504"/>
    <n v="2146.8057883228089"/>
    <n v="1600"/>
    <n v="33.159994366103831"/>
    <n v="107.49093472295097"/>
    <n v="186300"/>
    <n v="384655.93464680447"/>
    <n v="0.33767652087282191"/>
    <n v="23.343219310249946"/>
    <n v="23.680895831122768"/>
    <n v="0.17674741494418691"/>
    <n v="1.0383492535426124"/>
    <n v="0.95166242207603069"/>
    <n v="0.16883826043641095"/>
    <n v="0.87550224500930629"/>
    <n v="12.723745395159531"/>
    <n v="0.57443545802074636"/>
    <n v="13.016986690400742"/>
    <n v="13.807972084610753"/>
    <n v="0.93360563560392285"/>
    <n v="1.715016201221581"/>
    <n v="2.1015855555555549"/>
    <n v="0.95166242207603069"/>
    <n v="1.8157013888888895"/>
    <n v="1.1015027097731589"/>
    <n v="6.70631278095183E-2"/>
    <n v="353.11350073596969"/>
    <n v="2"/>
    <n v="5253.9638888888876"/>
    <n v="5.079277777777752E-2"/>
    <n v="726.28055555555579"/>
    <n v="9.2149305555555255E-2"/>
    <n v="5617.1041666666652"/>
    <n v="4.0204475308641692E-2"/>
    <n v="6.4471101020421806E-2"/>
    <n v="3.865055021678554E-2"/>
    <n v="5.0436674368184304"/>
    <n v="0.99906598751170028"/>
    <n v="71.801103999798812"/>
    <n v="71.801103999798812"/>
    <x v="4"/>
    <x v="2"/>
    <n v="0.4"/>
    <x v="59"/>
    <x v="10"/>
    <n v="29555"/>
    <n v="5000"/>
    <m/>
    <m/>
    <m/>
    <m/>
    <m/>
    <m/>
    <m/>
    <m/>
    <m/>
    <m/>
    <m/>
    <m/>
    <m/>
    <m/>
    <m/>
    <m/>
    <m/>
    <m/>
    <m/>
    <m/>
    <n v="5400"/>
    <m/>
    <m/>
    <m/>
    <m/>
    <m/>
    <m/>
    <m/>
    <m/>
  </r>
  <r>
    <x v="4"/>
    <x v="8"/>
    <x v="0"/>
    <x v="169"/>
    <x v="1"/>
    <x v="1"/>
    <n v="0"/>
    <n v="0.19363111672357344"/>
    <n v="0.16908574885962757"/>
    <n v="0.21640364153610425"/>
    <n v="0.36641209125518803"/>
    <n v="0.44907778739929205"/>
    <n v="1.764151540892438E-2"/>
    <x v="169"/>
    <n v="9618.0349999999999"/>
    <n v="1538.1172222222226"/>
    <n v="27.104545454545452"/>
    <n v="42.5"/>
    <n v="0.38005289512659568"/>
    <n v="0.59689681923972071"/>
    <n v="11800"/>
    <n v="5450"/>
    <n v="11800"/>
    <n v="388048.64179880428"/>
    <n v="24182.834898899891"/>
    <n v="2409.0900931617452"/>
    <n v="1800"/>
    <n v="32.885478118542736"/>
    <n v="86.528687296510597"/>
    <n v="231625"/>
    <n v="388048.64179880428"/>
    <n v="0.32525453010662159"/>
    <n v="27.134718676565306"/>
    <n v="27.459973206671929"/>
    <n v="0.18672726426855196"/>
    <n v="1.0369729213463563"/>
    <n v="1.0397134133947319"/>
    <n v="0.16262726505331079"/>
    <n v="0.87323644939265266"/>
    <n v="15.638899019695746"/>
    <n v="0.57698436765605643"/>
    <n v="16.046449616891572"/>
    <n v="16.917077281426675"/>
    <n v="0.93484757194870904"/>
    <n v="1.6232102478375707"/>
    <n v="1.9236070000000001"/>
    <n v="1.0397134133947319"/>
    <n v="1.7090191358024696"/>
    <n v="1.1702619111171628"/>
    <n v="6.6447869756219968E-2"/>
    <n v="413.25588476222731"/>
    <n v="2"/>
    <n v="4809.0174999999999"/>
    <n v="3.8196500000000015E-2"/>
    <n v="769.0586111111113"/>
    <n v="0.14549043209876522"/>
    <n v="5193.5468055555557"/>
    <n v="4.7055632008154921E-2"/>
    <n v="6.9729012509142194E-2"/>
    <n v="4.9379201544908644E-2"/>
    <n v="5.077845484779437"/>
    <n v="0.99906828523215052"/>
    <n v="71.317823919001924"/>
    <n v="71.31782391900191"/>
    <x v="4"/>
    <x v="2"/>
    <n v="0.4"/>
    <x v="76"/>
    <x v="18"/>
    <n v="24185"/>
    <n v="5000"/>
    <m/>
    <m/>
    <m/>
    <m/>
    <m/>
    <m/>
    <m/>
    <m/>
    <m/>
    <m/>
    <m/>
    <m/>
    <m/>
    <m/>
    <m/>
    <m/>
    <m/>
    <m/>
    <m/>
    <m/>
    <n v="5450"/>
    <m/>
    <m/>
    <m/>
    <m/>
    <m/>
    <m/>
    <m/>
    <m/>
  </r>
  <r>
    <x v="4"/>
    <x v="9"/>
    <x v="0"/>
    <x v="170"/>
    <x v="1"/>
    <x v="1"/>
    <n v="0"/>
    <n v="0.19257041695071203"/>
    <n v="0.16194984388013206"/>
    <n v="0.2145563304034713"/>
    <n v="0.35196747183799637"/>
    <n v="0.48332729339599589"/>
    <n v="1.9379795176355886E-2"/>
    <x v="170"/>
    <n v="9324.375"/>
    <n v="1729.395"/>
    <n v="31.227272727272727"/>
    <n v="49.5"/>
    <n v="0.44270399887157064"/>
    <n v="0.69697439875872769"/>
    <n v="12000"/>
    <n v="5500"/>
    <n v="12000"/>
    <n v="390616.9300979519"/>
    <n v="19988.845913886256"/>
    <n v="2554.2065615013285"/>
    <n v="2000"/>
    <n v="32.551410841495994"/>
    <n v="73.528612627100358"/>
    <n v="272250"/>
    <n v="390616.9300979519"/>
    <n v="0.30201621510596127"/>
    <n v="33.515320879013991"/>
    <n v="33.817337094119949"/>
    <n v="0.18132963905648794"/>
    <n v="1.0619908469057413"/>
    <n v="1.0724579395401836"/>
    <n v="0.15100810755298064"/>
    <n v="0.84099025408239503"/>
    <n v="19.070840337387036"/>
    <n v="0.61071104428313649"/>
    <n v="19.541745020236021"/>
    <n v="20.45225311589607"/>
    <n v="0.94092474066851772"/>
    <n v="1.6534773407354399"/>
    <n v="1.8648750000000001"/>
    <n v="1.0724579395401836"/>
    <n v="1.729395"/>
    <n v="1.1564737957493805"/>
    <n v="6.5843798212981614E-2"/>
    <n v="513.59942791776245"/>
    <n v="2"/>
    <n v="4662.1875"/>
    <n v="6.7562499999999998E-2"/>
    <n v="864.69749999999999"/>
    <n v="0.13530250000000002"/>
    <n v="5094.5362500000001"/>
    <n v="7.3720681818181796E-2"/>
    <n v="7.1084171826512929E-2"/>
    <n v="7.9587960533208352E-2"/>
    <n v="5.1340128750267064"/>
    <n v="0.99906654311363141"/>
    <n v="70.537589014035149"/>
    <n v="70.537589014035134"/>
    <x v="4"/>
    <x v="2"/>
    <n v="0.5"/>
    <x v="77"/>
    <x v="49"/>
    <n v="19990"/>
    <n v="5000"/>
    <m/>
    <m/>
    <m/>
    <m/>
    <m/>
    <m/>
    <m/>
    <m/>
    <m/>
    <m/>
    <m/>
    <m/>
    <m/>
    <m/>
    <m/>
    <m/>
    <m/>
    <m/>
    <m/>
    <m/>
    <n v="5500"/>
    <m/>
    <m/>
    <m/>
    <m/>
    <m/>
    <m/>
    <m/>
    <m/>
  </r>
  <r>
    <x v="4"/>
    <x v="10"/>
    <x v="0"/>
    <x v="171"/>
    <x v="1"/>
    <x v="1"/>
    <n v="0"/>
    <n v="0.18591695024428262"/>
    <n v="0.1665230169925708"/>
    <n v="0.208751346083033"/>
    <n v="0.32967463135719299"/>
    <n v="0.40491663932800304"/>
    <n v="1.9518618470788347E-2"/>
    <x v="171"/>
    <n v="8629.755000000001"/>
    <n v="1730.42"/>
    <n v="32.227272727272734"/>
    <n v="54"/>
    <n v="0.46027223358487912"/>
    <n v="0.77684251357641587"/>
    <n v="12200"/>
    <n v="5550"/>
    <n v="12200"/>
    <n v="385792.48015179503"/>
    <n v="17830.21771458703"/>
    <n v="2766.5892481487172"/>
    <n v="2200"/>
    <n v="31.622334438671725"/>
    <n v="68.703545708977089"/>
    <n v="299700"/>
    <n v="385792.48015179503"/>
    <n v="0.2874105677013446"/>
    <n v="33.77540777422157"/>
    <n v="34.062818341922913"/>
    <n v="0.18604163546335914"/>
    <n v="0.99932979938191802"/>
    <n v="1.1587814486042767"/>
    <n v="0.1437052838506723"/>
    <n v="0.89568496457031233"/>
    <n v="21.277883676200734"/>
    <n v="0.66024462747026236"/>
    <n v="21.637003334859752"/>
    <n v="22.629261766471458"/>
    <n v="0.9476350677840959"/>
    <n v="1.5052553942520535"/>
    <n v="1.7259510000000002"/>
    <n v="1.1587814486042765"/>
    <n v="1.573109090909091"/>
    <n v="1.2713676448492273"/>
    <n v="6.5250610841693479E-2"/>
    <n v="522.03064312399727"/>
    <n v="2"/>
    <n v="4314.8775000000005"/>
    <n v="0.13702449999999991"/>
    <n v="865.21"/>
    <n v="0.21344545454545452"/>
    <n v="4747.4825000000001"/>
    <n v="0.14459774774774772"/>
    <n v="7.6280616131054482E-2"/>
    <n v="0.16904064417299081"/>
    <n v="5.172122313984957"/>
    <n v="0.99906808606955233"/>
    <n v="70.017851123165087"/>
    <n v="70.017851123165087"/>
    <x v="4"/>
    <x v="2"/>
    <n v="0.5"/>
    <x v="42"/>
    <x v="55"/>
    <n v="17835"/>
    <n v="5000"/>
    <m/>
    <m/>
    <m/>
    <m/>
    <m/>
    <m/>
    <m/>
    <m/>
    <m/>
    <m/>
    <m/>
    <m/>
    <m/>
    <m/>
    <m/>
    <m/>
    <m/>
    <m/>
    <m/>
    <m/>
    <n v="5550"/>
    <m/>
    <m/>
    <m/>
    <m/>
    <m/>
    <m/>
    <m/>
    <m/>
  </r>
  <r>
    <x v="4"/>
    <x v="11"/>
    <x v="0"/>
    <x v="172"/>
    <x v="1"/>
    <x v="1"/>
    <n v="0"/>
    <n v="0.1860981117771372"/>
    <n v="0.16470373993645121"/>
    <n v="0.20838600857678391"/>
    <n v="0.33209458589553831"/>
    <n v="0.37703190326690683"/>
    <n v="1.8738186022315861E-2"/>
    <x v="172"/>
    <n v="8098.06"/>
    <n v="1746.4549999999999"/>
    <n v="31.909090909090914"/>
    <n v="47.5"/>
    <n v="0.45902038225544817"/>
    <n v="0.67940263770364617"/>
    <n v="12400"/>
    <n v="5600"/>
    <n v="12400"/>
    <n v="391520.41107622039"/>
    <n v="17285.267210407605"/>
    <n v="2534.9305393505456"/>
    <n v="2400"/>
    <n v="31.574226699695192"/>
    <n v="68.786110421832873"/>
    <n v="266000"/>
    <n v="391520.41107622039"/>
    <n v="0.26675615364595567"/>
    <n v="32.725398669603649"/>
    <n v="32.992154823249606"/>
    <n v="0.18344192595876707"/>
    <n v="1.0144797096110252"/>
    <n v="1.2348636587034425"/>
    <n v="0.13337807682297781"/>
    <n v="0.88503713639874582"/>
    <n v="22.32734139266244"/>
    <n v="0.69971725162189968"/>
    <n v="22.650526966715486"/>
    <n v="23.720686885482476"/>
    <n v="0.94831576450614763"/>
    <n v="1.3908600110328782"/>
    <n v="1.6196120000000001"/>
    <n v="1.2348636587034425"/>
    <n v="1.4553791666666667"/>
    <n v="1.3742123329831"/>
    <n v="6.46680161020355E-2"/>
    <n v="510.1773150299432"/>
    <n v="2"/>
    <n v="4049.03"/>
    <n v="0.19019399999999995"/>
    <n v="873.22749999999996"/>
    <n v="0.27231041666666672"/>
    <n v="4485.6437500000002"/>
    <n v="0.19899218749999997"/>
    <n v="8.0733315072423845E-2"/>
    <n v="0.24842727423460687"/>
    <n v="5.2094887413243338"/>
    <n v="0.999069734153335"/>
    <n v="69.515629681414183"/>
    <n v="69.515629681414183"/>
    <x v="4"/>
    <x v="2"/>
    <n v="0.5"/>
    <x v="14"/>
    <x v="49"/>
    <n v="17290"/>
    <n v="5000"/>
    <m/>
    <m/>
    <m/>
    <m/>
    <m/>
    <m/>
    <m/>
    <m/>
    <m/>
    <m/>
    <m/>
    <m/>
    <m/>
    <m/>
    <m/>
    <m/>
    <m/>
    <m/>
    <m/>
    <m/>
    <n v="5600"/>
    <m/>
    <m/>
    <m/>
    <m/>
    <m/>
    <m/>
    <m/>
    <m/>
  </r>
  <r>
    <x v="4"/>
    <x v="12"/>
    <x v="0"/>
    <x v="173"/>
    <x v="1"/>
    <x v="1"/>
    <n v="0"/>
    <n v="0.87758062415388394"/>
    <n v="0.19447959499688516"/>
    <n v="0.90252956522183481"/>
    <n v="3.9846784412860874"/>
    <n v="4.2043624258041383"/>
    <n v="2.5104176271498566E-2"/>
    <x v="173"/>
    <n v="7971.772727272727"/>
    <n v="1939.1363636363635"/>
    <n v="45.125"/>
    <n v="68.5"/>
    <n v="0.65566330488750968"/>
    <n v="0.99833204034134981"/>
    <n v="12600"/>
    <n v="5650"/>
    <n v="12600"/>
    <n v="387671.6206240044"/>
    <n v="11808.489131066215"/>
    <n v="2728.6296614229027"/>
    <n v="2600"/>
    <n v="30.767588938413049"/>
    <n v="46.92589734557702"/>
    <n v="387025"/>
    <n v="387671.6206240044"/>
    <n v="0.31006942628144291"/>
    <n v="48.68042108720001"/>
    <n v="48.990490513481454"/>
    <n v="0.21958377126838374"/>
    <n v="3.9965641316965592"/>
    <n v="1.2544261285558704"/>
    <n v="0.15503471314072148"/>
    <n v="0.22160880680836811"/>
    <n v="31.556506367733672"/>
    <n v="0.69931316050379333"/>
    <n v="32.829908747945019"/>
    <n v="33.889855281504005"/>
    <n v="0.95630337003250165"/>
    <n v="1.4455798086638303"/>
    <n v="1.5943545454545454"/>
    <n v="1.2544261285558704"/>
    <n v="1.4916433566433565"/>
    <n v="1.3408030754084528"/>
    <n v="6.4095732773698913E-2"/>
    <n v="764.333106018943"/>
    <n v="2"/>
    <n v="3985.8863636363635"/>
    <n v="0.20282272727272729"/>
    <n v="969.56818181818176"/>
    <n v="0.25417832167832172"/>
    <n v="4470.670454545454"/>
    <n v="0.20873089300080458"/>
    <n v="8.1003709366052737E-2"/>
    <n v="0.2637925468775022"/>
    <n v="5.2618834988295635"/>
    <n v="0.99906869318604785"/>
    <n v="68.823433709992301"/>
    <n v="68.823433709992315"/>
    <x v="4"/>
    <x v="8"/>
    <n v="0.70000000000000007"/>
    <x v="46"/>
    <x v="28"/>
    <n v="11810"/>
    <n v="5000"/>
    <m/>
    <m/>
    <m/>
    <m/>
    <m/>
    <m/>
    <m/>
    <m/>
    <m/>
    <m/>
    <m/>
    <m/>
    <m/>
    <m/>
    <m/>
    <m/>
    <m/>
    <m/>
    <m/>
    <m/>
    <n v="5650"/>
    <m/>
    <m/>
    <m/>
    <m/>
    <m/>
    <m/>
    <m/>
    <m/>
  </r>
  <r>
    <x v="4"/>
    <x v="13"/>
    <x v="0"/>
    <x v="174"/>
    <x v="1"/>
    <x v="1"/>
    <n v="0"/>
    <n v="1.6389734391680046"/>
    <n v="0.19690427780549305"/>
    <n v="1.6645771076444003"/>
    <n v="5.5633135080337528"/>
    <n v="7.4924538230895994"/>
    <n v="2.5419000666195721E-2"/>
    <x v="174"/>
    <n v="7799.4772727272739"/>
    <n v="1923.3454545454545"/>
    <n v="45.916666666666671"/>
    <n v="68"/>
    <n v="0.6726208947504525"/>
    <n v="0.99212567882079128"/>
    <n v="12800"/>
    <n v="5700"/>
    <n v="12800"/>
    <n v="390676.31074793759"/>
    <n v="10917.776457336122"/>
    <n v="2675.1641771044128"/>
    <n v="2800"/>
    <n v="30.521586777182623"/>
    <n v="45.37710174541391"/>
    <n v="387600"/>
    <n v="390676.31074793759"/>
    <n v="0.30715008792934412"/>
    <n v="48.889519390415416"/>
    <n v="49.196669478344759"/>
    <n v="0.22232327847168876"/>
    <n v="7.3720280234924473"/>
    <n v="1.2821372061647487"/>
    <n v="0.15357504396467203"/>
    <n v="0.12013878510773668"/>
    <n v="34.50730688288894"/>
    <n v="0.75152029509014018"/>
    <n v="35.783505210479504"/>
    <n v="36.868738138838758"/>
    <n v="0.97971515014612964"/>
    <n v="1.3343735631277098"/>
    <n v="1.5598954545454549"/>
    <n v="1.2821372061647485"/>
    <n v="1.3738181818181818"/>
    <n v="1.455796717840127"/>
    <n v="6.3533489503754176E-2"/>
    <n v="774.34231714028147"/>
    <n v="2"/>
    <n v="3899.7386363636369"/>
    <n v="0.22005227272727262"/>
    <n v="961.67272727272723"/>
    <n v="0.31309090909090914"/>
    <n v="4380.5750000000007"/>
    <n v="0.23147807017543848"/>
    <n v="8.2669715772792099E-2"/>
    <n v="0.30119904350456256"/>
    <n v="5.3049044553062421"/>
    <n v="0.99906931500784102"/>
    <n v="68.265299257023685"/>
    <n v="68.265299257023685"/>
    <x v="4"/>
    <x v="8"/>
    <n v="0.70000000000000007"/>
    <x v="32"/>
    <x v="28"/>
    <n v="10920"/>
    <n v="5000"/>
    <m/>
    <m/>
    <m/>
    <m/>
    <m/>
    <m/>
    <m/>
    <m/>
    <m/>
    <m/>
    <m/>
    <m/>
    <m/>
    <m/>
    <m/>
    <m/>
    <m/>
    <m/>
    <m/>
    <m/>
    <n v="5700"/>
    <m/>
    <m/>
    <m/>
    <m/>
    <m/>
    <m/>
    <m/>
    <m/>
  </r>
  <r>
    <x v="4"/>
    <x v="14"/>
    <x v="0"/>
    <x v="175"/>
    <x v="1"/>
    <x v="1"/>
    <n v="0"/>
    <n v="2.8039491540414998"/>
    <n v="0.21478837760843533"/>
    <n v="2.4076401307792619"/>
    <n v="7.4368537485599511"/>
    <n v="8.1414402079582224"/>
    <n v="2.5266111224386646E-2"/>
    <x v="175"/>
    <n v="7455.9007575757569"/>
    <n v="2061.7079545454544"/>
    <n v="49.53846153846154"/>
    <n v="68.5"/>
    <n v="0.73138986692128671"/>
    <n v="0.99833204034134981"/>
    <n v="13000"/>
    <n v="5750"/>
    <n v="13000"/>
    <n v="394533.06523681863"/>
    <n v="10351.407063886896"/>
    <n v="2711.1413937687553"/>
    <n v="3000"/>
    <n v="30.348697325909125"/>
    <n v="41.494555364376275"/>
    <n v="393875"/>
    <n v="394533.06523681863"/>
    <n v="0.32028816546584016"/>
    <n v="52.091342491748136"/>
    <n v="52.411630657213976"/>
    <n v="0.24005448883282199"/>
    <n v="11.680469578697267"/>
    <n v="1.34121956892187"/>
    <n v="0.16014408273292005"/>
    <n v="7.6602094335001758E-2"/>
    <n v="37.871799505823603"/>
    <n v="0.76449284716724664"/>
    <n v="38.113955214188401"/>
    <n v="39.240386405501837"/>
    <n v="1.0359348179849004"/>
    <n v="1.3356553147974459"/>
    <n v="1.4911801515151513"/>
    <n v="1.34121956892187"/>
    <n v="1.3744719696969696"/>
    <n v="1.4551042466445794"/>
    <n v="6.2981024377634587E-2"/>
    <n v="832.18129865518756"/>
    <n v="2"/>
    <n v="3727.9503787878784"/>
    <n v="0.25440992424242431"/>
    <n v="1030.8539772727272"/>
    <n v="0.3127640151515152"/>
    <n v="4243.377367424242"/>
    <n v="0.26202132740447964"/>
    <n v="8.5342607742478663E-2"/>
    <n v="0.35505270969814484"/>
    <n v="5.3466774954965901"/>
    <n v="0.99907014304426145"/>
    <n v="67.731949510031896"/>
    <n v="67.731949510031896"/>
    <x v="4"/>
    <x v="8"/>
    <n v="0.8"/>
    <x v="72"/>
    <x v="56"/>
    <n v="10355"/>
    <n v="5000"/>
    <m/>
    <m/>
    <m/>
    <m/>
    <m/>
    <m/>
    <m/>
    <m/>
    <m/>
    <m/>
    <m/>
    <m/>
    <m/>
    <m/>
    <m/>
    <m/>
    <m/>
    <m/>
    <m/>
    <m/>
    <n v="5750"/>
    <m/>
    <m/>
    <m/>
    <m/>
    <m/>
    <m/>
    <m/>
    <m/>
  </r>
  <r>
    <x v="4"/>
    <x v="15"/>
    <x v="0"/>
    <x v="176"/>
    <x v="1"/>
    <x v="1"/>
    <n v="0"/>
    <n v="3.3533823938529634"/>
    <n v="0.21237365669852701"/>
    <n v="2.2779242372886053"/>
    <n v="6.5352098107337957"/>
    <n v="7.0749649906158458"/>
    <n v="2.4985119127032752E-2"/>
    <x v="176"/>
    <n v="6794.1580128205132"/>
    <n v="2010.866025641026"/>
    <n v="47.409340659340657"/>
    <n v="68"/>
    <n v="0.70605226813527833"/>
    <n v="0.99437548487199379"/>
    <n v="13200"/>
    <n v="5800"/>
    <n v="13200"/>
    <n v="396630.85625121905"/>
    <n v="9869.2467261507318"/>
    <n v="2721.620003261346"/>
    <n v="3200"/>
    <n v="30.047792140243867"/>
    <n v="42.557461389652765"/>
    <n v="394400"/>
    <n v="396630.85625121905"/>
    <n v="0.28858003627405804"/>
    <n v="50.241727199143931"/>
    <n v="50.530307235417986"/>
    <n v="0.23735877582555975"/>
    <n v="14.127905665967198"/>
    <n v="1.4718527271709154"/>
    <n v="0.14429001813702902"/>
    <n v="6.3331177824463472E-2"/>
    <n v="39.099495463612641"/>
    <n v="0.82472135068407038"/>
    <n v="40.18856425995093"/>
    <n v="41.448043330423317"/>
    <n v="1.0236404261620724"/>
    <n v="1.2191240689600464"/>
    <n v="1.3588316025641027"/>
    <n v="1.4718527271709154"/>
    <n v="1.2567912660256413"/>
    <n v="1.5913541524875585"/>
    <n v="6.2438084512310144E-2"/>
    <n v="809.28663379248212"/>
    <n v="2"/>
    <n v="3397.0790064102566"/>
    <n v="0.32058419871794869"/>
    <n v="1005.433012820513"/>
    <n v="0.37160436698717936"/>
    <n v="3899.7955128205131"/>
    <n v="0.32762146330680808"/>
    <n v="9.2861507476704019E-2"/>
    <n v="0.48725746797046066"/>
    <n v="5.3932493752086881"/>
    <n v="0.99907012941806739"/>
    <n v="67.147069415344077"/>
    <n v="67.147069415344063"/>
    <x v="4"/>
    <x v="3"/>
    <n v="0.8"/>
    <x v="78"/>
    <x v="27"/>
    <n v="9870"/>
    <n v="5000"/>
    <m/>
    <m/>
    <m/>
    <m/>
    <m/>
    <m/>
    <m/>
    <m/>
    <m/>
    <m/>
    <m/>
    <m/>
    <m/>
    <m/>
    <m/>
    <m/>
    <m/>
    <m/>
    <m/>
    <m/>
    <n v="5800"/>
    <m/>
    <m/>
    <m/>
    <m/>
    <m/>
    <m/>
    <m/>
    <m/>
  </r>
  <r>
    <x v="4"/>
    <x v="16"/>
    <x v="0"/>
    <x v="177"/>
    <x v="1"/>
    <x v="1"/>
    <n v="0"/>
    <n v="7.7995442846927894"/>
    <n v="0.2221545997544441"/>
    <n v="1.8813117208083834"/>
    <n v="7.6999371767044069"/>
    <n v="9.2243282365798898"/>
    <n v="2.6117112964388428E-2"/>
    <x v="177"/>
    <n v="6656.0483516483528"/>
    <n v="2043.825824175824"/>
    <n v="50.847619047619048"/>
    <n v="67.5"/>
    <n v="0.76301248660829724"/>
    <n v="0.99922420480993024"/>
    <n v="13400"/>
    <n v="5850"/>
    <n v="13400"/>
    <n v="395181.57996894408"/>
    <n v="8856.3545336190618"/>
    <n v="2584.5123116034511"/>
    <n v="3400"/>
    <n v="29.491162684249559"/>
    <n v="38.650956834719857"/>
    <n v="394875"/>
    <n v="395181.57996894408"/>
    <n v="0.29573435150133348"/>
    <n v="53.378829929534277"/>
    <n v="53.674564281035607"/>
    <n v="0.24827171271883253"/>
    <n v="31.415356180854022"/>
    <n v="1.5023929322153327"/>
    <n v="0.14786717575066671"/>
    <n v="2.8483023064621832E-2"/>
    <n v="42.430791594540153"/>
    <n v="0.83446958558282747"/>
    <n v="44.621246639214775"/>
    <n v="45.901484971675657"/>
    <n v="1.0937384443498501"/>
    <n v="1.1693426544730845"/>
    <n v="1.3312096703296705"/>
    <n v="1.5023929322153327"/>
    <n v="1.2022504848093083"/>
    <n v="1.6635468442478729"/>
    <n v="6.1904425670324587E-2"/>
    <n v="867.05536316389464"/>
    <n v="2"/>
    <n v="3328.0241758241764"/>
    <n v="0.33439516483516474"/>
    <n v="1021.912912087912"/>
    <n v="0.39887475759534591"/>
    <n v="3838.9806318681321"/>
    <n v="0.34376399455245604"/>
    <n v="9.4332565047397274E-2"/>
    <n v="0.52384201978983735"/>
    <n v="5.4342371636604669"/>
    <n v="0.99907107057031452"/>
    <n v="66.640611969070392"/>
    <n v="66.640611969070378"/>
    <x v="4"/>
    <x v="8"/>
    <n v="0.8"/>
    <x v="73"/>
    <x v="32"/>
    <n v="8860"/>
    <n v="5000"/>
    <m/>
    <m/>
    <m/>
    <m/>
    <m/>
    <m/>
    <m/>
    <m/>
    <m/>
    <m/>
    <m/>
    <m/>
    <m/>
    <m/>
    <m/>
    <m/>
    <m/>
    <m/>
    <m/>
    <m/>
    <n v="5850"/>
    <m/>
    <m/>
    <m/>
    <m/>
    <m/>
    <m/>
    <m/>
    <m/>
  </r>
  <r>
    <x v="4"/>
    <x v="17"/>
    <x v="0"/>
    <x v="178"/>
    <x v="1"/>
    <x v="1"/>
    <n v="0"/>
    <n v="4.2559401687863581"/>
    <n v="0.20983196276086361"/>
    <n v="1.8481350942169192"/>
    <n v="5.870233595371225"/>
    <n v="8.1623429298400865"/>
    <n v="2.464593313940986E-2"/>
    <x v="178"/>
    <n v="6266.4208333333336"/>
    <n v="2028.2237179487179"/>
    <n v="48.203296703296708"/>
    <n v="67"/>
    <n v="0.72702111697456928"/>
    <n v="0.99681923972071373"/>
    <n v="13600"/>
    <n v="5900"/>
    <n v="13600"/>
    <n v="396561.36664331856"/>
    <n v="8896.9939607675606"/>
    <n v="2718.5012480969626"/>
    <n v="3600"/>
    <n v="29.158924017891071"/>
    <n v="40.107396246251028"/>
    <n v="395300"/>
    <n v="396561.36664331856"/>
    <n v="0.26297907658878"/>
    <n v="49.987466144329382"/>
    <n v="50.250445220918159"/>
    <n v="0.23447789590027346"/>
    <n v="18.150709483492061"/>
    <n v="1.595807282333549"/>
    <n v="0.13148953829439"/>
    <n v="4.9303315939401508E-2"/>
    <n v="45.910131696860013"/>
    <n v="0.95242721632605964"/>
    <n v="44.572511613698616"/>
    <n v="45.958486933271296"/>
    <n v="1.0910155942537669"/>
    <n v="1.0933877195278101"/>
    <n v="1.2532841666666668"/>
    <n v="1.595807282333549"/>
    <n v="1.1267909544159544"/>
    <n v="1.7749521259128787"/>
    <n v="6.1379811893457432E-2"/>
    <n v="818.68033919918923"/>
    <n v="2"/>
    <n v="3133.2104166666668"/>
    <n v="0.37335791666666662"/>
    <n v="1014.1118589743589"/>
    <n v="0.43660452279202283"/>
    <n v="3640.2663461538464"/>
    <n v="0.38300570404172096"/>
    <n v="9.948197624440909E-2"/>
    <n v="0.62076052655699043"/>
    <n v="5.4619516191009554"/>
    <n v="0.99907424548828805"/>
    <n v="66.302471245801286"/>
    <n v="66.302471245801286"/>
    <x v="4"/>
    <x v="3"/>
    <n v="0.8"/>
    <x v="79"/>
    <x v="26"/>
    <n v="8900"/>
    <n v="5000"/>
    <m/>
    <m/>
    <m/>
    <m/>
    <m/>
    <m/>
    <m/>
    <m/>
    <m/>
    <m/>
    <m/>
    <m/>
    <m/>
    <m/>
    <m/>
    <m/>
    <m/>
    <m/>
    <m/>
    <m/>
    <n v="5900"/>
    <m/>
    <m/>
    <m/>
    <m/>
    <m/>
    <m/>
    <m/>
    <m/>
  </r>
  <r>
    <x v="4"/>
    <x v="4"/>
    <x v="0"/>
    <x v="179"/>
    <x v="4"/>
    <x v="1"/>
    <n v="0"/>
    <n v="0.17073694278579946"/>
    <n v="0.15313947465266206"/>
    <n v="0.19144605921655114"/>
    <n v="0.30410294135411581"/>
    <n v="0.37769178072611492"/>
    <n v="1.2235912914705667E-2"/>
    <x v="179"/>
    <n v="9984.3851851851869"/>
    <n v="909.75555555555559"/>
    <n v="10.633333333333333"/>
    <n v="20.333333333333332"/>
    <n v="0.14444789242306691"/>
    <n v="0.27721748125161622"/>
    <n v="11000"/>
    <s v="AVG"/>
    <n v="11000"/>
    <n v="385076.7257462687"/>
    <n v="61405.012763553947"/>
    <n v="1661.7749304913591"/>
    <n v="1000"/>
    <n v="35.00697506784261"/>
    <n v="242.35019618917153"/>
    <e v="#VALUE!"/>
    <e v="#VALUE!"/>
    <n v="0.30580070039781632"/>
    <n v="11.131689751447452"/>
    <n v="11.437490451845267"/>
    <n v="0.16537538756736772"/>
    <n v="1.0324205149103438"/>
    <n v="1.0015639235190947"/>
    <n v="0.15290035019890816"/>
    <n v="0.89693227578044099"/>
    <n v="6.1307291505349104"/>
    <n v="0.57655760036378467"/>
    <n v="6.2710959320054958"/>
    <n v="7.1195203808719283"/>
    <n v="0.883378351904621"/>
    <n v="1.6064973256589676"/>
    <n v="1.9968770370370375"/>
    <n v="1.0015639235190947"/>
    <n v="1.8195111111111111"/>
    <n v="1.0991963653240187"/>
    <e v="#VALUE!"/>
    <e v="#VALUE!"/>
    <n v="2"/>
    <n v="4992.1925925925934"/>
    <n v="1.5614814814813144E-3"/>
    <n v="454.87777777777779"/>
    <n v="9.0244444444444405E-2"/>
    <n v="5219.6314814814823"/>
    <e v="#VALUE!"/>
    <n v="6.938054754559278E-2"/>
    <e v="#VALUE!"/>
    <n v="4.9194816625835651"/>
    <e v="#VALUE!"/>
    <n v="73.613627412367109"/>
    <n v="73.613627412367109"/>
    <x v="15"/>
    <x v="1"/>
    <n v="0.2"/>
    <x v="62"/>
    <x v="48"/>
    <n v="6141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1"/>
    <x v="180"/>
    <x v="4"/>
    <x v="1"/>
    <n v="0"/>
    <n v="0.1821738746668371"/>
    <n v="0.15447118513848496"/>
    <n v="0.20255774114262404"/>
    <n v="0.3397284944852193"/>
    <n v="0.41218950112660729"/>
    <n v="1.4532837509576783E-2"/>
    <x v="180"/>
    <n v="11881.151851851851"/>
    <n v="1058.2814814814813"/>
    <n v="16.166666666666668"/>
    <n v="29.666666666666668"/>
    <n v="0.21891388673390225"/>
    <n v="0.40284458236358933"/>
    <n v="12100.000000000002"/>
    <n v="5250"/>
    <n v="12100.000000000002"/>
    <n v="386625.52959301579"/>
    <n v="52099.617798242871"/>
    <n v="2041.354047144411"/>
    <n v="1100"/>
    <n v="31.952523106860806"/>
    <n v="145.95932484493437"/>
    <n v="155750"/>
    <n v="386625.52959301579"/>
    <n v="0.3670591214731721"/>
    <n v="15.379832809764558"/>
    <n v="15.74689193123773"/>
    <n v="0.16900402264806175"/>
    <n v="1.0779262636026161"/>
    <n v="0.92583615941963482"/>
    <n v="0.16684505521507825"/>
    <n v="0.84793269847822406"/>
    <n v="7.0564272232778142"/>
    <n v="0.43648003442955546"/>
    <n v="7.4208899399268766"/>
    <n v="8.1922549142080268"/>
    <n v="0.88181683017531576"/>
    <n v="1.922168205963356"/>
    <n v="2.3762303703703704"/>
    <n v="0.92583615941963482"/>
    <n v="2.1165629629629623"/>
    <n v="1.0394210040036962"/>
    <n v="6.8979217175504537E-2"/>
    <n v="228.28458448829232"/>
    <n v="2.2000000000000002"/>
    <n v="5400.5235690235686"/>
    <n v="8.010471380471372E-2"/>
    <n v="481.0370370370369"/>
    <n v="3.792592592592621E-2"/>
    <n v="5641.0420875420868"/>
    <n v="7.4484207150873685E-2"/>
    <n v="6.4197516088590423E-2"/>
    <n v="6.9320895230631313E-2"/>
    <n v="4.903773390476049"/>
    <n v="0.99906594792562364"/>
    <n v="73.849434167316389"/>
    <n v="73.849434167316375"/>
    <x v="4"/>
    <x v="1"/>
    <n v="0.30000000000000004"/>
    <x v="23"/>
    <x v="57"/>
    <n v="5210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2"/>
    <x v="181"/>
    <x v="4"/>
    <x v="1"/>
    <n v="0"/>
    <n v="0.19431130861379398"/>
    <n v="0.16577303039612606"/>
    <n v="0.21563762520657651"/>
    <n v="0.38523984352747592"/>
    <n v="0.50622982343037881"/>
    <n v="1.5750199519474317E-2"/>
    <x v="181"/>
    <n v="12987.951851851851"/>
    <n v="1160.366666666667"/>
    <n v="17.533333333333335"/>
    <n v="30"/>
    <n v="0.2370157745021981"/>
    <n v="0.40359451771399019"/>
    <n v="13200"/>
    <n v="5250"/>
    <n v="13200"/>
    <n v="390243.16012045875"/>
    <n v="48532.437995949207"/>
    <n v="1904.7377757282713"/>
    <n v="1200"/>
    <n v="29.563875766701422"/>
    <n v="124.73378967621096"/>
    <n v="157500"/>
    <n v="390243.16012045875"/>
    <n v="0.43061042742409172"/>
    <n v="18.276006515747355"/>
    <n v="18.706616943171447"/>
    <n v="0.18152322991560038"/>
    <n v="1.0704487172475912"/>
    <n v="0.92393320647312172"/>
    <n v="0.17942101142670489"/>
    <n v="0.85313115113444304"/>
    <n v="7.9518733426825037"/>
    <n v="0.45352889787162565"/>
    <n v="8.0408727901332853"/>
    <n v="8.7990329662102802"/>
    <n v="0.92401454603011668"/>
    <n v="2.1259855503448963"/>
    <n v="2.5975903703703702"/>
    <n v="0.92393320647312172"/>
    <n v="2.320733333333334"/>
    <n v="1.0341558702708911"/>
    <n v="6.8979217175504537E-2"/>
    <n v="271.19207362959787"/>
    <n v="2.4"/>
    <n v="5411.6466049382716"/>
    <n v="8.2329320987654317E-2"/>
    <n v="483.48611111111126"/>
    <n v="3.3027777777777489E-2"/>
    <n v="5653.3896604938273"/>
    <n v="7.6836125808348046E-2"/>
    <n v="6.4057302241530903E-2"/>
    <n v="7.1353592219679074E-2"/>
    <n v="4.8954241575792521"/>
    <n v="0.99906753825569916"/>
    <n v="73.975385689658935"/>
    <n v="73.975385689658935"/>
    <x v="4"/>
    <x v="2"/>
    <n v="0.30000000000000004"/>
    <x v="57"/>
    <x v="21"/>
    <n v="4853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3"/>
    <x v="182"/>
    <x v="4"/>
    <x v="1"/>
    <n v="0"/>
    <n v="0.18288024435956377"/>
    <n v="0.16065442648565262"/>
    <n v="0.2034072220091393"/>
    <n v="0.35264429648717233"/>
    <n v="0.4216444667180374"/>
    <n v="1.503680506743626E-2"/>
    <x v="182"/>
    <n v="12216.892592592589"/>
    <n v="1095.6518518518517"/>
    <n v="16.133333333333333"/>
    <n v="30"/>
    <n v="0.21848719937936381"/>
    <n v="0.40630980087923457"/>
    <n v="14300"/>
    <n v="5250"/>
    <n v="14300"/>
    <n v="387635.24694501015"/>
    <n v="50479.537911218111"/>
    <n v="1995.1046692071623"/>
    <n v="1300"/>
    <n v="27.107359926224486"/>
    <n v="124.06841226042457"/>
    <n v="157500"/>
    <n v="387635.24694501015"/>
    <n v="0.39253957457995603"/>
    <n v="16.475103318071845"/>
    <n v="16.867642892651801"/>
    <n v="0.17569123155308888"/>
    <n v="1.0409184496171202"/>
    <n v="1.0641003758911844"/>
    <n v="0.15097675945382924"/>
    <n v="0.87846791242135147"/>
    <n v="7.5303035310192294"/>
    <n v="0.46675435109623326"/>
    <n v="7.6790569602037824"/>
    <n v="8.5825029096093139"/>
    <n v="0.89695827095988556"/>
    <n v="1.9653524234481894"/>
    <n v="2.443378518518518"/>
    <n v="1.0641003758911844"/>
    <n v="2.1913037037037033"/>
    <n v="1.1865082852758042"/>
    <n v="6.8979217175504537E-2"/>
    <n v="244.53224584638707"/>
    <n v="2.6"/>
    <n v="4698.8048433048416"/>
    <n v="6.0239031339031683E-2"/>
    <n v="421.40455840455832"/>
    <n v="0.15719088319088337"/>
    <n v="4909.5071225071206"/>
    <n v="6.4855786189119885E-2"/>
    <n v="7.3763186636638514E-2"/>
    <n v="6.9353780124266615E-2"/>
    <n v="4.9043274095639697"/>
    <n v="0.99906584239817831"/>
    <n v="73.841091739753111"/>
    <n v="73.841091739753111"/>
    <x v="4"/>
    <x v="2"/>
    <n v="0.30000000000000004"/>
    <x v="23"/>
    <x v="57"/>
    <n v="5048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9"/>
    <x v="183"/>
    <x v="4"/>
    <x v="1"/>
    <n v="0"/>
    <n v="0.18908251302975335"/>
    <n v="0.16331143727170164"/>
    <n v="0.21130477665542324"/>
    <n v="0.35677328507105494"/>
    <n v="0.42689373334248853"/>
    <n v="1.7185741715384034E-2"/>
    <x v="183"/>
    <n v="13896.33333333333"/>
    <n v="1248.3444444444447"/>
    <n v="20.666666666666668"/>
    <n v="32.666666666666664"/>
    <n v="0.2799327644168606"/>
    <n v="0.44075510731833462"/>
    <n v="15399.999999999996"/>
    <n v="5250"/>
    <n v="15399.999999999996"/>
    <n v="389104.96362356254"/>
    <n v="44437.741302777984"/>
    <n v="1900.8005128707762"/>
    <n v="1399.9999999999998"/>
    <n v="25.266556079452119"/>
    <n v="90.259374003918111"/>
    <n v="171500"/>
    <n v="389104.96362356254"/>
    <n v="0.45388603389466453"/>
    <n v="21.453725194056801"/>
    <n v="21.907611227951467"/>
    <n v="0.18049717898708567"/>
    <n v="1.0475649209081652"/>
    <n v="1.0074600014392285"/>
    <n v="0.16210215496238023"/>
    <n v="0.86370460522704995"/>
    <n v="8.5703287489370528"/>
    <n v="0.41469332656147029"/>
    <n v="8.7561822949637182"/>
    <n v="9.6003308591312457"/>
    <n v="0.91061710773606863"/>
    <n v="2.2819641895064784"/>
    <n v="2.7792666666666661"/>
    <n v="1.0074600014392285"/>
    <n v="2.4966888888888894"/>
    <n v="1.1214853450347566"/>
    <n v="6.8979217175504537E-2"/>
    <n v="317.5972724104958"/>
    <n v="2.7999999999999994"/>
    <n v="4962.9761904761908"/>
    <n v="7.4047619047618351E-3"/>
    <n v="445.83730158730174"/>
    <n v="0.10832539682539652"/>
    <n v="5185.8948412698419"/>
    <n v="1.221050642479202E-2"/>
    <n v="6.9831900039593428E-2"/>
    <n v="1.2361445939860426E-2"/>
    <n v="4.9052467980997925"/>
    <n v="0.99906566727655233"/>
    <n v="73.827251732101615"/>
    <n v="73.827251732101629"/>
    <x v="4"/>
    <x v="2"/>
    <n v="0.30000000000000004"/>
    <x v="6"/>
    <x v="14"/>
    <n v="4444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"/>
    <x v="184"/>
    <x v="4"/>
    <x v="1"/>
    <n v="0"/>
    <n v="0.22686245294864218"/>
    <n v="0.18832897591354758"/>
    <n v="0.24919586473603514"/>
    <n v="0.49531302849451686"/>
    <n v="0.60852866649627602"/>
    <n v="2.1036300817882225E-2"/>
    <x v="184"/>
    <n v="15256.714814814814"/>
    <n v="1356.8222222222223"/>
    <n v="29.066666666666666"/>
    <n v="48.666666666666664"/>
    <n v="0.39383242823894493"/>
    <n v="0.6597103697957073"/>
    <n v="16500"/>
    <n v="5250"/>
    <n v="16500"/>
    <n v="387291.16851554229"/>
    <n v="36173.531428398652"/>
    <n v="2313.461244350377"/>
    <n v="1500"/>
    <n v="23.472192031244987"/>
    <n v="59.599439630207399"/>
    <n v="255500"/>
    <n v="387291.16851554229"/>
    <n v="0.57465629537582474"/>
    <n v="28.542520423054114"/>
    <n v="29.117176718429938"/>
    <n v="0.20936527673142979"/>
    <n v="1.0835724838921474"/>
    <n v="0.98317365055775086"/>
    <n v="0.19155209845860824"/>
    <n v="0.83014607955500719"/>
    <n v="10.415103343946747"/>
    <n v="0.35831777559449818"/>
    <n v="10.70647938485466"/>
    <n v="11.501324059498863"/>
    <n v="0.92345276431940504"/>
    <n v="2.5316369287397191"/>
    <n v="3.0513429629629627"/>
    <n v="0.98317365055775086"/>
    <n v="2.7136444444444447"/>
    <n v="1.1055243461028219"/>
    <n v="6.8979217175504537E-2"/>
    <n v="422.11520963403808"/>
    <n v="3"/>
    <n v="5085.5716049382709"/>
    <n v="1.7114320987654173E-2"/>
    <n v="452.27407407407412"/>
    <n v="9.545185185185176E-2"/>
    <n v="5311.7086419753077"/>
    <n v="1.1754027042915758E-2"/>
    <n v="6.8177852849384935E-2"/>
    <n v="1.161747492843653E-2"/>
    <n v="4.9067486057619867"/>
    <n v="0.99906538121795008"/>
    <n v="73.804655438458255"/>
    <n v="73.804655438458255"/>
    <x v="4"/>
    <x v="3"/>
    <n v="0.4"/>
    <x v="27"/>
    <x v="46"/>
    <n v="3617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20"/>
    <x v="185"/>
    <x v="4"/>
    <x v="1"/>
    <n v="0"/>
    <n v="0.26805244904639208"/>
    <n v="0.18566078006176104"/>
    <n v="0.29003154487630928"/>
    <n v="0.7263122042020157"/>
    <n v="0.90442577203114827"/>
    <n v="2.5932778876334803E-2"/>
    <x v="185"/>
    <n v="16580.507407407407"/>
    <n v="1449.0925925925924"/>
    <n v="37.06666666666667"/>
    <n v="57.666666666666664"/>
    <n v="0.50254460822342895"/>
    <n v="0.78057926040858538"/>
    <n v="17600.000000000004"/>
    <n v="5250"/>
    <n v="17600.000000000004"/>
    <n v="387852.98989564355"/>
    <n v="29489.926168170106"/>
    <n v="2223.6979284657732"/>
    <n v="1600.0000000000002"/>
    <n v="22.037101698616105"/>
    <n v="43.851035983692249"/>
    <n v="302750"/>
    <n v="387852.98989564355"/>
    <n v="0.61566998781581328"/>
    <n v="37.578997775038417"/>
    <n v="38.19466776285423"/>
    <n v="0.21159355893809584"/>
    <n v="1.2668270735254941"/>
    <n v="0.96498856198163996"/>
    <n v="0.19239687119244162"/>
    <n v="0.69262855356202535"/>
    <n v="12.524772626445174"/>
    <n v="0.33789854208035536"/>
    <n v="13.152050218229164"/>
    <n v="13.931378000149042"/>
    <n v="0.91641274082712032"/>
    <n v="2.741628844070243"/>
    <n v="3.3161014814814815"/>
    <n v="0.96498856198163996"/>
    <n v="2.8981851851851848"/>
    <n v="1.1041392442269111"/>
    <n v="6.8979217175504537E-2"/>
    <n v="553.71268806479986"/>
    <n v="3.2000000000000006"/>
    <n v="5181.4085648148139"/>
    <n v="3.6281712962962773E-2"/>
    <n v="452.84143518518505"/>
    <n v="9.4317129629629903E-2"/>
    <n v="5407.829282407406"/>
    <n v="3.006272045855353E-2"/>
    <n v="6.6966035956331896E-2"/>
    <n v="2.9185330040068205E-2"/>
    <n v="4.9098548140162617"/>
    <n v="0.99906478955923494"/>
    <n v="73.757963094466234"/>
    <n v="73.757963094466248"/>
    <x v="4"/>
    <x v="8"/>
    <n v="0.60000000000000009"/>
    <x v="80"/>
    <x v="58"/>
    <n v="2949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16"/>
    <x v="186"/>
    <x v="4"/>
    <x v="1"/>
    <n v="0"/>
    <n v="0.23680504453183179"/>
    <n v="0.19187203165454392"/>
    <n v="0.26055080007221315"/>
    <n v="0.47659329573313397"/>
    <n v="0.58563027222951358"/>
    <n v="2.6226145819888858E-2"/>
    <x v="186"/>
    <n v="16817.514814814818"/>
    <n v="1431.7481481481482"/>
    <n v="37.733333333333327"/>
    <n v="60"/>
    <n v="0.51102146366692525"/>
    <n v="0.81049909490561156"/>
    <n v="18700"/>
    <n v="5250"/>
    <n v="18700"/>
    <n v="388649.41611894581"/>
    <n v="29210.899994317329"/>
    <n v="2287.7932736307143"/>
    <n v="1700"/>
    <n v="20.783391236307263"/>
    <n v="40.67029022063447"/>
    <n v="315000"/>
    <n v="388649.41611894581"/>
    <n v="0.645362146979782"/>
    <n v="37.549235710689167"/>
    <n v="38.194597857668953"/>
    <n v="0.21809817747443278"/>
    <n v="1.0857726885846719"/>
    <n v="1.0108509008135036"/>
    <n v="0.18981239617052412"/>
    <n v="0.81025314318737884"/>
    <n v="13.197446625703126"/>
    <n v="0.3497556526246412"/>
    <n v="13.304944941598972"/>
    <n v="14.123923810757931"/>
    <n v="0.94931307362352257"/>
    <n v="2.7042483639409634"/>
    <n v="3.3635029629629636"/>
    <n v="1.0108509008135036"/>
    <n v="2.8634962962962964"/>
    <n v="1.1873596639177177"/>
    <n v="6.8979217175504537E-2"/>
    <n v="553.711674640929"/>
    <n v="3.4"/>
    <n v="4946.3278867102408"/>
    <n v="1.0734422657951836E-2"/>
    <n v="421.10239651416123"/>
    <n v="0.15779520697167754"/>
    <n v="5156.8790849673214"/>
    <n v="1.7737317149081631E-2"/>
    <n v="7.0224817026845937E-2"/>
    <n v="1.8057610717329649E-2"/>
    <n v="4.9044638096033077"/>
    <n v="0.99906581641721848"/>
    <n v="73.839038115094212"/>
    <n v="73.839038115094212"/>
    <x v="4"/>
    <x v="8"/>
    <n v="0.60000000000000009"/>
    <x v="30"/>
    <x v="58"/>
    <n v="2921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21"/>
    <x v="187"/>
    <x v="4"/>
    <x v="1"/>
    <n v="0"/>
    <n v="0.5408071478588049"/>
    <n v="0.2141179992798363"/>
    <n v="0.56704193177321172"/>
    <n v="2.0538033127784723"/>
    <n v="2.3278027168909707"/>
    <n v="3.2075457319147974E-2"/>
    <x v="187"/>
    <n v="17724.684074074074"/>
    <n v="1550.5062962962959"/>
    <n v="49.257575757575758"/>
    <n v="71.333333333333329"/>
    <n v="0.6677059971319087"/>
    <n v="0.9674683216964054"/>
    <n v="20899.999999999996"/>
    <n v="5250"/>
    <n v="20899.999999999996"/>
    <n v="387092.77771837916"/>
    <n v="23818.387278930877"/>
    <n v="2223.922565579438"/>
    <n v="1899.9999999999998"/>
    <n v="18.521185536764555"/>
    <n v="27.738534049898014"/>
    <n v="374500"/>
    <n v="387092.77771837916"/>
    <n v="0.75903477836158362"/>
    <n v="49.733198529922042"/>
    <n v="50.492233308283623"/>
    <n v="0.24619345659898428"/>
    <n v="2.1966755547841643"/>
    <n v="1.0719514052039625"/>
    <n v="0.19974599430567994"/>
    <n v="0.39592302011462815"/>
    <n v="15.802754357725108"/>
    <n v="0.32081875964621875"/>
    <n v="16.251846658853822"/>
    <n v="17.109680064777947"/>
    <n v="0.95334839614234823"/>
    <n v="2.951091611129955"/>
    <n v="3.5449368148148146"/>
    <n v="1.0719514052039625"/>
    <n v="3.1010125925925918"/>
    <n v="1.225406181541179"/>
    <n v="6.8979217175504537E-2"/>
    <n v="731.99197346377116"/>
    <n v="3.7999999999999994"/>
    <n v="4664.3905458089675"/>
    <n v="6.7121890838206494E-2"/>
    <n v="408.02797270955159"/>
    <n v="0.18394405458089683"/>
    <n v="4868.4045321637432"/>
    <n v="7.2684851016429866E-2"/>
    <n v="7.4385948780317721E-2"/>
    <n v="7.8382037752860845E-2"/>
    <n v="4.9089635544425221"/>
    <n v="0.99906495932296335"/>
    <n v="73.771354412209476"/>
    <n v="73.771354412209476"/>
    <x v="4"/>
    <x v="10"/>
    <n v="0.70000000000000007"/>
    <x v="47"/>
    <x v="56"/>
    <n v="2382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2"/>
    <x v="188"/>
    <x v="4"/>
    <x v="1"/>
    <n v="0"/>
    <n v="1.149897804509137"/>
    <n v="0.22371002404670326"/>
    <n v="1.1751349602912449"/>
    <n v="3.1835436304410294"/>
    <n v="3.5025482034683226"/>
    <n v="3.5467753659058965E-2"/>
    <x v="188"/>
    <n v="17681.234814814812"/>
    <n v="1595.5107407407406"/>
    <n v="54.021212121212123"/>
    <n v="73.333333333333329"/>
    <n v="0.73148623551261249"/>
    <n v="0.99200930954228073"/>
    <n v="22000"/>
    <n v="5250"/>
    <n v="22000"/>
    <n v="388101.19652772351"/>
    <n v="21612.101876062185"/>
    <n v="2067.605804367116"/>
    <n v="2000"/>
    <n v="17.640963478532885"/>
    <n v="24.116603460310383"/>
    <n v="385000"/>
    <n v="388101.19652772351"/>
    <n v="0.79109389311952572"/>
    <n v="56.589181912975285"/>
    <n v="57.380275806094808"/>
    <n v="0.25917777770576222"/>
    <n v="4.4367145003248929"/>
    <n v="1.1311427176591951"/>
    <n v="0.1977734732798814"/>
    <n v="0.1945477443034162"/>
    <n v="17.619999909853803"/>
    <n v="0.32616817020540501"/>
    <n v="17.957586853576185"/>
    <n v="18.865019547188677"/>
    <n v="0.9930776861291799"/>
    <n v="3.0416229181509538"/>
    <n v="3.5362469629629625"/>
    <n v="1.1311427176591951"/>
    <n v="3.1910214814814815"/>
    <n v="1.2535171020355957"/>
    <n v="6.8979217175504537E-2"/>
    <n v="831.84875322811479"/>
    <n v="4"/>
    <n v="4420.308703703703"/>
    <n v="0.11593825925925939"/>
    <n v="398.87768518518516"/>
    <n v="0.20224462962962969"/>
    <n v="4619.7475462962957"/>
    <n v="0.1200480864197532"/>
    <n v="7.8389757566240031E-2"/>
    <n v="0.13642573482375364"/>
    <n v="4.9036492532281812"/>
    <n v="0.99906597157081378"/>
    <n v="73.851303686329814"/>
    <n v="73.851303686329828"/>
    <x v="4"/>
    <x v="9"/>
    <n v="0.8"/>
    <x v="72"/>
    <x v="59"/>
    <n v="2161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22"/>
    <x v="189"/>
    <x v="4"/>
    <x v="1"/>
    <n v="0"/>
    <n v="2.4315640648223229"/>
    <n v="0.22094525694475095"/>
    <n v="2.4870183761505129"/>
    <n v="7.6289049784342451"/>
    <n v="8.0361394373575852"/>
    <n v="3.6406629601579137E-2"/>
    <x v="189"/>
    <n v="17488.774276094275"/>
    <n v="1560.2615824915822"/>
    <n v="54.597979797979797"/>
    <n v="73.666666666666671"/>
    <n v="0.74013270799539244"/>
    <n v="0.99627618308766486"/>
    <n v="23100"/>
    <n v="5250"/>
    <n v="23100"/>
    <n v="388195.56922597723"/>
    <n v="21069.805137873998"/>
    <n v="2023.4409906340625"/>
    <n v="2100"/>
    <n v="16.805002996795551"/>
    <n v="22.70539163484742"/>
    <n v="386750"/>
    <n v="388195.56922597723"/>
    <n v="0.77281234521608"/>
    <n v="56.803865515344746"/>
    <n v="57.576677860560828"/>
    <n v="0.25735188654633007"/>
    <n v="9.4484019427795332"/>
    <n v="1.2007702580223294"/>
    <n v="0.18400293933716191"/>
    <n v="9.0865488654478729E-2"/>
    <n v="17.737242162053299"/>
    <n v="0.32486993525554592"/>
    <n v="18.424260057734319"/>
    <n v="19.404085058811898"/>
    <n v="1.0375340829652464"/>
    <n v="2.9672451798707082"/>
    <n v="3.4977548552188549"/>
    <n v="1.2007702580223296"/>
    <n v="3.1205231649831644"/>
    <n v="1.3459281594606138"/>
    <n v="6.8979217175504537E-2"/>
    <n v="834.69601741156168"/>
    <n v="4.2"/>
    <n v="4163.9938752605412"/>
    <n v="0.16720122494789175"/>
    <n v="371.49085297418623"/>
    <n v="0.25701829405162757"/>
    <n v="4349.7393017476343"/>
    <n v="0.17147822823854586"/>
    <n v="8.3255768920656503E-2"/>
    <n v="0.20696888613316658"/>
    <n v="4.9091984485538962"/>
    <n v="0.99906491458122781"/>
    <n v="73.767824618716475"/>
    <n v="73.76782461871646"/>
    <x v="4"/>
    <x v="9"/>
    <n v="0.8"/>
    <x v="55"/>
    <x v="59"/>
    <n v="21070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4"/>
    <x v="23"/>
    <x v="190"/>
    <x v="4"/>
    <x v="1"/>
    <n v="0"/>
    <n v="2.7778853095319236"/>
    <n v="0.25435601002728703"/>
    <n v="2.8458177344469866"/>
    <n v="8.3186555544535317"/>
    <n v="9.7766709915796941"/>
    <n v="3.8827688708399657E-2"/>
    <x v="190"/>
    <n v="18153.696666666667"/>
    <n v="1576.6599999999999"/>
    <n v="59.787878787878789"/>
    <n v="74"/>
    <n v="0.8100524249476927"/>
    <n v="0.99738815619343157"/>
    <n v="24200.000000000004"/>
    <n v="5250"/>
    <n v="24200.000000000004"/>
    <n v="389517.35850035003"/>
    <n v="19804.422940942342"/>
    <n v="1905.8564251853461"/>
    <n v="2200"/>
    <n v="16.095758615716942"/>
    <n v="19.870020902358622"/>
    <n v="388500"/>
    <n v="389517.35850035003"/>
    <n v="0.92350037027579879"/>
    <n v="61.218063678985395"/>
    <n v="62.141564049261191"/>
    <n v="0.29318369873568667"/>
    <n v="9.4748968701573855"/>
    <n v="1.211874385914788"/>
    <n v="0.20988644778995424"/>
    <n v="9.1564619012347304E-2"/>
    <n v="18.66215616981205"/>
    <n v="0.31213945950521926"/>
    <n v="19.668200364227115"/>
    <n v="20.625718740114614"/>
    <n v="1.0375984497942714"/>
    <n v="3.0128193267952939"/>
    <n v="3.6307393333333335"/>
    <n v="1.211874385914788"/>
    <n v="3.1533199999999999"/>
    <n v="1.3953547372293331"/>
    <n v="6.8979217175504537E-2"/>
    <n v="900.87372101010897"/>
    <n v="4.4000000000000004"/>
    <n v="4125.8401515151509"/>
    <n v="0.17483196969696982"/>
    <n v="358.33181818181811"/>
    <n v="0.28333636363636377"/>
    <n v="4305.0060606060597"/>
    <n v="0.17999884559884577"/>
    <n v="8.4120878129592361E-2"/>
    <n v="0.21951047828743459"/>
    <n v="4.906564879092703"/>
    <n v="0.99906541621350609"/>
    <n v="73.807419059006534"/>
    <n v="73.807419059006534"/>
    <x v="4"/>
    <x v="9"/>
    <n v="0.9"/>
    <x v="15"/>
    <x v="60"/>
    <n v="19805"/>
    <n v="5000"/>
    <m/>
    <m/>
    <m/>
    <m/>
    <m/>
    <m/>
    <m/>
    <m/>
    <m/>
    <m/>
    <m/>
    <m/>
    <m/>
    <m/>
    <m/>
    <m/>
    <m/>
    <m/>
    <m/>
    <m/>
    <n v="5250"/>
    <m/>
    <m/>
    <m/>
    <m/>
    <m/>
    <m/>
    <m/>
    <m/>
  </r>
  <r>
    <x v="4"/>
    <x v="2"/>
    <x v="0"/>
    <x v="191"/>
    <x v="6"/>
    <x v="1"/>
    <n v="0"/>
    <n v="0.15897388613953234"/>
    <n v="0.14335248590552421"/>
    <n v="0.18036612207229291"/>
    <n v="0.28608591556549068"/>
    <n v="0.34058439731597911"/>
    <n v="9.6212234184526301E-3"/>
    <x v="191"/>
    <n v="10302.294444444444"/>
    <n v="375.43333333333339"/>
    <n v="4.5"/>
    <n v="10.5"/>
    <n v="5.9313421256788207E-2"/>
    <n v="0.13871217998448404"/>
    <n v="10400"/>
    <s v="AVG"/>
    <n v="10400"/>
    <n v="386051.17449664447"/>
    <n v="186714.88826426858"/>
    <n v="1091.3373012274049"/>
    <n v="400"/>
    <n v="37.120305240061967"/>
    <n v="625.83314962317536"/>
    <e v="#VALUE!"/>
    <e v="#VALUE!"/>
    <n v="0.29537190382835654"/>
    <n v="3.6121279787343998"/>
    <n v="3.9074998825627563"/>
    <n v="0.15297370932397683"/>
    <n v="1.0392235818956836"/>
    <n v="0.97065756117973723"/>
    <n v="0.14768595191417827"/>
    <n v="0.90173606110190241"/>
    <n v="1.9009729555375441"/>
    <n v="0.42243843456389868"/>
    <n v="2.0675971695960502"/>
    <n v="2.8949022448702633"/>
    <n v="0.70825383547640663"/>
    <n v="1.3497864701603675"/>
    <n v="2.0604588888888888"/>
    <n v="0.97065756117973723"/>
    <n v="1.8771666666666669"/>
    <n v="1.0654354967593003"/>
    <e v="#VALUE!"/>
    <e v="#VALUE!"/>
    <n v="2"/>
    <n v="5151.1472222222219"/>
    <n v="3.0229444444444378E-2"/>
    <n v="187.7166666666667"/>
    <n v="6.1416666666666515E-2"/>
    <n v="5245.0055555555555"/>
    <e v="#VALUE!"/>
    <n v="6.9044901160841679E-2"/>
    <e v="#VALUE!"/>
    <n v="4.7732922606765449"/>
    <e v="#VALUE!"/>
    <n v="75.868157739846964"/>
    <n v="75.868157739846964"/>
    <x v="15"/>
    <x v="0"/>
    <n v="0.1"/>
    <x v="2"/>
    <x v="1"/>
    <n v="18671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1"/>
    <x v="192"/>
    <x v="6"/>
    <x v="1"/>
    <n v="0"/>
    <n v="0.17752558572089625"/>
    <n v="0.1518575964048062"/>
    <n v="0.19594697215130941"/>
    <n v="0.35540273785591114"/>
    <n v="0.45083345651626588"/>
    <n v="1.086438303311912E-2"/>
    <x v="192"/>
    <n v="12391.443749999999"/>
    <n v="454.81875000000002"/>
    <n v="4.8333333333333339"/>
    <n v="10.5"/>
    <n v="6.355486595983105E-2"/>
    <n v="0.13836307214895269"/>
    <n v="11440.000000000002"/>
    <n v="5100"/>
    <n v="11440.000000000002"/>
    <n v="387025.23128679558"/>
    <n v="166481.49744714244"/>
    <n v="966.46077075814333"/>
    <n v="440.00000000000006"/>
    <n v="33.830876860733873"/>
    <n v="532.30978226145896"/>
    <n v="53550"/>
    <n v="387025.23128679558"/>
    <n v="0.37634697277207163"/>
    <n v="4.9413251106444473"/>
    <n v="5.317672083416519"/>
    <n v="0.16272197943792532"/>
    <n v="1.0909748414695148"/>
    <n v="0.88770931151585963"/>
    <n v="0.17106680580548708"/>
    <n v="0.85541245104553565"/>
    <n v="2.1665677767554534"/>
    <n v="0.44825540208733511"/>
    <n v="2.3247342030286302"/>
    <n v="3.0605859181396839"/>
    <n v="0.7623471589588432"/>
    <n v="1.7374686500056695"/>
    <n v="2.4782887499999999"/>
    <n v="0.88770931151585963"/>
    <n v="2.27409375"/>
    <n v="0.96741833972324143"/>
    <n v="7.1008017680666433E-2"/>
    <n v="74.888333136278746"/>
    <n v="2.2000000000000002"/>
    <n v="5632.4744318181811"/>
    <n v="0.12649488636363621"/>
    <n v="206.73579545454544"/>
    <n v="3.3678977272727194E-2"/>
    <n v="5735.842329545454"/>
    <n v="0.12467496657754001"/>
    <n v="6.3136479241418977E-2"/>
    <n v="0.11085422035926885"/>
    <n v="4.7618929103621683"/>
    <n v="0.99906629550777215"/>
    <n v="76.049776210497768"/>
    <n v="76.049776210497768"/>
    <x v="4"/>
    <x v="1"/>
    <n v="0.1"/>
    <x v="20"/>
    <x v="1"/>
    <n v="16648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2"/>
    <x v="193"/>
    <x v="6"/>
    <x v="1"/>
    <n v="0"/>
    <n v="0.17512113405281848"/>
    <n v="0.1538078496688704"/>
    <n v="0.19660316307908576"/>
    <n v="0.36267546415328977"/>
    <n v="0.40300796747207646"/>
    <n v="1.1228162871936714E-2"/>
    <x v="193"/>
    <n v="12463.516666666665"/>
    <n v="459.47777777777782"/>
    <n v="4.5999999999999996"/>
    <n v="10.5"/>
    <n v="6.0624515128006207E-2"/>
    <n v="0.13805275407292475"/>
    <n v="12480"/>
    <n v="5100"/>
    <n v="12480"/>
    <n v="387895.19527957292"/>
    <n v="161660.69029704964"/>
    <n v="935.14852961772942"/>
    <n v="480"/>
    <n v="31.081345775606803"/>
    <n v="512.68609258119102"/>
    <n v="53550"/>
    <n v="387895.19527957292"/>
    <n v="0.38339733956242539"/>
    <n v="5.1590913249244332"/>
    <n v="5.542488664486859"/>
    <n v="0.1650360125408071"/>
    <n v="1.0611086111252095"/>
    <n v="0.96281012180885295"/>
    <n v="0.15974889148434393"/>
    <n v="0.87829404772173436"/>
    <n v="2.2573080779975423"/>
    <n v="0.49071914739077011"/>
    <n v="2.3994404240562131"/>
    <n v="3.2084426961961956"/>
    <n v="0.75463434396035978"/>
    <n v="1.7274700498961122"/>
    <n v="2.492703333333333"/>
    <n v="0.96281012180885284"/>
    <n v="2.2973888888888889"/>
    <n v="1.0446642323410635"/>
    <n v="7.1008017680666433E-2"/>
    <n v="78.054406326511625"/>
    <n v="2.4"/>
    <n v="5193.1319444444434"/>
    <n v="3.8626388888888689E-2"/>
    <n v="191.4490740740741"/>
    <n v="4.2754629629629476E-2"/>
    <n v="5288.8564814814808"/>
    <n v="3.7030682643427619E-2"/>
    <n v="6.8472436610712908E-2"/>
    <n v="3.5708377064635262E-2"/>
    <n v="4.7727425814490445"/>
    <n v="0.99906416812128451"/>
    <n v="75.876895514748213"/>
    <n v="75.876895514748213"/>
    <x v="4"/>
    <x v="1"/>
    <n v="0.1"/>
    <x v="20"/>
    <x v="1"/>
    <n v="16166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3"/>
    <x v="194"/>
    <x v="6"/>
    <x v="1"/>
    <n v="0"/>
    <n v="0.18269736869893843"/>
    <n v="0.16247661777030895"/>
    <n v="0.20221037043727796"/>
    <n v="0.36628542542457565"/>
    <n v="0.46218669652938793"/>
    <n v="1.1404410581020489E-2"/>
    <x v="194"/>
    <n v="12640.916666666664"/>
    <n v="466.4444444444444"/>
    <n v="5.4499999999999993"/>
    <n v="12"/>
    <n v="7.1823118696664079E-2"/>
    <n v="0.1582234290147401"/>
    <n v="13520"/>
    <n v="5100"/>
    <n v="13520"/>
    <n v="386794.80264770781"/>
    <n v="158304.54909031763"/>
    <n v="1052.2244805856697"/>
    <n v="520"/>
    <n v="28.609083036073063"/>
    <n v="398.32693922551499"/>
    <n v="61200"/>
    <n v="386794.80264770781"/>
    <n v="0.41077067710326548"/>
    <n v="5.3195239576804454"/>
    <n v="5.7302946347837107"/>
    <n v="0.17388102835132943"/>
    <n v="1.0507032908144265"/>
    <n v="1.0284064314956063"/>
    <n v="0.15798872196279443"/>
    <n v="0.88932106098391239"/>
    <n v="2.2749314608780868"/>
    <n v="0.4174186166748784"/>
    <n v="2.4433587339744069"/>
    <n v="3.3092885476997043"/>
    <n v="0.73919949370881621"/>
    <n v="1.7315790243697107"/>
    <n v="2.5281833333333328"/>
    <n v="1.0284064314956065"/>
    <n v="2.3322222222222222"/>
    <n v="1.1148165793234874"/>
    <n v="7.1008017680666433E-2"/>
    <n v="80.699262167177992"/>
    <n v="2.6"/>
    <n v="4861.8910256410245"/>
    <n v="2.76217948717951E-2"/>
    <n v="179.40170940170938"/>
    <n v="0.10299145299145308"/>
    <n v="4951.591880341879"/>
    <n v="2.9099631305513921E-2"/>
    <n v="7.3136255758298699E-2"/>
    <n v="2.9971799624139178E-2"/>
    <n v="4.7724932366414627"/>
    <n v="0.99906421701242321"/>
    <n v="75.88085979693237"/>
    <n v="75.88085979693237"/>
    <x v="4"/>
    <x v="1"/>
    <n v="0.1"/>
    <x v="3"/>
    <x v="2"/>
    <n v="15830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4"/>
    <x v="195"/>
    <x v="6"/>
    <x v="1"/>
    <n v="0"/>
    <n v="0.1962321878838505"/>
    <n v="0.16636100612474064"/>
    <n v="0.21566905063602765"/>
    <n v="0.41773403882980342"/>
    <n v="0.47761176824569701"/>
    <n v="1.3324501686882279E-2"/>
    <x v="195"/>
    <n v="15602.761111111111"/>
    <n v="580.86111111111109"/>
    <n v="7.35"/>
    <n v="16"/>
    <n v="9.6761055081458491E-2"/>
    <n v="0.20950349107835531"/>
    <n v="14559.999999999998"/>
    <n v="5100"/>
    <n v="14559.999999999998"/>
    <n v="389492.31623773376"/>
    <n v="137568.47884486688"/>
    <n v="1200.7953750159152"/>
    <n v="560"/>
    <n v="26.750845895448752"/>
    <n v="276.46294134482616"/>
    <n v="81600"/>
    <n v="389492.31623773376"/>
    <n v="0.5191382073536841"/>
    <n v="7.7396848548443149"/>
    <n v="8.2588230621979992"/>
    <n v="0.17968550781162293"/>
    <n v="1.0920868926701346"/>
    <n v="0.89727708450463006"/>
    <n v="0.18540650262631575"/>
    <n v="0.84777634046056416"/>
    <n v="2.6719832113626549"/>
    <n v="0.36353513079764016"/>
    <n v="2.8312613435011964"/>
    <n v="3.5621774218810858"/>
    <n v="0.80144545300386405"/>
    <n v="2.3184760566577132"/>
    <n v="3.1205522222222224"/>
    <n v="0.89727708450462995"/>
    <n v="2.9043055555555553"/>
    <n v="0.9640858878102434"/>
    <n v="7.1008017680666433E-2"/>
    <n v="116.30831745422255"/>
    <n v="2.8"/>
    <n v="5572.4146825396829"/>
    <n v="0.11448293650793658"/>
    <n v="207.45039682539684"/>
    <n v="3.7251984126984182E-2"/>
    <n v="5676.1398809523816"/>
    <n v="0.11296860410831013"/>
    <n v="6.3800557732315147E-2"/>
    <n v="0.10150205827128284"/>
    <n v="4.7675013089963452"/>
    <n v="0.99906519582176534"/>
    <n v="75.960312687913401"/>
    <n v="75.960312687913415"/>
    <x v="4"/>
    <x v="1"/>
    <n v="0.1"/>
    <x v="21"/>
    <x v="12"/>
    <n v="13757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"/>
    <x v="196"/>
    <x v="6"/>
    <x v="1"/>
    <n v="0"/>
    <n v="0.18698219941112554"/>
    <n v="0.15744471102956686"/>
    <n v="0.20741236069966423"/>
    <n v="0.3844584763050079"/>
    <n v="0.45043528079986572"/>
    <n v="1.3399499060221923E-2"/>
    <x v="196"/>
    <n v="14922.894444444446"/>
    <n v="551.72777777777787"/>
    <n v="6.75"/>
    <n v="18"/>
    <n v="8.9103956555469377E-2"/>
    <n v="0.23801396431342126"/>
    <n v="15600"/>
    <n v="5100"/>
    <n v="15600"/>
    <n v="385691.65580182528"/>
    <n v="135934.02305052849"/>
    <n v="1343.3338006967167"/>
    <n v="600"/>
    <n v="24.723824089860596"/>
    <n v="277.47167517156674"/>
    <n v="91800"/>
    <n v="385691.65580182528"/>
    <n v="0.46990616070605695"/>
    <n v="7.3928758398316647"/>
    <n v="7.862782000537722"/>
    <n v="0.17084421008978878"/>
    <n v="1.0944602647807338"/>
    <n v="1.0051669303058202"/>
    <n v="0.15663538690201895"/>
    <n v="0.84203047950776655"/>
    <n v="2.6486071783891361"/>
    <n v="0.39238624865024235"/>
    <n v="2.8373445230739516"/>
    <n v="3.6850667423502053"/>
    <n v="0.76584498356742026"/>
    <n v="2.1336878136223709"/>
    <n v="2.9845788888888891"/>
    <n v="1.0051669303058202"/>
    <n v="2.7586388888888895"/>
    <n v="1.0874928255681644"/>
    <n v="7.1008017680666433E-2"/>
    <n v="110.73090416208795"/>
    <n v="3"/>
    <n v="4974.2981481481484"/>
    <n v="5.140370370370329E-3"/>
    <n v="183.9092592592593"/>
    <n v="8.04537037037035E-2"/>
    <n v="5066.2527777777777"/>
    <n v="6.6171023965141693E-3"/>
    <n v="7.1481014875504401E-2"/>
    <n v="6.6611801073662748E-3"/>
    <n v="4.7804720214505672"/>
    <n v="0.99906265254481352"/>
    <n v="75.75421183231029"/>
    <n v="75.75421183231029"/>
    <x v="4"/>
    <x v="1"/>
    <n v="0.1"/>
    <x v="48"/>
    <x v="11"/>
    <n v="13593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5"/>
    <x v="197"/>
    <x v="6"/>
    <x v="1"/>
    <n v="0"/>
    <n v="0.2161787155717752"/>
    <n v="0.18370497780114689"/>
    <n v="0.23735317915797055"/>
    <n v="0.47217763662338219"/>
    <n v="0.57438341379165681"/>
    <n v="1.5942548324487743E-2"/>
    <x v="197"/>
    <n v="17739.197222222218"/>
    <n v="648.86597222222224"/>
    <n v="9.9944444444444436"/>
    <n v="17.5"/>
    <n v="0.13169209550900782"/>
    <n v="0.2321955003878976"/>
    <n v="16640"/>
    <n v="5100"/>
    <n v="16640"/>
    <n v="384374.37353825592"/>
    <n v="113982.77223262726"/>
    <n v="1097.6915135405307"/>
    <n v="640"/>
    <n v="23.099421486674032"/>
    <n v="175.40476820109541"/>
    <n v="89250"/>
    <n v="384374.37353825592"/>
    <n v="0.65175576638369981"/>
    <n v="10.3445771182685"/>
    <n v="10.996332884652199"/>
    <n v="0.19964752612563463"/>
    <n v="1.0828018747186368"/>
    <n v="0.90195738846380868"/>
    <n v="0.20367367699490618"/>
    <n v="0.84978290908641074"/>
    <n v="3.1990316680421378"/>
    <n v="0.32008098957620057"/>
    <n v="3.3722146426986952"/>
    <n v="4.0904670533613574"/>
    <n v="0.83102193244560263"/>
    <n v="2.6882829616280417"/>
    <n v="3.5478394444444437"/>
    <n v="0.90195738846380868"/>
    <n v="3.2443298611111113"/>
    <n v="0.98633620408254996"/>
    <n v="7.1008017680666433E-2"/>
    <n v="154.8604403252649"/>
    <n v="3.2"/>
    <n v="5543.4991319444425"/>
    <n v="0.1086998263888885"/>
    <n v="202.77061631944443"/>
    <n v="1.3853081597222143E-2"/>
    <n v="5644.8844401041652"/>
    <n v="0.10684008629493434"/>
    <n v="6.4153818207253896E-2"/>
    <n v="9.6527120419512155E-2"/>
    <n v="4.7717602475321925"/>
    <n v="0.99906436073577798"/>
    <n v="75.892515840184331"/>
    <n v="75.892515840184331"/>
    <x v="4"/>
    <x v="2"/>
    <n v="0.2"/>
    <x v="4"/>
    <x v="4"/>
    <n v="11398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6"/>
    <x v="198"/>
    <x v="6"/>
    <x v="1"/>
    <n v="0"/>
    <n v="0.20801129573506111"/>
    <n v="0.17401289876308371"/>
    <n v="0.22498377145894186"/>
    <n v="0.44401783943176254"/>
    <n v="0.50354958534240701"/>
    <n v="1.6929177718728747E-2"/>
    <x v="198"/>
    <n v="18026.683333333331"/>
    <n v="663.16666666666674"/>
    <n v="12.05"/>
    <n v="22.5"/>
    <n v="0.15862684251357639"/>
    <n v="0.29608223429014735"/>
    <n v="17680"/>
    <n v="5100"/>
    <n v="17680"/>
    <n v="387561.24721603573"/>
    <n v="108870.15373690984"/>
    <n v="1329.0663240606336"/>
    <n v="680"/>
    <n v="21.920885023531433"/>
    <n v="138.19152342804333"/>
    <n v="114750"/>
    <n v="387561.24721603573"/>
    <n v="0.6273750843835002"/>
    <n v="11.226866357136949"/>
    <n v="11.854241441520449"/>
    <n v="0.19094207648181244"/>
    <n v="1.0893947503230099"/>
    <n v="0.9430464653786379"/>
    <n v="0.18452208364220596"/>
    <n v="0.83655504451411944"/>
    <n v="3.3949878404605176"/>
    <n v="0.28174172949879811"/>
    <n v="3.5598484425088333"/>
    <n v="4.3288820091243876"/>
    <n v="0.82840556774662755"/>
    <n v="2.7384071491286113"/>
    <n v="3.6053366666666662"/>
    <n v="0.9430464653786379"/>
    <n v="3.3158333333333339"/>
    <n v="1.0253832621261623"/>
    <n v="7.1008017680666433E-2"/>
    <n v="166.94229509167158"/>
    <n v="3.4"/>
    <n v="5301.9656862745096"/>
    <n v="6.0393137254901919E-2"/>
    <n v="195.04901960784318"/>
    <n v="2.4754901960784111E-2"/>
    <n v="5399.4901960784309"/>
    <n v="5.8723567858515867E-2"/>
    <n v="6.7069459712032875E-2"/>
    <n v="5.5466383899714478E-2"/>
    <n v="4.7672419877962531"/>
    <n v="0.9990652466690596"/>
    <n v="75.964444661808585"/>
    <n v="75.964444661808599"/>
    <x v="4"/>
    <x v="2"/>
    <n v="0.2"/>
    <x v="37"/>
    <x v="13"/>
    <n v="10887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18"/>
    <x v="199"/>
    <x v="6"/>
    <x v="1"/>
    <n v="0"/>
    <n v="0.22927821392779871"/>
    <n v="0.18666512909385616"/>
    <n v="0.24923354294304034"/>
    <n v="0.5135504364967346"/>
    <n v="0.65341941833496087"/>
    <n v="1.8620865082390158E-2"/>
    <x v="199"/>
    <n v="20278.32777777778"/>
    <n v="739.21111111111111"/>
    <n v="13.8"/>
    <n v="24.5"/>
    <n v="0.18175717610550809"/>
    <n v="0.32292474786656322"/>
    <n v="19760"/>
    <n v="5100"/>
    <n v="19760"/>
    <n v="386932.25225225225"/>
    <n v="98938.446913320309"/>
    <n v="1315.7283451438445"/>
    <n v="760"/>
    <n v="19.58159171317066"/>
    <n v="107.73490286734955"/>
    <n v="124950"/>
    <n v="386932.25225225225"/>
    <n v="0.75705133448928374"/>
    <n v="13.764750367403719"/>
    <n v="14.521801701893002"/>
    <n v="0.20528599417624632"/>
    <n v="1.1168721706896092"/>
    <n v="0.93696088791016341"/>
    <n v="0.19922403539191677"/>
    <n v="0.81414245992267842"/>
    <n v="3.6880400906796176"/>
    <n v="0.2672492819333056"/>
    <n v="3.9108381455718875"/>
    <n v="4.661133904388195"/>
    <n v="0.83642682649700806"/>
    <n v="3.1155083719481955"/>
    <n v="4.0556655555555556"/>
    <n v="0.93696088791016352"/>
    <n v="3.6960555555555556"/>
    <n v="1.0281230741481158"/>
    <n v="7.1008017680666433E-2"/>
    <n v="204.50932410477498"/>
    <n v="3.8"/>
    <n v="5336.4020467836262"/>
    <n v="6.7280409356725246E-2"/>
    <n v="194.52923976608187"/>
    <n v="2.7353801169590641E-2"/>
    <n v="5433.666666666667"/>
    <n v="6.5424836601307254E-2"/>
    <n v="6.6647608767204242E-2"/>
    <n v="6.1407275627262198E-2"/>
    <n v="4.769688807962928"/>
    <n v="0.99906476690039947"/>
    <n v="75.925475382546921"/>
    <n v="75.925475382546921"/>
    <x v="4"/>
    <x v="2"/>
    <n v="0.2"/>
    <x v="5"/>
    <x v="5"/>
    <n v="9894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"/>
    <x v="200"/>
    <x v="6"/>
    <x v="1"/>
    <n v="0"/>
    <n v="0.25456379431977494"/>
    <n v="0.20479113765244134"/>
    <n v="0.27635655578319313"/>
    <n v="0.57976590991020205"/>
    <n v="0.69905272960662823"/>
    <n v="2.3321659898174307E-2"/>
    <x v="200"/>
    <n v="21640"/>
    <n v="800.44444444444434"/>
    <n v="15.3"/>
    <n v="32"/>
    <n v="0.20157098525989142"/>
    <n v="0.42211016291698988"/>
    <n v="20800"/>
    <n v="5100"/>
    <n v="20800"/>
    <n v="386628.92850578943"/>
    <n v="79404.221087181926"/>
    <n v="1372.1150269627703"/>
    <n v="800"/>
    <n v="18.587929255086031"/>
    <n v="92.215301875515792"/>
    <n v="163200"/>
    <n v="386628.92850578943"/>
    <n v="0.88633604375976616"/>
    <n v="18.667693100716409"/>
    <n v="19.554029144476175"/>
    <n v="0.22811279755061564"/>
    <n v="1.1159557773749635"/>
    <n v="0.92421441774491686"/>
    <n v="0.22158401093994151"/>
    <n v="0.80447865023251985"/>
    <n v="4.6973714183058419"/>
    <n v="0.30701773975855173"/>
    <n v="4.8691231172873026"/>
    <n v="5.588546397379778"/>
    <n v="0.88191332813095213"/>
    <n v="3.4989472671541555"/>
    <n v="4.3280000000000003"/>
    <n v="0.92421441774491675"/>
    <n v="4.0022222222222217"/>
    <n v="0.99944475291504731"/>
    <n v="7.1008017680666433E-2"/>
    <n v="275.37776413381289"/>
    <n v="4"/>
    <n v="5410"/>
    <n v="8.2000000000000003E-2"/>
    <n v="200.11111111111109"/>
    <n v="5.5555555555542925E-4"/>
    <n v="5510.0555555555557"/>
    <n v="8.0403050108932478E-2"/>
    <n v="6.5723636816377926E-2"/>
    <n v="7.4419495669533403E-2"/>
    <n v="4.7710520284145748"/>
    <n v="0.99906449960227162"/>
    <n v="75.903781391321061"/>
    <n v="75.903781391321075"/>
    <x v="4"/>
    <x v="3"/>
    <n v="0.30000000000000004"/>
    <x v="67"/>
    <x v="20"/>
    <n v="7940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2"/>
    <x v="201"/>
    <x v="6"/>
    <x v="1"/>
    <n v="0"/>
    <n v="0.23426858785896187"/>
    <n v="0.18760349416758715"/>
    <n v="0.25721968175343379"/>
    <n v="0.49146270751953103"/>
    <n v="0.55424608469009395"/>
    <n v="1.9950350457762972E-2"/>
    <x v="201"/>
    <n v="20483.655555555553"/>
    <n v="754.47777777777787"/>
    <n v="13.95"/>
    <n v="27.5"/>
    <n v="0.18389449185415049"/>
    <n v="0.36291698991466259"/>
    <n v="21840"/>
    <n v="5100"/>
    <n v="21840"/>
    <n v="386452.0094057289"/>
    <n v="92504.117776618776"/>
    <n v="1378.4219008192586"/>
    <n v="840"/>
    <n v="17.694689075353889"/>
    <n v="96.221963458197621"/>
    <n v="140250"/>
    <n v="386452.0094057289"/>
    <n v="0.76856107110950611"/>
    <n v="15.052096079260881"/>
    <n v="15.820657150370387"/>
    <n v="0.20755384462535012"/>
    <n v="1.1287123506762007"/>
    <n v="1.0252076316673078"/>
    <n v="0.18299073121654907"/>
    <n v="0.80080516078635011"/>
    <n v="3.9607606061067733"/>
    <n v="0.28392549147718804"/>
    <n v="4.1776735857201812"/>
    <n v="5.015277723219902"/>
    <n v="0.83247211299546808"/>
    <n v="3.1544927366880153"/>
    <n v="4.0967311111111107"/>
    <n v="1.0252076316673078"/>
    <n v="3.7723888888888895"/>
    <n v="1.1133528710071718"/>
    <n v="7.1008017680666433E-2"/>
    <n v="222.80099722707686"/>
    <n v="4.2"/>
    <n v="4877.0608465608457"/>
    <n v="2.4587830687830863E-2"/>
    <n v="179.63756613756615"/>
    <n v="0.10181216931216923"/>
    <n v="4966.8796296296287"/>
    <n v="2.6102033405955165E-2"/>
    <n v="7.2911146871985508E-2"/>
    <n v="2.6801609923512142E-2"/>
    <n v="4.7738863783282515"/>
    <n v="0.99906394384738673"/>
    <n v="75.85871582855215"/>
    <n v="75.85871582855215"/>
    <x v="4"/>
    <x v="2"/>
    <n v="0.2"/>
    <x v="5"/>
    <x v="5"/>
    <n v="9250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3"/>
    <x v="202"/>
    <x v="6"/>
    <x v="1"/>
    <n v="0"/>
    <n v="0.26773352355389124"/>
    <n v="0.21398528934232625"/>
    <n v="0.28652833997557037"/>
    <n v="0.57967132329940751"/>
    <n v="0.74709239006042527"/>
    <n v="2.4031371159684622E-2"/>
    <x v="202"/>
    <n v="21760.944444444449"/>
    <n v="793.86111111111109"/>
    <n v="19.450000000000003"/>
    <n v="36"/>
    <n v="0.25623739332816142"/>
    <n v="0.47579519006982157"/>
    <n v="22880.000000000004"/>
    <n v="5100"/>
    <n v="22880.000000000004"/>
    <n v="385880.319582586"/>
    <n v="76864.61585242048"/>
    <n v="1498.0418620637895"/>
    <n v="880.00000000000011"/>
    <n v="16.865398583154981"/>
    <n v="65.819427695924091"/>
    <n v="183600"/>
    <n v="385880.319582586"/>
    <n v="0.9313043986613464"/>
    <n v="19.077571010350745"/>
    <n v="20.008875409012091"/>
    <n v="0.23801666050201087"/>
    <n v="1.1248520292201534"/>
    <n v="1.0109855321843157"/>
    <n v="0.21166009060485147"/>
    <n v="0.79924727580576516"/>
    <n v="4.7969364899036879"/>
    <n v="0.24662912544491966"/>
    <n v="5.0202595212792511"/>
    <n v="5.8172597641212409"/>
    <n v="0.86649708740646847"/>
    <n v="3.4395705573300361"/>
    <n v="4.3521888888888896"/>
    <n v="1.010985532184316"/>
    <n v="3.9693055555555556"/>
    <n v="1.1085062458448511"/>
    <n v="7.1008017680666433E-2"/>
    <n v="281.78332620120403"/>
    <n v="4.4000000000000004"/>
    <n v="4945.6691919191926"/>
    <n v="1.086616161616148E-2"/>
    <n v="180.42297979797976"/>
    <n v="9.7885101010101186E-2"/>
    <n v="5035.8806818181829"/>
    <n v="1.257241532976806E-2"/>
    <n v="7.1912126806119928E-2"/>
    <n v="1.2732493526567768E-2"/>
    <n v="4.7709016820081862"/>
    <n v="0.9990645290819592"/>
    <n v="75.906173362802377"/>
    <n v="75.906173362802377"/>
    <x v="4"/>
    <x v="3"/>
    <n v="0.30000000000000004"/>
    <x v="51"/>
    <x v="30"/>
    <n v="7686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4"/>
    <x v="203"/>
    <x v="6"/>
    <x v="1"/>
    <n v="0"/>
    <n v="0.29045582898953587"/>
    <n v="0.22962988056941785"/>
    <n v="0.31213514237176804"/>
    <n v="0.69013125896453853"/>
    <n v="0.80190755367279032"/>
    <n v="2.7285715660388569E-2"/>
    <x v="203"/>
    <n v="23180.35"/>
    <n v="841.92777777777781"/>
    <n v="22.25"/>
    <n v="42"/>
    <n v="0.29388673390224984"/>
    <n v="0.55162916989914668"/>
    <n v="23919.999999999996"/>
    <n v="5100"/>
    <n v="23919.999999999996"/>
    <n v="388304.33865410305"/>
    <n v="68282.018253679445"/>
    <n v="1539.2669381574099"/>
    <n v="919.99999999999989"/>
    <n v="16.233458973833741"/>
    <n v="55.237127441190246"/>
    <n v="214200"/>
    <n v="388304.33865410305"/>
    <n v="1.0645802004114611"/>
    <n v="22.972601951027258"/>
    <n v="24.037182151438721"/>
    <n v="0.25691559622980642"/>
    <n v="1.1305496172748046"/>
    <n v="0.99221970332630882"/>
    <n v="0.23143047835031758"/>
    <n v="0.79058451458273415"/>
    <n v="5.4426861624721976"/>
    <n v="0.24461510842571674"/>
    <n v="5.686773012647131"/>
    <n v="6.4493628354040222"/>
    <n v="0.884716276851231"/>
    <n v="3.7270630859045015"/>
    <n v="4.6360700000000001"/>
    <n v="0.9922197033263086"/>
    <n v="4.2096388888888887"/>
    <n v="1.0927303080892397"/>
    <n v="7.1008017680666433E-2"/>
    <n v="338.51363460866474"/>
    <n v="4.5999999999999996"/>
    <n v="5039.2065217391309"/>
    <n v="7.8413043478261901E-3"/>
    <n v="183.0277777777778"/>
    <n v="8.4861111111110998E-2"/>
    <n v="5130.7204106280196"/>
    <n v="6.0236099270626732E-3"/>
    <n v="7.0582854100029083E-2"/>
    <n v="5.9875433017912635E-3"/>
    <n v="4.783299030333743"/>
    <n v="0.99906209822934622"/>
    <n v="75.709439839501599"/>
    <n v="75.709439839501599"/>
    <x v="4"/>
    <x v="8"/>
    <n v="0.30000000000000004"/>
    <x v="25"/>
    <x v="10"/>
    <n v="6828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5"/>
    <x v="204"/>
    <x v="6"/>
    <x v="1"/>
    <n v="0"/>
    <n v="0.3271283484961538"/>
    <n v="0.25079316509162963"/>
    <n v="0.3494704504606847"/>
    <n v="0.71865006089210481"/>
    <n v="0.8697062611579901"/>
    <n v="4.0983470643534484E-2"/>
    <x v="204"/>
    <n v="25790.550000000003"/>
    <n v="917.35555555555561"/>
    <n v="37.599999999999994"/>
    <n v="64"/>
    <n v="0.4969550038789759"/>
    <n v="0.84511249030256019"/>
    <n v="24960"/>
    <n v="5100"/>
    <n v="24960"/>
    <n v="386220.77385596914"/>
    <n v="45720.195890617288"/>
    <n v="1561.6051787477541"/>
    <n v="960"/>
    <n v="15.473588696152609"/>
    <n v="31.136800264357358"/>
    <n v="326400"/>
    <n v="386220.77385596914"/>
    <n v="1.293618732790786"/>
    <n v="37.59641448079438"/>
    <n v="38.890033213585163"/>
    <n v="0.2917766357351641"/>
    <n v="1.1211601904721298"/>
    <n v="0.93057340770165808"/>
    <n v="0.26950390266474705"/>
    <n v="0.76665066248325564"/>
    <n v="8.0205604199859817"/>
    <n v="0.21331277712728677"/>
    <n v="8.4474872937985257"/>
    <n v="9.1272675364085547"/>
    <n v="0.91009771157723363"/>
    <n v="4.2608626358823507"/>
    <n v="5.1581100000000006"/>
    <n v="0.93057340770165797"/>
    <n v="4.5867777777777778"/>
    <n v="1.0464862769797243"/>
    <n v="7.1008017680666433E-2"/>
    <n v="547.68509928666651"/>
    <n v="4.8"/>
    <n v="5373.0312500000009"/>
    <n v="7.4606250000000179E-2"/>
    <n v="191.11574074074076"/>
    <n v="4.4421296296296188E-2"/>
    <n v="5468.5891203703713"/>
    <n v="7.2272376543210073E-2"/>
    <n v="6.622199660647976E-2"/>
    <n v="6.7401136245066259E-2"/>
    <n v="4.7863757308474293"/>
    <n v="0.99906149495473573"/>
    <n v="75.660773523787213"/>
    <n v="75.660773523787213"/>
    <x v="4"/>
    <x v="4"/>
    <n v="0.5"/>
    <x v="28"/>
    <x v="58"/>
    <n v="4572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"/>
    <x v="205"/>
    <x v="6"/>
    <x v="1"/>
    <n v="0"/>
    <n v="0.30402247977359381"/>
    <n v="0.233589265452812"/>
    <n v="0.3255837336412456"/>
    <n v="0.64308524131774869"/>
    <n v="0.73265768051147462"/>
    <n v="3.6565374451086839E-2"/>
    <x v="205"/>
    <n v="25341.133333333331"/>
    <n v="887.16666666666663"/>
    <n v="33.700000000000003"/>
    <n v="56.5"/>
    <n v="0.44471683475562451"/>
    <n v="0.74530643910007766"/>
    <n v="26000"/>
    <n v="5100"/>
    <n v="26000"/>
    <n v="386619.49620068696"/>
    <n v="51230.515659054567"/>
    <n v="1545.1776673470013"/>
    <n v="1000"/>
    <n v="14.869980623103345"/>
    <n v="33.436963615902961"/>
    <n v="288150"/>
    <n v="386619.49620068696"/>
    <n v="1.1838833442150205"/>
    <n v="32.439581367189206"/>
    <n v="33.623464711404225"/>
    <n v="0.27015463990389882"/>
    <n v="1.1253646425682071"/>
    <n v="0.98653835529586953"/>
    <n v="0.23677666884300408"/>
    <n v="0.76832892629112959"/>
    <n v="7.2161700623699483"/>
    <n v="0.21412967544124473"/>
    <n v="7.5466641556701797"/>
    <n v="8.2996132455132372"/>
    <n v="0.90168384312824423"/>
    <n v="4.0512086186161795"/>
    <n v="5.068226666666666"/>
    <n v="0.98653835529586953"/>
    <n v="4.4358333333333331"/>
    <n v="1.1271839188427579"/>
    <n v="7.1008017680666433E-2"/>
    <n v="473.51645362941861"/>
    <n v="5"/>
    <n v="5068.2266666666665"/>
    <n v="1.3645333333333292E-2"/>
    <n v="177.43333333333334"/>
    <n v="0.11283333333333331"/>
    <n v="5156.9433333333327"/>
    <n v="1.1165359477124059E-2"/>
    <n v="7.0223942122962804E-2"/>
    <n v="1.1042070787410688E-2"/>
    <n v="4.7789362140239975"/>
    <n v="0.99906295368352471"/>
    <n v="75.778556974391194"/>
    <n v="75.778556974391194"/>
    <x v="4"/>
    <x v="9"/>
    <n v="0.5"/>
    <x v="77"/>
    <x v="16"/>
    <n v="5123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6"/>
    <x v="206"/>
    <x v="6"/>
    <x v="1"/>
    <n v="0"/>
    <n v="0.46296748587874703"/>
    <n v="0.33392263269015754"/>
    <n v="0.48565413989893425"/>
    <n v="1.1779205560684196"/>
    <n v="1.5340393543243409"/>
    <n v="4.6968770324398397E-2"/>
    <x v="206"/>
    <n v="26348.711111111108"/>
    <n v="945.08888888888885"/>
    <n v="45.95"/>
    <n v="70"/>
    <n v="0.60624127230411173"/>
    <n v="0.9289371605896044"/>
    <n v="27040"/>
    <n v="5100"/>
    <n v="27040"/>
    <n v="384310.17203941871"/>
    <n v="39506.881651959804"/>
    <n v="1490.3519831695019"/>
    <n v="1040"/>
    <n v="14.212654291398621"/>
    <n v="23.443890973277483"/>
    <n v="357000"/>
    <n v="384310.17203941871"/>
    <n v="1.7596861964429256"/>
    <n v="44.389662958363097"/>
    <n v="46.149349154806025"/>
    <n v="0.38089140301455593"/>
    <n v="1.2154842094481575"/>
    <n v="0.98676553438835735"/>
    <n v="0.33840119162363952"/>
    <n v="0.72126584020548945"/>
    <n v="9.517284163040296"/>
    <n v="0.20712261508248739"/>
    <n v="9.7276766975698372"/>
    <n v="10.380519599268037"/>
    <n v="0.95691576742411555"/>
    <n v="4.4457648495803772"/>
    <n v="5.2697422222222219"/>
    <n v="0.98676553438835723"/>
    <n v="4.7254444444444443"/>
    <n v="1.1004255919490231"/>
    <n v="7.1008017680666433E-2"/>
    <n v="649.91744118736676"/>
    <n v="5.2"/>
    <n v="5067.0598290598282"/>
    <n v="1.3411965811965638E-2"/>
    <n v="181.74786324786322"/>
    <n v="9.1260683760683886E-2"/>
    <n v="5157.9337606837598"/>
    <n v="1.135956091838428E-2"/>
    <n v="7.0210457709211013E-2"/>
    <n v="1.1231970663399796E-2"/>
    <n v="4.7779054191698016"/>
    <n v="0.99906315580016281"/>
    <n v="75.794905591564358"/>
    <n v="75.794905591564344"/>
    <x v="4"/>
    <x v="5"/>
    <n v="0.70000000000000007"/>
    <x v="53"/>
    <x v="28"/>
    <n v="3951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3"/>
    <x v="207"/>
    <x v="6"/>
    <x v="1"/>
    <n v="0"/>
    <n v="0.42499768955843065"/>
    <n v="0.27550645379253225"/>
    <n v="0.44875082983785985"/>
    <n v="0.97234777808189399"/>
    <n v="1.161385941505432"/>
    <n v="4.943304710785449E-2"/>
    <x v="207"/>
    <n v="26410.005555555555"/>
    <n v="935.66666666666663"/>
    <n v="46.7"/>
    <n v="70.5"/>
    <n v="0.61581070597362297"/>
    <n v="0.92835531419705197"/>
    <n v="28080.000000000004"/>
    <n v="5100"/>
    <n v="28080.000000000004"/>
    <n v="387297.8314461204"/>
    <n v="38111.928283072186"/>
    <n v="1426.1714404572513"/>
    <n v="1080"/>
    <n v="13.792657815032776"/>
    <n v="22.397560940786171"/>
    <n v="359550"/>
    <n v="387297.8314461204"/>
    <n v="1.4552253950504372"/>
    <n v="46.252854410582515"/>
    <n v="47.708079805632948"/>
    <n v="0.32493950090038676"/>
    <n v="1.3079286709704083"/>
    <n v="1.02233980766128"/>
    <n v="0.26948618426859949"/>
    <n v="0.64825400363654062"/>
    <n v="9.8292384716336052"/>
    <n v="0.21047619853605148"/>
    <n v="10.16211587536343"/>
    <n v="10.908949229232178"/>
    <n v="0.93545243447818693"/>
    <n v="4.3732974462647549"/>
    <n v="5.2820011111111107"/>
    <n v="1.02233980766128"/>
    <n v="4.6783333333333328"/>
    <n v="1.1542572141075884"/>
    <n v="7.1008017680666433E-2"/>
    <n v="671.86891514396655"/>
    <n v="5.4"/>
    <n v="4890.741769547325"/>
    <n v="2.1851646090534995E-2"/>
    <n v="173.27160493827159"/>
    <n v="0.13364197530864202"/>
    <n v="4977.3775720164613"/>
    <n v="2.4043613330105632E-2"/>
    <n v="7.2757367696476852E-2"/>
    <n v="2.4635950600360442E-2"/>
    <n v="4.7753798123846973"/>
    <n v="0.99906365101717942"/>
    <n v="75.834992063292106"/>
    <n v="75.834992063292106"/>
    <x v="4"/>
    <x v="5"/>
    <n v="0.70000000000000007"/>
    <x v="54"/>
    <x v="25"/>
    <n v="3811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4"/>
    <x v="208"/>
    <x v="6"/>
    <x v="1"/>
    <n v="0"/>
    <n v="0.67078863442520575"/>
    <n v="0.27738673965273308"/>
    <n v="0.75452343058059945"/>
    <n v="2.659781920909881"/>
    <n v="3.4462504005432129"/>
    <n v="4.4880637599709949E-2"/>
    <x v="208"/>
    <n v="26227.566666666669"/>
    <n v="932.23888888888882"/>
    <n v="43.900000000000006"/>
    <n v="74.5"/>
    <n v="0.57991078355314196"/>
    <n v="0.98382467028704423"/>
    <n v="29119.999999999996"/>
    <n v="5100"/>
    <n v="29119.999999999996"/>
    <n v="386196.86157000356"/>
    <n v="41735.15604296673"/>
    <n v="1659.9585920428517"/>
    <n v="1120"/>
    <n v="13.262254861607266"/>
    <n v="22.869474473898858"/>
    <n v="379950"/>
    <n v="386196.86157000356"/>
    <n v="1.4550358413382736"/>
    <n v="41.839475728578492"/>
    <n v="43.294511569916764"/>
    <n v="0.32226737725244303"/>
    <n v="2.0814661420096336"/>
    <n v="1.0675790230889382"/>
    <n v="0.259827828810406"/>
    <n v="0.41352331482244614"/>
    <n v="8.5711649270504715"/>
    <n v="0.19524293683486266"/>
    <n v="9.2535142595947235"/>
    <n v="10.043706543030929"/>
    <n v="0.91570506211748903"/>
    <n v="4.3106109666214527"/>
    <n v="5.2455133333333341"/>
    <n v="1.0675790230889379"/>
    <n v="4.661194444444444"/>
    <n v="1.2014087948368026"/>
    <n v="7.1008017680666433E-2"/>
    <n v="609.71300120809724"/>
    <n v="5.6"/>
    <n v="4683.4940476190486"/>
    <n v="6.3301190476190275E-2"/>
    <n v="166.47123015873015"/>
    <n v="0.16764384920634925"/>
    <n v="4766.7296626984134"/>
    <n v="6.5347124961095404E-2"/>
    <n v="7.597260927241116E-2"/>
    <n v="6.9915929973869015E-2"/>
    <n v="4.78381337986169"/>
    <n v="0.99906199737649781"/>
    <n v="75.701299656858495"/>
    <n v="75.701299656858495"/>
    <x v="4"/>
    <x v="4"/>
    <n v="0.60000000000000009"/>
    <x v="65"/>
    <x v="51"/>
    <n v="4174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8"/>
    <x v="209"/>
    <x v="6"/>
    <x v="1"/>
    <n v="0"/>
    <n v="0.88071801715954978"/>
    <n v="0.32256835789510263"/>
    <n v="0.91359544240563417"/>
    <n v="2.3184520602226253"/>
    <n v="2.8061714839935301"/>
    <n v="6.0949067151273024E-2"/>
    <x v="209"/>
    <n v="27592.888888888891"/>
    <n v="970.82222222222231"/>
    <n v="59.2"/>
    <n v="75.5"/>
    <n v="0.78105896043444534"/>
    <n v="0.99441427463149723"/>
    <n v="30160"/>
    <n v="5100"/>
    <n v="30160"/>
    <n v="387212.86472148541"/>
    <n v="30946.375460522555"/>
    <n v="1238.7392215964876"/>
    <n v="1160"/>
    <n v="12.838622835593018"/>
    <n v="16.437456691428061"/>
    <n v="385050"/>
    <n v="387212.86472148541"/>
    <n v="1.7801185716941825"/>
    <n v="59.170708814170332"/>
    <n v="60.950827385864514"/>
    <n v="0.38351742504637565"/>
    <n v="2.2964224299666482"/>
    <n v="1.0509954255524772"/>
    <n v="0.30691699511968668"/>
    <n v="0.36625611331926067"/>
    <n v="12.0850300152493"/>
    <n v="0.20413902052785979"/>
    <n v="12.512381788149707"/>
    <n v="13.240808855807082"/>
    <n v="0.97462315979267844"/>
    <n v="4.6032555903209067"/>
    <n v="5.5185777777777778"/>
    <n v="1.0509954255524772"/>
    <n v="4.8541111111111119"/>
    <n v="1.1948634605260144"/>
    <n v="7.1008017680666433E-2"/>
    <n v="858.36542656308768"/>
    <n v="5.8"/>
    <n v="4757.3946360153259"/>
    <n v="4.8521072796934822E-2"/>
    <n v="167.38314176245214"/>
    <n v="0.16308429118773929"/>
    <n v="4841.0862068965516"/>
    <n v="5.0767410412440858E-2"/>
    <n v="7.4805709854019409E-2"/>
    <n v="5.3482582634988632E-2"/>
    <n v="4.7779288379742804"/>
    <n v="0.9990631512082403"/>
    <n v="75.794534086224971"/>
    <n v="75.794534086224971"/>
    <x v="4"/>
    <x v="18"/>
    <n v="0.8"/>
    <x v="71"/>
    <x v="60"/>
    <n v="3095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4"/>
    <x v="210"/>
    <x v="6"/>
    <x v="1"/>
    <n v="0"/>
    <n v="1.1517556077274866"/>
    <n v="0.31669270171251629"/>
    <n v="1.1567808913351114"/>
    <n v="2.8659533262252808"/>
    <n v="3.2619171977043155"/>
    <n v="6.0201198214723778E-2"/>
    <x v="210"/>
    <n v="27471.505555555559"/>
    <n v="957.72222222222217"/>
    <n v="59.3"/>
    <n v="76"/>
    <n v="0.78250581846392542"/>
    <n v="0.99941815360744757"/>
    <n v="31200"/>
    <n v="5100"/>
    <n v="31200"/>
    <n v="387825.65495827678"/>
    <n v="31385.269753132525"/>
    <n v="1262.4333444149324"/>
    <n v="1200"/>
    <n v="12.430309453790922"/>
    <n v="15.885261375042385"/>
    <n v="387600"/>
    <n v="387825.65495827678"/>
    <n v="1.7400050628998582"/>
    <n v="57.656025334645733"/>
    <n v="59.396030397545594"/>
    <n v="0.37689389992724009"/>
    <n v="3.0559146962841126"/>
    <n v="1.0920406214843621"/>
    <n v="0.29000084381664304"/>
    <n v="0.27496519191026852"/>
    <n v="11.873603729263692"/>
    <n v="0.20022940521523933"/>
    <n v="12.35693234465727"/>
    <n v="13.132280264429117"/>
    <n v="0.98727394463965734"/>
    <n v="4.5229030451344574"/>
    <n v="5.4943011111111115"/>
    <n v="1.0920406214843621"/>
    <n v="4.7886111111111109"/>
    <n v="1.2529729102616161"/>
    <n v="7.1008017680666433E-2"/>
    <n v="836.46935004802322"/>
    <n v="6"/>
    <n v="4578.5842592592599"/>
    <n v="8.4283148148148024E-2"/>
    <n v="159.62037037037035"/>
    <n v="0.20189814814814824"/>
    <n v="4658.3944444444451"/>
    <n v="8.6589324618736266E-2"/>
    <n v="7.7739421702102629E-2"/>
    <n v="9.4797802294781935E-2"/>
    <n v="4.778707481666526"/>
    <n v="0.99906299853300651"/>
    <n v="75.782184107470385"/>
    <n v="75.782184107470385"/>
    <x v="4"/>
    <x v="18"/>
    <n v="0.8"/>
    <x v="71"/>
    <x v="60"/>
    <n v="3139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29"/>
    <x v="211"/>
    <x v="6"/>
    <x v="1"/>
    <n v="0"/>
    <n v="3.2818187676151434"/>
    <n v="0.35329870931130669"/>
    <n v="3.4464219516158194"/>
    <n v="7.5228621661663055"/>
    <n v="8.1567895460128792"/>
    <n v="6.2837029255082055E-2"/>
    <x v="211"/>
    <n v="27003.490555555556"/>
    <n v="972.21111111111122"/>
    <n v="59.763636363636365"/>
    <n v="76"/>
    <n v="0.78798716411594616"/>
    <n v="0.99829325058184648"/>
    <n v="32240"/>
    <n v="5100"/>
    <n v="32240"/>
    <n v="388262.66708113148"/>
    <n v="30049.651338153009"/>
    <n v="1209.4779288734971"/>
    <n v="1240"/>
    <n v="12.042886696064873"/>
    <n v="15.283100086504525"/>
    <n v="387600"/>
    <n v="388262.66708113148"/>
    <n v="1.9080596720355676"/>
    <n v="61.090858031004728"/>
    <n v="62.998917703040298"/>
    <n v="0.41613573856638875"/>
    <n v="7.8864141275661526"/>
    <n v="1.1479997349313873"/>
    <n v="0.30775156000573672"/>
    <n v="0.10765332711167486"/>
    <n v="12.12129001869782"/>
    <n v="0.20282049012119868"/>
    <n v="12.920704560327717"/>
    <n v="13.715405585947797"/>
    <n v="1.1184701510230839"/>
    <n v="4.5932960063234463"/>
    <n v="5.4006981111111116"/>
    <n v="1.1479997349313873"/>
    <n v="4.8610555555555557"/>
    <n v="1.2754431479216906"/>
    <n v="7.1008017680666433E-2"/>
    <n v="887.20851195080195"/>
    <n v="6.2"/>
    <n v="4355.4017025089606"/>
    <n v="0.12891965949820788"/>
    <n v="156.80824372759858"/>
    <n v="0.21595878136200711"/>
    <n v="4433.8058243727601"/>
    <n v="0.13062630894651764"/>
    <n v="8.1677210170255948E-2"/>
    <n v="0.15025334938331125"/>
    <n v="4.7748495643785116"/>
    <n v="0.99906375498737687"/>
    <n v="75.84341355444036"/>
    <n v="75.843413554440346"/>
    <x v="4"/>
    <x v="18"/>
    <n v="0.8"/>
    <x v="71"/>
    <x v="60"/>
    <n v="3005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5"/>
    <x v="212"/>
    <x v="6"/>
    <x v="1"/>
    <n v="0"/>
    <n v="3.2827046437944061"/>
    <n v="0.34844500523617583"/>
    <n v="3.3810752648457258"/>
    <n v="6.7417177677154543"/>
    <n v="7.2073835134506226"/>
    <n v="6.6213860636296473E-2"/>
    <x v="212"/>
    <n v="27971.911111111112"/>
    <n v="965.39444444444439"/>
    <n v="62.65"/>
    <n v="76"/>
    <n v="0.82582622187742438"/>
    <n v="0.99794414274631493"/>
    <n v="33280"/>
    <n v="5100"/>
    <n v="33280"/>
    <n v="388398.49185680418"/>
    <n v="28577.167745203307"/>
    <n v="1147.7959338069325"/>
    <n v="1280"/>
    <n v="11.670627760120318"/>
    <n v="14.132062473856109"/>
    <n v="387600"/>
    <n v="388398.49185680418"/>
    <n v="1.9493345427153912"/>
    <n v="63.9224932034993"/>
    <n v="65.871827746214692"/>
    <n v="0.4146588658724723"/>
    <n v="7.9166392279768516"/>
    <n v="1.144004779397745"/>
    <n v="0.30458352229927987"/>
    <n v="0.10614570698429204"/>
    <n v="12.992125305577005"/>
    <n v="0.20737630176499611"/>
    <n v="13.591217132495471"/>
    <n v="14.38677690665704"/>
    <n v="1.126632893100266"/>
    <n v="4.5786369089892904"/>
    <n v="5.5943822222222224"/>
    <n v="1.144004779397745"/>
    <n v="4.8269722222222216"/>
    <n v="1.325882914870721"/>
    <n v="7.1008017680666433E-2"/>
    <n v="927.66746485516683"/>
    <n v="6.4"/>
    <n v="4370.6111111111113"/>
    <n v="0.12587777777777773"/>
    <n v="150.84288194444443"/>
    <n v="0.24578559027777785"/>
    <n v="4446.0325520833339"/>
    <n v="0.12822891135620904"/>
    <n v="8.1452595303582717E-2"/>
    <n v="0.14709011692013566"/>
    <n v="4.7735904727465854"/>
    <n v="0.99906400186808886"/>
    <n v="75.863418162688234"/>
    <n v="75.863418162688234"/>
    <x v="4"/>
    <x v="19"/>
    <n v="0.9"/>
    <x v="81"/>
    <x v="43"/>
    <n v="2858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6"/>
    <x v="213"/>
    <x v="6"/>
    <x v="1"/>
    <n v="0"/>
    <n v="3.4491225572958131"/>
    <n v="0.34354937586510081"/>
    <n v="3.3835779482924946"/>
    <n v="7.2943248867988579"/>
    <n v="7.6614029026031494"/>
    <n v="6.4225564259963633E-2"/>
    <x v="213"/>
    <n v="27529.800555555554"/>
    <n v="979.72444444444443"/>
    <n v="62.209090909090911"/>
    <n v="76"/>
    <n v="0.82089463290782139"/>
    <n v="0.99875872769588825"/>
    <n v="34320"/>
    <n v="5100"/>
    <n v="34320"/>
    <n v="388081.71508466679"/>
    <n v="29425.404061447487"/>
    <n v="1183.3294245945024"/>
    <n v="1320"/>
    <n v="11.30774228102176"/>
    <n v="13.77490097720192"/>
    <n v="387600"/>
    <n v="388081.71508466679"/>
    <n v="1.8915691597103632"/>
    <n v="62.923355263723835"/>
    <n v="64.814924423434192"/>
    <n v="0.40777494012506443"/>
    <n v="8.4583975568434102"/>
    <n v="1.1987010197696675"/>
    <n v="0.28660138783490352"/>
    <n v="9.9604861862157487E-2"/>
    <n v="12.977625234434807"/>
    <n v="0.20861300245328493"/>
    <n v="13.188662227857828"/>
    <n v="14.043813871762396"/>
    <n v="1.1651053180340447"/>
    <n v="4.615193922055334"/>
    <n v="5.5059601111111105"/>
    <n v="1.1987010197696675"/>
    <n v="4.8986222222222224"/>
    <n v="1.3473176131157059"/>
    <n v="7.1008017680666433E-2"/>
    <n v="912.7831833711582"/>
    <n v="6.6"/>
    <n v="4171.1819023569024"/>
    <n v="0.16576361952861954"/>
    <n v="148.44309764309764"/>
    <n v="0.25778451178451178"/>
    <n v="4245.4034511784512"/>
    <n v="0.16756795074932329"/>
    <n v="8.5301878687377694E-2"/>
    <n v="0.20129925427566323"/>
    <n v="4.778714955545496"/>
    <n v="0.9990629970675402"/>
    <n v="75.782065584629549"/>
    <n v="75.782065584629535"/>
    <x v="4"/>
    <x v="18"/>
    <n v="0.9"/>
    <x v="81"/>
    <x v="43"/>
    <n v="29430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  <r>
    <x v="4"/>
    <x v="2"/>
    <x v="32"/>
    <x v="214"/>
    <x v="6"/>
    <x v="1"/>
    <n v="0"/>
    <n v="3.6392291646165353"/>
    <n v="0.38880960210423587"/>
    <n v="3.6674147649262578"/>
    <n v="7.5885836303234102"/>
    <n v="8.0247759127616867"/>
    <n v="6.5766690236459535E-2"/>
    <x v="214"/>
    <n v="27582.58"/>
    <n v="970.46166666666659"/>
    <n v="64.268181818181816"/>
    <n v="75.5"/>
    <n v="0.84791875308554909"/>
    <n v="0.9961598138091543"/>
    <n v="35360"/>
    <n v="5100"/>
    <n v="35360"/>
    <n v="386534.36392663838"/>
    <n v="28543.062292181872"/>
    <n v="1147.9975612053006"/>
    <n v="1360"/>
    <n v="10.931401694757874"/>
    <n v="12.892039072114933"/>
    <n v="385050"/>
    <n v="386534.36392663838"/>
    <n v="2.1448743909616512"/>
    <n v="63.824051818024913"/>
    <n v="65.968926208986559"/>
    <n v="0.45457629234069541"/>
    <n v="8.0057610261139818"/>
    <n v="1.2326620642448964"/>
    <n v="0.315422704553184"/>
    <n v="0.10683844971472266"/>
    <n v="12.951171856208507"/>
    <n v="0.20151763267316442"/>
    <n v="13.542147649396142"/>
    <n v="14.386000111536804"/>
    <n v="1.1486607953893111"/>
    <n v="4.5856336505991688"/>
    <n v="5.5165160000000002"/>
    <n v="1.2326620642448964"/>
    <n v="4.8523083333333332"/>
    <n v="1.4013948687652096"/>
    <n v="7.1008017680666433E-2"/>
    <n v="929.03489442077637"/>
    <n v="6.8"/>
    <n v="4056.2617647058828"/>
    <n v="0.18874764705882344"/>
    <n v="142.71495098039216"/>
    <n v="0.28642524509803918"/>
    <n v="4127.6192401960789"/>
    <n v="0.19066289407920023"/>
    <n v="8.7736021444215301E-2"/>
    <n v="0.23557908402368274"/>
    <n v="4.7778860915052785"/>
    <n v="0.999063159589901"/>
    <n v="75.795212199649981"/>
    <n v="75.795212199649981"/>
    <x v="4"/>
    <x v="19"/>
    <n v="0.9"/>
    <x v="56"/>
    <x v="44"/>
    <n v="28545"/>
    <n v="5000"/>
    <m/>
    <m/>
    <m/>
    <m/>
    <m/>
    <m/>
    <m/>
    <m/>
    <m/>
    <m/>
    <m/>
    <m/>
    <m/>
    <m/>
    <m/>
    <m/>
    <m/>
    <m/>
    <m/>
    <m/>
    <n v="510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43E5E-26D8-4B8B-8A70-985F0AE106A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>
  <location ref="A8:O225" firstHeaderRow="1" firstDataRow="3" firstDataCol="1" rowPageCount="6" colPageCount="1"/>
  <pivotFields count="100">
    <pivotField axis="axisPage" numFmtId="164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numFmtId="164" showAll="0">
      <items count="19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43" showAll="0"/>
    <pivotField axis="axisRow" numFmtId="167" showAll="0">
      <items count="216">
        <item x="0"/>
        <item x="146"/>
        <item x="15"/>
        <item x="48"/>
        <item x="1"/>
        <item x="147"/>
        <item x="30"/>
        <item x="161"/>
        <item x="16"/>
        <item x="148"/>
        <item x="2"/>
        <item x="49"/>
        <item x="122"/>
        <item x="123"/>
        <item x="128"/>
        <item x="3"/>
        <item x="162"/>
        <item x="17"/>
        <item x="149"/>
        <item x="100"/>
        <item x="124"/>
        <item x="191"/>
        <item x="193"/>
        <item x="31"/>
        <item x="192"/>
        <item x="101"/>
        <item x="126"/>
        <item x="50"/>
        <item x="99"/>
        <item x="194"/>
        <item x="4"/>
        <item x="127"/>
        <item x="102"/>
        <item x="125"/>
        <item x="150"/>
        <item x="66"/>
        <item x="163"/>
        <item x="196"/>
        <item x="104"/>
        <item x="32"/>
        <item x="164"/>
        <item x="195"/>
        <item x="51"/>
        <item x="103"/>
        <item x="33"/>
        <item x="52"/>
        <item x="151"/>
        <item x="105"/>
        <item x="197"/>
        <item x="5"/>
        <item x="18"/>
        <item x="129"/>
        <item x="106"/>
        <item x="179"/>
        <item x="53"/>
        <item x="130"/>
        <item x="165"/>
        <item x="198"/>
        <item x="152"/>
        <item x="54"/>
        <item x="19"/>
        <item x="107"/>
        <item x="72"/>
        <item x="83"/>
        <item x="166"/>
        <item x="199"/>
        <item x="201"/>
        <item x="6"/>
        <item x="200"/>
        <item x="131"/>
        <item x="34"/>
        <item x="132"/>
        <item x="85"/>
        <item x="182"/>
        <item x="180"/>
        <item x="67"/>
        <item x="108"/>
        <item x="133"/>
        <item x="181"/>
        <item x="84"/>
        <item x="35"/>
        <item x="55"/>
        <item x="73"/>
        <item x="202"/>
        <item x="86"/>
        <item x="7"/>
        <item x="183"/>
        <item x="109"/>
        <item x="167"/>
        <item x="111"/>
        <item x="203"/>
        <item x="36"/>
        <item x="153"/>
        <item x="168"/>
        <item x="87"/>
        <item x="37"/>
        <item x="134"/>
        <item x="20"/>
        <item x="8"/>
        <item x="88"/>
        <item x="68"/>
        <item x="154"/>
        <item x="57"/>
        <item x="110"/>
        <item x="112"/>
        <item x="56"/>
        <item x="169"/>
        <item x="38"/>
        <item x="135"/>
        <item x="184"/>
        <item x="136"/>
        <item x="58"/>
        <item x="93"/>
        <item x="114"/>
        <item x="40"/>
        <item x="170"/>
        <item x="205"/>
        <item x="21"/>
        <item x="172"/>
        <item x="171"/>
        <item x="69"/>
        <item x="113"/>
        <item x="59"/>
        <item x="89"/>
        <item x="74"/>
        <item x="90"/>
        <item x="91"/>
        <item x="60"/>
        <item x="92"/>
        <item x="39"/>
        <item x="204"/>
        <item x="185"/>
        <item x="41"/>
        <item x="186"/>
        <item x="70"/>
        <item x="61"/>
        <item x="137"/>
        <item x="94"/>
        <item x="115"/>
        <item x="95"/>
        <item x="42"/>
        <item x="155"/>
        <item x="117"/>
        <item x="120"/>
        <item x="208"/>
        <item x="62"/>
        <item x="118"/>
        <item x="119"/>
        <item x="75"/>
        <item x="206"/>
        <item x="76"/>
        <item x="207"/>
        <item x="116"/>
        <item x="121"/>
        <item x="9"/>
        <item x="63"/>
        <item x="96"/>
        <item x="64"/>
        <item x="173"/>
        <item x="65"/>
        <item x="187"/>
        <item x="97"/>
        <item x="174"/>
        <item x="43"/>
        <item x="156"/>
        <item x="45"/>
        <item x="98"/>
        <item x="47"/>
        <item x="140"/>
        <item x="176"/>
        <item x="46"/>
        <item x="44"/>
        <item x="138"/>
        <item x="10"/>
        <item x="22"/>
        <item x="178"/>
        <item x="175"/>
        <item x="188"/>
        <item x="141"/>
        <item x="189"/>
        <item x="78"/>
        <item x="71"/>
        <item x="144"/>
        <item x="77"/>
        <item x="177"/>
        <item x="142"/>
        <item x="11"/>
        <item x="209"/>
        <item x="139"/>
        <item x="210"/>
        <item x="211"/>
        <item x="145"/>
        <item x="190"/>
        <item x="23"/>
        <item x="79"/>
        <item x="213"/>
        <item x="212"/>
        <item x="81"/>
        <item x="157"/>
        <item x="143"/>
        <item x="214"/>
        <item x="160"/>
        <item x="158"/>
        <item x="12"/>
        <item x="159"/>
        <item x="80"/>
        <item x="82"/>
        <item x="24"/>
        <item x="14"/>
        <item x="26"/>
        <item x="27"/>
        <item x="13"/>
        <item x="25"/>
        <item x="29"/>
        <item x="28"/>
        <item t="default"/>
      </items>
    </pivotField>
    <pivotField axis="axisCol" showAll="0">
      <items count="9">
        <item x="0"/>
        <item x="2"/>
        <item x="1"/>
        <item x="5"/>
        <item x="6"/>
        <item x="3"/>
        <item x="4"/>
        <item x="7"/>
        <item t="default"/>
      </items>
    </pivotField>
    <pivotField axis="axisCol" showAll="0">
      <items count="3">
        <item x="1"/>
        <item x="0"/>
        <item t="default"/>
      </items>
    </pivotField>
    <pivotField numFmtId="43" showAll="0"/>
    <pivotField numFmtId="165" showAll="0"/>
    <pivotField numFmtId="43" showAll="0"/>
    <pivotField numFmtId="43" showAll="0"/>
    <pivotField numFmtId="43" showAll="0"/>
    <pivotField numFmtId="43" showAll="0"/>
    <pivotField dataField="1" numFmtId="165" showAll="0"/>
    <pivotField axis="axisPage" numFmtId="43" showAll="0">
      <items count="362">
        <item x="48"/>
        <item x="30"/>
        <item x="49"/>
        <item x="0"/>
        <item x="15"/>
        <item x="31"/>
        <item x="1"/>
        <item x="16"/>
        <item x="2"/>
        <item x="3"/>
        <item x="17"/>
        <item x="50"/>
        <item x="4"/>
        <item x="66"/>
        <item x="32"/>
        <item x="18"/>
        <item x="5"/>
        <item x="51"/>
        <item x="33"/>
        <item x="19"/>
        <item x="6"/>
        <item x="52"/>
        <item x="67"/>
        <item x="7"/>
        <item x="72"/>
        <item x="53"/>
        <item x="83"/>
        <item x="68"/>
        <item x="20"/>
        <item x="34"/>
        <item x="85"/>
        <item x="8"/>
        <item x="84"/>
        <item x="54"/>
        <item x="73"/>
        <item x="86"/>
        <item x="87"/>
        <item x="35"/>
        <item x="88"/>
        <item x="21"/>
        <item x="55"/>
        <item x="36"/>
        <item x="89"/>
        <item x="74"/>
        <item x="37"/>
        <item x="69"/>
        <item x="9"/>
        <item x="91"/>
        <item x="10"/>
        <item x="70"/>
        <item x="92"/>
        <item x="75"/>
        <item x="56"/>
        <item x="22"/>
        <item x="38"/>
        <item x="90"/>
        <item x="76"/>
        <item x="57"/>
        <item x="11"/>
        <item x="58"/>
        <item x="23"/>
        <item x="39"/>
        <item x="71"/>
        <item x="40"/>
        <item x="77"/>
        <item x="59"/>
        <item x="12"/>
        <item x="78"/>
        <item x="41"/>
        <item x="24"/>
        <item x="60"/>
        <item x="25"/>
        <item x="13"/>
        <item x="42"/>
        <item x="61"/>
        <item x="79"/>
        <item x="14"/>
        <item x="80"/>
        <item x="81"/>
        <item x="62"/>
        <item x="82"/>
        <item x="26"/>
        <item x="43"/>
        <item x="63"/>
        <item x="27"/>
        <item x="44"/>
        <item x="45"/>
        <item x="64"/>
        <item x="65"/>
        <item x="28"/>
        <item x="46"/>
        <item x="47"/>
        <item x="29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umFmtId="164" showAll="0"/>
    <pivotField numFmtId="164" showAll="0"/>
    <pivotField numFmtId="43" showAll="0"/>
    <pivotField numFmtId="43" showAll="0"/>
    <pivotField numFmtId="167" showAll="0" sortType="ascending"/>
    <pivotField numFmtId="167" showAll="0"/>
    <pivotField numFmtId="164" showAll="0"/>
    <pivotField numFmtId="164" showAll="0"/>
    <pivotField numFmtId="164" showAll="0"/>
    <pivotField numFmtId="164" showAll="0"/>
    <pivotField numFmtId="43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43" showAll="0"/>
    <pivotField numFmtId="43" showAll="0"/>
    <pivotField numFmtId="43" showAll="0"/>
    <pivotField numFmtId="165" showAll="0"/>
    <pivotField numFmtId="9" showAll="0"/>
    <pivotField numFmtId="43" showAll="0"/>
    <pivotField numFmtId="9" showAll="0"/>
    <pivotField numFmtId="9" showAll="0"/>
    <pivotField numFmtId="43" showAll="0"/>
    <pivotField numFmtId="9" showAll="0"/>
    <pivotField numFmtId="43" showAll="0"/>
    <pivotField numFmtId="43" showAll="0"/>
    <pivotField numFmtId="9" showAll="0"/>
    <pivotField numFmtId="43" showAll="0"/>
    <pivotField numFmtId="43" showAll="0"/>
    <pivotField numFmtId="9" showAll="0"/>
    <pivotField numFmtId="43" showAll="0"/>
    <pivotField numFmtId="9" showAll="0"/>
    <pivotField numFmtId="164" showAll="0"/>
    <pivotField showAll="0"/>
    <pivotField numFmtId="43" showAll="0"/>
    <pivotField numFmtId="166" showAll="0"/>
    <pivotField numFmtId="9" showAll="0"/>
    <pivotField numFmtId="166" showAll="0"/>
    <pivotField numFmtId="9" showAll="0"/>
    <pivotField numFmtId="166" showAll="0"/>
    <pivotField numFmtId="9" showAll="0"/>
    <pivotField numFmtId="166" showAll="0"/>
    <pivotField numFmtId="9" showAll="0"/>
    <pivotField numFmtId="43" showAll="0"/>
    <pivotField numFmtId="10" showAll="0"/>
    <pivotField numFmtId="43" showAll="0"/>
    <pivotField numFmtId="43" showAll="0"/>
    <pivotField axis="axisPage" numFmtId="16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numFmtId="165" showAll="0">
      <items count="167">
        <item x="0"/>
        <item x="1"/>
        <item x="2"/>
        <item x="3"/>
        <item x="8"/>
        <item x="10"/>
        <item x="9"/>
        <item x="4"/>
        <item x="5"/>
        <item x="6"/>
        <item x="7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9" showAll="0"/>
    <pivotField numFmtId="9" showAll="0" sortType="ascending"/>
    <pivotField axis="axisPage" numFmtId="164" showAll="0">
      <items count="78">
        <item x="19"/>
        <item x="0"/>
        <item x="1"/>
        <item x="2"/>
        <item x="11"/>
        <item x="12"/>
        <item x="3"/>
        <item x="4"/>
        <item x="13"/>
        <item x="5"/>
        <item x="6"/>
        <item x="20"/>
        <item x="21"/>
        <item x="29"/>
        <item x="30"/>
        <item x="14"/>
        <item x="22"/>
        <item x="10"/>
        <item x="9"/>
        <item x="7"/>
        <item x="8"/>
        <item x="18"/>
        <item x="17"/>
        <item x="16"/>
        <item x="15"/>
        <item x="23"/>
        <item x="45"/>
        <item x="24"/>
        <item x="31"/>
        <item x="40"/>
        <item x="28"/>
        <item x="25"/>
        <item x="27"/>
        <item x="26"/>
        <item x="32"/>
        <item x="33"/>
        <item x="34"/>
        <item x="41"/>
        <item x="39"/>
        <item x="35"/>
        <item x="43"/>
        <item x="42"/>
        <item x="44"/>
        <item x="36"/>
        <item x="37"/>
        <item x="38"/>
        <item x="48"/>
        <item x="49"/>
        <item m="1" x="61"/>
        <item x="52"/>
        <item x="54"/>
        <item m="1" x="62"/>
        <item x="51"/>
        <item x="50"/>
        <item x="58"/>
        <item x="46"/>
        <item x="57"/>
        <item x="47"/>
        <item x="53"/>
        <item x="59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x="56"/>
        <item x="55"/>
        <item x="6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43" showAll="0"/>
    <pivotField showAll="0"/>
    <pivotField numFmtId="43" showAll="0"/>
    <pivotField numFmtId="43" showAll="0"/>
    <pivotField numFmtId="164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showAll="0"/>
    <pivotField showAll="0"/>
    <pivotField numFmtId="43" showAll="0"/>
    <pivotField showAll="0"/>
    <pivotField numFmtId="43" showAll="0"/>
    <pivotField showAll="0"/>
    <pivotField showAll="0"/>
  </pivotFields>
  <rowFields count="1">
    <field x="3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</rowItems>
  <colFields count="2">
    <field x="5"/>
    <field x="4"/>
  </colFields>
  <colItems count="14">
    <i>
      <x/>
      <x/>
    </i>
    <i r="1">
      <x v="2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</colItems>
  <pageFields count="6">
    <pageField fld="13" hier="-1"/>
    <pageField fld="65" hier="-1"/>
    <pageField fld="68" hier="-1"/>
    <pageField fld="64" hier="-1"/>
    <pageField fld="0" hier="-1"/>
    <pageField fld="1" hier="-1"/>
  </pageFields>
  <dataFields count="1">
    <dataField name="Average of ITL" fld="12" subtotal="average" baseField="3" baseItem="0" numFmtId="165"/>
  </dataFields>
  <chartFormats count="12">
    <chartFormat chart="0" format="140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</references>
      </pivotArea>
    </chartFormat>
    <chartFormat chart="0" format="14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14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0" format="14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0" format="14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14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14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0" format="14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0" format="142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0" format="142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  <chartFormat chart="0" format="142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1"/>
          </reference>
        </references>
      </pivotArea>
    </chartFormat>
    <chartFormat chart="0" format="14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DB2D6-58D6-491E-A509-0AA2C96F5E3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7">
  <location ref="A4:K66" firstHeaderRow="1" firstDataRow="3" firstDataCol="1" rowPageCount="2" colPageCount="1"/>
  <pivotFields count="100"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Page" showAll="0">
      <items count="38">
        <item x="0"/>
        <item x="11"/>
        <item x="12"/>
        <item x="6"/>
        <item x="13"/>
        <item x="19"/>
        <item x="14"/>
        <item x="1"/>
        <item x="15"/>
        <item x="20"/>
        <item x="16"/>
        <item x="7"/>
        <item x="17"/>
        <item x="21"/>
        <item x="18"/>
        <item x="2"/>
        <item x="22"/>
        <item x="23"/>
        <item x="8"/>
        <item x="24"/>
        <item x="25"/>
        <item x="3"/>
        <item x="26"/>
        <item x="27"/>
        <item x="9"/>
        <item x="28"/>
        <item x="4"/>
        <item x="29"/>
        <item x="30"/>
        <item x="10"/>
        <item x="31"/>
        <item x="32"/>
        <item x="5"/>
        <item x="33"/>
        <item x="34"/>
        <item x="35"/>
        <item x="36"/>
        <item t="default"/>
      </items>
    </pivotField>
    <pivotField numFmtId="10" showAll="0"/>
    <pivotField axis="axisCol" showAll="0">
      <items count="9">
        <item h="1" x="0"/>
        <item h="1" x="2"/>
        <item h="1" x="1"/>
        <item x="5"/>
        <item x="6"/>
        <item x="3"/>
        <item x="4"/>
        <item x="7"/>
        <item t="default"/>
      </items>
    </pivotField>
    <pivotField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6" showAll="0"/>
    <pivotField numFmtId="166" showAll="0"/>
    <pivotField dataField="1" numFmtId="43" showAll="0"/>
    <pivotField numFmtId="43" showAll="0"/>
    <pivotField numFmtId="10" showAll="0"/>
    <pivotField numFmtId="10" showAll="0"/>
    <pivotField numFmtId="164" showAll="0"/>
    <pivotField numFmtId="164" showAll="0"/>
    <pivotField numFmtId="164" showAll="0"/>
    <pivotField numFmtId="164" showAll="0"/>
    <pivotField numFmtId="43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43" showAll="0"/>
    <pivotField numFmtId="43" showAll="0"/>
    <pivotField numFmtId="43" showAll="0"/>
    <pivotField numFmtId="165" showAll="0"/>
    <pivotField numFmtId="9" showAll="0"/>
    <pivotField numFmtId="43" showAll="0"/>
    <pivotField numFmtId="9" showAll="0"/>
    <pivotField numFmtId="9" showAll="0"/>
    <pivotField numFmtId="43" showAll="0"/>
    <pivotField numFmtId="9" showAll="0"/>
    <pivotField numFmtId="43" showAll="0"/>
    <pivotField numFmtId="43" showAll="0"/>
    <pivotField numFmtId="9" showAll="0"/>
    <pivotField numFmtId="43" showAll="0"/>
    <pivotField numFmtId="43" showAll="0"/>
    <pivotField numFmtId="9" showAll="0"/>
    <pivotField numFmtId="43" showAll="0"/>
    <pivotField numFmtId="9" showAll="0"/>
    <pivotField numFmtId="164" showAll="0"/>
    <pivotField numFmtId="9" showAll="0"/>
    <pivotField numFmtId="43" showAll="0"/>
    <pivotField numFmtId="166" showAll="0"/>
    <pivotField numFmtId="9" showAll="0"/>
    <pivotField numFmtId="166" showAll="0"/>
    <pivotField numFmtId="9" showAll="0"/>
    <pivotField numFmtId="166" showAll="0"/>
    <pivotField numFmtId="9" showAll="0"/>
    <pivotField numFmtId="166" showAll="0"/>
    <pivotField numFmtId="9" showAll="0"/>
    <pivotField numFmtId="43" showAll="0"/>
    <pivotField numFmtId="10" showAll="0"/>
    <pivotField numFmtId="43" showAll="0"/>
    <pivotField numFmtId="43" showAll="0"/>
    <pivotField showAll="0"/>
    <pivotField showAll="0"/>
    <pivotField numFmtId="9" showAll="0"/>
    <pivotField axis="axisRow" numFmtId="9" showAll="0">
      <items count="97">
        <item x="0"/>
        <item x="19"/>
        <item x="1"/>
        <item x="35"/>
        <item x="2"/>
        <item x="20"/>
        <item x="3"/>
        <item x="48"/>
        <item x="21"/>
        <item x="22"/>
        <item x="36"/>
        <item x="61"/>
        <item x="4"/>
        <item x="62"/>
        <item x="37"/>
        <item x="38"/>
        <item x="13"/>
        <item x="5"/>
        <item m="1" x="90"/>
        <item x="67"/>
        <item x="23"/>
        <item x="49"/>
        <item x="57"/>
        <item x="24"/>
        <item x="51"/>
        <item x="58"/>
        <item x="6"/>
        <item x="63"/>
        <item x="25"/>
        <item x="59"/>
        <item x="26"/>
        <item x="68"/>
        <item x="7"/>
        <item x="75"/>
        <item x="40"/>
        <item x="64"/>
        <item x="39"/>
        <item x="76"/>
        <item x="27"/>
        <item x="69"/>
        <item x="41"/>
        <item x="29"/>
        <item x="14"/>
        <item x="42"/>
        <item x="52"/>
        <item x="43"/>
        <item x="28"/>
        <item x="80"/>
        <item x="30"/>
        <item x="44"/>
        <item x="70"/>
        <item x="60"/>
        <item m="1" x="94"/>
        <item x="31"/>
        <item x="65"/>
        <item x="45"/>
        <item m="1" x="82"/>
        <item x="53"/>
        <item x="54"/>
        <item x="66"/>
        <item x="8"/>
        <item m="1" x="86"/>
        <item x="46"/>
        <item x="47"/>
        <item x="32"/>
        <item x="33"/>
        <item x="34"/>
        <item x="9"/>
        <item x="79"/>
        <item x="72"/>
        <item x="55"/>
        <item x="50"/>
        <item x="73"/>
        <item x="10"/>
        <item x="71"/>
        <item x="74"/>
        <item m="1" x="87"/>
        <item x="15"/>
        <item x="81"/>
        <item m="1" x="93"/>
        <item x="56"/>
        <item x="11"/>
        <item x="16"/>
        <item x="12"/>
        <item x="17"/>
        <item x="18"/>
        <item m="1" x="89"/>
        <item m="1" x="92"/>
        <item m="1" x="95"/>
        <item m="1" x="91"/>
        <item m="1" x="83"/>
        <item m="1" x="88"/>
        <item m="1" x="84"/>
        <item m="1" x="85"/>
        <item x="77"/>
        <item x="78"/>
        <item t="default"/>
      </items>
    </pivotField>
    <pivotField numFmtId="164" showAll="0"/>
    <pivotField numFmtId="164" showAll="0"/>
    <pivotField numFmtId="16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7"/>
  </rowFields>
  <rowItems count="60"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5"/>
    </i>
    <i>
      <x v="38"/>
    </i>
    <i>
      <x v="39"/>
    </i>
    <i>
      <x v="40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7"/>
    </i>
    <i>
      <x v="58"/>
    </i>
    <i>
      <x v="59"/>
    </i>
    <i>
      <x v="62"/>
    </i>
    <i>
      <x v="63"/>
    </i>
    <i>
      <x v="64"/>
    </i>
    <i>
      <x v="66"/>
    </i>
    <i>
      <x v="67"/>
    </i>
    <i>
      <x v="69"/>
    </i>
    <i>
      <x v="70"/>
    </i>
    <i>
      <x v="71"/>
    </i>
    <i>
      <x v="72"/>
    </i>
    <i>
      <x v="74"/>
    </i>
    <i>
      <x v="75"/>
    </i>
    <i>
      <x v="77"/>
    </i>
    <i>
      <x v="78"/>
    </i>
    <i>
      <x v="80"/>
    </i>
    <i>
      <x v="82"/>
    </i>
    <i>
      <x v="94"/>
    </i>
  </rowItems>
  <colFields count="2">
    <field x="4"/>
    <field x="-2"/>
  </colFields>
  <colItems count="10"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</colItems>
  <pageFields count="2">
    <pageField fld="0" hier="-1"/>
    <pageField fld="2" hier="-1"/>
  </pageFields>
  <dataFields count="2">
    <dataField name="Average of Run" fld="16" subtotal="average" baseField="3" baseItem="8" numFmtId="43"/>
    <dataField name="Average of Prefill" fld="8" subtotal="average" baseField="0" baseItem="0" numFmtId="165"/>
  </dataFields>
  <chartFormats count="35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4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4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4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D3871-F449-4271-92BC-3291F38FA15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M220" firstHeaderRow="1" firstDataRow="3" firstDataCol="1"/>
  <pivotFields count="10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0" outline="0" showAll="0">
      <items count="216">
        <item x="0"/>
        <item x="146"/>
        <item x="15"/>
        <item x="48"/>
        <item x="1"/>
        <item x="147"/>
        <item x="30"/>
        <item x="161"/>
        <item x="16"/>
        <item x="148"/>
        <item x="2"/>
        <item x="49"/>
        <item x="122"/>
        <item x="123"/>
        <item x="128"/>
        <item x="3"/>
        <item x="162"/>
        <item x="17"/>
        <item x="149"/>
        <item x="100"/>
        <item x="124"/>
        <item x="191"/>
        <item x="193"/>
        <item x="31"/>
        <item x="192"/>
        <item x="101"/>
        <item x="126"/>
        <item x="50"/>
        <item x="99"/>
        <item x="194"/>
        <item x="4"/>
        <item x="127"/>
        <item x="102"/>
        <item x="125"/>
        <item x="150"/>
        <item x="66"/>
        <item x="163"/>
        <item x="196"/>
        <item x="104"/>
        <item x="32"/>
        <item x="164"/>
        <item x="195"/>
        <item x="51"/>
        <item x="103"/>
        <item x="33"/>
        <item x="52"/>
        <item x="151"/>
        <item x="105"/>
        <item x="197"/>
        <item x="5"/>
        <item x="18"/>
        <item x="129"/>
        <item x="106"/>
        <item x="179"/>
        <item x="53"/>
        <item x="130"/>
        <item x="165"/>
        <item x="198"/>
        <item x="152"/>
        <item x="54"/>
        <item x="19"/>
        <item x="107"/>
        <item x="72"/>
        <item x="83"/>
        <item x="166"/>
        <item x="199"/>
        <item x="201"/>
        <item x="6"/>
        <item x="200"/>
        <item x="131"/>
        <item x="34"/>
        <item x="132"/>
        <item x="85"/>
        <item x="182"/>
        <item x="180"/>
        <item x="67"/>
        <item x="108"/>
        <item x="133"/>
        <item x="181"/>
        <item x="84"/>
        <item x="35"/>
        <item x="55"/>
        <item x="73"/>
        <item x="202"/>
        <item x="86"/>
        <item x="7"/>
        <item x="183"/>
        <item x="109"/>
        <item x="167"/>
        <item x="111"/>
        <item x="203"/>
        <item x="36"/>
        <item x="153"/>
        <item x="168"/>
        <item x="87"/>
        <item x="37"/>
        <item x="134"/>
        <item x="20"/>
        <item x="8"/>
        <item x="88"/>
        <item x="68"/>
        <item x="154"/>
        <item x="57"/>
        <item x="110"/>
        <item x="112"/>
        <item x="56"/>
        <item x="169"/>
        <item x="38"/>
        <item x="135"/>
        <item x="184"/>
        <item x="136"/>
        <item x="58"/>
        <item x="93"/>
        <item x="114"/>
        <item x="40"/>
        <item x="170"/>
        <item x="205"/>
        <item x="21"/>
        <item x="172"/>
        <item x="171"/>
        <item x="69"/>
        <item x="113"/>
        <item x="59"/>
        <item x="89"/>
        <item x="74"/>
        <item x="90"/>
        <item x="91"/>
        <item x="60"/>
        <item x="92"/>
        <item x="39"/>
        <item x="204"/>
        <item x="185"/>
        <item x="41"/>
        <item x="186"/>
        <item x="70"/>
        <item x="61"/>
        <item x="137"/>
        <item x="94"/>
        <item x="115"/>
        <item x="95"/>
        <item x="42"/>
        <item x="155"/>
        <item x="117"/>
        <item x="120"/>
        <item x="208"/>
        <item x="62"/>
        <item x="118"/>
        <item x="119"/>
        <item x="75"/>
        <item x="206"/>
        <item x="76"/>
        <item x="207"/>
        <item x="116"/>
        <item x="121"/>
        <item x="9"/>
        <item x="63"/>
        <item x="96"/>
        <item x="64"/>
        <item x="173"/>
        <item x="65"/>
        <item x="187"/>
        <item x="97"/>
        <item x="174"/>
        <item x="43"/>
        <item x="156"/>
        <item x="45"/>
        <item x="98"/>
        <item x="47"/>
        <item x="140"/>
        <item x="176"/>
        <item x="46"/>
        <item x="44"/>
        <item x="138"/>
        <item x="10"/>
        <item x="22"/>
        <item x="178"/>
        <item x="175"/>
        <item x="188"/>
        <item x="141"/>
        <item x="189"/>
        <item x="78"/>
        <item x="71"/>
        <item x="144"/>
        <item x="77"/>
        <item x="177"/>
        <item x="142"/>
        <item x="11"/>
        <item x="209"/>
        <item x="139"/>
        <item x="210"/>
        <item x="211"/>
        <item x="145"/>
        <item x="190"/>
        <item x="23"/>
        <item x="79"/>
        <item x="213"/>
        <item x="212"/>
        <item x="81"/>
        <item x="157"/>
        <item x="143"/>
        <item x="214"/>
        <item x="160"/>
        <item x="158"/>
        <item x="12"/>
        <item x="159"/>
        <item x="80"/>
        <item x="82"/>
        <item x="24"/>
        <item x="14"/>
        <item x="26"/>
        <item x="27"/>
        <item x="13"/>
        <item x="25"/>
        <item x="29"/>
        <item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x="0"/>
        <item x="2"/>
        <item x="1"/>
        <item x="5"/>
        <item x="6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</rowItems>
  <colFields count="2">
    <field x="4"/>
    <field x="5"/>
  </colFields>
  <colItems count="12">
    <i>
      <x/>
      <x/>
    </i>
    <i r="1">
      <x v="1"/>
    </i>
    <i>
      <x v="1"/>
      <x v="1"/>
    </i>
    <i>
      <x v="2"/>
      <x/>
    </i>
    <i r="1">
      <x v="1"/>
    </i>
    <i>
      <x v="3"/>
      <x v="1"/>
    </i>
    <i>
      <x v="4"/>
      <x/>
    </i>
    <i r="1">
      <x v="1"/>
    </i>
    <i>
      <x v="5"/>
      <x v="1"/>
    </i>
    <i>
      <x v="6"/>
      <x/>
    </i>
    <i r="1">
      <x v="1"/>
    </i>
    <i>
      <x v="7"/>
      <x v="1"/>
    </i>
  </colItems>
  <dataFields count="1">
    <dataField name="Average of ITL" fld="12" subtotal="average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C6F23-F671-420A-A240-1BBC13392A1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42" firstHeaderRow="1" firstDataRow="3" firstDataCol="1" rowPageCount="1" colPageCount="1"/>
  <pivotFields count="10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8">
        <item x="0"/>
        <item x="11"/>
        <item x="12"/>
        <item x="6"/>
        <item x="13"/>
        <item x="19"/>
        <item x="14"/>
        <item x="1"/>
        <item x="15"/>
        <item x="20"/>
        <item x="16"/>
        <item x="7"/>
        <item x="17"/>
        <item x="21"/>
        <item x="18"/>
        <item x="2"/>
        <item x="22"/>
        <item x="23"/>
        <item x="8"/>
        <item x="24"/>
        <item x="25"/>
        <item x="3"/>
        <item x="26"/>
        <item x="33"/>
        <item x="27"/>
        <item x="9"/>
        <item x="34"/>
        <item x="28"/>
        <item x="4"/>
        <item x="29"/>
        <item x="35"/>
        <item x="30"/>
        <item x="10"/>
        <item x="31"/>
        <item x="36"/>
        <item x="32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numFmtId="10" outline="0" showAll="0">
      <items count="216">
        <item x="0"/>
        <item x="146"/>
        <item x="15"/>
        <item x="48"/>
        <item x="1"/>
        <item x="147"/>
        <item x="30"/>
        <item x="161"/>
        <item x="16"/>
        <item x="148"/>
        <item x="2"/>
        <item x="49"/>
        <item x="122"/>
        <item x="123"/>
        <item x="128"/>
        <item x="3"/>
        <item x="162"/>
        <item x="17"/>
        <item x="149"/>
        <item x="100"/>
        <item x="124"/>
        <item x="191"/>
        <item x="193"/>
        <item x="31"/>
        <item x="192"/>
        <item x="101"/>
        <item x="126"/>
        <item x="50"/>
        <item x="99"/>
        <item x="194"/>
        <item x="4"/>
        <item x="127"/>
        <item x="102"/>
        <item x="125"/>
        <item x="150"/>
        <item x="66"/>
        <item x="163"/>
        <item x="196"/>
        <item x="104"/>
        <item x="32"/>
        <item x="164"/>
        <item x="195"/>
        <item x="51"/>
        <item x="103"/>
        <item x="33"/>
        <item x="52"/>
        <item x="151"/>
        <item x="105"/>
        <item x="197"/>
        <item x="5"/>
        <item x="18"/>
        <item x="129"/>
        <item x="106"/>
        <item x="179"/>
        <item x="53"/>
        <item x="130"/>
        <item x="165"/>
        <item x="198"/>
        <item x="152"/>
        <item x="54"/>
        <item x="19"/>
        <item x="107"/>
        <item x="72"/>
        <item x="83"/>
        <item x="166"/>
        <item x="199"/>
        <item x="201"/>
        <item x="6"/>
        <item x="200"/>
        <item x="131"/>
        <item x="34"/>
        <item x="132"/>
        <item x="85"/>
        <item x="182"/>
        <item x="180"/>
        <item x="67"/>
        <item x="108"/>
        <item x="133"/>
        <item x="181"/>
        <item x="84"/>
        <item x="35"/>
        <item x="55"/>
        <item x="73"/>
        <item x="202"/>
        <item x="86"/>
        <item x="7"/>
        <item x="183"/>
        <item x="109"/>
        <item x="167"/>
        <item x="111"/>
        <item x="203"/>
        <item x="36"/>
        <item x="153"/>
        <item x="168"/>
        <item x="87"/>
        <item x="37"/>
        <item x="134"/>
        <item x="20"/>
        <item x="8"/>
        <item x="88"/>
        <item x="68"/>
        <item x="154"/>
        <item x="57"/>
        <item x="110"/>
        <item x="112"/>
        <item x="56"/>
        <item x="169"/>
        <item x="38"/>
        <item x="135"/>
        <item x="184"/>
        <item x="136"/>
        <item x="58"/>
        <item x="93"/>
        <item x="114"/>
        <item x="40"/>
        <item x="170"/>
        <item x="205"/>
        <item x="21"/>
        <item x="172"/>
        <item x="171"/>
        <item x="69"/>
        <item x="113"/>
        <item x="59"/>
        <item x="89"/>
        <item x="74"/>
        <item x="90"/>
        <item x="91"/>
        <item x="60"/>
        <item x="92"/>
        <item x="39"/>
        <item x="204"/>
        <item x="185"/>
        <item x="41"/>
        <item x="186"/>
        <item x="70"/>
        <item x="61"/>
        <item x="137"/>
        <item x="94"/>
        <item x="115"/>
        <item x="95"/>
        <item x="42"/>
        <item x="155"/>
        <item x="117"/>
        <item x="120"/>
        <item x="208"/>
        <item x="62"/>
        <item x="118"/>
        <item x="119"/>
        <item x="75"/>
        <item x="206"/>
        <item x="76"/>
        <item x="207"/>
        <item x="116"/>
        <item x="121"/>
        <item x="9"/>
        <item x="63"/>
        <item x="96"/>
        <item x="64"/>
        <item x="173"/>
        <item x="65"/>
        <item x="187"/>
        <item x="97"/>
        <item x="174"/>
        <item x="43"/>
        <item x="156"/>
        <item x="45"/>
        <item x="98"/>
        <item x="47"/>
        <item x="140"/>
        <item x="176"/>
        <item x="46"/>
        <item x="44"/>
        <item x="138"/>
        <item x="10"/>
        <item x="22"/>
        <item x="178"/>
        <item x="175"/>
        <item x="188"/>
        <item x="141"/>
        <item x="189"/>
        <item x="78"/>
        <item x="71"/>
        <item x="144"/>
        <item x="77"/>
        <item x="177"/>
        <item x="142"/>
        <item x="11"/>
        <item x="209"/>
        <item x="139"/>
        <item x="210"/>
        <item x="211"/>
        <item x="145"/>
        <item x="190"/>
        <item x="23"/>
        <item x="79"/>
        <item x="213"/>
        <item x="212"/>
        <item x="81"/>
        <item x="157"/>
        <item x="143"/>
        <item x="214"/>
        <item x="160"/>
        <item x="158"/>
        <item x="12"/>
        <item x="159"/>
        <item x="80"/>
        <item x="82"/>
        <item x="24"/>
        <item x="14"/>
        <item x="26"/>
        <item x="27"/>
        <item x="13"/>
        <item x="25"/>
        <item x="29"/>
        <item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h="1" x="0"/>
        <item h="1" x="2"/>
        <item h="1" x="1"/>
        <item x="5"/>
        <item x="6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</rowItems>
  <colFields count="2">
    <field x="4"/>
    <field x="5"/>
  </colFields>
  <colItems count="7">
    <i>
      <x v="3"/>
      <x v="1"/>
    </i>
    <i>
      <x v="4"/>
      <x/>
    </i>
    <i r="1">
      <x v="1"/>
    </i>
    <i>
      <x v="5"/>
      <x v="1"/>
    </i>
    <i>
      <x v="6"/>
      <x/>
    </i>
    <i r="1">
      <x v="1"/>
    </i>
    <i>
      <x v="7"/>
      <x v="1"/>
    </i>
  </colItems>
  <pageFields count="1">
    <pageField fld="3" hier="-1"/>
  </pageFields>
  <dataFields count="1">
    <dataField name="Average of Prefill" fld="8" subtotal="average" baseField="3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BF4DF3-AAEE-4B5E-B6C3-F0944C7A1297}" name="Table2" displayName="Table2" ref="A2:I77" totalsRowShown="0">
  <autoFilter ref="A2:I77" xr:uid="{3BBF4DF3-AAEE-4B5E-B6C3-F0944C7A1297}"/>
  <sortState xmlns:xlrd2="http://schemas.microsoft.com/office/spreadsheetml/2017/richdata2" ref="A3:I77">
    <sortCondition ref="A2:A77"/>
  </sortState>
  <tableColumns count="9">
    <tableColumn id="1" xr3:uid="{1BE62CF9-36DA-40A6-B8AF-F4DA428962CA}" name="Average of ITL" dataDxfId="128"/>
    <tableColumn id="2" xr3:uid="{908032F0-7481-47AF-88DA-FC1C382AD7CA}" name="1-15K,300" dataDxfId="127"/>
    <tableColumn id="3" xr3:uid="{9D79FF62-4B5B-48FD-B31E-78FE7530E6EC}" name="3K,100-1800" dataDxfId="126"/>
    <tableColumn id="4" xr3:uid="{610891A6-3BB4-4E2E-A2FF-44360E8A89E9}" name="5K,100-1800" dataDxfId="125"/>
    <tableColumn id="5" xr3:uid="{1E064953-7C17-487D-BF64-ABA170EFAA3C}" name="5K,1K" dataDxfId="124"/>
    <tableColumn id="6" xr3:uid="{BABCEDA7-0042-499B-9675-77B71E4C0D51}" name="5K,200" dataDxfId="123"/>
    <tableColumn id="7" xr3:uid="{660EF537-99C3-49E3-80E4-96F1F8412811}" name="5K,300" dataDxfId="122"/>
    <tableColumn id="8" xr3:uid="{7C4EDBBE-0AEF-4058-9831-11DFD1F45A20}" name="5K,500" dataDxfId="121"/>
    <tableColumn id="9" xr3:uid="{40D9A0DD-3B30-4406-AAB9-975C943C75F5}" name="6K,100" dataDxfId="1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1B63E1-2A1D-4262-ABA7-E1F1624E1A72}" name="Table4" displayName="Table4" ref="AA5:AI151" totalsRowShown="0" dataDxfId="119" dataCellStyle="Comma">
  <autoFilter ref="AA5:AI151" xr:uid="{DC1B63E1-2A1D-4262-ABA7-E1F1624E1A72}"/>
  <tableColumns count="9">
    <tableColumn id="1" xr3:uid="{6519C6A5-542D-422D-BFC9-A92CC0DDA528}" name="Average of Prefill" dataDxfId="118" dataCellStyle="Comma"/>
    <tableColumn id="2" xr3:uid="{35DCF247-31CB-4199-BBFF-6515ADCDE830}" name="1-15K,300" dataDxfId="117" dataCellStyle="Comma"/>
    <tableColumn id="3" xr3:uid="{4DE2AD45-C5E4-42EF-9DA6-090D65D658BA}" name="3K,100-1800" dataDxfId="116" dataCellStyle="Comma"/>
    <tableColumn id="4" xr3:uid="{80862D9F-7E08-4DB2-A817-3A7F3B932AE7}" name="5K,100-1800" dataDxfId="115" dataCellStyle="Comma"/>
    <tableColumn id="5" xr3:uid="{04D1AFE9-1AF2-4B6B-8D51-5A667BF19E90}" name="5K,1K" dataDxfId="114" dataCellStyle="Comma"/>
    <tableColumn id="6" xr3:uid="{CB8AE62F-AFCC-4320-B9BD-8ED80C55B287}" name="5K,200" dataDxfId="113" dataCellStyle="Comma"/>
    <tableColumn id="7" xr3:uid="{F59566CE-D844-4E44-85B9-2537F2630B28}" name="5K,300" dataDxfId="112" dataCellStyle="Comma"/>
    <tableColumn id="8" xr3:uid="{4447ED6D-4E94-4049-B4A9-E12FE2D3B77E}" name="5K,500" dataDxfId="111" dataCellStyle="Comma"/>
    <tableColumn id="9" xr3:uid="{44ED8247-7C57-43AB-A4F9-82D0E8528EBC}" name="6K,100" dataDxfId="110" dataCellStyle="Comm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723E-02B5-4F51-930E-B1F9FC607CF2}" name="Table1" displayName="Table1" ref="A5:CY220" totalsRowShown="0" headerRowDxfId="109" dataDxfId="108" headerRowCellStyle="Comma" dataCellStyle="Comma">
  <autoFilter ref="A5:CY220" xr:uid="{F844723E-02B5-4F51-930E-B1F9FC607CF2}">
    <filterColumn colId="4">
      <filters>
        <filter val="5K,1K"/>
        <filter val="6K,100"/>
      </filters>
    </filterColumn>
  </autoFilter>
  <tableColumns count="103">
    <tableColumn id="1" xr3:uid="{DF33EF6F-3300-4024-9FFF-911BCBC2EADF}" name="In-Tok" dataDxfId="107" dataCellStyle="Comma"/>
    <tableColumn id="2" xr3:uid="{EBBE2472-9E71-47C4-95CE-D68E24BA50DB}" name="Out-Tok" dataDxfId="106" dataCellStyle="Comma"/>
    <tableColumn id="3" xr3:uid="{2C30FDD5-6DE4-4FE9-AB5B-9A10EA36267A}" name="RPS" dataDxfId="105" dataCellStyle="Comma"/>
    <tableColumn id="76" xr3:uid="{02BED218-BDBA-40EF-A967-4B7E43BE69C5}" name="KV%" dataDxfId="104" dataCellStyle="Comma">
      <calculatedColumnFormula>Table1[[#This Row],[Kvcache]]</calculatedColumnFormula>
    </tableColumn>
    <tableColumn id="99" xr3:uid="{ED14439C-45F4-4C5E-923A-EBCAA5E0DCD0}" name="Experiment" dataDxfId="103" dataCellStyle="Percent"/>
    <tableColumn id="68" xr3:uid="{5141FA04-D225-4A2C-88BF-05BEC567BF8E}" name="date" dataDxfId="102" dataCellStyle="Percent"/>
    <tableColumn id="4" xr3:uid="{6B51FA73-C6B7-433F-BE3C-BE587BDB1F81}" name="PHR" dataDxfId="101" dataCellStyle="Comma"/>
    <tableColumn id="5" xr3:uid="{9C04660E-FCDD-49B2-96D9-8C4C8928EFFC}" name="TTFT" dataDxfId="100" dataCellStyle="Comma"/>
    <tableColumn id="6" xr3:uid="{9B08AFF5-AC33-446F-8B1E-C27A79F8C826}" name="Prefill" dataDxfId="99" dataCellStyle="Comma"/>
    <tableColumn id="7" xr3:uid="{7ECB171B-88AC-433F-AE64-ACEB3FABFC03}" name="L_TTFT" dataDxfId="98" dataCellStyle="Comma"/>
    <tableColumn id="8" xr3:uid="{A889D98D-CD93-4991-8002-4071F4D24063}" name="L_P95_TTFT" dataDxfId="97" dataCellStyle="Comma"/>
    <tableColumn id="9" xr3:uid="{705DD908-5FE2-4A1C-8E7C-81D9F118A5F8}" name="L_P98_TTFT" dataDxfId="96" dataCellStyle="Comma"/>
    <tableColumn id="10" xr3:uid="{E0984946-60AA-4CF3-A869-49009033AD7C}" name="ITL" dataDxfId="95" dataCellStyle="Comma"/>
    <tableColumn id="11" xr3:uid="{8C4B7129-4802-4AC7-B233-B5EE72EBD0CC}" name="E2E" dataDxfId="94" dataCellStyle="Comma"/>
    <tableColumn id="12" xr3:uid="{0E43894F-D5EF-4DE2-897F-8C498F0614C0}" name="PPS" dataDxfId="93" dataCellStyle="Comma"/>
    <tableColumn id="13" xr3:uid="{92B98F05-8FA5-4578-815C-5E160A935892}" name="GPS" dataDxfId="92" dataCellStyle="Comma"/>
    <tableColumn id="14" xr3:uid="{B1E36776-1964-4C1F-AA7B-CDC0FC9539E4}" name="Run" dataDxfId="91" dataCellStyle="Comma"/>
    <tableColumn id="15" xr3:uid="{5E62A815-9855-495A-A46C-BA23A604D40F}" name="MaxRun" dataDxfId="90" dataCellStyle="Comma"/>
    <tableColumn id="16" xr3:uid="{BEAE212A-1B8D-4CDD-9DF3-EF4ACF555194}" name="Kvcache" dataDxfId="89" dataCellStyle="Percent"/>
    <tableColumn id="17" xr3:uid="{0E9FCFF5-1455-4AB2-AA14-EE70555C9AC4}" name="MaxKvcache" dataDxfId="88" dataCellStyle="Percent"/>
    <tableColumn id="45" xr3:uid="{45D4D29F-156D-45C0-AD35-FC9A56505EF8}" name="tok/sec" dataDxfId="87" dataCellStyle="Comma">
      <calculatedColumnFormula>(Table1[[#This Row],[In-Tok]]+Table1[[#This Row],[Out-Tok]])*Table1[[#This Row],[RPS]]</calculatedColumnFormula>
    </tableColumn>
    <tableColumn id="46" xr3:uid="{75C48AD2-9A4E-4B9C-966B-673803C83E34}" name="tok/req" dataDxfId="86" dataCellStyle="Comma">
      <calculatedColumnFormula>Table1[[#This Row],[In-Tok]]+$V$2*Table1[[#This Row],[Out-Tok]]</calculatedColumnFormula>
    </tableColumn>
    <tableColumn id="47" xr3:uid="{3FFF4185-E718-4DB6-AEAD-ECA98C2D1095}" name="In/sec" dataDxfId="85" dataCellStyle="Comma">
      <calculatedColumnFormula>Table1[[#This Row],[In-Tok]]*Table1[[#This Row],[RPS]]</calculatedColumnFormula>
    </tableColumn>
    <tableColumn id="48" xr3:uid="{D8CF4AE4-94BB-421E-BC4A-19728272135B}" name="Out/sec" dataDxfId="84" dataCellStyle="Comma">
      <calculatedColumnFormula>Table1[[#This Row],[Out-Tok]]*Table1[[#This Row],[RPS]]</calculatedColumnFormula>
    </tableColumn>
    <tableColumn id="72" xr3:uid="{54AF311A-C96A-4551-B064-4D257FFAB8DE}" name="Ratio" dataDxfId="83" dataCellStyle="Comma">
      <calculatedColumnFormula>Table1[[#This Row],[In-Tok]]/Table1[[#This Row],[Out-Tok]]</calculatedColumnFormula>
    </tableColumn>
    <tableColumn id="63" xr3:uid="{48555B9D-114F-4A54-A61F-D207E27EC250}" name="tok(N)" dataDxfId="82" dataCellStyle="Comma">
      <calculatedColumnFormula>Table1[[#This Row],[In-Tok]]*Table1[[#This Row],[N]]+AvgOutLoad*Table1[[#This Row],[Out-Tok]]*Table1[[#This Row],[Ndecode]]</calculatedColumnFormula>
    </tableColumn>
    <tableColumn id="71" xr3:uid="{2B64EBCD-AA61-4D08-98DA-C7AE68EACFC4}" name="MaxTok(N)" dataDxfId="81" dataCellStyle="Comma">
      <calculatedColumnFormula>Table1[[#This Row],[tok(N)]]/Table1[[#This Row],[Kvcache]]</calculatedColumnFormula>
    </tableColumn>
    <tableColumn id="64" xr3:uid="{E8D1ED2E-AD5E-41B2-80A7-147BA78EF6D5}" name="tok(Run)" dataDxfId="80" dataCellStyle="Comma">
      <calculatedColumnFormula>Table1[[#This Row],[tok/req]]*Table1[[#This Row],[Run]]</calculatedColumnFormula>
    </tableColumn>
    <tableColumn id="65" xr3:uid="{57B8201D-F5EF-4BE2-8555-8AB4B66C2C6F}" name="MaxTok(Run)" dataDxfId="79" dataCellStyle="Comma">
      <calculatedColumnFormula>Table1[[#This Row],[tok(Run)]]/Table1[[#This Row],[Kvcache]]</calculatedColumnFormula>
    </tableColumn>
    <tableColumn id="74" xr3:uid="{04745F80-E59C-4A3A-9F6A-23FFDA83352A}" name="tok(MaxRun)" dataDxfId="78" dataCellStyle="Comma">
      <calculatedColumnFormula>Table1[[#This Row],[tok/req]]*Table1[[#This Row],[MaxRun]]</calculatedColumnFormula>
    </tableColumn>
    <tableColumn id="75" xr3:uid="{8BA3DCBD-34C6-4F85-AA41-B25F7DA1F926}" name="MaxTok(MaxRun)" dataDxfId="77" dataCellStyle="Comma">
      <calculatedColumnFormula>Table1[[#This Row],[tok(MaxRun)]]/Table1[[#This Row],[MaxKvcache]]</calculatedColumnFormula>
    </tableColumn>
    <tableColumn id="50" xr3:uid="{2412D919-21E7-4BFB-B222-FA692EA12B26}" name="Nprefill" dataDxfId="76" dataCellStyle="Comma">
      <calculatedColumnFormula>Table1[[#This Row],[PPS]]*Table1[[#This Row],[Prefill]]/Table1[[#This Row],[In-Tok]]</calculatedColumnFormula>
    </tableColumn>
    <tableColumn id="51" xr3:uid="{DA319DAB-45D0-4308-A53C-B66A1626B9A8}" name="Ndecode" dataDxfId="75" dataCellStyle="Comma">
      <calculatedColumnFormula>Table1[[#This Row],[GPS]]*Table1[[#This Row],[ITL]]</calculatedColumnFormula>
    </tableColumn>
    <tableColumn id="52" xr3:uid="{2A91A1B8-FE51-4796-B825-125AD424A9A5}" name="N" dataDxfId="74" dataCellStyle="Comma">
      <calculatedColumnFormula>Table1[[#This Row],[Nprefill]]+Table1[[#This Row],[Ndecode]]</calculatedColumnFormula>
    </tableColumn>
    <tableColumn id="73" xr3:uid="{B233657C-2FA1-443E-9A45-303D3B0EE442}" name="GPSestErr" dataDxfId="73" dataCellStyle="Percent">
      <calculatedColumnFormula>Table1[[#This Row],[Run]]/Table1[[#This Row],[ITL]]/Table1[[#This Row],[GPS]]</calculatedColumnFormula>
    </tableColumn>
    <tableColumn id="53" xr3:uid="{9486BCAC-A3EA-42DC-8BF4-7720BF4B1E5F}" name="estTTFT" dataDxfId="72" dataCellStyle="Comma">
      <calculatedColumnFormula>Table1[[#This Row],[Prefill]]+Table1[[#This Row],[ITL]]</calculatedColumnFormula>
    </tableColumn>
    <tableColumn id="56" xr3:uid="{FFF4BBC8-15EC-452C-9290-0949A7BC773C}" name="TTFT%" dataDxfId="71" dataCellStyle="Percent">
      <calculatedColumnFormula>Table1[[#This Row],[TTFT]]/Table1[[#This Row],[estTTFT]]</calculatedColumnFormula>
    </tableColumn>
    <tableColumn id="54" xr3:uid="{6FDD07D0-C2AB-44D9-8A31-21B5FB724D35}" name="estPrefill" dataDxfId="70" dataCellStyle="Comma">
      <calculatedColumnFormula>Table1[[#This Row],[In-Tok]]*Table1[[#This Row],[RPS]]/Table1[[#This Row],[PPS]]</calculatedColumnFormula>
    </tableColumn>
    <tableColumn id="57" xr3:uid="{0F704DB5-FCC5-446C-8185-EC777600A00E}" name="Prefill%" dataDxfId="69" dataCellStyle="Percent">
      <calculatedColumnFormula>Table1[[#This Row],[Prefill]]/Table1[[#This Row],[estPrefill]]</calculatedColumnFormula>
    </tableColumn>
    <tableColumn id="67" xr3:uid="{AA659B29-9166-4487-AA32-7DE6DD036238}" name="Prefill/TTFT" dataDxfId="68" dataCellStyle="Percent">
      <calculatedColumnFormula>Table1[[#This Row],[Prefill]]/Table1[[#This Row],[TTFT]]</calculatedColumnFormula>
    </tableColumn>
    <tableColumn id="102" xr3:uid="{634A37A4-90D0-45D8-ACD8-FBF2B7A9ED51}" name="estITL" dataDxfId="67" dataCellStyle="Comma">
      <calculatedColumnFormula>Table1[[#This Row],[Run]]/(Table1[[#This Row],[Out-Tok]]*Table1[[#This Row],[RPS]])</calculatedColumnFormula>
    </tableColumn>
    <tableColumn id="103" xr3:uid="{7BB9B5E7-E341-4ADE-8AE2-8E613DF22353}" name="estITL%" dataDxfId="66" dataCellStyle="Percent">
      <calculatedColumnFormula>Table1[[#This Row],[ITL]]/Table1[[#This Row],[estITL]]</calculatedColumnFormula>
    </tableColumn>
    <tableColumn id="100" xr3:uid="{37849093-F835-490C-B294-DA5D9269C51E}" name="estDecode" dataDxfId="65" dataCellStyle="Percent">
      <calculatedColumnFormula>Table1[[#This Row],[E2E]]-Table1[[#This Row],[TTFT]]+Table1[[#This Row],[ITL]]</calculatedColumnFormula>
    </tableColumn>
    <tableColumn id="101" xr3:uid="{DE1A9BA2-52D2-41C7-9F63-FA0608A41D2B}" name="param" dataDxfId="64" dataCellStyle="Percent">
      <calculatedColumnFormula>Table1[[#This Row],[estDecode]]/Table1[[#This Row],[Run]]</calculatedColumnFormula>
    </tableColumn>
    <tableColumn id="62" xr3:uid="{C9F910C0-15C0-4C0B-BF0C-8D3FEC480F93}" name="E2E-sat" dataDxfId="63" dataCellStyle="Percent">
      <calculatedColumnFormula>Table1[[#This Row],[Prefill]]+Table1[[#This Row],[Out-Tok]]*Table1[[#This Row],[ITL]]</calculatedColumnFormula>
    </tableColumn>
    <tableColumn id="55" xr3:uid="{A67EB454-E8EC-438A-8750-F47A2E03FB46}" name="estE2E" dataDxfId="62" dataCellStyle="Comma">
      <calculatedColumnFormula>Table1[[#This Row],[estPrefill]]+Table1[[#This Row],[Out-Tok]]*Table1[[#This Row],[ITL]]</calculatedColumnFormula>
    </tableColumn>
    <tableColumn id="58" xr3:uid="{0936C619-3104-4AA8-871E-C78BDAB7408D}" name="E2E%" dataDxfId="61" dataCellStyle="Percent">
      <calculatedColumnFormula>Table1[[#This Row],[E2E]]/Table1[[#This Row],[estE2E]]</calculatedColumnFormula>
    </tableColumn>
    <tableColumn id="59" xr3:uid="{EA0FD495-DC36-4F8B-95BC-A52D25DE0915}" name="estRPS" dataDxfId="60" dataCellStyle="Comma">
      <calculatedColumnFormula>Table1[[#This Row],[N]]/Table1[[#This Row],[estE2E]]</calculatedColumnFormula>
    </tableColumn>
    <tableColumn id="18" xr3:uid="{161FA373-546C-4181-A7E2-9B86590122B6}" name="RPS(IL)" dataDxfId="59" dataCellStyle="Comma">
      <calculatedColumnFormula>Table1[[#This Row],[PPS]]/Table1[[#This Row],[In-Tok]]</calculatedColumnFormula>
    </tableColumn>
    <tableColumn id="19" xr3:uid="{5EC7FB7E-F55B-45F9-91D9-365EC4329271}" name="RPS(IL)%" dataDxfId="58" dataCellStyle="Percent">
      <calculatedColumnFormula>Table1[[#This Row],[RPS]]/Table1[[#This Row],[RPS(IL)]]</calculatedColumnFormula>
    </tableColumn>
    <tableColumn id="60" xr3:uid="{025DA130-5A48-40B3-B95D-E2D7B3D5698C}" name="RPS(OL)" dataDxfId="57" dataCellStyle="Comma">
      <calculatedColumnFormula>Table1[[#This Row],[GPS]]/Table1[[#This Row],[Out-Tok]]</calculatedColumnFormula>
    </tableColumn>
    <tableColumn id="61" xr3:uid="{57AAB660-C22C-4BD8-AB68-D0DA35767AA1}" name="RPS(OL)%" dataDxfId="56" dataCellStyle="Percent">
      <calculatedColumnFormula>Table1[[#This Row],[RPS]]/Table1[[#This Row],[RPS(OL)]]</calculatedColumnFormula>
    </tableColumn>
    <tableColumn id="49" xr3:uid="{62C10344-87BE-49F2-9340-A1C9F6C87E70}" name="N-max" dataDxfId="55" dataCellStyle="Percent">
      <calculatedColumnFormula>MaxTok/Table1[[#This Row],[tok/req]]</calculatedColumnFormula>
    </tableColumn>
    <tableColumn id="66" xr3:uid="{D762921B-6AE3-408D-BBB2-F6ADBAD802C7}" name="N%" dataDxfId="54" dataCellStyle="Percent">
      <calculatedColumnFormula>Table1[[#This Row],[N]]/Table1[[#This Row],[N-max]]</calculatedColumnFormula>
    </tableColumn>
    <tableColumn id="69" xr3:uid="{9A26591D-94E0-47AB-B6AF-A81D5E055FE5}" name="RPS success" dataDxfId="53" dataCellStyle="Percent">
      <calculatedColumnFormula>Table1[[#This Row],[RPS]]</calculatedColumnFormula>
    </tableColumn>
    <tableColumn id="70" xr3:uid="{86D06D5E-88CB-4031-92CC-0F9559167CAC}" name="est-In-Tok3" dataDxfId="52" dataCellStyle="Comma">
      <calculatedColumnFormula>Table1[[#This Row],[PPS]]/Table1[[#This Row],[RPS success]]</calculatedColumnFormula>
    </tableColumn>
    <tableColumn id="87" xr3:uid="{BFD7CDC2-857F-47A9-A283-711DB3F15CEA}" name="err%-In-Tok3" dataDxfId="51" dataCellStyle="Percent">
      <calculatedColumnFormula>ABS(Table1[[#This Row],[est-In-Tok3]]-Table1[[#This Row],[In-Tok]])/Table1[[#This Row],[In-Tok]]</calculatedColumnFormula>
    </tableColumn>
    <tableColumn id="77" xr3:uid="{6608A373-2B93-4513-A2FB-44C058E3BED5}" name="est-Out-Tok3" dataDxfId="50" dataCellStyle="Comma">
      <calculatedColumnFormula>Table1[[#This Row],[GPS]]/Table1[[#This Row],[RPS success]]</calculatedColumnFormula>
    </tableColumn>
    <tableColumn id="78" xr3:uid="{282989B9-2A5D-4072-B971-75D0846D4615}" name="err%-Out-Tok3" dataDxfId="49" dataCellStyle="Percent">
      <calculatedColumnFormula>ABS(Table1[[#This Row],[est-Out-Tok3]]-Table1[[#This Row],[Out-Tok]])/Table1[[#This Row],[Out-Tok]]</calculatedColumnFormula>
    </tableColumn>
    <tableColumn id="79" xr3:uid="{46CA4666-5F44-4B8E-8284-1422A276787C}" name="est-Tok/Req3" dataDxfId="48" dataCellStyle="Percent">
      <calculatedColumnFormula>Table1[[#This Row],[est-In-Tok3]]+AvgOutLoad*Table1[[#This Row],[est-Out-Tok3]]</calculatedColumnFormula>
    </tableColumn>
    <tableColumn id="80" xr3:uid="{6822BCD7-9463-473B-9279-4E10433587C5}" name="err%-Tok/Req3" dataDxfId="47" dataCellStyle="Percent">
      <calculatedColumnFormula>ABS(Table1[[#This Row],[est-Tok/Req3]]-Table1[[#This Row],[tok/req]])/Table1[[#This Row],[tok/req]]</calculatedColumnFormula>
    </tableColumn>
    <tableColumn id="81" xr3:uid="{27EDB31D-1DB1-4F4B-B6AB-AA2C790123F3}" name="est-N-max3" dataDxfId="46" dataCellStyle="Percent">
      <calculatedColumnFormula>MaxTok/Table1[[#This Row],[est-Tok/Req3]]</calculatedColumnFormula>
    </tableColumn>
    <tableColumn id="82" xr3:uid="{A4FE4BF3-CF14-46B2-9937-FC14C40155FB}" name="err%-N-max3" dataDxfId="45" dataCellStyle="Percent">
      <calculatedColumnFormula>ABS(Table1[[#This Row],[est-N-max3]]-Table1[[#This Row],[N-max]])/Table1[[#This Row],[N-max]]</calculatedColumnFormula>
    </tableColumn>
    <tableColumn id="83" xr3:uid="{A5790C6C-CB79-4EA1-9F03-0076BB1E77D0}" name="est-Tok/Req" dataDxfId="44" dataCellStyle="Percent">
      <calculatedColumnFormula>MaxTok*Table1[[#This Row],[Kvcache]]/Table1[[#This Row],[Run]]</calculatedColumnFormula>
    </tableColumn>
    <tableColumn id="84" xr3:uid="{8CBC8747-5C74-4FC3-965A-5E403F218907}" name="err%-Tok/Req" dataDxfId="43" dataCellStyle="Percent">
      <calculatedColumnFormula>ABS(Table1[[#This Row],[est-Tok/Req]]-Table1[[#This Row],[tok/req]])/Table1[[#This Row],[tok/req]]</calculatedColumnFormula>
    </tableColumn>
    <tableColumn id="85" xr3:uid="{14C23BAA-8A7C-46C6-8FF0-48FD352F61C3}" name="est-N-max2" dataDxfId="42" dataCellStyle="Percent">
      <calculatedColumnFormula>MaxTok/Table1[[#This Row],[est-Tok/Req]]</calculatedColumnFormula>
    </tableColumn>
    <tableColumn id="86" xr3:uid="{C22AA2A1-5CAC-4014-AE0D-E19612AD0F5C}" name="est-N-max" dataDxfId="41" dataCellStyle="Percent">
      <calculatedColumnFormula>Table1[[#This Row],[Run]]/Table1[[#This Row],[Kvcache]]</calculatedColumnFormula>
    </tableColumn>
    <tableColumn id="88" xr3:uid="{E3776915-C6DA-4EDD-9C2A-207DF0B9C573}" name="B-tok/req" dataDxfId="40" dataCellStyle="Percent">
      <calculatedColumnFormula array="1">_xlfn.CEILING.MATH(INDIRECT("Table1"&amp;BP$3)/BP$2)*BP$2</calculatedColumnFormula>
    </tableColumn>
    <tableColumn id="89" xr3:uid="{CA0F2E2A-65B6-4CE6-980B-BBFFFE88BCED}" name="B-ITL" dataDxfId="39" dataCellStyle="Percent">
      <calculatedColumnFormula array="1">_xlfn.CEILING.MATH(INDIRECT("Table1"&amp;BQ$3)/BQ$2)*BQ$2</calculatedColumnFormula>
    </tableColumn>
    <tableColumn id="90" xr3:uid="{415EDC3D-270F-4EAA-8C05-A43DD7E89281}" name="B-Kvcache" dataDxfId="38" dataCellStyle="Percent">
      <calculatedColumnFormula array="1">_xlfn.CEILING.MATH(INDIRECT("Table1"&amp;BR$3)/BR$2)*BR$2</calculatedColumnFormula>
    </tableColumn>
    <tableColumn id="91" xr3:uid="{6720551B-F0EA-466F-A710-AB620763BE6A}" name="B2-Kvcache" dataDxfId="37" dataCellStyle="Percent">
      <calculatedColumnFormula array="1">_xlfn.CEILING.MATH(INDIRECT("Table1"&amp;BS$3)/BS$2)*BS$2</calculatedColumnFormula>
    </tableColumn>
    <tableColumn id="92" xr3:uid="{8F3F51E9-18EA-4156-A44C-AA3F164A3029}" name="B-Run" dataDxfId="36" dataCellStyle="Comma">
      <calculatedColumnFormula array="1">_xlfn.CEILING.MATH(INDIRECT("Table1"&amp;BT$3)/BT$2)*BT$2</calculatedColumnFormula>
    </tableColumn>
    <tableColumn id="93" xr3:uid="{49E4BB97-CE9D-4577-9A3C-88CFFFF081D8}" name="B-Ratio" dataDxfId="35" dataCellStyle="Percent">
      <calculatedColumnFormula array="1">_xlfn.CEILING.MATH(INDIRECT("Table1"&amp;BU$3)/BU$2)*BU$2</calculatedColumnFormula>
    </tableColumn>
    <tableColumn id="94" xr3:uid="{9FD3F292-0C68-4865-A9BD-A67F3EB1FE75}" name="B-In-Tok" dataDxfId="34" dataCellStyle="Percent">
      <calculatedColumnFormula array="1">_xlfn.CEILING.MATH(INDIRECT("Table1"&amp;BV$3)/BV$2)*BV$2</calculatedColumnFormula>
    </tableColumn>
    <tableColumn id="95" xr3:uid="{C3915A04-584A-4755-BFEA-7A26361C334E}" name="Column28" dataDxfId="33" dataCellStyle="Percent"/>
    <tableColumn id="96" xr3:uid="{42CFE69E-D637-453D-8960-BBF9BAACE2DB}" name="Column29" dataDxfId="32" dataCellStyle="Percent"/>
    <tableColumn id="97" xr3:uid="{5E90FA22-50DA-4DC6-9FD7-03C090EB0232}" name="Column30" dataDxfId="31" dataCellStyle="Percent"/>
    <tableColumn id="98" xr3:uid="{4AD962F9-DD36-4DE3-92E7-7103393D86EF}" name="Column31" dataDxfId="30" dataCellStyle="Percent"/>
    <tableColumn id="20" xr3:uid="{4923D6A0-758A-46FF-B9CF-4AFCE4714B41}" name="Demand-T" dataDxfId="29" dataCellStyle="Comma"/>
    <tableColumn id="21" xr3:uid="{69A58181-3BE9-4F19-AD51-4E67F2647C81}" name="Supply" dataDxfId="28" dataCellStyle="Comma"/>
    <tableColumn id="22" xr3:uid="{6D3FE7BA-AEF7-4DF5-A182-67EEEAB6608D}" name="Mrate" dataDxfId="27" dataCellStyle="Comma"/>
    <tableColumn id="23" xr3:uid="{384801E4-5EBE-4709-A70C-3CE047681240}" name="OTS" dataDxfId="26" dataCellStyle="Comma"/>
    <tableColumn id="24" xr3:uid="{6C89BF96-7750-44CF-8D5C-2A8252B3D53C}" name="OTS-D" dataDxfId="25" dataCellStyle="Comma"/>
    <tableColumn id="25" xr3:uid="{95A1BAEA-BF28-4E8A-A0DB-FD3723C37097}" name="S/D" dataCellStyle="Comma"/>
    <tableColumn id="26" xr3:uid="{0440435B-C3CC-45EA-8AE6-B5F364BD683F}" name="   " dataCellStyle="Comma"/>
    <tableColumn id="27" xr3:uid="{A009CE7B-71F5-4042-9753-5BD2AEF9D85F}" name="e2e sat" dataDxfId="24" dataCellStyle="Comma"/>
    <tableColumn id="28" xr3:uid="{56559812-F1FB-4463-90FE-DA6615EAE261}" name="GPS*ITL" dataDxfId="23" dataCellStyle="Comma"/>
    <tableColumn id="29" xr3:uid="{DC9ED3B9-235C-4804-BD2C-A7681283CD30}" name="PPS*PREFILL/IL" dataDxfId="22" dataCellStyle="Comma"/>
    <tableColumn id="30" xr3:uid="{4BA19E6B-425E-4F56-A97B-E61362566A9B}" name="N2" dataDxfId="21" dataCellStyle="Comma"/>
    <tableColumn id="31" xr3:uid="{95ACA791-EDDF-41D8-95C3-124FBB80A8F3}" name="PPS/IL" dataDxfId="20" dataCellStyle="Comma"/>
    <tableColumn id="32" xr3:uid="{AA4189B2-B6EB-4EF3-A1FE-D1889DFEC9DB}" name="GPS/OL" dataDxfId="19" dataCellStyle="Comma"/>
    <tableColumn id="33" xr3:uid="{C2AB8854-F850-4945-9E13-4C33BD1092A2}" name="RUN/E2E" dataDxfId="18" dataCellStyle="Comma"/>
    <tableColumn id="34" xr3:uid="{8057C412-F61A-41A6-A8A8-30AD36244AB3}" name="N/E2E" dataDxfId="17" dataCellStyle="Comma"/>
    <tableColumn id="35" xr3:uid="{6BA4D6BD-CE5A-4E1C-A802-0EA5218AB982}" name="   2" dataDxfId="16" dataCellStyle="Comma"/>
    <tableColumn id="36" xr3:uid="{E553834D-1F8F-439D-A6F1-42C55BFBFE64}" name="Tokens load" dataDxfId="15" dataCellStyle="Comma">
      <calculatedColumnFormula>Table1[[#This Row],[In-Tok]]+AvgOutLoad*Table1[[#This Row],[Out-Tok]]</calculatedColumnFormula>
    </tableColumn>
    <tableColumn id="37" xr3:uid="{8D5F44B9-7C9A-4A3A-9B40-641F4F07662D}" name="C(R)" dataDxfId="14" dataCellStyle="Comma"/>
    <tableColumn id="38" xr3:uid="{96390463-7CB6-4083-A1BF-83B4245D3382}" name="C(MaxR)" dataDxfId="13" dataCellStyle="Comma"/>
    <tableColumn id="39" xr3:uid="{3664CF56-F7E5-4042-9C8F-C1AF2E903FC6}" name="C(N)" dataDxfId="12" dataCellStyle="Comma"/>
    <tableColumn id="40" xr3:uid="{363E544F-EFBA-465F-8C65-4ACCD85E533F}" name="N(maxT)" dataDxfId="11" dataCellStyle="Comma"/>
    <tableColumn id="41" xr3:uid="{7AE71A53-B7BF-4B72-8D65-79077E9D8BFC}" name="N%2" dataDxfId="10" dataCellStyle="Comma"/>
    <tableColumn id="42" xr3:uid="{574ABA25-0730-423A-AB49-328240D80382}" name="Column1" dataDxfId="9" dataCellStyle="Comma"/>
    <tableColumn id="43" xr3:uid="{2EAA5DAD-80AE-4383-A379-7E8D2B468A66}" name="Column2" dataDxfId="8" dataCellStyle="Comma"/>
    <tableColumn id="44" xr3:uid="{8D5080A1-6E78-47E4-A0EE-CA38054E18F3}" name="relative cache" dataDxfId="7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5" dT="2026-03-16T01:50:42.25" personId="{168F5F3C-78BB-4234-902A-1408673F9666}" id="{0E4DC829-45F6-4AED-A06D-617C53C1251D}">
    <text>Deamnd-T</text>
  </threadedComment>
  <threadedComment ref="AE5" dT="2026-03-16T01:51:14.55" personId="{168F5F3C-78BB-4234-902A-1408673F9666}" id="{8A6C2E2A-ED59-4BCE-97B5-007E26736931}">
    <text>Supply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13F9-880A-45F6-80E6-8187394B2905}">
  <dimension ref="A1:O225"/>
  <sheetViews>
    <sheetView topLeftCell="A4" workbookViewId="0">
      <selection activeCell="D12" sqref="D12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3" width="11.42578125" bestFit="1" customWidth="1"/>
    <col min="4" max="5" width="7" bestFit="1" customWidth="1"/>
    <col min="6" max="6" width="15.7109375" bestFit="1" customWidth="1"/>
    <col min="7" max="7" width="12.5703125" bestFit="1" customWidth="1"/>
    <col min="8" max="9" width="11.42578125" bestFit="1" customWidth="1"/>
    <col min="10" max="14" width="7" bestFit="1" customWidth="1"/>
    <col min="15" max="15" width="15.7109375" bestFit="1" customWidth="1"/>
    <col min="16" max="16" width="11.5703125" bestFit="1" customWidth="1"/>
    <col min="17" max="18" width="10.7109375" bestFit="1" customWidth="1"/>
    <col min="19" max="19" width="11.5703125" bestFit="1" customWidth="1"/>
    <col min="20" max="20" width="10.7109375" bestFit="1" customWidth="1"/>
    <col min="21" max="21" width="11.5703125" bestFit="1" customWidth="1"/>
    <col min="22" max="22" width="11.28515625" bestFit="1" customWidth="1"/>
    <col min="23" max="24" width="8" bestFit="1" customWidth="1"/>
    <col min="25" max="25" width="12.7109375" bestFit="1" customWidth="1"/>
    <col min="26" max="47" width="7" bestFit="1" customWidth="1"/>
    <col min="48" max="48" width="12.7109375" bestFit="1" customWidth="1"/>
    <col min="49" max="49" width="10" bestFit="1" customWidth="1"/>
    <col min="50" max="50" width="15.42578125" bestFit="1" customWidth="1"/>
    <col min="51" max="51" width="10" bestFit="1" customWidth="1"/>
    <col min="52" max="52" width="15.42578125" bestFit="1" customWidth="1"/>
    <col min="53" max="53" width="10" bestFit="1" customWidth="1"/>
    <col min="54" max="54" width="15.42578125" bestFit="1" customWidth="1"/>
    <col min="55" max="55" width="10" bestFit="1" customWidth="1"/>
    <col min="56" max="56" width="15.42578125" bestFit="1" customWidth="1"/>
    <col min="57" max="57" width="10" bestFit="1" customWidth="1"/>
    <col min="58" max="58" width="15.42578125" bestFit="1" customWidth="1"/>
    <col min="59" max="59" width="10" bestFit="1" customWidth="1"/>
    <col min="60" max="60" width="15.42578125" bestFit="1" customWidth="1"/>
    <col min="61" max="61" width="10" bestFit="1" customWidth="1"/>
    <col min="62" max="62" width="15.42578125" bestFit="1" customWidth="1"/>
    <col min="63" max="63" width="10" bestFit="1" customWidth="1"/>
    <col min="64" max="64" width="15.42578125" bestFit="1" customWidth="1"/>
    <col min="65" max="65" width="10" bestFit="1" customWidth="1"/>
    <col min="66" max="66" width="15.42578125" bestFit="1" customWidth="1"/>
    <col min="67" max="67" width="10" bestFit="1" customWidth="1"/>
    <col min="68" max="68" width="15.42578125" bestFit="1" customWidth="1"/>
    <col min="69" max="69" width="10" bestFit="1" customWidth="1"/>
    <col min="70" max="70" width="15.42578125" bestFit="1" customWidth="1"/>
    <col min="71" max="71" width="10" bestFit="1" customWidth="1"/>
    <col min="72" max="72" width="15.42578125" bestFit="1" customWidth="1"/>
    <col min="73" max="73" width="10" bestFit="1" customWidth="1"/>
    <col min="74" max="74" width="15.42578125" bestFit="1" customWidth="1"/>
    <col min="75" max="75" width="10" bestFit="1" customWidth="1"/>
    <col min="76" max="76" width="15.42578125" bestFit="1" customWidth="1"/>
    <col min="77" max="77" width="10" bestFit="1" customWidth="1"/>
    <col min="78" max="78" width="15.42578125" bestFit="1" customWidth="1"/>
    <col min="79" max="79" width="10" bestFit="1" customWidth="1"/>
    <col min="80" max="80" width="15.42578125" bestFit="1" customWidth="1"/>
    <col min="81" max="81" width="10" bestFit="1" customWidth="1"/>
    <col min="82" max="82" width="15.42578125" bestFit="1" customWidth="1"/>
    <col min="83" max="83" width="10" bestFit="1" customWidth="1"/>
    <col min="84" max="84" width="15.42578125" bestFit="1" customWidth="1"/>
    <col min="85" max="85" width="10" bestFit="1" customWidth="1"/>
    <col min="86" max="86" width="15.42578125" bestFit="1" customWidth="1"/>
    <col min="87" max="87" width="10" bestFit="1" customWidth="1"/>
    <col min="88" max="88" width="15.42578125" bestFit="1" customWidth="1"/>
    <col min="89" max="89" width="10" bestFit="1" customWidth="1"/>
    <col min="90" max="90" width="15.42578125" bestFit="1" customWidth="1"/>
    <col min="91" max="91" width="10" bestFit="1" customWidth="1"/>
    <col min="92" max="92" width="15.42578125" bestFit="1" customWidth="1"/>
    <col min="93" max="93" width="10" bestFit="1" customWidth="1"/>
    <col min="94" max="94" width="22" bestFit="1" customWidth="1"/>
    <col min="95" max="95" width="16.42578125" bestFit="1" customWidth="1"/>
    <col min="96" max="96" width="7" bestFit="1" customWidth="1"/>
    <col min="97" max="97" width="12.7109375" bestFit="1" customWidth="1"/>
    <col min="98" max="98" width="7" bestFit="1" customWidth="1"/>
    <col min="99" max="99" width="12.7109375" bestFit="1" customWidth="1"/>
    <col min="100" max="100" width="7" bestFit="1" customWidth="1"/>
    <col min="101" max="101" width="12.7109375" bestFit="1" customWidth="1"/>
    <col min="102" max="102" width="7" bestFit="1" customWidth="1"/>
    <col min="103" max="103" width="12.7109375" bestFit="1" customWidth="1"/>
    <col min="104" max="104" width="7" bestFit="1" customWidth="1"/>
    <col min="105" max="105" width="12.7109375" bestFit="1" customWidth="1"/>
    <col min="106" max="106" width="7" bestFit="1" customWidth="1"/>
    <col min="107" max="107" width="12.7109375" bestFit="1" customWidth="1"/>
    <col min="108" max="108" width="7" bestFit="1" customWidth="1"/>
    <col min="109" max="109" width="12.7109375" bestFit="1" customWidth="1"/>
    <col min="110" max="110" width="7" bestFit="1" customWidth="1"/>
    <col min="111" max="111" width="12.7109375" bestFit="1" customWidth="1"/>
    <col min="112" max="112" width="7" bestFit="1" customWidth="1"/>
    <col min="113" max="113" width="12.7109375" bestFit="1" customWidth="1"/>
    <col min="114" max="114" width="7" bestFit="1" customWidth="1"/>
    <col min="115" max="115" width="12.7109375" bestFit="1" customWidth="1"/>
    <col min="116" max="116" width="7" bestFit="1" customWidth="1"/>
    <col min="117" max="117" width="12.7109375" bestFit="1" customWidth="1"/>
    <col min="118" max="118" width="7" bestFit="1" customWidth="1"/>
    <col min="119" max="119" width="12.7109375" bestFit="1" customWidth="1"/>
    <col min="120" max="120" width="7" bestFit="1" customWidth="1"/>
    <col min="121" max="121" width="12.7109375" bestFit="1" customWidth="1"/>
    <col min="122" max="122" width="7" bestFit="1" customWidth="1"/>
    <col min="123" max="123" width="12.7109375" bestFit="1" customWidth="1"/>
    <col min="124" max="124" width="7" bestFit="1" customWidth="1"/>
    <col min="125" max="125" width="12.7109375" bestFit="1" customWidth="1"/>
    <col min="126" max="126" width="7" bestFit="1" customWidth="1"/>
    <col min="127" max="127" width="12.7109375" bestFit="1" customWidth="1"/>
    <col min="128" max="128" width="7" bestFit="1" customWidth="1"/>
    <col min="129" max="129" width="12.7109375" bestFit="1" customWidth="1"/>
    <col min="130" max="130" width="7" bestFit="1" customWidth="1"/>
    <col min="131" max="131" width="12.7109375" bestFit="1" customWidth="1"/>
    <col min="132" max="132" width="7" bestFit="1" customWidth="1"/>
    <col min="133" max="133" width="12.7109375" bestFit="1" customWidth="1"/>
    <col min="134" max="134" width="7" bestFit="1" customWidth="1"/>
    <col min="135" max="135" width="12.7109375" bestFit="1" customWidth="1"/>
    <col min="136" max="136" width="7" bestFit="1" customWidth="1"/>
    <col min="137" max="137" width="12.7109375" bestFit="1" customWidth="1"/>
    <col min="138" max="138" width="7" bestFit="1" customWidth="1"/>
    <col min="139" max="139" width="12.7109375" bestFit="1" customWidth="1"/>
    <col min="140" max="140" width="7" bestFit="1" customWidth="1"/>
    <col min="141" max="141" width="12.7109375" bestFit="1" customWidth="1"/>
    <col min="142" max="142" width="7" bestFit="1" customWidth="1"/>
    <col min="143" max="143" width="12.7109375" bestFit="1" customWidth="1"/>
    <col min="144" max="144" width="7" bestFit="1" customWidth="1"/>
    <col min="145" max="145" width="12.7109375" bestFit="1" customWidth="1"/>
    <col min="146" max="146" width="7" bestFit="1" customWidth="1"/>
    <col min="147" max="147" width="12.7109375" bestFit="1" customWidth="1"/>
    <col min="148" max="148" width="7" bestFit="1" customWidth="1"/>
    <col min="149" max="149" width="12.7109375" bestFit="1" customWidth="1"/>
    <col min="150" max="150" width="7" bestFit="1" customWidth="1"/>
    <col min="151" max="151" width="12.7109375" bestFit="1" customWidth="1"/>
    <col min="152" max="152" width="7" bestFit="1" customWidth="1"/>
    <col min="153" max="153" width="12.7109375" bestFit="1" customWidth="1"/>
    <col min="154" max="154" width="7" bestFit="1" customWidth="1"/>
    <col min="155" max="155" width="12.7109375" bestFit="1" customWidth="1"/>
    <col min="156" max="156" width="7" bestFit="1" customWidth="1"/>
    <col min="157" max="157" width="12.7109375" bestFit="1" customWidth="1"/>
    <col min="158" max="158" width="7" bestFit="1" customWidth="1"/>
    <col min="159" max="159" width="12.7109375" bestFit="1" customWidth="1"/>
    <col min="160" max="160" width="7" bestFit="1" customWidth="1"/>
    <col min="161" max="161" width="12.7109375" bestFit="1" customWidth="1"/>
    <col min="162" max="162" width="7" bestFit="1" customWidth="1"/>
    <col min="163" max="163" width="12.7109375" bestFit="1" customWidth="1"/>
    <col min="164" max="164" width="7" bestFit="1" customWidth="1"/>
    <col min="165" max="165" width="12.7109375" bestFit="1" customWidth="1"/>
    <col min="166" max="166" width="7" bestFit="1" customWidth="1"/>
    <col min="167" max="167" width="12.7109375" bestFit="1" customWidth="1"/>
    <col min="168" max="168" width="7" bestFit="1" customWidth="1"/>
    <col min="169" max="169" width="12.7109375" bestFit="1" customWidth="1"/>
    <col min="170" max="170" width="7" bestFit="1" customWidth="1"/>
    <col min="171" max="171" width="12.7109375" bestFit="1" customWidth="1"/>
    <col min="172" max="172" width="7" bestFit="1" customWidth="1"/>
    <col min="173" max="173" width="12.7109375" bestFit="1" customWidth="1"/>
    <col min="174" max="174" width="7" bestFit="1" customWidth="1"/>
    <col min="175" max="175" width="12.7109375" bestFit="1" customWidth="1"/>
    <col min="176" max="176" width="7" bestFit="1" customWidth="1"/>
    <col min="177" max="177" width="12.7109375" bestFit="1" customWidth="1"/>
    <col min="178" max="178" width="7" bestFit="1" customWidth="1"/>
    <col min="179" max="179" width="12.7109375" bestFit="1" customWidth="1"/>
    <col min="180" max="180" width="7" bestFit="1" customWidth="1"/>
    <col min="181" max="181" width="12.7109375" bestFit="1" customWidth="1"/>
    <col min="182" max="182" width="7" bestFit="1" customWidth="1"/>
    <col min="183" max="183" width="12.7109375" bestFit="1" customWidth="1"/>
    <col min="184" max="184" width="7" bestFit="1" customWidth="1"/>
    <col min="185" max="185" width="12.7109375" bestFit="1" customWidth="1"/>
    <col min="186" max="186" width="7" bestFit="1" customWidth="1"/>
    <col min="187" max="188" width="12.7109375" bestFit="1" customWidth="1"/>
  </cols>
  <sheetData>
    <row r="1" spans="1:15" x14ac:dyDescent="0.25">
      <c r="A1" s="61" t="s">
        <v>10</v>
      </c>
      <c r="B1" t="s">
        <v>67</v>
      </c>
    </row>
    <row r="2" spans="1:15" x14ac:dyDescent="0.25">
      <c r="A2" s="61" t="s">
        <v>121</v>
      </c>
      <c r="B2" t="s">
        <v>67</v>
      </c>
    </row>
    <row r="3" spans="1:15" x14ac:dyDescent="0.25">
      <c r="A3" s="61" t="s">
        <v>129</v>
      </c>
      <c r="B3" t="s">
        <v>67</v>
      </c>
    </row>
    <row r="4" spans="1:15" x14ac:dyDescent="0.25">
      <c r="A4" s="61" t="s">
        <v>120</v>
      </c>
      <c r="B4" t="s">
        <v>67</v>
      </c>
    </row>
    <row r="5" spans="1:15" x14ac:dyDescent="0.25">
      <c r="A5" s="61" t="s">
        <v>0</v>
      </c>
      <c r="B5" t="s">
        <v>67</v>
      </c>
    </row>
    <row r="6" spans="1:15" x14ac:dyDescent="0.25">
      <c r="A6" s="61" t="s">
        <v>1</v>
      </c>
      <c r="B6" t="s">
        <v>67</v>
      </c>
    </row>
    <row r="8" spans="1:15" x14ac:dyDescent="0.25">
      <c r="A8" s="61" t="s">
        <v>74</v>
      </c>
      <c r="B8" s="61" t="s">
        <v>64</v>
      </c>
    </row>
    <row r="9" spans="1:15" x14ac:dyDescent="0.25">
      <c r="B9" s="220">
        <v>46104</v>
      </c>
      <c r="F9" t="s">
        <v>159</v>
      </c>
      <c r="G9" s="220">
        <v>46092</v>
      </c>
      <c r="O9" t="s">
        <v>158</v>
      </c>
    </row>
    <row r="10" spans="1:15" x14ac:dyDescent="0.25">
      <c r="A10" s="61" t="s">
        <v>63</v>
      </c>
      <c r="B10" t="s">
        <v>137</v>
      </c>
      <c r="C10" t="s">
        <v>138</v>
      </c>
      <c r="D10" t="s">
        <v>143</v>
      </c>
      <c r="E10" t="s">
        <v>141</v>
      </c>
      <c r="G10" t="s">
        <v>137</v>
      </c>
      <c r="H10" t="s">
        <v>139</v>
      </c>
      <c r="I10" t="s">
        <v>138</v>
      </c>
      <c r="J10" t="s">
        <v>142</v>
      </c>
      <c r="K10" t="s">
        <v>143</v>
      </c>
      <c r="L10" t="s">
        <v>140</v>
      </c>
      <c r="M10" t="s">
        <v>141</v>
      </c>
      <c r="N10" t="s">
        <v>144</v>
      </c>
    </row>
    <row r="11" spans="1:15" x14ac:dyDescent="0.25">
      <c r="A11" s="221">
        <v>1.0150557507719928E-2</v>
      </c>
      <c r="B11" s="73"/>
      <c r="C11" s="73"/>
      <c r="D11" s="73"/>
      <c r="E11" s="73"/>
      <c r="F11" s="73"/>
      <c r="G11" s="73">
        <v>6.596198861928409E-3</v>
      </c>
      <c r="H11" s="73"/>
      <c r="I11" s="73"/>
      <c r="J11" s="73"/>
      <c r="K11" s="73"/>
      <c r="L11" s="73"/>
      <c r="M11" s="73"/>
      <c r="N11" s="73"/>
      <c r="O11" s="73">
        <v>6.596198861928409E-3</v>
      </c>
    </row>
    <row r="12" spans="1:15" x14ac:dyDescent="0.25">
      <c r="A12" s="221">
        <v>1.1850271528316525E-2</v>
      </c>
      <c r="B12" s="73">
        <v>6.6212960266655973E-3</v>
      </c>
      <c r="C12" s="73"/>
      <c r="D12" s="73"/>
      <c r="E12" s="73"/>
      <c r="F12" s="73">
        <v>6.6212960266655973E-3</v>
      </c>
      <c r="G12" s="73"/>
      <c r="H12" s="73"/>
      <c r="I12" s="73"/>
      <c r="J12" s="73"/>
      <c r="K12" s="73"/>
      <c r="L12" s="73"/>
      <c r="M12" s="73"/>
      <c r="N12" s="73"/>
      <c r="O12" s="73"/>
    </row>
    <row r="13" spans="1:15" x14ac:dyDescent="0.25">
      <c r="A13" s="221">
        <v>1.6512173139232419E-2</v>
      </c>
      <c r="B13" s="73"/>
      <c r="C13" s="73"/>
      <c r="D13" s="73"/>
      <c r="E13" s="73"/>
      <c r="F13" s="73"/>
      <c r="G13" s="73">
        <v>7.0278514508279053E-3</v>
      </c>
      <c r="H13" s="73"/>
      <c r="I13" s="73"/>
      <c r="J13" s="73"/>
      <c r="K13" s="73"/>
      <c r="L13" s="73"/>
      <c r="M13" s="73"/>
      <c r="N13" s="73"/>
      <c r="O13" s="73">
        <v>7.0278514508279053E-3</v>
      </c>
    </row>
    <row r="14" spans="1:15" x14ac:dyDescent="0.25">
      <c r="A14" s="221">
        <v>1.6875256696937891E-2</v>
      </c>
      <c r="B14" s="73"/>
      <c r="C14" s="73"/>
      <c r="D14" s="73"/>
      <c r="E14" s="73"/>
      <c r="F14" s="73"/>
      <c r="G14" s="73"/>
      <c r="H14" s="73">
        <v>8.4535995613054232E-3</v>
      </c>
      <c r="I14" s="73"/>
      <c r="J14" s="73"/>
      <c r="K14" s="73"/>
      <c r="L14" s="73"/>
      <c r="M14" s="73"/>
      <c r="N14" s="73"/>
      <c r="O14" s="73">
        <v>8.4535995613054232E-3</v>
      </c>
    </row>
    <row r="15" spans="1:15" x14ac:dyDescent="0.25">
      <c r="A15" s="221">
        <v>1.9997642191089005E-2</v>
      </c>
      <c r="B15" s="73"/>
      <c r="C15" s="73"/>
      <c r="D15" s="73"/>
      <c r="E15" s="73"/>
      <c r="F15" s="73"/>
      <c r="G15" s="73">
        <v>7.280404097911467E-3</v>
      </c>
      <c r="H15" s="73"/>
      <c r="I15" s="73"/>
      <c r="J15" s="73"/>
      <c r="K15" s="73"/>
      <c r="L15" s="73"/>
      <c r="M15" s="73"/>
      <c r="N15" s="73"/>
      <c r="O15" s="73">
        <v>7.280404097911467E-3</v>
      </c>
    </row>
    <row r="16" spans="1:15" x14ac:dyDescent="0.25">
      <c r="A16" s="221">
        <v>2.5965865011636929E-2</v>
      </c>
      <c r="B16" s="73">
        <v>7.490851774883912E-3</v>
      </c>
      <c r="C16" s="73"/>
      <c r="D16" s="73"/>
      <c r="E16" s="73"/>
      <c r="F16" s="73">
        <v>7.490851774883912E-3</v>
      </c>
      <c r="G16" s="73"/>
      <c r="H16" s="73"/>
      <c r="I16" s="73"/>
      <c r="J16" s="73"/>
      <c r="K16" s="73"/>
      <c r="L16" s="73"/>
      <c r="M16" s="73"/>
      <c r="N16" s="73"/>
      <c r="O16" s="73"/>
    </row>
    <row r="17" spans="1:15" x14ac:dyDescent="0.25">
      <c r="A17" s="221">
        <v>2.7674917911307269E-2</v>
      </c>
      <c r="B17" s="73"/>
      <c r="C17" s="73"/>
      <c r="D17" s="73"/>
      <c r="E17" s="73"/>
      <c r="F17" s="73"/>
      <c r="G17" s="73"/>
      <c r="H17" s="73"/>
      <c r="I17" s="73">
        <v>9.6372250619072009E-3</v>
      </c>
      <c r="J17" s="73"/>
      <c r="K17" s="73"/>
      <c r="L17" s="73"/>
      <c r="M17" s="73"/>
      <c r="N17" s="73"/>
      <c r="O17" s="73">
        <v>9.6372250619072009E-3</v>
      </c>
    </row>
    <row r="18" spans="1:15" x14ac:dyDescent="0.25">
      <c r="A18" s="221">
        <v>3.1234376346866644E-2</v>
      </c>
      <c r="B18" s="73"/>
      <c r="C18" s="73">
        <v>9.6815497098528564E-3</v>
      </c>
      <c r="D18" s="73"/>
      <c r="E18" s="73"/>
      <c r="F18" s="73">
        <v>9.6815497098528564E-3</v>
      </c>
      <c r="G18" s="73"/>
      <c r="H18" s="73"/>
      <c r="I18" s="73"/>
      <c r="J18" s="73"/>
      <c r="K18" s="73"/>
      <c r="L18" s="73"/>
      <c r="M18" s="73"/>
      <c r="N18" s="73"/>
      <c r="O18" s="73"/>
    </row>
    <row r="19" spans="1:15" x14ac:dyDescent="0.25">
      <c r="A19" s="221">
        <v>3.5640373294391452E-2</v>
      </c>
      <c r="B19" s="73"/>
      <c r="C19" s="73"/>
      <c r="D19" s="73"/>
      <c r="E19" s="73"/>
      <c r="F19" s="73"/>
      <c r="G19" s="73">
        <v>8.0706952791960666E-3</v>
      </c>
      <c r="H19" s="73"/>
      <c r="I19" s="73"/>
      <c r="J19" s="73"/>
      <c r="K19" s="73"/>
      <c r="L19" s="73"/>
      <c r="M19" s="73"/>
      <c r="N19" s="73"/>
      <c r="O19" s="73">
        <v>8.0706952791960666E-3</v>
      </c>
    </row>
    <row r="20" spans="1:15" x14ac:dyDescent="0.25">
      <c r="A20" s="221">
        <v>3.6869666408068269E-2</v>
      </c>
      <c r="B20" s="73">
        <v>8.1016796352175388E-3</v>
      </c>
      <c r="C20" s="73"/>
      <c r="D20" s="73"/>
      <c r="E20" s="73"/>
      <c r="F20" s="73">
        <v>8.1016796352175388E-3</v>
      </c>
      <c r="G20" s="73"/>
      <c r="H20" s="73"/>
      <c r="I20" s="73"/>
      <c r="J20" s="73"/>
      <c r="K20" s="73"/>
      <c r="L20" s="73"/>
      <c r="M20" s="73"/>
      <c r="N20" s="73"/>
      <c r="O20" s="73"/>
    </row>
    <row r="21" spans="1:15" x14ac:dyDescent="0.25">
      <c r="A21" s="221">
        <v>3.9849347419340118E-2</v>
      </c>
      <c r="B21" s="73"/>
      <c r="C21" s="73"/>
      <c r="D21" s="73"/>
      <c r="E21" s="73"/>
      <c r="F21" s="73"/>
      <c r="G21" s="73">
        <v>8.2483981479025952E-3</v>
      </c>
      <c r="H21" s="73"/>
      <c r="I21" s="73"/>
      <c r="J21" s="73"/>
      <c r="K21" s="73"/>
      <c r="L21" s="73"/>
      <c r="M21" s="73"/>
      <c r="N21" s="73"/>
      <c r="O21" s="73">
        <v>8.2483981479025952E-3</v>
      </c>
    </row>
    <row r="22" spans="1:15" x14ac:dyDescent="0.25">
      <c r="A22" s="221">
        <v>4.1308812120658976E-2</v>
      </c>
      <c r="B22" s="73"/>
      <c r="C22" s="73"/>
      <c r="D22" s="73"/>
      <c r="E22" s="73"/>
      <c r="F22" s="73"/>
      <c r="G22" s="73"/>
      <c r="H22" s="73">
        <v>9.0757148595714369E-3</v>
      </c>
      <c r="I22" s="73"/>
      <c r="J22" s="73"/>
      <c r="K22" s="73"/>
      <c r="L22" s="73"/>
      <c r="M22" s="73"/>
      <c r="N22" s="73"/>
      <c r="O22" s="73">
        <v>9.0757148595714369E-3</v>
      </c>
    </row>
    <row r="23" spans="1:15" x14ac:dyDescent="0.25">
      <c r="A23" s="221">
        <v>4.4642703215240054E-2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>
        <v>1.1061016764952936E-2</v>
      </c>
      <c r="O23" s="73">
        <v>1.1061016764952936E-2</v>
      </c>
    </row>
    <row r="24" spans="1:15" x14ac:dyDescent="0.25">
      <c r="A24" s="221">
        <v>4.6332212740281015E-2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>
        <v>1.1654574736677229E-2</v>
      </c>
      <c r="O24" s="73">
        <v>1.1654574736677229E-2</v>
      </c>
    </row>
    <row r="25" spans="1:15" x14ac:dyDescent="0.25">
      <c r="A25" s="221">
        <v>5.5009625606987904E-2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>
        <v>1.8346191558481693E-2</v>
      </c>
      <c r="O25" s="73">
        <v>1.8346191558481693E-2</v>
      </c>
    </row>
    <row r="26" spans="1:15" x14ac:dyDescent="0.25">
      <c r="A26" s="221">
        <v>5.5108173991085967E-2</v>
      </c>
      <c r="B26" s="73"/>
      <c r="C26" s="73"/>
      <c r="D26" s="73"/>
      <c r="E26" s="73"/>
      <c r="F26" s="73"/>
      <c r="G26" s="73">
        <v>9.0297684207135426E-3</v>
      </c>
      <c r="H26" s="73"/>
      <c r="I26" s="73"/>
      <c r="J26" s="73"/>
      <c r="K26" s="73"/>
      <c r="L26" s="73"/>
      <c r="M26" s="73"/>
      <c r="N26" s="73"/>
      <c r="O26" s="73">
        <v>9.0297684207135426E-3</v>
      </c>
    </row>
    <row r="27" spans="1:15" x14ac:dyDescent="0.25">
      <c r="A27" s="221">
        <v>5.7327385570209471E-2</v>
      </c>
      <c r="B27" s="73"/>
      <c r="C27" s="73">
        <v>9.9585361931964558E-3</v>
      </c>
      <c r="D27" s="73"/>
      <c r="E27" s="73"/>
      <c r="F27" s="73">
        <v>9.9585361931964558E-3</v>
      </c>
      <c r="G27" s="73"/>
      <c r="H27" s="73"/>
      <c r="I27" s="73"/>
      <c r="J27" s="73"/>
      <c r="K27" s="73"/>
      <c r="L27" s="73"/>
      <c r="M27" s="73"/>
      <c r="N27" s="73"/>
      <c r="O27" s="73"/>
    </row>
    <row r="28" spans="1:15" x14ac:dyDescent="0.25">
      <c r="A28" s="221">
        <v>5.7532058595354346E-2</v>
      </c>
      <c r="B28" s="73"/>
      <c r="C28" s="73"/>
      <c r="D28" s="73"/>
      <c r="E28" s="73"/>
      <c r="F28" s="73"/>
      <c r="G28" s="73">
        <v>9.3669171539898718E-3</v>
      </c>
      <c r="H28" s="73"/>
      <c r="I28" s="73"/>
      <c r="J28" s="73"/>
      <c r="K28" s="73"/>
      <c r="L28" s="73"/>
      <c r="M28" s="73"/>
      <c r="N28" s="73"/>
      <c r="O28" s="73">
        <v>9.3669171539898718E-3</v>
      </c>
    </row>
    <row r="29" spans="1:15" x14ac:dyDescent="0.25">
      <c r="A29" s="221">
        <v>5.8219550038789744E-2</v>
      </c>
      <c r="B29" s="73">
        <v>9.0222427353906856E-3</v>
      </c>
      <c r="C29" s="73"/>
      <c r="D29" s="73"/>
      <c r="E29" s="73"/>
      <c r="F29" s="73">
        <v>9.0222427353906856E-3</v>
      </c>
      <c r="G29" s="73"/>
      <c r="H29" s="73"/>
      <c r="I29" s="73"/>
      <c r="J29" s="73"/>
      <c r="K29" s="73"/>
      <c r="L29" s="73"/>
      <c r="M29" s="73"/>
      <c r="N29" s="73"/>
      <c r="O29" s="73"/>
    </row>
    <row r="30" spans="1:15" x14ac:dyDescent="0.25">
      <c r="A30" s="221">
        <v>5.8994914231531768E-2</v>
      </c>
      <c r="B30" s="73"/>
      <c r="C30" s="73"/>
      <c r="D30" s="73"/>
      <c r="E30" s="73"/>
      <c r="F30" s="73"/>
      <c r="G30" s="73"/>
      <c r="H30" s="73"/>
      <c r="I30" s="73"/>
      <c r="J30" s="73"/>
      <c r="K30" s="73">
        <v>1.0721021489823184E-2</v>
      </c>
      <c r="L30" s="73"/>
      <c r="M30" s="73"/>
      <c r="N30" s="73"/>
      <c r="O30" s="73">
        <v>1.0721021489823184E-2</v>
      </c>
    </row>
    <row r="31" spans="1:15" x14ac:dyDescent="0.25">
      <c r="A31" s="221">
        <v>5.9106973536764078E-2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>
        <v>1.3275207717987576E-2</v>
      </c>
      <c r="O31" s="73">
        <v>1.3275207717987576E-2</v>
      </c>
    </row>
    <row r="32" spans="1:15" x14ac:dyDescent="0.25">
      <c r="A32" s="221">
        <v>5.9313421256788207E-2</v>
      </c>
      <c r="B32" s="73"/>
      <c r="C32" s="73"/>
      <c r="D32" s="73">
        <v>9.6212234184526301E-3</v>
      </c>
      <c r="E32" s="73"/>
      <c r="F32" s="73">
        <v>9.6212234184526301E-3</v>
      </c>
      <c r="G32" s="73"/>
      <c r="H32" s="73"/>
      <c r="I32" s="73"/>
      <c r="J32" s="73"/>
      <c r="K32" s="73"/>
      <c r="L32" s="73"/>
      <c r="M32" s="73"/>
      <c r="N32" s="73"/>
      <c r="O32" s="73"/>
    </row>
    <row r="33" spans="1:15" x14ac:dyDescent="0.25">
      <c r="A33" s="221">
        <v>6.0624515128006207E-2</v>
      </c>
      <c r="B33" s="73"/>
      <c r="C33" s="73"/>
      <c r="D33" s="73">
        <v>1.1228162871936714E-2</v>
      </c>
      <c r="E33" s="73"/>
      <c r="F33" s="73">
        <v>1.1228162871936714E-2</v>
      </c>
      <c r="G33" s="73"/>
      <c r="H33" s="73"/>
      <c r="I33" s="73"/>
      <c r="J33" s="73"/>
      <c r="K33" s="73"/>
      <c r="L33" s="73"/>
      <c r="M33" s="73"/>
      <c r="N33" s="73"/>
      <c r="O33" s="73"/>
    </row>
    <row r="34" spans="1:15" x14ac:dyDescent="0.25">
      <c r="A34" s="221">
        <v>6.230122149713261E-2</v>
      </c>
      <c r="B34" s="73"/>
      <c r="C34" s="73"/>
      <c r="D34" s="73"/>
      <c r="E34" s="73"/>
      <c r="F34" s="73"/>
      <c r="G34" s="73"/>
      <c r="H34" s="73"/>
      <c r="I34" s="73">
        <v>1.0460084484178884E-2</v>
      </c>
      <c r="J34" s="73"/>
      <c r="K34" s="73"/>
      <c r="L34" s="73"/>
      <c r="M34" s="73"/>
      <c r="N34" s="73"/>
      <c r="O34" s="73">
        <v>1.0460084484178884E-2</v>
      </c>
    </row>
    <row r="35" spans="1:15" x14ac:dyDescent="0.25">
      <c r="A35" s="221">
        <v>6.355486595983105E-2</v>
      </c>
      <c r="B35" s="73"/>
      <c r="C35" s="73"/>
      <c r="D35" s="73">
        <v>1.086438303311912E-2</v>
      </c>
      <c r="E35" s="73"/>
      <c r="F35" s="73">
        <v>1.086438303311912E-2</v>
      </c>
      <c r="G35" s="73"/>
      <c r="H35" s="73"/>
      <c r="I35" s="73"/>
      <c r="J35" s="73"/>
      <c r="K35" s="73"/>
      <c r="L35" s="73"/>
      <c r="M35" s="73"/>
      <c r="N35" s="73"/>
      <c r="O35" s="73"/>
    </row>
    <row r="36" spans="1:15" x14ac:dyDescent="0.25">
      <c r="A36" s="221">
        <v>6.3885297244490422E-2</v>
      </c>
      <c r="B36" s="73"/>
      <c r="C36" s="73"/>
      <c r="D36" s="73"/>
      <c r="E36" s="73"/>
      <c r="F36" s="73"/>
      <c r="G36" s="73"/>
      <c r="H36" s="73"/>
      <c r="I36" s="73"/>
      <c r="J36" s="73"/>
      <c r="K36" s="73">
        <v>1.128819261719761E-2</v>
      </c>
      <c r="L36" s="73"/>
      <c r="M36" s="73"/>
      <c r="N36" s="73"/>
      <c r="O36" s="73">
        <v>1.128819261719761E-2</v>
      </c>
    </row>
    <row r="37" spans="1:15" x14ac:dyDescent="0.25">
      <c r="A37" s="221">
        <v>6.8267103410625515E-2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>
        <v>1.4768636010278974E-2</v>
      </c>
      <c r="O37" s="73">
        <v>1.4768636010278974E-2</v>
      </c>
    </row>
    <row r="38" spans="1:15" x14ac:dyDescent="0.25">
      <c r="A38" s="221">
        <v>6.8285948980057493E-2</v>
      </c>
      <c r="B38" s="73"/>
      <c r="C38" s="73"/>
      <c r="D38" s="73"/>
      <c r="E38" s="73"/>
      <c r="F38" s="73"/>
      <c r="G38" s="73"/>
      <c r="H38" s="73">
        <v>9.7737484105561365E-3</v>
      </c>
      <c r="I38" s="73"/>
      <c r="J38" s="73"/>
      <c r="K38" s="73"/>
      <c r="L38" s="73"/>
      <c r="M38" s="73"/>
      <c r="N38" s="73"/>
      <c r="O38" s="73">
        <v>9.7737484105561365E-3</v>
      </c>
    </row>
    <row r="39" spans="1:15" x14ac:dyDescent="0.25">
      <c r="A39" s="221">
        <v>6.9947992989110142E-2</v>
      </c>
      <c r="B39" s="73"/>
      <c r="C39" s="73"/>
      <c r="D39" s="73"/>
      <c r="E39" s="73"/>
      <c r="F39" s="73"/>
      <c r="G39" s="73"/>
      <c r="H39" s="73"/>
      <c r="I39" s="73"/>
      <c r="J39" s="73"/>
      <c r="K39" s="73">
        <v>1.0464462487309993E-2</v>
      </c>
      <c r="L39" s="73"/>
      <c r="M39" s="73"/>
      <c r="N39" s="73"/>
      <c r="O39" s="73">
        <v>1.0464462487309993E-2</v>
      </c>
    </row>
    <row r="40" spans="1:15" x14ac:dyDescent="0.25">
      <c r="A40" s="221">
        <v>7.1823118696664079E-2</v>
      </c>
      <c r="B40" s="73"/>
      <c r="C40" s="73"/>
      <c r="D40" s="73">
        <v>1.1404410581020489E-2</v>
      </c>
      <c r="E40" s="73"/>
      <c r="F40" s="73">
        <v>1.1404410581020489E-2</v>
      </c>
      <c r="G40" s="73"/>
      <c r="H40" s="73"/>
      <c r="I40" s="73"/>
      <c r="J40" s="73"/>
      <c r="K40" s="73"/>
      <c r="L40" s="73"/>
      <c r="M40" s="73"/>
      <c r="N40" s="73"/>
      <c r="O40" s="73"/>
    </row>
    <row r="41" spans="1:15" x14ac:dyDescent="0.25">
      <c r="A41" s="221">
        <v>7.817315444408951E-2</v>
      </c>
      <c r="B41" s="73"/>
      <c r="C41" s="73"/>
      <c r="D41" s="73"/>
      <c r="E41" s="73"/>
      <c r="F41" s="73"/>
      <c r="G41" s="73">
        <v>1.0746412006416907E-2</v>
      </c>
      <c r="H41" s="73"/>
      <c r="I41" s="73"/>
      <c r="J41" s="73"/>
      <c r="K41" s="73"/>
      <c r="L41" s="73"/>
      <c r="M41" s="73"/>
      <c r="N41" s="73"/>
      <c r="O41" s="73">
        <v>1.0746412006416907E-2</v>
      </c>
    </row>
    <row r="42" spans="1:15" x14ac:dyDescent="0.25">
      <c r="A42" s="221">
        <v>7.9329368157917426E-2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>
        <v>1.5918493463828256E-2</v>
      </c>
      <c r="O42" s="73">
        <v>1.5918493463828256E-2</v>
      </c>
    </row>
    <row r="43" spans="1:15" x14ac:dyDescent="0.25">
      <c r="A43" s="221">
        <v>8.0174122920437893E-2</v>
      </c>
      <c r="B43" s="73"/>
      <c r="C43" s="73"/>
      <c r="D43" s="73"/>
      <c r="E43" s="73"/>
      <c r="F43" s="73"/>
      <c r="G43" s="73"/>
      <c r="H43" s="73"/>
      <c r="I43" s="73"/>
      <c r="J43" s="73"/>
      <c r="K43" s="73">
        <v>1.1873789179147687E-2</v>
      </c>
      <c r="L43" s="73"/>
      <c r="M43" s="73"/>
      <c r="N43" s="73"/>
      <c r="O43" s="73">
        <v>1.1873789179147687E-2</v>
      </c>
    </row>
    <row r="44" spans="1:15" x14ac:dyDescent="0.25">
      <c r="A44" s="221">
        <v>8.0536160675803811E-2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>
        <v>1.5086350243453263E-2</v>
      </c>
      <c r="O44" s="73">
        <v>1.5086350243453263E-2</v>
      </c>
    </row>
    <row r="45" spans="1:15" x14ac:dyDescent="0.25">
      <c r="A45" s="221">
        <v>8.0896043444530635E-2</v>
      </c>
      <c r="B45" s="73">
        <v>1.1071213533300241E-2</v>
      </c>
      <c r="C45" s="73"/>
      <c r="D45" s="73"/>
      <c r="E45" s="73"/>
      <c r="F45" s="73">
        <v>1.1071213533300241E-2</v>
      </c>
      <c r="G45" s="73"/>
      <c r="H45" s="73"/>
      <c r="I45" s="73"/>
      <c r="J45" s="73"/>
      <c r="K45" s="73"/>
      <c r="L45" s="73"/>
      <c r="M45" s="73"/>
      <c r="N45" s="73"/>
      <c r="O45" s="73"/>
    </row>
    <row r="46" spans="1:15" x14ac:dyDescent="0.25">
      <c r="A46" s="221">
        <v>8.4433992759244889E-2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>
        <v>1.1154069304209259E-2</v>
      </c>
      <c r="M46" s="73"/>
      <c r="N46" s="73"/>
      <c r="O46" s="73">
        <v>1.1154069304209259E-2</v>
      </c>
    </row>
    <row r="47" spans="1:15" x14ac:dyDescent="0.25">
      <c r="A47" s="221">
        <v>8.5151280062063614E-2</v>
      </c>
      <c r="B47" s="73"/>
      <c r="C47" s="73">
        <v>1.1780866166576431E-2</v>
      </c>
      <c r="D47" s="73"/>
      <c r="E47" s="73"/>
      <c r="F47" s="73">
        <v>1.1780866166576431E-2</v>
      </c>
      <c r="G47" s="73"/>
      <c r="H47" s="73"/>
      <c r="I47" s="73"/>
      <c r="J47" s="73"/>
      <c r="K47" s="73"/>
      <c r="L47" s="73"/>
      <c r="M47" s="73"/>
      <c r="N47" s="73"/>
      <c r="O47" s="73"/>
    </row>
    <row r="48" spans="1:15" x14ac:dyDescent="0.25">
      <c r="A48" s="221">
        <v>8.9103956555469377E-2</v>
      </c>
      <c r="B48" s="73"/>
      <c r="C48" s="73"/>
      <c r="D48" s="73">
        <v>1.3399499060221923E-2</v>
      </c>
      <c r="E48" s="73"/>
      <c r="F48" s="73">
        <v>1.3399499060221923E-2</v>
      </c>
      <c r="G48" s="73"/>
      <c r="H48" s="73"/>
      <c r="I48" s="73"/>
      <c r="J48" s="73"/>
      <c r="K48" s="73"/>
      <c r="L48" s="73"/>
      <c r="M48" s="73"/>
      <c r="N48" s="73"/>
      <c r="O48" s="73"/>
    </row>
    <row r="49" spans="1:15" x14ac:dyDescent="0.25">
      <c r="A49" s="221">
        <v>9.3204608798092115E-2</v>
      </c>
      <c r="B49" s="73"/>
      <c r="C49" s="73"/>
      <c r="D49" s="73"/>
      <c r="E49" s="73"/>
      <c r="F49" s="73"/>
      <c r="G49" s="73"/>
      <c r="H49" s="73"/>
      <c r="I49" s="73"/>
      <c r="J49" s="73"/>
      <c r="K49" s="73">
        <v>1.42198915768788E-2</v>
      </c>
      <c r="L49" s="73"/>
      <c r="M49" s="73"/>
      <c r="N49" s="73"/>
      <c r="O49" s="73">
        <v>1.42198915768788E-2</v>
      </c>
    </row>
    <row r="50" spans="1:15" x14ac:dyDescent="0.25">
      <c r="A50" s="221">
        <v>9.50714187924976E-2</v>
      </c>
      <c r="B50" s="73"/>
      <c r="C50" s="73"/>
      <c r="D50" s="73"/>
      <c r="E50" s="73"/>
      <c r="F50" s="73"/>
      <c r="G50" s="73"/>
      <c r="H50" s="73"/>
      <c r="I50" s="73">
        <v>1.1342318018871873E-2</v>
      </c>
      <c r="J50" s="73"/>
      <c r="K50" s="73"/>
      <c r="L50" s="73"/>
      <c r="M50" s="73"/>
      <c r="N50" s="73"/>
      <c r="O50" s="73">
        <v>1.1342318018871873E-2</v>
      </c>
    </row>
    <row r="51" spans="1:15" x14ac:dyDescent="0.25">
      <c r="A51" s="221">
        <v>9.5996896819239702E-2</v>
      </c>
      <c r="B51" s="73"/>
      <c r="C51" s="73">
        <v>1.1676885233167225E-2</v>
      </c>
      <c r="D51" s="73"/>
      <c r="E51" s="73"/>
      <c r="F51" s="73">
        <v>1.1676885233167225E-2</v>
      </c>
      <c r="G51" s="73"/>
      <c r="H51" s="73"/>
      <c r="I51" s="73"/>
      <c r="J51" s="73"/>
      <c r="K51" s="73"/>
      <c r="L51" s="73"/>
      <c r="M51" s="73"/>
      <c r="N51" s="73"/>
      <c r="O51" s="73"/>
    </row>
    <row r="52" spans="1:15" x14ac:dyDescent="0.25">
      <c r="A52" s="221">
        <v>9.6761055081458491E-2</v>
      </c>
      <c r="B52" s="73"/>
      <c r="C52" s="73"/>
      <c r="D52" s="73">
        <v>1.3324501686882279E-2</v>
      </c>
      <c r="E52" s="73"/>
      <c r="F52" s="73">
        <v>1.3324501686882279E-2</v>
      </c>
      <c r="G52" s="73"/>
      <c r="H52" s="73"/>
      <c r="I52" s="73"/>
      <c r="J52" s="73"/>
      <c r="K52" s="73"/>
      <c r="L52" s="73"/>
      <c r="M52" s="73"/>
      <c r="N52" s="73"/>
      <c r="O52" s="73"/>
    </row>
    <row r="53" spans="1:15" x14ac:dyDescent="0.25">
      <c r="A53" s="221">
        <v>9.8829461963218179E-2</v>
      </c>
      <c r="B53" s="73"/>
      <c r="C53" s="73"/>
      <c r="D53" s="73"/>
      <c r="E53" s="73"/>
      <c r="F53" s="73"/>
      <c r="G53" s="73"/>
      <c r="H53" s="73">
        <v>1.0705457534636925E-2</v>
      </c>
      <c r="I53" s="73"/>
      <c r="J53" s="73"/>
      <c r="K53" s="73"/>
      <c r="L53" s="73"/>
      <c r="M53" s="73"/>
      <c r="N53" s="73"/>
      <c r="O53" s="73">
        <v>1.0705457534636925E-2</v>
      </c>
    </row>
    <row r="54" spans="1:15" x14ac:dyDescent="0.25">
      <c r="A54" s="221">
        <v>0.1015458437491021</v>
      </c>
      <c r="B54" s="73"/>
      <c r="C54" s="73"/>
      <c r="D54" s="73"/>
      <c r="E54" s="73"/>
      <c r="F54" s="73"/>
      <c r="G54" s="73"/>
      <c r="H54" s="73"/>
      <c r="I54" s="73"/>
      <c r="J54" s="73"/>
      <c r="K54" s="73">
        <v>1.3731578108277158E-2</v>
      </c>
      <c r="L54" s="73"/>
      <c r="M54" s="73"/>
      <c r="N54" s="73"/>
      <c r="O54" s="73">
        <v>1.3731578108277158E-2</v>
      </c>
    </row>
    <row r="55" spans="1:15" x14ac:dyDescent="0.25">
      <c r="A55" s="221">
        <v>0.10698367787766773</v>
      </c>
      <c r="B55" s="73"/>
      <c r="C55" s="73"/>
      <c r="D55" s="73"/>
      <c r="E55" s="73"/>
      <c r="F55" s="73"/>
      <c r="G55" s="73"/>
      <c r="H55" s="73"/>
      <c r="I55" s="73">
        <v>1.1075833659466924E-2</v>
      </c>
      <c r="J55" s="73"/>
      <c r="K55" s="73"/>
      <c r="L55" s="73"/>
      <c r="M55" s="73"/>
      <c r="N55" s="73"/>
      <c r="O55" s="73">
        <v>1.1075833659466924E-2</v>
      </c>
    </row>
    <row r="56" spans="1:15" x14ac:dyDescent="0.25">
      <c r="A56" s="221">
        <v>0.1145187788071008</v>
      </c>
      <c r="B56" s="73"/>
      <c r="C56" s="73"/>
      <c r="D56" s="73"/>
      <c r="E56" s="73"/>
      <c r="F56" s="73"/>
      <c r="G56" s="73"/>
      <c r="H56" s="73">
        <v>1.0615078085420126E-2</v>
      </c>
      <c r="I56" s="73"/>
      <c r="J56" s="73"/>
      <c r="K56" s="73"/>
      <c r="L56" s="73"/>
      <c r="M56" s="73"/>
      <c r="N56" s="73"/>
      <c r="O56" s="73">
        <v>1.0615078085420126E-2</v>
      </c>
    </row>
    <row r="57" spans="1:15" x14ac:dyDescent="0.25">
      <c r="A57" s="221">
        <v>0.11821179208688905</v>
      </c>
      <c r="B57" s="73">
        <v>1.2433206767652884E-2</v>
      </c>
      <c r="C57" s="73"/>
      <c r="D57" s="73"/>
      <c r="E57" s="73"/>
      <c r="F57" s="73">
        <v>1.2433206767652884E-2</v>
      </c>
      <c r="G57" s="73"/>
      <c r="H57" s="73"/>
      <c r="I57" s="73"/>
      <c r="J57" s="73"/>
      <c r="K57" s="73"/>
      <c r="L57" s="73"/>
      <c r="M57" s="73"/>
      <c r="N57" s="73"/>
      <c r="O57" s="73"/>
    </row>
    <row r="58" spans="1:15" x14ac:dyDescent="0.25">
      <c r="A58" s="221">
        <v>0.12825331149613536</v>
      </c>
      <c r="B58" s="73"/>
      <c r="C58" s="73"/>
      <c r="D58" s="73"/>
      <c r="E58" s="73"/>
      <c r="F58" s="73"/>
      <c r="G58" s="73"/>
      <c r="H58" s="73"/>
      <c r="I58" s="73"/>
      <c r="J58" s="73"/>
      <c r="K58" s="73">
        <v>1.6155172768504214E-2</v>
      </c>
      <c r="L58" s="73"/>
      <c r="M58" s="73"/>
      <c r="N58" s="73"/>
      <c r="O58" s="73">
        <v>1.6155172768504214E-2</v>
      </c>
    </row>
    <row r="59" spans="1:15" x14ac:dyDescent="0.25">
      <c r="A59" s="221">
        <v>0.13169209550900782</v>
      </c>
      <c r="B59" s="73"/>
      <c r="C59" s="73"/>
      <c r="D59" s="73">
        <v>1.5942548324487743E-2</v>
      </c>
      <c r="E59" s="73"/>
      <c r="F59" s="73">
        <v>1.5942548324487743E-2</v>
      </c>
      <c r="G59" s="73"/>
      <c r="H59" s="73"/>
      <c r="I59" s="73"/>
      <c r="J59" s="73"/>
      <c r="K59" s="73"/>
      <c r="L59" s="73"/>
      <c r="M59" s="73"/>
      <c r="N59" s="73"/>
      <c r="O59" s="73"/>
    </row>
    <row r="60" spans="1:15" x14ac:dyDescent="0.25">
      <c r="A60" s="221">
        <v>0.13567259668284176</v>
      </c>
      <c r="B60" s="73"/>
      <c r="C60" s="73"/>
      <c r="D60" s="73"/>
      <c r="E60" s="73"/>
      <c r="F60" s="73"/>
      <c r="G60" s="73">
        <v>1.3768167139153839E-2</v>
      </c>
      <c r="H60" s="73"/>
      <c r="I60" s="73"/>
      <c r="J60" s="73"/>
      <c r="K60" s="73"/>
      <c r="L60" s="73"/>
      <c r="M60" s="73"/>
      <c r="N60" s="73"/>
      <c r="O60" s="73">
        <v>1.3768167139153839E-2</v>
      </c>
    </row>
    <row r="61" spans="1:15" x14ac:dyDescent="0.25">
      <c r="A61" s="221">
        <v>0.13641673892210099</v>
      </c>
      <c r="B61" s="73"/>
      <c r="C61" s="73"/>
      <c r="D61" s="73"/>
      <c r="E61" s="73"/>
      <c r="F61" s="73"/>
      <c r="G61" s="73">
        <v>1.3314866237425725E-2</v>
      </c>
      <c r="H61" s="73"/>
      <c r="I61" s="73"/>
      <c r="J61" s="73"/>
      <c r="K61" s="73"/>
      <c r="L61" s="73"/>
      <c r="M61" s="73"/>
      <c r="N61" s="73"/>
      <c r="O61" s="73">
        <v>1.3314866237425725E-2</v>
      </c>
    </row>
    <row r="62" spans="1:15" x14ac:dyDescent="0.25">
      <c r="A62" s="221">
        <v>0.13848806137401951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>
        <v>2.2143876234593563E-2</v>
      </c>
      <c r="O62" s="73">
        <v>2.2143876234593563E-2</v>
      </c>
    </row>
    <row r="63" spans="1:15" x14ac:dyDescent="0.25">
      <c r="A63" s="221">
        <v>0.14127517742723331</v>
      </c>
      <c r="B63" s="73"/>
      <c r="C63" s="73"/>
      <c r="D63" s="73"/>
      <c r="E63" s="73"/>
      <c r="F63" s="73"/>
      <c r="G63" s="73"/>
      <c r="H63" s="73"/>
      <c r="I63" s="73"/>
      <c r="J63" s="73"/>
      <c r="K63" s="73">
        <v>1.8282164253900317E-2</v>
      </c>
      <c r="L63" s="73"/>
      <c r="M63" s="73"/>
      <c r="N63" s="73"/>
      <c r="O63" s="73">
        <v>1.8282164253900317E-2</v>
      </c>
    </row>
    <row r="64" spans="1:15" x14ac:dyDescent="0.25">
      <c r="A64" s="221">
        <v>0.14444789242306691</v>
      </c>
      <c r="B64" s="73"/>
      <c r="C64" s="73"/>
      <c r="D64" s="73"/>
      <c r="E64" s="73">
        <v>1.2235912914705667E-2</v>
      </c>
      <c r="F64" s="73">
        <v>1.2235912914705667E-2</v>
      </c>
      <c r="G64" s="73"/>
      <c r="H64" s="73"/>
      <c r="I64" s="73"/>
      <c r="J64" s="73"/>
      <c r="K64" s="73"/>
      <c r="L64" s="73"/>
      <c r="M64" s="73"/>
      <c r="N64" s="73"/>
      <c r="O64" s="73"/>
    </row>
    <row r="65" spans="1:15" x14ac:dyDescent="0.25">
      <c r="A65" s="221">
        <v>0.15360972938438372</v>
      </c>
      <c r="B65" s="73"/>
      <c r="C65" s="73"/>
      <c r="D65" s="73"/>
      <c r="E65" s="73"/>
      <c r="F65" s="73"/>
      <c r="G65" s="73"/>
      <c r="H65" s="73">
        <v>1.1505180267543465E-2</v>
      </c>
      <c r="I65" s="73"/>
      <c r="J65" s="73"/>
      <c r="K65" s="73"/>
      <c r="L65" s="73"/>
      <c r="M65" s="73"/>
      <c r="N65" s="73"/>
      <c r="O65" s="73">
        <v>1.1505180267543465E-2</v>
      </c>
    </row>
    <row r="66" spans="1:15" x14ac:dyDescent="0.25">
      <c r="A66" s="221">
        <v>0.15521075769330225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>
        <v>2.4129971595228988E-2</v>
      </c>
      <c r="O66" s="73">
        <v>2.4129971595228988E-2</v>
      </c>
    </row>
    <row r="67" spans="1:15" x14ac:dyDescent="0.25">
      <c r="A67" s="221">
        <v>0.15773467804499613</v>
      </c>
      <c r="B67" s="73"/>
      <c r="C67" s="73">
        <v>1.2692933260667404E-2</v>
      </c>
      <c r="D67" s="73"/>
      <c r="E67" s="73"/>
      <c r="F67" s="73">
        <v>1.2692933260667404E-2</v>
      </c>
      <c r="G67" s="73"/>
      <c r="H67" s="73"/>
      <c r="I67" s="73"/>
      <c r="J67" s="73"/>
      <c r="K67" s="73"/>
      <c r="L67" s="73"/>
      <c r="M67" s="73"/>
      <c r="N67" s="73"/>
      <c r="O67" s="73"/>
    </row>
    <row r="68" spans="1:15" x14ac:dyDescent="0.25">
      <c r="A68" s="221">
        <v>0.15862684251357639</v>
      </c>
      <c r="B68" s="73"/>
      <c r="C68" s="73"/>
      <c r="D68" s="73">
        <v>1.6929177718728747E-2</v>
      </c>
      <c r="E68" s="73"/>
      <c r="F68" s="73">
        <v>1.6929177718728747E-2</v>
      </c>
      <c r="G68" s="73"/>
      <c r="H68" s="73"/>
      <c r="I68" s="73"/>
      <c r="J68" s="73"/>
      <c r="K68" s="73"/>
      <c r="L68" s="73"/>
      <c r="M68" s="73"/>
      <c r="N68" s="73"/>
      <c r="O68" s="73"/>
    </row>
    <row r="69" spans="1:15" x14ac:dyDescent="0.25">
      <c r="A69" s="221">
        <v>0.15977501939487976</v>
      </c>
      <c r="B69" s="73">
        <v>1.584888159105512E-2</v>
      </c>
      <c r="C69" s="73"/>
      <c r="D69" s="73"/>
      <c r="E69" s="73"/>
      <c r="F69" s="73">
        <v>1.584888159105512E-2</v>
      </c>
      <c r="G69" s="73"/>
      <c r="H69" s="73"/>
      <c r="I69" s="73"/>
      <c r="J69" s="73"/>
      <c r="K69" s="73"/>
      <c r="L69" s="73"/>
      <c r="M69" s="73"/>
      <c r="N69" s="73"/>
      <c r="O69" s="73"/>
    </row>
    <row r="70" spans="1:15" x14ac:dyDescent="0.25">
      <c r="A70" s="221">
        <v>0.166508465294574</v>
      </c>
      <c r="B70" s="73"/>
      <c r="C70" s="73"/>
      <c r="D70" s="73"/>
      <c r="E70" s="73"/>
      <c r="F70" s="73"/>
      <c r="G70" s="73"/>
      <c r="H70" s="73">
        <v>1.1636336481284381E-2</v>
      </c>
      <c r="I70" s="73"/>
      <c r="J70" s="73"/>
      <c r="K70" s="73"/>
      <c r="L70" s="73"/>
      <c r="M70" s="73"/>
      <c r="N70" s="73"/>
      <c r="O70" s="73">
        <v>1.1636336481284381E-2</v>
      </c>
    </row>
    <row r="71" spans="1:15" x14ac:dyDescent="0.25">
      <c r="A71" s="221">
        <v>0.17103859581070602</v>
      </c>
      <c r="B71" s="73"/>
      <c r="C71" s="73"/>
      <c r="D71" s="73"/>
      <c r="E71" s="73"/>
      <c r="F71" s="73"/>
      <c r="G71" s="73">
        <v>1.555310791801642E-2</v>
      </c>
      <c r="H71" s="73"/>
      <c r="I71" s="73"/>
      <c r="J71" s="73"/>
      <c r="K71" s="73"/>
      <c r="L71" s="73"/>
      <c r="M71" s="73"/>
      <c r="N71" s="73"/>
      <c r="O71" s="73">
        <v>1.555310791801642E-2</v>
      </c>
    </row>
    <row r="72" spans="1:15" x14ac:dyDescent="0.25">
      <c r="A72" s="221">
        <v>0.17125822486567252</v>
      </c>
      <c r="B72" s="73"/>
      <c r="C72" s="73"/>
      <c r="D72" s="73"/>
      <c r="E72" s="73"/>
      <c r="F72" s="73"/>
      <c r="G72" s="73"/>
      <c r="H72" s="73"/>
      <c r="I72" s="73"/>
      <c r="J72" s="73"/>
      <c r="K72" s="73">
        <v>1.8460602292626395E-2</v>
      </c>
      <c r="L72" s="73"/>
      <c r="M72" s="73"/>
      <c r="N72" s="73"/>
      <c r="O72" s="73">
        <v>1.8460602292626395E-2</v>
      </c>
    </row>
    <row r="73" spans="1:15" x14ac:dyDescent="0.25">
      <c r="A73" s="221">
        <v>0.17211700816866699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>
        <v>1.3253454096760171E-2</v>
      </c>
      <c r="N73" s="73"/>
      <c r="O73" s="73">
        <v>1.3253454096760171E-2</v>
      </c>
    </row>
    <row r="74" spans="1:15" x14ac:dyDescent="0.25">
      <c r="A74" s="221">
        <v>0.17859033450463196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>
        <v>1.3675466659039886E-2</v>
      </c>
      <c r="N74" s="73"/>
      <c r="O74" s="73">
        <v>1.3675466659039886E-2</v>
      </c>
    </row>
    <row r="75" spans="1:15" x14ac:dyDescent="0.25">
      <c r="A75" s="221">
        <v>0.17876260667183863</v>
      </c>
      <c r="B75" s="73"/>
      <c r="C75" s="73">
        <v>1.2816159787474895E-2</v>
      </c>
      <c r="D75" s="73"/>
      <c r="E75" s="73"/>
      <c r="F75" s="73">
        <v>1.2816159787474895E-2</v>
      </c>
      <c r="G75" s="73"/>
      <c r="H75" s="73"/>
      <c r="I75" s="73"/>
      <c r="J75" s="73"/>
      <c r="K75" s="73"/>
      <c r="L75" s="73"/>
      <c r="M75" s="73"/>
      <c r="N75" s="73"/>
      <c r="O75" s="73"/>
    </row>
    <row r="76" spans="1:15" x14ac:dyDescent="0.25">
      <c r="A76" s="221">
        <v>0.18175717610550809</v>
      </c>
      <c r="B76" s="73"/>
      <c r="C76" s="73"/>
      <c r="D76" s="73">
        <v>1.8620865082390158E-2</v>
      </c>
      <c r="E76" s="73"/>
      <c r="F76" s="73">
        <v>1.8620865082390158E-2</v>
      </c>
      <c r="G76" s="73"/>
      <c r="H76" s="73"/>
      <c r="I76" s="73"/>
      <c r="J76" s="73"/>
      <c r="K76" s="73"/>
      <c r="L76" s="73"/>
      <c r="M76" s="73"/>
      <c r="N76" s="73"/>
      <c r="O76" s="73"/>
    </row>
    <row r="77" spans="1:15" x14ac:dyDescent="0.25">
      <c r="A77" s="221">
        <v>0.18389449185415049</v>
      </c>
      <c r="B77" s="73"/>
      <c r="C77" s="73"/>
      <c r="D77" s="73">
        <v>1.9950350457762972E-2</v>
      </c>
      <c r="E77" s="73"/>
      <c r="F77" s="73">
        <v>1.9950350457762972E-2</v>
      </c>
      <c r="G77" s="73"/>
      <c r="H77" s="73"/>
      <c r="I77" s="73"/>
      <c r="J77" s="73"/>
      <c r="K77" s="73"/>
      <c r="L77" s="73"/>
      <c r="M77" s="73"/>
      <c r="N77" s="73"/>
      <c r="O77" s="73"/>
    </row>
    <row r="78" spans="1:15" x14ac:dyDescent="0.25">
      <c r="A78" s="221">
        <v>0.18465843461770537</v>
      </c>
      <c r="B78" s="73"/>
      <c r="C78" s="73"/>
      <c r="D78" s="73"/>
      <c r="E78" s="73"/>
      <c r="F78" s="73"/>
      <c r="G78" s="73">
        <v>1.6170001649484025E-2</v>
      </c>
      <c r="H78" s="73"/>
      <c r="I78" s="73"/>
      <c r="J78" s="73"/>
      <c r="K78" s="73"/>
      <c r="L78" s="73"/>
      <c r="M78" s="73"/>
      <c r="N78" s="73"/>
      <c r="O78" s="73">
        <v>1.6170001649484025E-2</v>
      </c>
    </row>
    <row r="79" spans="1:15" x14ac:dyDescent="0.25">
      <c r="A79" s="221">
        <v>0.20157098525989142</v>
      </c>
      <c r="B79" s="73"/>
      <c r="C79" s="73"/>
      <c r="D79" s="73">
        <v>2.3321659898174307E-2</v>
      </c>
      <c r="E79" s="73"/>
      <c r="F79" s="73">
        <v>2.3321659898174307E-2</v>
      </c>
      <c r="G79" s="73"/>
      <c r="H79" s="73"/>
      <c r="I79" s="73"/>
      <c r="J79" s="73"/>
      <c r="K79" s="73"/>
      <c r="L79" s="73"/>
      <c r="M79" s="73"/>
      <c r="N79" s="73"/>
      <c r="O79" s="73"/>
    </row>
    <row r="80" spans="1:15" x14ac:dyDescent="0.25">
      <c r="A80" s="221">
        <v>0.2027382696893946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>
        <v>3.164305115443973E-2</v>
      </c>
      <c r="O80" s="73">
        <v>3.164305115443973E-2</v>
      </c>
    </row>
    <row r="81" spans="1:15" x14ac:dyDescent="0.25">
      <c r="A81" s="221">
        <v>0.21169130957270418</v>
      </c>
      <c r="B81" s="73"/>
      <c r="C81" s="73"/>
      <c r="D81" s="73"/>
      <c r="E81" s="73"/>
      <c r="F81" s="73"/>
      <c r="G81" s="73"/>
      <c r="H81" s="73"/>
      <c r="I81" s="73">
        <v>1.5406034269445123E-2</v>
      </c>
      <c r="J81" s="73"/>
      <c r="K81" s="73"/>
      <c r="L81" s="73"/>
      <c r="M81" s="73"/>
      <c r="N81" s="73"/>
      <c r="O81" s="73">
        <v>1.5406034269445123E-2</v>
      </c>
    </row>
    <row r="82" spans="1:15" x14ac:dyDescent="0.25">
      <c r="A82" s="221">
        <v>0.21213113812027698</v>
      </c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>
        <v>3.5378277627620171E-2</v>
      </c>
      <c r="O82" s="73">
        <v>3.5378277627620171E-2</v>
      </c>
    </row>
    <row r="83" spans="1:15" x14ac:dyDescent="0.25">
      <c r="A83" s="221">
        <v>0.2133619312736732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>
        <v>1.4772788022741266E-2</v>
      </c>
      <c r="N83" s="73"/>
      <c r="O83" s="73">
        <v>1.4772788022741266E-2</v>
      </c>
    </row>
    <row r="84" spans="1:15" x14ac:dyDescent="0.25">
      <c r="A84" s="221">
        <v>0.21848719937936381</v>
      </c>
      <c r="B84" s="73"/>
      <c r="C84" s="73"/>
      <c r="D84" s="73"/>
      <c r="E84" s="73">
        <v>1.503680506743626E-2</v>
      </c>
      <c r="F84" s="73">
        <v>1.503680506743626E-2</v>
      </c>
      <c r="G84" s="73"/>
      <c r="H84" s="73"/>
      <c r="I84" s="73"/>
      <c r="J84" s="73"/>
      <c r="K84" s="73"/>
      <c r="L84" s="73"/>
      <c r="M84" s="73"/>
      <c r="N84" s="73"/>
      <c r="O84" s="73"/>
    </row>
    <row r="85" spans="1:15" x14ac:dyDescent="0.25">
      <c r="A85" s="221">
        <v>0.21891388673390225</v>
      </c>
      <c r="B85" s="73"/>
      <c r="C85" s="73"/>
      <c r="D85" s="73"/>
      <c r="E85" s="73">
        <v>1.4532837509576783E-2</v>
      </c>
      <c r="F85" s="73">
        <v>1.4532837509576783E-2</v>
      </c>
      <c r="G85" s="73"/>
      <c r="H85" s="73"/>
      <c r="I85" s="73"/>
      <c r="J85" s="73"/>
      <c r="K85" s="73"/>
      <c r="L85" s="73"/>
      <c r="M85" s="73"/>
      <c r="N85" s="73"/>
      <c r="O85" s="73"/>
    </row>
    <row r="86" spans="1:15" x14ac:dyDescent="0.25">
      <c r="A86" s="221">
        <v>0.22876618141438113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>
        <v>1.9149387940522167E-2</v>
      </c>
      <c r="M86" s="73"/>
      <c r="N86" s="73"/>
      <c r="O86" s="73">
        <v>1.9149387940522167E-2</v>
      </c>
    </row>
    <row r="87" spans="1:15" x14ac:dyDescent="0.25">
      <c r="A87" s="221">
        <v>0.22976180214349332</v>
      </c>
      <c r="B87" s="73"/>
      <c r="C87" s="73"/>
      <c r="D87" s="73"/>
      <c r="E87" s="73"/>
      <c r="F87" s="73"/>
      <c r="G87" s="73"/>
      <c r="H87" s="73"/>
      <c r="I87" s="73"/>
      <c r="J87" s="73"/>
      <c r="K87" s="73">
        <v>2.2218246486298266E-2</v>
      </c>
      <c r="L87" s="73"/>
      <c r="M87" s="73"/>
      <c r="N87" s="73"/>
      <c r="O87" s="73">
        <v>2.2218246486298266E-2</v>
      </c>
    </row>
    <row r="88" spans="1:15" x14ac:dyDescent="0.25">
      <c r="A88" s="221">
        <v>0.23186219578771949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>
        <v>3.8194114817827314E-2</v>
      </c>
      <c r="O88" s="73">
        <v>3.8194114817827314E-2</v>
      </c>
    </row>
    <row r="89" spans="1:15" x14ac:dyDescent="0.25">
      <c r="A89" s="221">
        <v>0.2370157745021981</v>
      </c>
      <c r="B89" s="73"/>
      <c r="C89" s="73"/>
      <c r="D89" s="73"/>
      <c r="E89" s="73">
        <v>1.5750199519474317E-2</v>
      </c>
      <c r="F89" s="73">
        <v>1.5750199519474317E-2</v>
      </c>
      <c r="G89" s="73"/>
      <c r="H89" s="73"/>
      <c r="I89" s="73"/>
      <c r="J89" s="73"/>
      <c r="K89" s="73"/>
      <c r="L89" s="73"/>
      <c r="M89" s="73"/>
      <c r="N89" s="73"/>
      <c r="O89" s="73"/>
    </row>
    <row r="90" spans="1:15" x14ac:dyDescent="0.25">
      <c r="A90" s="221">
        <v>0.23920275635467531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>
        <v>1.5582201915096445E-2</v>
      </c>
      <c r="N90" s="73"/>
      <c r="O90" s="73">
        <v>1.5582201915096445E-2</v>
      </c>
    </row>
    <row r="91" spans="1:15" x14ac:dyDescent="0.25">
      <c r="A91" s="221">
        <v>0.24133771429440673</v>
      </c>
      <c r="B91" s="73"/>
      <c r="C91" s="73"/>
      <c r="D91" s="73"/>
      <c r="E91" s="73"/>
      <c r="F91" s="73"/>
      <c r="G91" s="73"/>
      <c r="H91" s="73"/>
      <c r="I91" s="73">
        <v>1.4934354230036029E-2</v>
      </c>
      <c r="J91" s="73"/>
      <c r="K91" s="73"/>
      <c r="L91" s="73"/>
      <c r="M91" s="73"/>
      <c r="N91" s="73"/>
      <c r="O91" s="73">
        <v>1.4934354230036029E-2</v>
      </c>
    </row>
    <row r="92" spans="1:15" x14ac:dyDescent="0.25">
      <c r="A92" s="221">
        <v>0.24204809930178434</v>
      </c>
      <c r="B92" s="73"/>
      <c r="C92" s="73"/>
      <c r="D92" s="73"/>
      <c r="E92" s="73"/>
      <c r="F92" s="73"/>
      <c r="G92" s="73"/>
      <c r="H92" s="73">
        <v>1.3493247325563274E-2</v>
      </c>
      <c r="I92" s="73"/>
      <c r="J92" s="73"/>
      <c r="K92" s="73"/>
      <c r="L92" s="73"/>
      <c r="M92" s="73"/>
      <c r="N92" s="73"/>
      <c r="O92" s="73">
        <v>1.3493247325563274E-2</v>
      </c>
    </row>
    <row r="93" spans="1:15" x14ac:dyDescent="0.25">
      <c r="A93" s="221">
        <v>0.25347282435084195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>
        <v>1.6073429748460325E-2</v>
      </c>
      <c r="N93" s="73"/>
      <c r="O93" s="73">
        <v>1.6073429748460325E-2</v>
      </c>
    </row>
    <row r="94" spans="1:15" x14ac:dyDescent="0.25">
      <c r="A94" s="221">
        <v>0.25623739332816142</v>
      </c>
      <c r="B94" s="73"/>
      <c r="C94" s="73"/>
      <c r="D94" s="73">
        <v>2.4031371159684622E-2</v>
      </c>
      <c r="E94" s="73"/>
      <c r="F94" s="73">
        <v>2.4031371159684622E-2</v>
      </c>
      <c r="G94" s="73"/>
      <c r="H94" s="73"/>
      <c r="I94" s="73"/>
      <c r="J94" s="73"/>
      <c r="K94" s="73"/>
      <c r="L94" s="73"/>
      <c r="M94" s="73"/>
      <c r="N94" s="73"/>
      <c r="O94" s="73"/>
    </row>
    <row r="95" spans="1:15" x14ac:dyDescent="0.25">
      <c r="A95" s="221">
        <v>0.26573095879158481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>
        <v>1.7040464900077414E-2</v>
      </c>
      <c r="N95" s="73"/>
      <c r="O95" s="73">
        <v>1.7040464900077414E-2</v>
      </c>
    </row>
    <row r="96" spans="1:15" x14ac:dyDescent="0.25">
      <c r="A96" s="221">
        <v>0.27561761917076111</v>
      </c>
      <c r="B96" s="73"/>
      <c r="C96" s="73"/>
      <c r="D96" s="73"/>
      <c r="E96" s="73"/>
      <c r="F96" s="73"/>
      <c r="G96" s="73">
        <v>2.0987859075821697E-2</v>
      </c>
      <c r="H96" s="73"/>
      <c r="I96" s="73"/>
      <c r="J96" s="73"/>
      <c r="K96" s="73"/>
      <c r="L96" s="73"/>
      <c r="M96" s="73"/>
      <c r="N96" s="73"/>
      <c r="O96" s="73">
        <v>2.0987859075821697E-2</v>
      </c>
    </row>
    <row r="97" spans="1:15" x14ac:dyDescent="0.25">
      <c r="A97" s="221">
        <v>0.2799327644168606</v>
      </c>
      <c r="B97" s="73"/>
      <c r="C97" s="73"/>
      <c r="D97" s="73"/>
      <c r="E97" s="73">
        <v>1.7185741715384034E-2</v>
      </c>
      <c r="F97" s="73">
        <v>1.7185741715384034E-2</v>
      </c>
      <c r="G97" s="73"/>
      <c r="H97" s="73"/>
      <c r="I97" s="73"/>
      <c r="J97" s="73"/>
      <c r="K97" s="73"/>
      <c r="L97" s="73"/>
      <c r="M97" s="73"/>
      <c r="N97" s="73"/>
      <c r="O97" s="73"/>
    </row>
    <row r="98" spans="1:15" x14ac:dyDescent="0.25">
      <c r="A98" s="221">
        <v>0.28184351923684736</v>
      </c>
      <c r="B98" s="73"/>
      <c r="C98" s="73"/>
      <c r="D98" s="73"/>
      <c r="E98" s="73"/>
      <c r="F98" s="73"/>
      <c r="G98" s="73"/>
      <c r="H98" s="73"/>
      <c r="I98" s="73"/>
      <c r="J98" s="73"/>
      <c r="K98" s="73">
        <v>2.5528575404787906E-2</v>
      </c>
      <c r="L98" s="73"/>
      <c r="M98" s="73"/>
      <c r="N98" s="73"/>
      <c r="O98" s="73">
        <v>2.5528575404787906E-2</v>
      </c>
    </row>
    <row r="99" spans="1:15" x14ac:dyDescent="0.25">
      <c r="A99" s="221">
        <v>0.29114817688130334</v>
      </c>
      <c r="B99" s="73"/>
      <c r="C99" s="73">
        <v>1.622387482705575E-2</v>
      </c>
      <c r="D99" s="73"/>
      <c r="E99" s="73"/>
      <c r="F99" s="73">
        <v>1.622387482705575E-2</v>
      </c>
      <c r="G99" s="73"/>
      <c r="H99" s="73"/>
      <c r="I99" s="73"/>
      <c r="J99" s="73"/>
      <c r="K99" s="73"/>
      <c r="L99" s="73"/>
      <c r="M99" s="73"/>
      <c r="N99" s="73"/>
      <c r="O99" s="73"/>
    </row>
    <row r="100" spans="1:15" x14ac:dyDescent="0.25">
      <c r="A100" s="221">
        <v>0.29222768152170792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>
        <v>2.6751555661055363E-2</v>
      </c>
      <c r="L100" s="73"/>
      <c r="M100" s="73"/>
      <c r="N100" s="73"/>
      <c r="O100" s="73">
        <v>2.6751555661055363E-2</v>
      </c>
    </row>
    <row r="101" spans="1:15" x14ac:dyDescent="0.25">
      <c r="A101" s="221">
        <v>0.29388673390224984</v>
      </c>
      <c r="B101" s="73"/>
      <c r="C101" s="73"/>
      <c r="D101" s="73">
        <v>2.7285715660388569E-2</v>
      </c>
      <c r="E101" s="73"/>
      <c r="F101" s="73">
        <v>2.7285715660388569E-2</v>
      </c>
      <c r="G101" s="73"/>
      <c r="H101" s="73"/>
      <c r="I101" s="73"/>
      <c r="J101" s="73"/>
      <c r="K101" s="73"/>
      <c r="L101" s="73"/>
      <c r="M101" s="73"/>
      <c r="N101" s="73"/>
      <c r="O101" s="73"/>
    </row>
    <row r="102" spans="1:15" x14ac:dyDescent="0.25">
      <c r="A102" s="221">
        <v>0.29655056359238813</v>
      </c>
      <c r="B102" s="73"/>
      <c r="C102" s="73"/>
      <c r="D102" s="73"/>
      <c r="E102" s="73"/>
      <c r="F102" s="73"/>
      <c r="G102" s="73"/>
      <c r="H102" s="73"/>
      <c r="I102" s="73">
        <v>1.6075060193484956E-2</v>
      </c>
      <c r="J102" s="73"/>
      <c r="K102" s="73"/>
      <c r="L102" s="73"/>
      <c r="M102" s="73"/>
      <c r="N102" s="73"/>
      <c r="O102" s="73">
        <v>1.6075060193484956E-2</v>
      </c>
    </row>
    <row r="103" spans="1:15" x14ac:dyDescent="0.25">
      <c r="A103" s="221">
        <v>0.30568657874321181</v>
      </c>
      <c r="B103" s="73">
        <v>2.3421438229960803E-2</v>
      </c>
      <c r="C103" s="73"/>
      <c r="D103" s="73"/>
      <c r="E103" s="73"/>
      <c r="F103" s="73">
        <v>2.3421438229960803E-2</v>
      </c>
      <c r="G103" s="73"/>
      <c r="H103" s="73"/>
      <c r="I103" s="73"/>
      <c r="J103" s="73"/>
      <c r="K103" s="73"/>
      <c r="L103" s="73"/>
      <c r="M103" s="73"/>
      <c r="N103" s="73"/>
      <c r="O103" s="73"/>
    </row>
    <row r="104" spans="1:15" x14ac:dyDescent="0.25">
      <c r="A104" s="221">
        <v>0.3084910783553142</v>
      </c>
      <c r="B104" s="73"/>
      <c r="C104" s="73">
        <v>1.6070387078168404E-2</v>
      </c>
      <c r="D104" s="73"/>
      <c r="E104" s="73"/>
      <c r="F104" s="73">
        <v>1.6070387078168404E-2</v>
      </c>
      <c r="G104" s="73"/>
      <c r="H104" s="73"/>
      <c r="I104" s="73"/>
      <c r="J104" s="73"/>
      <c r="K104" s="73"/>
      <c r="L104" s="73"/>
      <c r="M104" s="73"/>
      <c r="N104" s="73"/>
      <c r="O104" s="73"/>
    </row>
    <row r="105" spans="1:15" x14ac:dyDescent="0.25">
      <c r="A105" s="221">
        <v>0.3095032058595355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>
        <v>1.7937609454206145E-2</v>
      </c>
      <c r="N105" s="73"/>
      <c r="O105" s="73">
        <v>1.7937609454206145E-2</v>
      </c>
    </row>
    <row r="106" spans="1:15" x14ac:dyDescent="0.25">
      <c r="A106" s="221">
        <v>0.31619645703294674</v>
      </c>
      <c r="B106" s="73"/>
      <c r="C106" s="73"/>
      <c r="D106" s="73"/>
      <c r="E106" s="73"/>
      <c r="F106" s="73"/>
      <c r="G106" s="73"/>
      <c r="H106" s="73"/>
      <c r="I106" s="73">
        <v>1.614998110024948E-2</v>
      </c>
      <c r="J106" s="73"/>
      <c r="K106" s="73"/>
      <c r="L106" s="73"/>
      <c r="M106" s="73"/>
      <c r="N106" s="73"/>
      <c r="O106" s="73">
        <v>1.614998110024948E-2</v>
      </c>
    </row>
    <row r="107" spans="1:15" x14ac:dyDescent="0.25">
      <c r="A107" s="221">
        <v>0.32849179668419387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>
        <v>4.5377523930434899E-2</v>
      </c>
      <c r="O107" s="73">
        <v>4.5377523930434899E-2</v>
      </c>
    </row>
    <row r="108" spans="1:15" x14ac:dyDescent="0.25">
      <c r="A108" s="221">
        <v>0.33335134965545565</v>
      </c>
      <c r="B108" s="73"/>
      <c r="C108" s="73"/>
      <c r="D108" s="73"/>
      <c r="E108" s="73"/>
      <c r="F108" s="73"/>
      <c r="G108" s="73">
        <v>2.3725058598717791E-2</v>
      </c>
      <c r="H108" s="73"/>
      <c r="I108" s="73"/>
      <c r="J108" s="73"/>
      <c r="K108" s="73"/>
      <c r="L108" s="73"/>
      <c r="M108" s="73"/>
      <c r="N108" s="73"/>
      <c r="O108" s="73">
        <v>2.3725058598717791E-2</v>
      </c>
    </row>
    <row r="109" spans="1:15" x14ac:dyDescent="0.25">
      <c r="A109" s="221">
        <v>0.33464087147659677</v>
      </c>
      <c r="B109" s="73"/>
      <c r="C109" s="73"/>
      <c r="D109" s="73"/>
      <c r="E109" s="73"/>
      <c r="F109" s="73"/>
      <c r="G109" s="73">
        <v>2.4980285222803156E-2</v>
      </c>
      <c r="H109" s="73"/>
      <c r="I109" s="73"/>
      <c r="J109" s="73"/>
      <c r="K109" s="73"/>
      <c r="L109" s="73"/>
      <c r="M109" s="73"/>
      <c r="N109" s="73"/>
      <c r="O109" s="73">
        <v>2.4980285222803156E-2</v>
      </c>
    </row>
    <row r="110" spans="1:15" x14ac:dyDescent="0.25">
      <c r="A110" s="221">
        <v>0.33898827180212654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>
        <v>1.9511345407451829E-2</v>
      </c>
      <c r="N110" s="73"/>
      <c r="O110" s="73">
        <v>1.9511345407451829E-2</v>
      </c>
    </row>
    <row r="111" spans="1:15" x14ac:dyDescent="0.25">
      <c r="A111" s="221">
        <v>0.33997760986991121</v>
      </c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>
        <v>2.4075493365291672E-2</v>
      </c>
      <c r="M111" s="73"/>
      <c r="N111" s="73"/>
      <c r="O111" s="73">
        <v>2.4075493365291672E-2</v>
      </c>
    </row>
    <row r="112" spans="1:15" x14ac:dyDescent="0.25">
      <c r="A112" s="221">
        <v>0.34968192397207143</v>
      </c>
      <c r="B112" s="73">
        <v>2.7628285836238893E-2</v>
      </c>
      <c r="C112" s="73"/>
      <c r="D112" s="73"/>
      <c r="E112" s="73"/>
      <c r="F112" s="73">
        <v>2.7628285836238893E-2</v>
      </c>
      <c r="G112" s="73"/>
      <c r="H112" s="73"/>
      <c r="I112" s="73"/>
      <c r="J112" s="73"/>
      <c r="K112" s="73"/>
      <c r="L112" s="73"/>
      <c r="M112" s="73"/>
      <c r="N112" s="73"/>
      <c r="O112" s="73"/>
    </row>
    <row r="113" spans="1:15" x14ac:dyDescent="0.25">
      <c r="A113" s="221">
        <v>0.35913983708301006</v>
      </c>
      <c r="B113" s="73"/>
      <c r="C113" s="73"/>
      <c r="D113" s="73"/>
      <c r="E113" s="73"/>
      <c r="F113" s="73"/>
      <c r="G113" s="73"/>
      <c r="H113" s="73">
        <v>1.6468549703887021E-2</v>
      </c>
      <c r="I113" s="73"/>
      <c r="J113" s="73"/>
      <c r="K113" s="73"/>
      <c r="L113" s="73"/>
      <c r="M113" s="73"/>
      <c r="N113" s="73"/>
      <c r="O113" s="73">
        <v>1.6468549703887021E-2</v>
      </c>
    </row>
    <row r="114" spans="1:15" x14ac:dyDescent="0.25">
      <c r="A114" s="221">
        <v>0.36012700054593</v>
      </c>
      <c r="B114" s="73"/>
      <c r="C114" s="73"/>
      <c r="D114" s="73"/>
      <c r="E114" s="73"/>
      <c r="F114" s="73"/>
      <c r="G114" s="73"/>
      <c r="H114" s="73"/>
      <c r="I114" s="73"/>
      <c r="J114" s="73"/>
      <c r="K114" s="73">
        <v>2.9272509485958415E-2</v>
      </c>
      <c r="L114" s="73"/>
      <c r="M114" s="73"/>
      <c r="N114" s="73"/>
      <c r="O114" s="73">
        <v>2.9272509485958415E-2</v>
      </c>
    </row>
    <row r="115" spans="1:15" x14ac:dyDescent="0.25">
      <c r="A115" s="221">
        <v>0.36374881475734844</v>
      </c>
      <c r="B115" s="73"/>
      <c r="C115" s="73"/>
      <c r="D115" s="73"/>
      <c r="E115" s="73"/>
      <c r="F115" s="73"/>
      <c r="G115" s="73"/>
      <c r="H115" s="73"/>
      <c r="I115" s="73"/>
      <c r="J115" s="73"/>
      <c r="K115" s="73">
        <v>3.4661223681564719E-2</v>
      </c>
      <c r="L115" s="73"/>
      <c r="M115" s="73"/>
      <c r="N115" s="73"/>
      <c r="O115" s="73">
        <v>3.4661223681564719E-2</v>
      </c>
    </row>
    <row r="116" spans="1:15" x14ac:dyDescent="0.25">
      <c r="A116" s="221">
        <v>0.37595034910783548</v>
      </c>
      <c r="B116" s="73"/>
      <c r="C116" s="73"/>
      <c r="D116" s="73"/>
      <c r="E116" s="73"/>
      <c r="F116" s="73"/>
      <c r="G116" s="73"/>
      <c r="H116" s="73">
        <v>1.7494420013152732E-2</v>
      </c>
      <c r="I116" s="73"/>
      <c r="J116" s="73"/>
      <c r="K116" s="73"/>
      <c r="L116" s="73"/>
      <c r="M116" s="73"/>
      <c r="N116" s="73"/>
      <c r="O116" s="73">
        <v>1.7494420013152732E-2</v>
      </c>
    </row>
    <row r="117" spans="1:15" x14ac:dyDescent="0.25">
      <c r="A117" s="221">
        <v>0.38005289512659568</v>
      </c>
      <c r="B117" s="73"/>
      <c r="C117" s="73">
        <v>1.764151540892438E-2</v>
      </c>
      <c r="D117" s="73"/>
      <c r="E117" s="73"/>
      <c r="F117" s="73">
        <v>1.764151540892438E-2</v>
      </c>
      <c r="G117" s="73"/>
      <c r="H117" s="73"/>
      <c r="I117" s="73"/>
      <c r="J117" s="73"/>
      <c r="K117" s="73"/>
      <c r="L117" s="73"/>
      <c r="M117" s="73"/>
      <c r="N117" s="73"/>
      <c r="O117" s="73"/>
    </row>
    <row r="118" spans="1:15" x14ac:dyDescent="0.25">
      <c r="A118" s="221">
        <v>0.39154670574375766</v>
      </c>
      <c r="B118" s="73"/>
      <c r="C118" s="73"/>
      <c r="D118" s="73"/>
      <c r="E118" s="73"/>
      <c r="F118" s="73"/>
      <c r="G118" s="73"/>
      <c r="H118" s="73"/>
      <c r="I118" s="73">
        <v>1.7961932173386517E-2</v>
      </c>
      <c r="J118" s="73"/>
      <c r="K118" s="73"/>
      <c r="L118" s="73"/>
      <c r="M118" s="73"/>
      <c r="N118" s="73"/>
      <c r="O118" s="73">
        <v>1.7961932173386517E-2</v>
      </c>
    </row>
    <row r="119" spans="1:15" x14ac:dyDescent="0.25">
      <c r="A119" s="221">
        <v>0.39190299686808611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>
        <v>5.6983425120598952E-2</v>
      </c>
      <c r="O119" s="73">
        <v>5.6983425120598952E-2</v>
      </c>
    </row>
    <row r="120" spans="1:15" x14ac:dyDescent="0.25">
      <c r="A120" s="221">
        <v>0.39383242823894493</v>
      </c>
      <c r="B120" s="73"/>
      <c r="C120" s="73"/>
      <c r="D120" s="73"/>
      <c r="E120" s="73">
        <v>2.1036300817882225E-2</v>
      </c>
      <c r="F120" s="73">
        <v>2.1036300817882225E-2</v>
      </c>
      <c r="G120" s="73"/>
      <c r="H120" s="73"/>
      <c r="I120" s="73"/>
      <c r="J120" s="73"/>
      <c r="K120" s="73"/>
      <c r="L120" s="73"/>
      <c r="M120" s="73"/>
      <c r="N120" s="73"/>
      <c r="O120" s="73"/>
    </row>
    <row r="121" spans="1:15" x14ac:dyDescent="0.25">
      <c r="A121" s="221">
        <v>0.40995029164152513</v>
      </c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>
        <v>5.5761778610436331E-2</v>
      </c>
      <c r="O121" s="73">
        <v>5.5761778610436331E-2</v>
      </c>
    </row>
    <row r="122" spans="1:15" x14ac:dyDescent="0.25">
      <c r="A122" s="221">
        <v>0.41449276685072783</v>
      </c>
      <c r="B122" s="73"/>
      <c r="C122" s="73"/>
      <c r="D122" s="73"/>
      <c r="E122" s="73"/>
      <c r="F122" s="73"/>
      <c r="G122" s="73"/>
      <c r="H122" s="73">
        <v>1.7667547286003699E-2</v>
      </c>
      <c r="I122" s="73"/>
      <c r="J122" s="73"/>
      <c r="K122" s="73"/>
      <c r="L122" s="73"/>
      <c r="M122" s="73"/>
      <c r="N122" s="73"/>
      <c r="O122" s="73">
        <v>1.7667547286003699E-2</v>
      </c>
    </row>
    <row r="123" spans="1:15" x14ac:dyDescent="0.25">
      <c r="A123" s="221">
        <v>0.41702999741401603</v>
      </c>
      <c r="B123" s="73"/>
      <c r="C123" s="73"/>
      <c r="D123" s="73"/>
      <c r="E123" s="73"/>
      <c r="F123" s="73"/>
      <c r="G123" s="73"/>
      <c r="H123" s="73"/>
      <c r="I123" s="73"/>
      <c r="J123" s="73">
        <v>1.9820489445293736E-2</v>
      </c>
      <c r="K123" s="73"/>
      <c r="L123" s="73"/>
      <c r="M123" s="73"/>
      <c r="N123" s="73"/>
      <c r="O123" s="73">
        <v>1.9820489445293736E-2</v>
      </c>
    </row>
    <row r="124" spans="1:15" x14ac:dyDescent="0.25">
      <c r="A124" s="221">
        <v>0.41909030830675514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73">
        <v>3.8099701908507574E-2</v>
      </c>
      <c r="L124" s="73"/>
      <c r="M124" s="73"/>
      <c r="N124" s="73"/>
      <c r="O124" s="73">
        <v>3.8099701908507574E-2</v>
      </c>
    </row>
    <row r="125" spans="1:15" x14ac:dyDescent="0.25">
      <c r="A125" s="221">
        <v>0.43729828190854692</v>
      </c>
      <c r="B125" s="73"/>
      <c r="C125" s="73"/>
      <c r="D125" s="73"/>
      <c r="E125" s="73"/>
      <c r="F125" s="73"/>
      <c r="G125" s="73"/>
      <c r="H125" s="73"/>
      <c r="I125" s="73">
        <v>1.8766042390591448E-2</v>
      </c>
      <c r="J125" s="73"/>
      <c r="K125" s="73"/>
      <c r="L125" s="73"/>
      <c r="M125" s="73"/>
      <c r="N125" s="73"/>
      <c r="O125" s="73">
        <v>1.8766042390591448E-2</v>
      </c>
    </row>
    <row r="126" spans="1:15" x14ac:dyDescent="0.25">
      <c r="A126" s="221">
        <v>0.44270399887157064</v>
      </c>
      <c r="B126" s="73"/>
      <c r="C126" s="73">
        <v>1.9379795176355886E-2</v>
      </c>
      <c r="D126" s="73"/>
      <c r="E126" s="73"/>
      <c r="F126" s="73">
        <v>1.9379795176355886E-2</v>
      </c>
      <c r="G126" s="73"/>
      <c r="H126" s="73"/>
      <c r="I126" s="73"/>
      <c r="J126" s="73"/>
      <c r="K126" s="73"/>
      <c r="L126" s="73"/>
      <c r="M126" s="73"/>
      <c r="N126" s="73"/>
      <c r="O126" s="73"/>
    </row>
    <row r="127" spans="1:15" x14ac:dyDescent="0.25">
      <c r="A127" s="221">
        <v>0.44471683475562451</v>
      </c>
      <c r="B127" s="73"/>
      <c r="C127" s="73"/>
      <c r="D127" s="73">
        <v>3.6565374451086839E-2</v>
      </c>
      <c r="E127" s="73"/>
      <c r="F127" s="73">
        <v>3.6565374451086839E-2</v>
      </c>
      <c r="G127" s="73"/>
      <c r="H127" s="73"/>
      <c r="I127" s="73"/>
      <c r="J127" s="73"/>
      <c r="K127" s="73"/>
      <c r="L127" s="73"/>
      <c r="M127" s="73"/>
      <c r="N127" s="73"/>
      <c r="O127" s="73"/>
    </row>
    <row r="128" spans="1:15" x14ac:dyDescent="0.25">
      <c r="A128" s="221">
        <v>0.45074998288687074</v>
      </c>
      <c r="B128" s="73"/>
      <c r="C128" s="73"/>
      <c r="D128" s="73"/>
      <c r="E128" s="73"/>
      <c r="F128" s="73"/>
      <c r="G128" s="73">
        <v>2.9957435989161077E-2</v>
      </c>
      <c r="H128" s="73"/>
      <c r="I128" s="73"/>
      <c r="J128" s="73"/>
      <c r="K128" s="73"/>
      <c r="L128" s="73"/>
      <c r="M128" s="73"/>
      <c r="N128" s="73"/>
      <c r="O128" s="73">
        <v>2.9957435989161077E-2</v>
      </c>
    </row>
    <row r="129" spans="1:15" x14ac:dyDescent="0.25">
      <c r="A129" s="221">
        <v>0.45902038225544817</v>
      </c>
      <c r="B129" s="73"/>
      <c r="C129" s="73">
        <v>1.8738186022315861E-2</v>
      </c>
      <c r="D129" s="73"/>
      <c r="E129" s="73"/>
      <c r="F129" s="73">
        <v>1.8738186022315861E-2</v>
      </c>
      <c r="G129" s="73"/>
      <c r="H129" s="73"/>
      <c r="I129" s="73"/>
      <c r="J129" s="73"/>
      <c r="K129" s="73"/>
      <c r="L129" s="73"/>
      <c r="M129" s="73"/>
      <c r="N129" s="73"/>
      <c r="O129" s="73"/>
    </row>
    <row r="130" spans="1:15" x14ac:dyDescent="0.25">
      <c r="A130" s="221">
        <v>0.46027223358487912</v>
      </c>
      <c r="B130" s="73"/>
      <c r="C130" s="73">
        <v>1.9518618470788347E-2</v>
      </c>
      <c r="D130" s="73"/>
      <c r="E130" s="73"/>
      <c r="F130" s="73">
        <v>1.9518618470788347E-2</v>
      </c>
      <c r="G130" s="73"/>
      <c r="H130" s="73"/>
      <c r="I130" s="73"/>
      <c r="J130" s="73"/>
      <c r="K130" s="73"/>
      <c r="L130" s="73"/>
      <c r="M130" s="73"/>
      <c r="N130" s="73"/>
      <c r="O130" s="73"/>
    </row>
    <row r="131" spans="1:15" x14ac:dyDescent="0.25">
      <c r="A131" s="221">
        <v>0.4614724305375974</v>
      </c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>
        <v>3.675773757560289E-2</v>
      </c>
      <c r="M131" s="73"/>
      <c r="N131" s="73"/>
      <c r="O131" s="73">
        <v>3.675773757560289E-2</v>
      </c>
    </row>
    <row r="132" spans="1:15" x14ac:dyDescent="0.25">
      <c r="A132" s="221">
        <v>0.46837916271585794</v>
      </c>
      <c r="B132" s="73"/>
      <c r="C132" s="73"/>
      <c r="D132" s="73"/>
      <c r="E132" s="73"/>
      <c r="F132" s="73"/>
      <c r="G132" s="73"/>
      <c r="H132" s="73"/>
      <c r="I132" s="73"/>
      <c r="J132" s="73"/>
      <c r="K132" s="73">
        <v>4.0627822946799279E-2</v>
      </c>
      <c r="L132" s="73"/>
      <c r="M132" s="73"/>
      <c r="N132" s="73"/>
      <c r="O132" s="73">
        <v>4.0627822946799279E-2</v>
      </c>
    </row>
    <row r="133" spans="1:15" x14ac:dyDescent="0.25">
      <c r="A133" s="221">
        <v>0.46908025170243944</v>
      </c>
      <c r="B133" s="73"/>
      <c r="C133" s="73"/>
      <c r="D133" s="73"/>
      <c r="E133" s="73"/>
      <c r="F133" s="73"/>
      <c r="G133" s="73"/>
      <c r="H133" s="73">
        <v>1.8797775393388193E-2</v>
      </c>
      <c r="I133" s="73"/>
      <c r="J133" s="73"/>
      <c r="K133" s="73"/>
      <c r="L133" s="73"/>
      <c r="M133" s="73"/>
      <c r="N133" s="73"/>
      <c r="O133" s="73">
        <v>1.8797775393388193E-2</v>
      </c>
    </row>
    <row r="134" spans="1:15" x14ac:dyDescent="0.25">
      <c r="A134" s="221">
        <v>0.47599172485130598</v>
      </c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>
        <v>2.4015037537711399E-2</v>
      </c>
      <c r="N134" s="73"/>
      <c r="O134" s="73">
        <v>2.4015037537711399E-2</v>
      </c>
    </row>
    <row r="135" spans="1:15" x14ac:dyDescent="0.25">
      <c r="A135" s="221">
        <v>0.47636895526247736</v>
      </c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>
        <v>2.534745202136612E-2</v>
      </c>
      <c r="N135" s="73"/>
      <c r="O135" s="73">
        <v>2.534745202136612E-2</v>
      </c>
    </row>
    <row r="136" spans="1:15" x14ac:dyDescent="0.25">
      <c r="A136" s="221">
        <v>0.47788337212309279</v>
      </c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>
        <v>2.899486974076091E-2</v>
      </c>
      <c r="N136" s="73"/>
      <c r="O136" s="73">
        <v>2.899486974076091E-2</v>
      </c>
    </row>
    <row r="137" spans="1:15" x14ac:dyDescent="0.25">
      <c r="A137" s="221">
        <v>0.48270530865565769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>
        <v>2.6898599939678539E-2</v>
      </c>
      <c r="N137" s="73"/>
      <c r="O137" s="73">
        <v>2.6898599939678539E-2</v>
      </c>
    </row>
    <row r="138" spans="1:15" x14ac:dyDescent="0.25">
      <c r="A138" s="221">
        <v>0.48496541880263877</v>
      </c>
      <c r="B138" s="73"/>
      <c r="C138" s="73"/>
      <c r="D138" s="73"/>
      <c r="E138" s="73"/>
      <c r="F138" s="73"/>
      <c r="G138" s="73"/>
      <c r="H138" s="73">
        <v>1.995583345049148E-2</v>
      </c>
      <c r="I138" s="73"/>
      <c r="J138" s="73"/>
      <c r="K138" s="73"/>
      <c r="L138" s="73"/>
      <c r="M138" s="73"/>
      <c r="N138" s="73"/>
      <c r="O138" s="73">
        <v>1.995583345049148E-2</v>
      </c>
    </row>
    <row r="139" spans="1:15" x14ac:dyDescent="0.25">
      <c r="A139" s="221">
        <v>0.49365638240735221</v>
      </c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>
        <v>2.7495596487765641E-2</v>
      </c>
      <c r="N139" s="73"/>
      <c r="O139" s="73">
        <v>2.7495596487765641E-2</v>
      </c>
    </row>
    <row r="140" spans="1:15" x14ac:dyDescent="0.25">
      <c r="A140" s="221">
        <v>0.49386129038198118</v>
      </c>
      <c r="B140" s="73"/>
      <c r="C140" s="73"/>
      <c r="D140" s="73"/>
      <c r="E140" s="73"/>
      <c r="F140" s="73"/>
      <c r="G140" s="73"/>
      <c r="H140" s="73"/>
      <c r="I140" s="73">
        <v>2.0872182953329547E-2</v>
      </c>
      <c r="J140" s="73"/>
      <c r="K140" s="73"/>
      <c r="L140" s="73"/>
      <c r="M140" s="73"/>
      <c r="N140" s="73"/>
      <c r="O140" s="73">
        <v>2.0872182953329547E-2</v>
      </c>
    </row>
    <row r="141" spans="1:15" x14ac:dyDescent="0.25">
      <c r="A141" s="221">
        <v>0.4969550038789759</v>
      </c>
      <c r="B141" s="73"/>
      <c r="C141" s="73"/>
      <c r="D141" s="73">
        <v>4.0983470643534484E-2</v>
      </c>
      <c r="E141" s="73"/>
      <c r="F141" s="73">
        <v>4.0983470643534484E-2</v>
      </c>
      <c r="G141" s="73"/>
      <c r="H141" s="73"/>
      <c r="I141" s="73"/>
      <c r="J141" s="73"/>
      <c r="K141" s="73"/>
      <c r="L141" s="73"/>
      <c r="M141" s="73"/>
      <c r="N141" s="73"/>
      <c r="O141" s="73"/>
    </row>
    <row r="142" spans="1:15" x14ac:dyDescent="0.25">
      <c r="A142" s="221">
        <v>0.50254460822342895</v>
      </c>
      <c r="B142" s="73"/>
      <c r="C142" s="73"/>
      <c r="D142" s="73"/>
      <c r="E142" s="73">
        <v>2.5932778876334803E-2</v>
      </c>
      <c r="F142" s="73">
        <v>2.5932778876334803E-2</v>
      </c>
      <c r="G142" s="73"/>
      <c r="H142" s="73"/>
      <c r="I142" s="73"/>
      <c r="J142" s="73"/>
      <c r="K142" s="73"/>
      <c r="L142" s="73"/>
      <c r="M142" s="73"/>
      <c r="N142" s="73"/>
      <c r="O142" s="73"/>
    </row>
    <row r="143" spans="1:15" x14ac:dyDescent="0.25">
      <c r="A143" s="221">
        <v>0.51077284626098474</v>
      </c>
      <c r="B143" s="73"/>
      <c r="C143" s="73"/>
      <c r="D143" s="73"/>
      <c r="E143" s="73"/>
      <c r="F143" s="73"/>
      <c r="G143" s="73"/>
      <c r="H143" s="73"/>
      <c r="I143" s="73">
        <v>2.0326716039575112E-2</v>
      </c>
      <c r="J143" s="73"/>
      <c r="K143" s="73"/>
      <c r="L143" s="73"/>
      <c r="M143" s="73"/>
      <c r="N143" s="73"/>
      <c r="O143" s="73">
        <v>2.0326716039575112E-2</v>
      </c>
    </row>
    <row r="144" spans="1:15" x14ac:dyDescent="0.25">
      <c r="A144" s="221">
        <v>0.51102146366692525</v>
      </c>
      <c r="B144" s="73"/>
      <c r="C144" s="73"/>
      <c r="D144" s="73"/>
      <c r="E144" s="73">
        <v>2.6226145819888858E-2</v>
      </c>
      <c r="F144" s="73">
        <v>2.6226145819888858E-2</v>
      </c>
      <c r="G144" s="73"/>
      <c r="H144" s="73"/>
      <c r="I144" s="73"/>
      <c r="J144" s="73"/>
      <c r="K144" s="73"/>
      <c r="L144" s="73"/>
      <c r="M144" s="73"/>
      <c r="N144" s="73"/>
      <c r="O144" s="73"/>
    </row>
    <row r="145" spans="1:15" x14ac:dyDescent="0.25">
      <c r="A145" s="221">
        <v>0.52409993391374299</v>
      </c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>
        <v>3.9154183738759556E-2</v>
      </c>
      <c r="M145" s="73"/>
      <c r="N145" s="73"/>
      <c r="O145" s="73">
        <v>3.9154183738759556E-2</v>
      </c>
    </row>
    <row r="146" spans="1:15" x14ac:dyDescent="0.25">
      <c r="A146" s="221">
        <v>0.52573215671062834</v>
      </c>
      <c r="B146" s="73"/>
      <c r="C146" s="73"/>
      <c r="D146" s="73"/>
      <c r="E146" s="73"/>
      <c r="F146" s="73"/>
      <c r="G146" s="73"/>
      <c r="H146" s="73">
        <v>2.045607145350236E-2</v>
      </c>
      <c r="I146" s="73"/>
      <c r="J146" s="73"/>
      <c r="K146" s="73"/>
      <c r="L146" s="73"/>
      <c r="M146" s="73"/>
      <c r="N146" s="73"/>
      <c r="O146" s="73">
        <v>2.045607145350236E-2</v>
      </c>
    </row>
    <row r="147" spans="1:15" x14ac:dyDescent="0.25">
      <c r="A147" s="221">
        <v>0.53462057868574553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>
        <v>7.0172334482096241E-2</v>
      </c>
      <c r="O147" s="73">
        <v>7.0172334482096241E-2</v>
      </c>
    </row>
    <row r="148" spans="1:15" x14ac:dyDescent="0.25">
      <c r="A148" s="221">
        <v>0.54082065739406704</v>
      </c>
      <c r="B148" s="73"/>
      <c r="C148" s="73"/>
      <c r="D148" s="73"/>
      <c r="E148" s="73"/>
      <c r="F148" s="73"/>
      <c r="G148" s="73"/>
      <c r="H148" s="73"/>
      <c r="I148" s="73"/>
      <c r="J148" s="73">
        <v>2.21166259454268E-2</v>
      </c>
      <c r="K148" s="73"/>
      <c r="L148" s="73"/>
      <c r="M148" s="73"/>
      <c r="N148" s="73"/>
      <c r="O148" s="73">
        <v>2.21166259454268E-2</v>
      </c>
    </row>
    <row r="149" spans="1:15" x14ac:dyDescent="0.25">
      <c r="A149" s="221">
        <v>0.54142099818981126</v>
      </c>
      <c r="B149" s="73"/>
      <c r="C149" s="73"/>
      <c r="D149" s="73"/>
      <c r="E149" s="73"/>
      <c r="F149" s="73"/>
      <c r="G149" s="73"/>
      <c r="H149" s="73"/>
      <c r="I149" s="73"/>
      <c r="J149" s="73"/>
      <c r="K149" s="73">
        <v>4.6991688022651655E-2</v>
      </c>
      <c r="L149" s="73"/>
      <c r="M149" s="73"/>
      <c r="N149" s="73"/>
      <c r="O149" s="73">
        <v>4.6991688022651655E-2</v>
      </c>
    </row>
    <row r="150" spans="1:15" x14ac:dyDescent="0.25">
      <c r="A150" s="221">
        <v>0.56045971252478244</v>
      </c>
      <c r="B150" s="73"/>
      <c r="C150" s="73"/>
      <c r="D150" s="73"/>
      <c r="E150" s="73"/>
      <c r="F150" s="73"/>
      <c r="G150" s="73"/>
      <c r="H150" s="73"/>
      <c r="I150" s="73"/>
      <c r="J150" s="73">
        <v>2.3147635654410761E-2</v>
      </c>
      <c r="K150" s="73"/>
      <c r="L150" s="73"/>
      <c r="M150" s="73"/>
      <c r="N150" s="73"/>
      <c r="O150" s="73">
        <v>2.3147635654410761E-2</v>
      </c>
    </row>
    <row r="151" spans="1:15" x14ac:dyDescent="0.25">
      <c r="A151" s="221">
        <v>0.56726287207545623</v>
      </c>
      <c r="B151" s="73"/>
      <c r="C151" s="73"/>
      <c r="D151" s="73"/>
      <c r="E151" s="73"/>
      <c r="F151" s="73"/>
      <c r="G151" s="73"/>
      <c r="H151" s="73"/>
      <c r="I151" s="73">
        <v>2.1851780945371161E-2</v>
      </c>
      <c r="J151" s="73"/>
      <c r="K151" s="73"/>
      <c r="L151" s="73"/>
      <c r="M151" s="73"/>
      <c r="N151" s="73"/>
      <c r="O151" s="73">
        <v>2.1851780945371161E-2</v>
      </c>
    </row>
    <row r="152" spans="1:15" x14ac:dyDescent="0.25">
      <c r="A152" s="221">
        <v>0.57404965089216442</v>
      </c>
      <c r="B152" s="73">
        <v>3.9794129214593008E-2</v>
      </c>
      <c r="C152" s="73"/>
      <c r="D152" s="73"/>
      <c r="E152" s="73"/>
      <c r="F152" s="73">
        <v>3.9794129214593008E-2</v>
      </c>
      <c r="G152" s="73"/>
      <c r="H152" s="73"/>
      <c r="I152" s="73"/>
      <c r="J152" s="73"/>
      <c r="K152" s="73"/>
      <c r="L152" s="73"/>
      <c r="M152" s="73"/>
      <c r="N152" s="73"/>
      <c r="O152" s="73"/>
    </row>
    <row r="153" spans="1:15" x14ac:dyDescent="0.25">
      <c r="A153" s="221">
        <v>0.57643881274602771</v>
      </c>
      <c r="B153" s="73"/>
      <c r="C153" s="73"/>
      <c r="D153" s="73"/>
      <c r="E153" s="73"/>
      <c r="F153" s="73"/>
      <c r="G153" s="73"/>
      <c r="H153" s="73"/>
      <c r="I153" s="73"/>
      <c r="J153" s="73"/>
      <c r="K153" s="73">
        <v>5.2543123906379351E-2</v>
      </c>
      <c r="L153" s="73"/>
      <c r="M153" s="73"/>
      <c r="N153" s="73"/>
      <c r="O153" s="73">
        <v>5.2543123906379351E-2</v>
      </c>
    </row>
    <row r="154" spans="1:15" x14ac:dyDescent="0.25">
      <c r="A154" s="221">
        <v>0.57772749475619911</v>
      </c>
      <c r="B154" s="73"/>
      <c r="C154" s="73"/>
      <c r="D154" s="73"/>
      <c r="E154" s="73"/>
      <c r="F154" s="73"/>
      <c r="G154" s="73"/>
      <c r="H154" s="73"/>
      <c r="I154" s="73"/>
      <c r="J154" s="73"/>
      <c r="K154" s="73">
        <v>5.4497487006289348E-2</v>
      </c>
      <c r="L154" s="73"/>
      <c r="M154" s="73"/>
      <c r="N154" s="73"/>
      <c r="O154" s="73">
        <v>5.4497487006289348E-2</v>
      </c>
    </row>
    <row r="155" spans="1:15" x14ac:dyDescent="0.25">
      <c r="A155" s="221">
        <v>0.57991078355314196</v>
      </c>
      <c r="B155" s="73"/>
      <c r="C155" s="73"/>
      <c r="D155" s="73">
        <v>4.4880637599709949E-2</v>
      </c>
      <c r="E155" s="73"/>
      <c r="F155" s="73">
        <v>4.4880637599709949E-2</v>
      </c>
      <c r="G155" s="73"/>
      <c r="H155" s="73"/>
      <c r="I155" s="73"/>
      <c r="J155" s="73"/>
      <c r="K155" s="73"/>
      <c r="L155" s="73"/>
      <c r="M155" s="73"/>
      <c r="N155" s="73"/>
      <c r="O155" s="73"/>
    </row>
    <row r="156" spans="1:15" x14ac:dyDescent="0.25">
      <c r="A156" s="221">
        <v>0.58152480833295317</v>
      </c>
      <c r="B156" s="73"/>
      <c r="C156" s="73"/>
      <c r="D156" s="73"/>
      <c r="E156" s="73"/>
      <c r="F156" s="73"/>
      <c r="G156" s="73"/>
      <c r="H156" s="73">
        <v>2.1612713884395868E-2</v>
      </c>
      <c r="I156" s="73"/>
      <c r="J156" s="73"/>
      <c r="K156" s="73"/>
      <c r="L156" s="73"/>
      <c r="M156" s="73"/>
      <c r="N156" s="73"/>
      <c r="O156" s="73">
        <v>2.1612713884395868E-2</v>
      </c>
    </row>
    <row r="157" spans="1:15" x14ac:dyDescent="0.25">
      <c r="A157" s="221">
        <v>0.58347268913599404</v>
      </c>
      <c r="B157" s="73"/>
      <c r="C157" s="73"/>
      <c r="D157" s="73"/>
      <c r="E157" s="73"/>
      <c r="F157" s="73"/>
      <c r="G157" s="73"/>
      <c r="H157" s="73"/>
      <c r="I157" s="73"/>
      <c r="J157" s="73"/>
      <c r="K157" s="73">
        <v>5.1672567798732034E-2</v>
      </c>
      <c r="L157" s="73"/>
      <c r="M157" s="73"/>
      <c r="N157" s="73"/>
      <c r="O157" s="73">
        <v>5.1672567798732034E-2</v>
      </c>
    </row>
    <row r="158" spans="1:15" x14ac:dyDescent="0.25">
      <c r="A158" s="221">
        <v>0.58683698244404214</v>
      </c>
      <c r="B158" s="73"/>
      <c r="C158" s="73"/>
      <c r="D158" s="73"/>
      <c r="E158" s="73"/>
      <c r="F158" s="73"/>
      <c r="G158" s="73"/>
      <c r="H158" s="73"/>
      <c r="I158" s="73"/>
      <c r="J158" s="73"/>
      <c r="K158" s="73">
        <v>5.1964322290533771E-2</v>
      </c>
      <c r="L158" s="73"/>
      <c r="M158" s="73"/>
      <c r="N158" s="73"/>
      <c r="O158" s="73">
        <v>5.1964322290533771E-2</v>
      </c>
    </row>
    <row r="159" spans="1:15" x14ac:dyDescent="0.25">
      <c r="A159" s="221">
        <v>0.60576522307914638</v>
      </c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>
        <v>3.0594831133307181E-2</v>
      </c>
      <c r="N159" s="73"/>
      <c r="O159" s="73">
        <v>3.0594831133307181E-2</v>
      </c>
    </row>
    <row r="160" spans="1:15" x14ac:dyDescent="0.25">
      <c r="A160" s="221">
        <v>0.60624127230411173</v>
      </c>
      <c r="B160" s="73"/>
      <c r="C160" s="73"/>
      <c r="D160" s="73">
        <v>4.6968770324398397E-2</v>
      </c>
      <c r="E160" s="73"/>
      <c r="F160" s="73">
        <v>4.6968770324398397E-2</v>
      </c>
      <c r="G160" s="73"/>
      <c r="H160" s="73"/>
      <c r="I160" s="73"/>
      <c r="J160" s="73"/>
      <c r="K160" s="73"/>
      <c r="L160" s="73"/>
      <c r="M160" s="73"/>
      <c r="N160" s="73"/>
      <c r="O160" s="73"/>
    </row>
    <row r="161" spans="1:15" x14ac:dyDescent="0.25">
      <c r="A161" s="221">
        <v>0.61353338852996586</v>
      </c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>
        <v>3.1481167201555318E-2</v>
      </c>
      <c r="N161" s="73"/>
      <c r="O161" s="73">
        <v>3.1481167201555318E-2</v>
      </c>
    </row>
    <row r="162" spans="1:15" x14ac:dyDescent="0.25">
      <c r="A162" s="221">
        <v>0.61581070597362297</v>
      </c>
      <c r="B162" s="73"/>
      <c r="C162" s="73"/>
      <c r="D162" s="73">
        <v>4.943304710785449E-2</v>
      </c>
      <c r="E162" s="73"/>
      <c r="F162" s="73">
        <v>4.943304710785449E-2</v>
      </c>
      <c r="G162" s="73"/>
      <c r="H162" s="73"/>
      <c r="I162" s="73"/>
      <c r="J162" s="73"/>
      <c r="K162" s="73"/>
      <c r="L162" s="73"/>
      <c r="M162" s="73"/>
      <c r="N162" s="73"/>
      <c r="O162" s="73"/>
    </row>
    <row r="163" spans="1:15" x14ac:dyDescent="0.25">
      <c r="A163" s="221">
        <v>0.61607476366979863</v>
      </c>
      <c r="B163" s="73"/>
      <c r="C163" s="73"/>
      <c r="D163" s="73"/>
      <c r="E163" s="73"/>
      <c r="F163" s="73"/>
      <c r="G163" s="73"/>
      <c r="H163" s="73"/>
      <c r="I163" s="73"/>
      <c r="J163" s="73"/>
      <c r="K163" s="73">
        <v>5.388280799580767E-2</v>
      </c>
      <c r="L163" s="73"/>
      <c r="M163" s="73"/>
      <c r="N163" s="73"/>
      <c r="O163" s="73">
        <v>5.388280799580767E-2</v>
      </c>
    </row>
    <row r="164" spans="1:15" x14ac:dyDescent="0.25">
      <c r="A164" s="221">
        <v>0.62465017383558896</v>
      </c>
      <c r="B164" s="73"/>
      <c r="C164" s="73"/>
      <c r="D164" s="73"/>
      <c r="E164" s="73"/>
      <c r="F164" s="73"/>
      <c r="G164" s="73"/>
      <c r="H164" s="73"/>
      <c r="I164" s="73"/>
      <c r="J164" s="73"/>
      <c r="K164" s="73">
        <v>5.4876145341185456E-2</v>
      </c>
      <c r="L164" s="73"/>
      <c r="M164" s="73"/>
      <c r="N164" s="73"/>
      <c r="O164" s="73">
        <v>5.4876145341185456E-2</v>
      </c>
    </row>
    <row r="165" spans="1:15" x14ac:dyDescent="0.25">
      <c r="A165" s="221">
        <v>0.63176008533747097</v>
      </c>
      <c r="B165" s="73"/>
      <c r="C165" s="73"/>
      <c r="D165" s="73"/>
      <c r="E165" s="73"/>
      <c r="F165" s="73"/>
      <c r="G165" s="73">
        <v>4.3304766797038811E-2</v>
      </c>
      <c r="H165" s="73"/>
      <c r="I165" s="73"/>
      <c r="J165" s="73"/>
      <c r="K165" s="73"/>
      <c r="L165" s="73"/>
      <c r="M165" s="73"/>
      <c r="N165" s="73"/>
      <c r="O165" s="73">
        <v>4.3304766797038811E-2</v>
      </c>
    </row>
    <row r="166" spans="1:15" x14ac:dyDescent="0.25">
      <c r="A166" s="221">
        <v>0.63672105239139465</v>
      </c>
      <c r="B166" s="73"/>
      <c r="C166" s="73"/>
      <c r="D166" s="73"/>
      <c r="E166" s="73"/>
      <c r="F166" s="73"/>
      <c r="G166" s="73"/>
      <c r="H166" s="73">
        <v>2.2412820088045599E-2</v>
      </c>
      <c r="I166" s="73"/>
      <c r="J166" s="73"/>
      <c r="K166" s="73"/>
      <c r="L166" s="73"/>
      <c r="M166" s="73"/>
      <c r="N166" s="73"/>
      <c r="O166" s="73">
        <v>2.2412820088045599E-2</v>
      </c>
    </row>
    <row r="167" spans="1:15" x14ac:dyDescent="0.25">
      <c r="A167" s="221">
        <v>0.65109408671666236</v>
      </c>
      <c r="B167" s="73"/>
      <c r="C167" s="73"/>
      <c r="D167" s="73"/>
      <c r="E167" s="73"/>
      <c r="F167" s="73"/>
      <c r="G167" s="73"/>
      <c r="H167" s="73"/>
      <c r="I167" s="73"/>
      <c r="J167" s="73">
        <v>2.7029909332638716E-2</v>
      </c>
      <c r="K167" s="73"/>
      <c r="L167" s="73"/>
      <c r="M167" s="73"/>
      <c r="N167" s="73"/>
      <c r="O167" s="73">
        <v>2.7029909332638716E-2</v>
      </c>
    </row>
    <row r="168" spans="1:15" x14ac:dyDescent="0.25">
      <c r="A168" s="221">
        <v>0.65425178863891043</v>
      </c>
      <c r="B168" s="73"/>
      <c r="C168" s="73"/>
      <c r="D168" s="73"/>
      <c r="E168" s="73"/>
      <c r="F168" s="73"/>
      <c r="G168" s="73"/>
      <c r="H168" s="73">
        <v>2.3826842528162459E-2</v>
      </c>
      <c r="I168" s="73"/>
      <c r="J168" s="73"/>
      <c r="K168" s="73"/>
      <c r="L168" s="73"/>
      <c r="M168" s="73"/>
      <c r="N168" s="73"/>
      <c r="O168" s="73">
        <v>2.3826842528162459E-2</v>
      </c>
    </row>
    <row r="169" spans="1:15" x14ac:dyDescent="0.25">
      <c r="A169" s="221">
        <v>0.65566330488750968</v>
      </c>
      <c r="B169" s="73"/>
      <c r="C169" s="73">
        <v>2.5104176271498566E-2</v>
      </c>
      <c r="D169" s="73"/>
      <c r="E169" s="73"/>
      <c r="F169" s="73">
        <v>2.5104176271498566E-2</v>
      </c>
      <c r="G169" s="73"/>
      <c r="H169" s="73"/>
      <c r="I169" s="73"/>
      <c r="J169" s="73"/>
      <c r="K169" s="73"/>
      <c r="L169" s="73"/>
      <c r="M169" s="73"/>
      <c r="N169" s="73"/>
      <c r="O169" s="73"/>
    </row>
    <row r="170" spans="1:15" x14ac:dyDescent="0.25">
      <c r="A170" s="221">
        <v>0.66312162691216692</v>
      </c>
      <c r="B170" s="73"/>
      <c r="C170" s="73"/>
      <c r="D170" s="73"/>
      <c r="E170" s="73"/>
      <c r="F170" s="73"/>
      <c r="G170" s="73"/>
      <c r="H170" s="73">
        <v>2.2953772822062748E-2</v>
      </c>
      <c r="I170" s="73"/>
      <c r="J170" s="73"/>
      <c r="K170" s="73"/>
      <c r="L170" s="73"/>
      <c r="M170" s="73"/>
      <c r="N170" s="73"/>
      <c r="O170" s="73">
        <v>2.2953772822062748E-2</v>
      </c>
    </row>
    <row r="171" spans="1:15" x14ac:dyDescent="0.25">
      <c r="A171" s="221">
        <v>0.6677059971319087</v>
      </c>
      <c r="B171" s="73"/>
      <c r="C171" s="73"/>
      <c r="D171" s="73"/>
      <c r="E171" s="73">
        <v>3.2075457319147974E-2</v>
      </c>
      <c r="F171" s="73">
        <v>3.2075457319147974E-2</v>
      </c>
      <c r="G171" s="73"/>
      <c r="H171" s="73"/>
      <c r="I171" s="73"/>
      <c r="J171" s="73"/>
      <c r="K171" s="73"/>
      <c r="L171" s="73"/>
      <c r="M171" s="73"/>
      <c r="N171" s="73"/>
      <c r="O171" s="73"/>
    </row>
    <row r="172" spans="1:15" x14ac:dyDescent="0.25">
      <c r="A172" s="221">
        <v>0.67199419769847424</v>
      </c>
      <c r="B172" s="73"/>
      <c r="C172" s="73"/>
      <c r="D172" s="73"/>
      <c r="E172" s="73"/>
      <c r="F172" s="73"/>
      <c r="G172" s="73"/>
      <c r="H172" s="73"/>
      <c r="I172" s="73"/>
      <c r="J172" s="73">
        <v>2.7770829411846651E-2</v>
      </c>
      <c r="K172" s="73"/>
      <c r="L172" s="73"/>
      <c r="M172" s="73"/>
      <c r="N172" s="73"/>
      <c r="O172" s="73">
        <v>2.7770829411846651E-2</v>
      </c>
    </row>
    <row r="173" spans="1:15" x14ac:dyDescent="0.25">
      <c r="A173" s="221">
        <v>0.6726208947504525</v>
      </c>
      <c r="B173" s="73"/>
      <c r="C173" s="73">
        <v>2.5419000666195721E-2</v>
      </c>
      <c r="D173" s="73"/>
      <c r="E173" s="73"/>
      <c r="F173" s="73">
        <v>2.5419000666195721E-2</v>
      </c>
      <c r="G173" s="73"/>
      <c r="H173" s="73"/>
      <c r="I173" s="73"/>
      <c r="J173" s="73"/>
      <c r="K173" s="73"/>
      <c r="L173" s="73"/>
      <c r="M173" s="73"/>
      <c r="N173" s="73"/>
      <c r="O173" s="73"/>
    </row>
    <row r="174" spans="1:15" x14ac:dyDescent="0.25">
      <c r="A174" s="221">
        <v>0.67386728678039765</v>
      </c>
      <c r="B174" s="73"/>
      <c r="C174" s="73"/>
      <c r="D174" s="73"/>
      <c r="E174" s="73"/>
      <c r="F174" s="73"/>
      <c r="G174" s="73"/>
      <c r="H174" s="73"/>
      <c r="I174" s="73">
        <v>2.4655918108415869E-2</v>
      </c>
      <c r="J174" s="73"/>
      <c r="K174" s="73"/>
      <c r="L174" s="73"/>
      <c r="M174" s="73"/>
      <c r="N174" s="73"/>
      <c r="O174" s="73">
        <v>2.4655918108415869E-2</v>
      </c>
    </row>
    <row r="175" spans="1:15" x14ac:dyDescent="0.25">
      <c r="A175" s="221">
        <v>0.67751675012342194</v>
      </c>
      <c r="B175" s="73">
        <v>4.381452327098001E-2</v>
      </c>
      <c r="C175" s="73"/>
      <c r="D175" s="73"/>
      <c r="E175" s="73"/>
      <c r="F175" s="73">
        <v>4.381452327098001E-2</v>
      </c>
      <c r="G175" s="73"/>
      <c r="H175" s="73"/>
      <c r="I175" s="73"/>
      <c r="J175" s="73"/>
      <c r="K175" s="73"/>
      <c r="L175" s="73"/>
      <c r="M175" s="73"/>
      <c r="N175" s="73"/>
      <c r="O175" s="73"/>
    </row>
    <row r="176" spans="1:15" x14ac:dyDescent="0.25">
      <c r="A176" s="221">
        <v>0.68742814378966433</v>
      </c>
      <c r="B176" s="73"/>
      <c r="C176" s="73"/>
      <c r="D176" s="73"/>
      <c r="E176" s="73"/>
      <c r="F176" s="73"/>
      <c r="G176" s="73"/>
      <c r="H176" s="73"/>
      <c r="I176" s="73">
        <v>2.4125358087585144E-2</v>
      </c>
      <c r="J176" s="73"/>
      <c r="K176" s="73"/>
      <c r="L176" s="73"/>
      <c r="M176" s="73"/>
      <c r="N176" s="73"/>
      <c r="O176" s="73">
        <v>2.4125358087585144E-2</v>
      </c>
    </row>
    <row r="177" spans="1:15" x14ac:dyDescent="0.25">
      <c r="A177" s="221">
        <v>0.69155535181136429</v>
      </c>
      <c r="B177" s="73"/>
      <c r="C177" s="73"/>
      <c r="D177" s="73"/>
      <c r="E177" s="73"/>
      <c r="F177" s="73"/>
      <c r="G177" s="73"/>
      <c r="H177" s="73"/>
      <c r="I177" s="73"/>
      <c r="J177" s="73">
        <v>2.8225682364917449E-2</v>
      </c>
      <c r="K177" s="73"/>
      <c r="L177" s="73"/>
      <c r="M177" s="73"/>
      <c r="N177" s="73"/>
      <c r="O177" s="73">
        <v>2.8225682364917449E-2</v>
      </c>
    </row>
    <row r="178" spans="1:15" x14ac:dyDescent="0.25">
      <c r="A178" s="221">
        <v>0.69163114163282824</v>
      </c>
      <c r="B178" s="73"/>
      <c r="C178" s="73"/>
      <c r="D178" s="73"/>
      <c r="E178" s="73"/>
      <c r="F178" s="73"/>
      <c r="G178" s="73"/>
      <c r="H178" s="73"/>
      <c r="I178" s="73">
        <v>2.4144724083930518E-2</v>
      </c>
      <c r="J178" s="73"/>
      <c r="K178" s="73"/>
      <c r="L178" s="73"/>
      <c r="M178" s="73"/>
      <c r="N178" s="73"/>
      <c r="O178" s="73">
        <v>2.4144724083930518E-2</v>
      </c>
    </row>
    <row r="179" spans="1:15" x14ac:dyDescent="0.25">
      <c r="A179" s="221">
        <v>0.69932189753756857</v>
      </c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>
        <v>8.4682442355198839E-2</v>
      </c>
      <c r="O179" s="73">
        <v>8.4682442355198839E-2</v>
      </c>
    </row>
    <row r="180" spans="1:15" x14ac:dyDescent="0.25">
      <c r="A180" s="221">
        <v>0.70605226813527833</v>
      </c>
      <c r="B180" s="73"/>
      <c r="C180" s="73">
        <v>2.4985119127032752E-2</v>
      </c>
      <c r="D180" s="73"/>
      <c r="E180" s="73"/>
      <c r="F180" s="73">
        <v>2.4985119127032752E-2</v>
      </c>
      <c r="G180" s="73"/>
      <c r="H180" s="73"/>
      <c r="I180" s="73"/>
      <c r="J180" s="73"/>
      <c r="K180" s="73"/>
      <c r="L180" s="73"/>
      <c r="M180" s="73"/>
      <c r="N180" s="73"/>
      <c r="O180" s="73"/>
    </row>
    <row r="181" spans="1:15" x14ac:dyDescent="0.25">
      <c r="A181" s="221">
        <v>0.71036971783084368</v>
      </c>
      <c r="B181" s="73"/>
      <c r="C181" s="73"/>
      <c r="D181" s="73"/>
      <c r="E181" s="73"/>
      <c r="F181" s="73"/>
      <c r="G181" s="73"/>
      <c r="H181" s="73"/>
      <c r="I181" s="73">
        <v>2.4324583818512577E-2</v>
      </c>
      <c r="J181" s="73"/>
      <c r="K181" s="73"/>
      <c r="L181" s="73"/>
      <c r="M181" s="73"/>
      <c r="N181" s="73"/>
      <c r="O181" s="73">
        <v>2.4324583818512577E-2</v>
      </c>
    </row>
    <row r="182" spans="1:15" x14ac:dyDescent="0.25">
      <c r="A182" s="221">
        <v>0.71598852315687067</v>
      </c>
      <c r="B182" s="73"/>
      <c r="C182" s="73"/>
      <c r="D182" s="73"/>
      <c r="E182" s="73"/>
      <c r="F182" s="73"/>
      <c r="G182" s="73"/>
      <c r="H182" s="73"/>
      <c r="I182" s="73">
        <v>2.5381527339316323E-2</v>
      </c>
      <c r="J182" s="73"/>
      <c r="K182" s="73"/>
      <c r="L182" s="73"/>
      <c r="M182" s="73"/>
      <c r="N182" s="73"/>
      <c r="O182" s="73">
        <v>2.5381527339316323E-2</v>
      </c>
    </row>
    <row r="183" spans="1:15" x14ac:dyDescent="0.25">
      <c r="A183" s="221">
        <v>0.71633479872424777</v>
      </c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>
        <v>9.0844476588396894E-2</v>
      </c>
      <c r="O183" s="73">
        <v>9.0844476588396894E-2</v>
      </c>
    </row>
    <row r="184" spans="1:15" x14ac:dyDescent="0.25">
      <c r="A184" s="221">
        <v>0.71907486423584166</v>
      </c>
      <c r="B184" s="73"/>
      <c r="C184" s="73"/>
      <c r="D184" s="73"/>
      <c r="E184" s="73"/>
      <c r="F184" s="73"/>
      <c r="G184" s="73">
        <v>4.7299661496975204E-2</v>
      </c>
      <c r="H184" s="73"/>
      <c r="I184" s="73"/>
      <c r="J184" s="73"/>
      <c r="K184" s="73"/>
      <c r="L184" s="73"/>
      <c r="M184" s="73"/>
      <c r="N184" s="73"/>
      <c r="O184" s="73">
        <v>4.7299661496975204E-2</v>
      </c>
    </row>
    <row r="185" spans="1:15" x14ac:dyDescent="0.25">
      <c r="A185" s="221">
        <v>0.71910207094216017</v>
      </c>
      <c r="B185" s="73"/>
      <c r="C185" s="73"/>
      <c r="D185" s="73"/>
      <c r="E185" s="73"/>
      <c r="F185" s="73"/>
      <c r="G185" s="73">
        <v>4.6026723483287776E-2</v>
      </c>
      <c r="H185" s="73"/>
      <c r="I185" s="73"/>
      <c r="J185" s="73"/>
      <c r="K185" s="73"/>
      <c r="L185" s="73"/>
      <c r="M185" s="73"/>
      <c r="N185" s="73"/>
      <c r="O185" s="73">
        <v>4.6026723483287776E-2</v>
      </c>
    </row>
    <row r="186" spans="1:15" x14ac:dyDescent="0.25">
      <c r="A186" s="221">
        <v>0.72702111697456928</v>
      </c>
      <c r="B186" s="73"/>
      <c r="C186" s="73">
        <v>2.464593313940986E-2</v>
      </c>
      <c r="D186" s="73"/>
      <c r="E186" s="73"/>
      <c r="F186" s="73">
        <v>2.464593313940986E-2</v>
      </c>
      <c r="G186" s="73"/>
      <c r="H186" s="73"/>
      <c r="I186" s="73"/>
      <c r="J186" s="73"/>
      <c r="K186" s="73"/>
      <c r="L186" s="73"/>
      <c r="M186" s="73"/>
      <c r="N186" s="73"/>
      <c r="O186" s="73"/>
    </row>
    <row r="187" spans="1:15" x14ac:dyDescent="0.25">
      <c r="A187" s="221">
        <v>0.73138986692128671</v>
      </c>
      <c r="B187" s="73"/>
      <c r="C187" s="73">
        <v>2.5266111224386646E-2</v>
      </c>
      <c r="D187" s="73"/>
      <c r="E187" s="73"/>
      <c r="F187" s="73">
        <v>2.5266111224386646E-2</v>
      </c>
      <c r="G187" s="73"/>
      <c r="H187" s="73"/>
      <c r="I187" s="73"/>
      <c r="J187" s="73"/>
      <c r="K187" s="73"/>
      <c r="L187" s="73"/>
      <c r="M187" s="73"/>
      <c r="N187" s="73"/>
      <c r="O187" s="73"/>
    </row>
    <row r="188" spans="1:15" x14ac:dyDescent="0.25">
      <c r="A188" s="221">
        <v>0.73148623551261249</v>
      </c>
      <c r="B188" s="73"/>
      <c r="C188" s="73"/>
      <c r="D188" s="73"/>
      <c r="E188" s="73">
        <v>3.5467753659058965E-2</v>
      </c>
      <c r="F188" s="73">
        <v>3.5467753659058965E-2</v>
      </c>
      <c r="G188" s="73"/>
      <c r="H188" s="73"/>
      <c r="I188" s="73"/>
      <c r="J188" s="73"/>
      <c r="K188" s="73"/>
      <c r="L188" s="73"/>
      <c r="M188" s="73"/>
      <c r="N188" s="73"/>
      <c r="O188" s="73"/>
    </row>
    <row r="189" spans="1:15" x14ac:dyDescent="0.25">
      <c r="A189" s="221">
        <v>0.73818061661351031</v>
      </c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>
        <v>9.7520763342730118E-2</v>
      </c>
      <c r="O189" s="73">
        <v>9.7520763342730118E-2</v>
      </c>
    </row>
    <row r="190" spans="1:15" x14ac:dyDescent="0.25">
      <c r="A190" s="221">
        <v>0.74013270799539244</v>
      </c>
      <c r="B190" s="73"/>
      <c r="C190" s="73"/>
      <c r="D190" s="73"/>
      <c r="E190" s="73">
        <v>3.6406629601579137E-2</v>
      </c>
      <c r="F190" s="73">
        <v>3.6406629601579137E-2</v>
      </c>
      <c r="G190" s="73"/>
      <c r="H190" s="73"/>
      <c r="I190" s="73"/>
      <c r="J190" s="73"/>
      <c r="K190" s="73"/>
      <c r="L190" s="73"/>
      <c r="M190" s="73"/>
      <c r="N190" s="73"/>
      <c r="O190" s="73"/>
    </row>
    <row r="191" spans="1:15" x14ac:dyDescent="0.25">
      <c r="A191" s="221">
        <v>0.74480582302742671</v>
      </c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>
        <v>3.7746585141523716E-2</v>
      </c>
      <c r="N191" s="73"/>
      <c r="O191" s="73">
        <v>3.7746585141523716E-2</v>
      </c>
    </row>
    <row r="192" spans="1:15" x14ac:dyDescent="0.25">
      <c r="A192" s="221">
        <v>0.75703141354809311</v>
      </c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>
        <v>4.9975882181106622E-2</v>
      </c>
      <c r="M192" s="73"/>
      <c r="N192" s="73"/>
      <c r="O192" s="73">
        <v>4.9975882181106622E-2</v>
      </c>
    </row>
    <row r="193" spans="1:15" x14ac:dyDescent="0.25">
      <c r="A193" s="221">
        <v>0.7583958279458668</v>
      </c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>
        <v>0.10462679664851991</v>
      </c>
      <c r="O193" s="73">
        <v>0.10462679664851991</v>
      </c>
    </row>
    <row r="194" spans="1:15" x14ac:dyDescent="0.25">
      <c r="A194" s="221">
        <v>0.75889012800620637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>
        <v>3.6644341857891408E-2</v>
      </c>
      <c r="N194" s="73"/>
      <c r="O194" s="73">
        <v>3.6644341857891408E-2</v>
      </c>
    </row>
    <row r="195" spans="1:15" x14ac:dyDescent="0.25">
      <c r="A195" s="221">
        <v>0.76301248660829724</v>
      </c>
      <c r="B195" s="73"/>
      <c r="C195" s="73">
        <v>2.6117112964388428E-2</v>
      </c>
      <c r="D195" s="73"/>
      <c r="E195" s="73"/>
      <c r="F195" s="73">
        <v>2.6117112964388428E-2</v>
      </c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 x14ac:dyDescent="0.25">
      <c r="A196" s="221">
        <v>0.76341579748872235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>
        <v>0.10106962356492293</v>
      </c>
      <c r="O196" s="73">
        <v>0.10106962356492293</v>
      </c>
    </row>
    <row r="197" spans="1:15" x14ac:dyDescent="0.25">
      <c r="A197" s="221">
        <v>0.77042547042090703</v>
      </c>
      <c r="B197" s="73"/>
      <c r="C197" s="73"/>
      <c r="D197" s="73"/>
      <c r="E197" s="73"/>
      <c r="F197" s="73"/>
      <c r="G197" s="73">
        <v>4.9184309247364444E-2</v>
      </c>
      <c r="H197" s="73"/>
      <c r="I197" s="73"/>
      <c r="J197" s="73"/>
      <c r="K197" s="73"/>
      <c r="L197" s="73"/>
      <c r="M197" s="73"/>
      <c r="N197" s="73"/>
      <c r="O197" s="73">
        <v>4.9184309247364444E-2</v>
      </c>
    </row>
    <row r="198" spans="1:15" x14ac:dyDescent="0.25">
      <c r="A198" s="221">
        <v>0.78105896043444534</v>
      </c>
      <c r="B198" s="73"/>
      <c r="C198" s="73"/>
      <c r="D198" s="73">
        <v>6.0949067151273024E-2</v>
      </c>
      <c r="E198" s="73"/>
      <c r="F198" s="73">
        <v>6.0949067151273024E-2</v>
      </c>
      <c r="G198" s="73"/>
      <c r="H198" s="73"/>
      <c r="I198" s="73"/>
      <c r="J198" s="73"/>
      <c r="K198" s="73"/>
      <c r="L198" s="73"/>
      <c r="M198" s="73"/>
      <c r="N198" s="73"/>
      <c r="O198" s="73"/>
    </row>
    <row r="199" spans="1:15" x14ac:dyDescent="0.25">
      <c r="A199" s="221">
        <v>0.78210499094905606</v>
      </c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>
        <v>9.6583568567583281E-2</v>
      </c>
      <c r="O199" s="73">
        <v>9.6583568567583281E-2</v>
      </c>
    </row>
    <row r="200" spans="1:15" x14ac:dyDescent="0.25">
      <c r="A200" s="221">
        <v>0.78250581846392542</v>
      </c>
      <c r="B200" s="73"/>
      <c r="C200" s="73"/>
      <c r="D200" s="73">
        <v>6.0201198214723778E-2</v>
      </c>
      <c r="E200" s="73"/>
      <c r="F200" s="73">
        <v>6.0201198214723778E-2</v>
      </c>
      <c r="G200" s="73"/>
      <c r="H200" s="73"/>
      <c r="I200" s="73"/>
      <c r="J200" s="73"/>
      <c r="K200" s="73"/>
      <c r="L200" s="73"/>
      <c r="M200" s="73"/>
      <c r="N200" s="73"/>
      <c r="O200" s="73"/>
    </row>
    <row r="201" spans="1:15" x14ac:dyDescent="0.25">
      <c r="A201" s="221">
        <v>0.78798716411594616</v>
      </c>
      <c r="B201" s="73"/>
      <c r="C201" s="73"/>
      <c r="D201" s="73">
        <v>6.2837029255082055E-2</v>
      </c>
      <c r="E201" s="73"/>
      <c r="F201" s="73">
        <v>6.2837029255082055E-2</v>
      </c>
      <c r="G201" s="73"/>
      <c r="H201" s="73"/>
      <c r="I201" s="73"/>
      <c r="J201" s="73"/>
      <c r="K201" s="73"/>
      <c r="L201" s="73"/>
      <c r="M201" s="73"/>
      <c r="N201" s="73"/>
      <c r="O201" s="73"/>
    </row>
    <row r="202" spans="1:15" x14ac:dyDescent="0.25">
      <c r="A202" s="221">
        <v>0.79698991466252911</v>
      </c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>
        <v>0.10782964884424413</v>
      </c>
      <c r="O202" s="73">
        <v>0.10782964884424413</v>
      </c>
    </row>
    <row r="203" spans="1:15" x14ac:dyDescent="0.25">
      <c r="A203" s="221">
        <v>0.8100524249476927</v>
      </c>
      <c r="B203" s="73"/>
      <c r="C203" s="73"/>
      <c r="D203" s="73"/>
      <c r="E203" s="73">
        <v>3.8827688708399657E-2</v>
      </c>
      <c r="F203" s="73">
        <v>3.8827688708399657E-2</v>
      </c>
      <c r="G203" s="73"/>
      <c r="H203" s="73"/>
      <c r="I203" s="73"/>
      <c r="J203" s="73"/>
      <c r="K203" s="73"/>
      <c r="L203" s="73"/>
      <c r="M203" s="73"/>
      <c r="N203" s="73"/>
      <c r="O203" s="73"/>
    </row>
    <row r="204" spans="1:15" x14ac:dyDescent="0.25">
      <c r="A204" s="221">
        <v>0.81162910184693704</v>
      </c>
      <c r="B204" s="73"/>
      <c r="C204" s="73"/>
      <c r="D204" s="73"/>
      <c r="E204" s="73"/>
      <c r="F204" s="73"/>
      <c r="G204" s="73">
        <v>4.9659702641519837E-2</v>
      </c>
      <c r="H204" s="73"/>
      <c r="I204" s="73"/>
      <c r="J204" s="73"/>
      <c r="K204" s="73"/>
      <c r="L204" s="73"/>
      <c r="M204" s="73"/>
      <c r="N204" s="73"/>
      <c r="O204" s="73">
        <v>4.9659702641519837E-2</v>
      </c>
    </row>
    <row r="205" spans="1:15" x14ac:dyDescent="0.25">
      <c r="A205" s="221">
        <v>0.81599065052708442</v>
      </c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>
        <v>3.985327849326771E-2</v>
      </c>
      <c r="N205" s="73"/>
      <c r="O205" s="73">
        <v>3.985327849326771E-2</v>
      </c>
    </row>
    <row r="206" spans="1:15" x14ac:dyDescent="0.25">
      <c r="A206" s="221">
        <v>0.82089463290782139</v>
      </c>
      <c r="B206" s="73"/>
      <c r="C206" s="73"/>
      <c r="D206" s="73">
        <v>6.4225564259963633E-2</v>
      </c>
      <c r="E206" s="73"/>
      <c r="F206" s="73">
        <v>6.4225564259963633E-2</v>
      </c>
      <c r="G206" s="73"/>
      <c r="H206" s="73"/>
      <c r="I206" s="73"/>
      <c r="J206" s="73"/>
      <c r="K206" s="73"/>
      <c r="L206" s="73"/>
      <c r="M206" s="73"/>
      <c r="N206" s="73"/>
      <c r="O206" s="73"/>
    </row>
    <row r="207" spans="1:15" x14ac:dyDescent="0.25">
      <c r="A207" s="221">
        <v>0.82582622187742438</v>
      </c>
      <c r="B207" s="73"/>
      <c r="C207" s="73"/>
      <c r="D207" s="73">
        <v>6.6213860636296473E-2</v>
      </c>
      <c r="E207" s="73"/>
      <c r="F207" s="73">
        <v>6.6213860636296473E-2</v>
      </c>
      <c r="G207" s="73"/>
      <c r="H207" s="73"/>
      <c r="I207" s="73"/>
      <c r="J207" s="73"/>
      <c r="K207" s="73"/>
      <c r="L207" s="73"/>
      <c r="M207" s="73"/>
      <c r="N207" s="73"/>
      <c r="O207" s="73"/>
    </row>
    <row r="208" spans="1:15" x14ac:dyDescent="0.25">
      <c r="A208" s="221">
        <v>0.84196233083354888</v>
      </c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>
        <v>4.0333052586724066E-2</v>
      </c>
      <c r="N208" s="73"/>
      <c r="O208" s="73">
        <v>4.0333052586724066E-2</v>
      </c>
    </row>
    <row r="209" spans="1:15" x14ac:dyDescent="0.25">
      <c r="A209" s="221">
        <v>0.84277805204880463</v>
      </c>
      <c r="B209" s="73">
        <v>5.524709918565901E-2</v>
      </c>
      <c r="C209" s="73"/>
      <c r="D209" s="73"/>
      <c r="E209" s="73"/>
      <c r="F209" s="73">
        <v>5.524709918565901E-2</v>
      </c>
      <c r="G209" s="73"/>
      <c r="H209" s="73"/>
      <c r="I209" s="73"/>
      <c r="J209" s="73"/>
      <c r="K209" s="73"/>
      <c r="L209" s="73"/>
      <c r="M209" s="73"/>
      <c r="N209" s="73"/>
      <c r="O209" s="73"/>
    </row>
    <row r="210" spans="1:15" x14ac:dyDescent="0.25">
      <c r="A210" s="221">
        <v>0.84485906387380394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>
        <v>0.11063943531066119</v>
      </c>
      <c r="O210" s="73">
        <v>0.11063943531066119</v>
      </c>
    </row>
    <row r="211" spans="1:15" x14ac:dyDescent="0.25">
      <c r="A211" s="221">
        <v>0.84791875308554909</v>
      </c>
      <c r="B211" s="73"/>
      <c r="C211" s="73"/>
      <c r="D211" s="73">
        <v>6.5766690236459535E-2</v>
      </c>
      <c r="E211" s="73"/>
      <c r="F211" s="73">
        <v>6.5766690236459535E-2</v>
      </c>
      <c r="G211" s="73"/>
      <c r="H211" s="73"/>
      <c r="I211" s="73"/>
      <c r="J211" s="73"/>
      <c r="K211" s="73"/>
      <c r="L211" s="73"/>
      <c r="M211" s="73"/>
      <c r="N211" s="73"/>
      <c r="O211" s="73"/>
    </row>
    <row r="212" spans="1:15" x14ac:dyDescent="0.25">
      <c r="A212" s="221">
        <v>0.84901011517574743</v>
      </c>
      <c r="B212" s="73">
        <v>5.3300864370715025E-2</v>
      </c>
      <c r="C212" s="73"/>
      <c r="D212" s="73"/>
      <c r="E212" s="73"/>
      <c r="F212" s="73">
        <v>5.3300864370715025E-2</v>
      </c>
      <c r="G212" s="73"/>
      <c r="H212" s="73"/>
      <c r="I212" s="73"/>
      <c r="J212" s="73"/>
      <c r="K212" s="73"/>
      <c r="L212" s="73"/>
      <c r="M212" s="73"/>
      <c r="N212" s="73"/>
      <c r="O212" s="73"/>
    </row>
    <row r="213" spans="1:15" x14ac:dyDescent="0.25">
      <c r="A213" s="221">
        <v>0.85145637915226746</v>
      </c>
      <c r="B213" s="73">
        <v>5.3554148032525548E-2</v>
      </c>
      <c r="C213" s="73"/>
      <c r="D213" s="73"/>
      <c r="E213" s="73"/>
      <c r="F213" s="73">
        <v>5.3554148032525548E-2</v>
      </c>
      <c r="G213" s="73"/>
      <c r="H213" s="73"/>
      <c r="I213" s="73"/>
      <c r="J213" s="73"/>
      <c r="K213" s="73"/>
      <c r="L213" s="73"/>
      <c r="M213" s="73"/>
      <c r="N213" s="73"/>
      <c r="O213" s="73"/>
    </row>
    <row r="214" spans="1:15" x14ac:dyDescent="0.25">
      <c r="A214" s="221">
        <v>0.85300405137488144</v>
      </c>
      <c r="B214" s="73"/>
      <c r="C214" s="73"/>
      <c r="D214" s="73"/>
      <c r="E214" s="73"/>
      <c r="F214" s="73"/>
      <c r="G214" s="73">
        <v>5.4880265473210399E-2</v>
      </c>
      <c r="H214" s="73"/>
      <c r="I214" s="73"/>
      <c r="J214" s="73"/>
      <c r="K214" s="73"/>
      <c r="L214" s="73"/>
      <c r="M214" s="73"/>
      <c r="N214" s="73"/>
      <c r="O214" s="73">
        <v>5.4880265473210399E-2</v>
      </c>
    </row>
    <row r="215" spans="1:15" x14ac:dyDescent="0.25">
      <c r="A215" s="221">
        <v>0.85536268425135764</v>
      </c>
      <c r="B215" s="73">
        <v>5.3560281516683059E-2</v>
      </c>
      <c r="C215" s="73"/>
      <c r="D215" s="73"/>
      <c r="E215" s="73"/>
      <c r="F215" s="73">
        <v>5.3560281516683059E-2</v>
      </c>
      <c r="G215" s="73"/>
      <c r="H215" s="73"/>
      <c r="I215" s="73"/>
      <c r="J215" s="73"/>
      <c r="K215" s="73"/>
      <c r="L215" s="73"/>
      <c r="M215" s="73"/>
      <c r="N215" s="73"/>
      <c r="O215" s="73"/>
    </row>
    <row r="216" spans="1:15" x14ac:dyDescent="0.25">
      <c r="A216" s="221">
        <v>0.86249757564003104</v>
      </c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>
        <v>4.0817544585313267E-2</v>
      </c>
      <c r="N216" s="73"/>
      <c r="O216" s="73">
        <v>4.0817544585313267E-2</v>
      </c>
    </row>
    <row r="217" spans="1:15" x14ac:dyDescent="0.25">
      <c r="A217" s="221">
        <v>0.86774469873286786</v>
      </c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>
        <v>4.0722935856781238E-2</v>
      </c>
      <c r="N217" s="73"/>
      <c r="O217" s="73">
        <v>4.0722935856781238E-2</v>
      </c>
    </row>
    <row r="218" spans="1:15" x14ac:dyDescent="0.25">
      <c r="A218" s="221">
        <v>0.86822536850271537</v>
      </c>
      <c r="B218" s="73"/>
      <c r="C218" s="73"/>
      <c r="D218" s="73"/>
      <c r="E218" s="73"/>
      <c r="F218" s="73"/>
      <c r="G218" s="73">
        <v>5.5731671260744756E-2</v>
      </c>
      <c r="H218" s="73"/>
      <c r="I218" s="73"/>
      <c r="J218" s="73"/>
      <c r="K218" s="73"/>
      <c r="L218" s="73"/>
      <c r="M218" s="73"/>
      <c r="N218" s="73"/>
      <c r="O218" s="73">
        <v>5.5731671260744756E-2</v>
      </c>
    </row>
    <row r="219" spans="1:15" x14ac:dyDescent="0.25">
      <c r="A219" s="221">
        <v>0.87014661362483015</v>
      </c>
      <c r="B219" s="73"/>
      <c r="C219" s="73"/>
      <c r="D219" s="73"/>
      <c r="E219" s="73"/>
      <c r="F219" s="73"/>
      <c r="G219" s="73">
        <v>5.603377519936481E-2</v>
      </c>
      <c r="H219" s="73"/>
      <c r="I219" s="73"/>
      <c r="J219" s="73"/>
      <c r="K219" s="73"/>
      <c r="L219" s="73"/>
      <c r="M219" s="73"/>
      <c r="N219" s="73"/>
      <c r="O219" s="73">
        <v>5.603377519936481E-2</v>
      </c>
    </row>
    <row r="220" spans="1:15" x14ac:dyDescent="0.25">
      <c r="A220" s="221">
        <v>0.87177630395430672</v>
      </c>
      <c r="B220" s="73"/>
      <c r="C220" s="73"/>
      <c r="D220" s="73"/>
      <c r="E220" s="73"/>
      <c r="F220" s="73"/>
      <c r="G220" s="73">
        <v>5.2149953802764624E-2</v>
      </c>
      <c r="H220" s="73"/>
      <c r="I220" s="73"/>
      <c r="J220" s="73"/>
      <c r="K220" s="73"/>
      <c r="L220" s="73"/>
      <c r="M220" s="73"/>
      <c r="N220" s="73"/>
      <c r="O220" s="73">
        <v>5.2149953802764624E-2</v>
      </c>
    </row>
    <row r="221" spans="1:15" x14ac:dyDescent="0.25">
      <c r="A221" s="221">
        <v>0.8748298029030479</v>
      </c>
      <c r="B221" s="73"/>
      <c r="C221" s="73"/>
      <c r="D221" s="73"/>
      <c r="E221" s="73"/>
      <c r="F221" s="73"/>
      <c r="G221" s="73">
        <v>5.2832270464367087E-2</v>
      </c>
      <c r="H221" s="73"/>
      <c r="I221" s="73"/>
      <c r="J221" s="73"/>
      <c r="K221" s="73"/>
      <c r="L221" s="73"/>
      <c r="M221" s="73"/>
      <c r="N221" s="73"/>
      <c r="O221" s="73">
        <v>5.2832270464367087E-2</v>
      </c>
    </row>
    <row r="222" spans="1:15" x14ac:dyDescent="0.25">
      <c r="A222" s="221">
        <v>0.87529748645382954</v>
      </c>
      <c r="B222" s="73"/>
      <c r="C222" s="73"/>
      <c r="D222" s="73"/>
      <c r="E222" s="73"/>
      <c r="F222" s="73"/>
      <c r="G222" s="73">
        <v>5.4148147401154513E-2</v>
      </c>
      <c r="H222" s="73"/>
      <c r="I222" s="73"/>
      <c r="J222" s="73"/>
      <c r="K222" s="73"/>
      <c r="L222" s="73"/>
      <c r="M222" s="73"/>
      <c r="N222" s="73"/>
      <c r="O222" s="73">
        <v>5.4148147401154513E-2</v>
      </c>
    </row>
    <row r="223" spans="1:15" x14ac:dyDescent="0.25">
      <c r="A223" s="221">
        <v>0.88144787395175306</v>
      </c>
      <c r="B223" s="73"/>
      <c r="C223" s="73"/>
      <c r="D223" s="73"/>
      <c r="E223" s="73"/>
      <c r="F223" s="73"/>
      <c r="G223" s="73">
        <v>5.398782987364837E-2</v>
      </c>
      <c r="H223" s="73"/>
      <c r="I223" s="73"/>
      <c r="J223" s="73"/>
      <c r="K223" s="73"/>
      <c r="L223" s="73"/>
      <c r="M223" s="73"/>
      <c r="N223" s="73"/>
      <c r="O223" s="73">
        <v>5.398782987364837E-2</v>
      </c>
    </row>
    <row r="224" spans="1:15" x14ac:dyDescent="0.25">
      <c r="A224" s="221">
        <v>0.90006702220761503</v>
      </c>
      <c r="B224" s="73"/>
      <c r="C224" s="73"/>
      <c r="D224" s="73"/>
      <c r="E224" s="73"/>
      <c r="F224" s="73"/>
      <c r="G224" s="73">
        <v>5.2854428180746427E-2</v>
      </c>
      <c r="H224" s="73"/>
      <c r="I224" s="73"/>
      <c r="J224" s="73"/>
      <c r="K224" s="73"/>
      <c r="L224" s="73"/>
      <c r="M224" s="73"/>
      <c r="N224" s="73"/>
      <c r="O224" s="73">
        <v>5.2854428180746427E-2</v>
      </c>
    </row>
    <row r="225" spans="1:15" x14ac:dyDescent="0.25">
      <c r="A225" s="221">
        <v>0.90925288049880759</v>
      </c>
      <c r="B225" s="73"/>
      <c r="C225" s="73"/>
      <c r="D225" s="73"/>
      <c r="E225" s="73"/>
      <c r="F225" s="73"/>
      <c r="G225" s="73">
        <v>5.4345286202558019E-2</v>
      </c>
      <c r="H225" s="73"/>
      <c r="I225" s="73"/>
      <c r="J225" s="73"/>
      <c r="K225" s="73"/>
      <c r="L225" s="73"/>
      <c r="M225" s="73"/>
      <c r="N225" s="73"/>
      <c r="O225" s="73">
        <v>5.4345286202558019E-2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FBE7-0EF1-4F5A-8937-22B89ACE2904}">
  <dimension ref="A1:AE77"/>
  <sheetViews>
    <sheetView topLeftCell="B4" zoomScaleNormal="100" workbookViewId="0">
      <selection activeCell="AF5" sqref="AF5:AF80"/>
    </sheetView>
  </sheetViews>
  <sheetFormatPr defaultRowHeight="15" x14ac:dyDescent="0.25"/>
  <cols>
    <col min="1" max="1" width="15.5703125" customWidth="1"/>
    <col min="2" max="2" width="11.5703125" customWidth="1"/>
    <col min="3" max="4" width="13.5703125" customWidth="1"/>
  </cols>
  <sheetData>
    <row r="1" spans="1:31" x14ac:dyDescent="0.25">
      <c r="A1" t="str">
        <f>'pivot-ITL'!A8</f>
        <v>Average of ITL</v>
      </c>
      <c r="B1" t="str">
        <f>'pivot-ITL'!B8</f>
        <v>Column Labels</v>
      </c>
      <c r="C1">
        <f>'pivot-ITL'!C8</f>
        <v>0</v>
      </c>
      <c r="D1">
        <f>'pivot-ITL'!D8</f>
        <v>0</v>
      </c>
      <c r="E1">
        <f>'pivot-ITL'!E8</f>
        <v>0</v>
      </c>
      <c r="F1">
        <f>'pivot-ITL'!F8</f>
        <v>0</v>
      </c>
      <c r="G1">
        <f>'pivot-ITL'!G8</f>
        <v>0</v>
      </c>
      <c r="H1">
        <f>'pivot-ITL'!H8</f>
        <v>0</v>
      </c>
      <c r="I1">
        <f>'pivot-ITL'!I8</f>
        <v>0</v>
      </c>
    </row>
    <row r="2" spans="1:31" x14ac:dyDescent="0.25">
      <c r="A2" t="s">
        <v>74</v>
      </c>
      <c r="B2" t="s">
        <v>137</v>
      </c>
      <c r="C2" t="s">
        <v>139</v>
      </c>
      <c r="D2" t="s">
        <v>138</v>
      </c>
      <c r="E2" t="s">
        <v>142</v>
      </c>
      <c r="F2" t="s">
        <v>143</v>
      </c>
      <c r="G2" t="s">
        <v>140</v>
      </c>
      <c r="H2" t="s">
        <v>141</v>
      </c>
      <c r="I2" t="s">
        <v>144</v>
      </c>
      <c r="X2" t="s">
        <v>148</v>
      </c>
      <c r="Y2" t="s">
        <v>149</v>
      </c>
    </row>
    <row r="3" spans="1:31" x14ac:dyDescent="0.25">
      <c r="A3">
        <v>0.02</v>
      </c>
      <c r="B3">
        <v>6.9681514702225932E-3</v>
      </c>
      <c r="C3">
        <v>8.4535995613054232E-3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X3">
        <f>Table2[[#This Row],[Average of ITL]]</f>
        <v>0.02</v>
      </c>
      <c r="Y3" t="str">
        <f>_xlfn.IFNA(Table2[[#This Row],[6K,100]],"")</f>
        <v/>
      </c>
    </row>
    <row r="4" spans="1:31" x14ac:dyDescent="0.25">
      <c r="A4">
        <v>0.03</v>
      </c>
      <c r="B4" t="e">
        <v>#N/A</v>
      </c>
      <c r="C4" t="e">
        <v>#N/A</v>
      </c>
      <c r="D4">
        <v>9.6372250619072009E-3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X4">
        <f>Table2[[#This Row],[Average of ITL]]</f>
        <v>0.03</v>
      </c>
      <c r="Y4" t="str">
        <f>_xlfn.IFNA(Table2[[#This Row],[6K,100]],"")</f>
        <v/>
      </c>
    </row>
    <row r="5" spans="1:31" x14ac:dyDescent="0.25">
      <c r="A5">
        <v>0.04</v>
      </c>
      <c r="B5">
        <v>8.1595467135493309E-3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X5">
        <f>Table2[[#This Row],[Average of ITL]]</f>
        <v>0.04</v>
      </c>
      <c r="Y5" t="str">
        <f>_xlfn.IFNA(Table2[[#This Row],[6K,100]],"")</f>
        <v/>
      </c>
      <c r="AB5" t="s">
        <v>81</v>
      </c>
      <c r="AC5" t="s">
        <v>150</v>
      </c>
      <c r="AD5" t="s">
        <v>151</v>
      </c>
    </row>
    <row r="6" spans="1:31" x14ac:dyDescent="0.25">
      <c r="A6">
        <v>0.05</v>
      </c>
      <c r="B6" t="e">
        <v>#N/A</v>
      </c>
      <c r="C6">
        <v>9.0757148595714369E-3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>
        <v>1.1357795750815082E-2</v>
      </c>
      <c r="X6">
        <f>Table2[[#This Row],[Average of ITL]]</f>
        <v>0.05</v>
      </c>
      <c r="Y6">
        <f>_xlfn.IFNA(Table2[[#This Row],[6K,100]],"")</f>
        <v>1.1357795750815082E-2</v>
      </c>
      <c r="AB6">
        <v>0.05</v>
      </c>
      <c r="AC6">
        <v>1.1357795750815082E-2</v>
      </c>
      <c r="AD6" cm="1">
        <f t="array" ref="AD6:AD27">TREND(AC6:AC27,AB6:AB27)</f>
        <v>1.2289915849049537E-2</v>
      </c>
      <c r="AE6" cm="1">
        <f t="array" ref="AE6">TREND(AC6:AC27,AB6:AB27,0.8)</f>
        <v>0.10346160967436588</v>
      </c>
    </row>
    <row r="7" spans="1:31" x14ac:dyDescent="0.25">
      <c r="A7">
        <v>0.06</v>
      </c>
      <c r="B7">
        <v>9.1983427873517064E-3</v>
      </c>
      <c r="C7" t="e">
        <v>#N/A</v>
      </c>
      <c r="D7" t="e">
        <v>#N/A</v>
      </c>
      <c r="E7" t="e">
        <v>#N/A</v>
      </c>
      <c r="F7">
        <v>1.0721021489823184E-2</v>
      </c>
      <c r="G7" t="e">
        <v>#N/A</v>
      </c>
      <c r="H7" t="e">
        <v>#N/A</v>
      </c>
      <c r="I7">
        <v>1.5810699638234636E-2</v>
      </c>
      <c r="X7">
        <f>Table2[[#This Row],[Average of ITL]]</f>
        <v>0.06</v>
      </c>
      <c r="Y7">
        <f>_xlfn.IFNA(Table2[[#This Row],[6K,100]],"")</f>
        <v>1.5810699638234636E-2</v>
      </c>
      <c r="AB7">
        <v>0.06</v>
      </c>
      <c r="AC7">
        <v>1.5810699638234636E-2</v>
      </c>
      <c r="AD7">
        <v>1.3505538433387088E-2</v>
      </c>
    </row>
    <row r="8" spans="1:31" x14ac:dyDescent="0.25">
      <c r="A8">
        <v>7.0000000000000007E-2</v>
      </c>
      <c r="B8" t="e">
        <v>#N/A</v>
      </c>
      <c r="C8">
        <v>9.7737484105561365E-3</v>
      </c>
      <c r="D8">
        <v>1.0460084484178884E-2</v>
      </c>
      <c r="E8" t="e">
        <v>#N/A</v>
      </c>
      <c r="F8">
        <v>1.0876327552253802E-2</v>
      </c>
      <c r="G8" t="e">
        <v>#N/A</v>
      </c>
      <c r="H8" t="e">
        <v>#N/A</v>
      </c>
      <c r="I8">
        <v>1.4768636010278974E-2</v>
      </c>
      <c r="X8">
        <f>Table2[[#This Row],[Average of ITL]]</f>
        <v>7.0000000000000007E-2</v>
      </c>
      <c r="Y8">
        <f>_xlfn.IFNA(Table2[[#This Row],[6K,100]],"")</f>
        <v>1.4768636010278974E-2</v>
      </c>
      <c r="AB8">
        <v>7.0000000000000007E-2</v>
      </c>
      <c r="AC8">
        <v>1.4768636010278974E-2</v>
      </c>
      <c r="AD8">
        <v>1.4721161017724639E-2</v>
      </c>
    </row>
    <row r="9" spans="1:31" x14ac:dyDescent="0.25">
      <c r="A9">
        <v>0.08</v>
      </c>
      <c r="B9">
        <v>1.0746412006416907E-2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>
        <v>1.5918493463828256E-2</v>
      </c>
      <c r="X9">
        <f>Table2[[#This Row],[Average of ITL]]</f>
        <v>0.08</v>
      </c>
      <c r="Y9">
        <f>_xlfn.IFNA(Table2[[#This Row],[6K,100]],"")</f>
        <v>1.5918493463828256E-2</v>
      </c>
      <c r="AB9">
        <v>0.08</v>
      </c>
      <c r="AC9">
        <v>1.5918493463828256E-2</v>
      </c>
      <c r="AD9">
        <v>1.5936783602062188E-2</v>
      </c>
    </row>
    <row r="10" spans="1:31" x14ac:dyDescent="0.25">
      <c r="A10">
        <v>0.09</v>
      </c>
      <c r="B10" t="e">
        <v>#N/A</v>
      </c>
      <c r="C10" t="e">
        <v>#N/A</v>
      </c>
      <c r="D10" t="e">
        <v>#N/A</v>
      </c>
      <c r="E10" t="e">
        <v>#N/A</v>
      </c>
      <c r="F10">
        <v>1.1873789179147687E-2</v>
      </c>
      <c r="G10">
        <v>1.1154069304209259E-2</v>
      </c>
      <c r="H10" t="e">
        <v>#N/A</v>
      </c>
      <c r="I10">
        <v>1.5086350243453263E-2</v>
      </c>
      <c r="X10">
        <f>Table2[[#This Row],[Average of ITL]]</f>
        <v>0.09</v>
      </c>
      <c r="Y10">
        <f>_xlfn.IFNA(Table2[[#This Row],[6K,100]],"")</f>
        <v>1.5086350243453263E-2</v>
      </c>
      <c r="AB10">
        <v>0.09</v>
      </c>
      <c r="AC10">
        <v>1.5086350243453263E-2</v>
      </c>
      <c r="AD10">
        <v>1.7152406186399741E-2</v>
      </c>
    </row>
    <row r="11" spans="1:31" x14ac:dyDescent="0.25">
      <c r="A11">
        <v>0.1</v>
      </c>
      <c r="B11" t="e">
        <v>#N/A</v>
      </c>
      <c r="C11">
        <v>1.0705457534636925E-2</v>
      </c>
      <c r="D11">
        <v>1.1342318018871873E-2</v>
      </c>
      <c r="E11" t="e">
        <v>#N/A</v>
      </c>
      <c r="F11">
        <v>1.42198915768788E-2</v>
      </c>
      <c r="G11" t="e">
        <v>#N/A</v>
      </c>
      <c r="H11" t="e">
        <v>#N/A</v>
      </c>
      <c r="I11" t="e">
        <v>#N/A</v>
      </c>
      <c r="X11">
        <f>Table2[[#This Row],[Average of ITL]]</f>
        <v>0.1</v>
      </c>
      <c r="Y11" t="str">
        <f>_xlfn.IFNA(Table2[[#This Row],[6K,100]],"")</f>
        <v/>
      </c>
      <c r="AB11">
        <v>0.14000000000000001</v>
      </c>
      <c r="AC11">
        <v>2.2143876234593563E-2</v>
      </c>
      <c r="AD11">
        <v>2.3230519108087499E-2</v>
      </c>
    </row>
    <row r="12" spans="1:31" x14ac:dyDescent="0.25">
      <c r="A12">
        <v>0.11</v>
      </c>
      <c r="B12" t="e">
        <v>#N/A</v>
      </c>
      <c r="C12" t="e">
        <v>#N/A</v>
      </c>
      <c r="D12">
        <v>1.1075833659466924E-2</v>
      </c>
      <c r="E12" t="e">
        <v>#N/A</v>
      </c>
      <c r="F12">
        <v>1.3731578108277158E-2</v>
      </c>
      <c r="G12" t="e">
        <v>#N/A</v>
      </c>
      <c r="H12" t="e">
        <v>#N/A</v>
      </c>
      <c r="I12" t="e">
        <v>#N/A</v>
      </c>
      <c r="X12">
        <f>Table2[[#This Row],[Average of ITL]]</f>
        <v>0.11</v>
      </c>
      <c r="Y12" t="str">
        <f>_xlfn.IFNA(Table2[[#This Row],[6K,100]],"")</f>
        <v/>
      </c>
      <c r="AB12">
        <v>0.16</v>
      </c>
      <c r="AC12">
        <v>2.4129971595228988E-2</v>
      </c>
      <c r="AD12">
        <v>2.5661764276762599E-2</v>
      </c>
    </row>
    <row r="13" spans="1:31" x14ac:dyDescent="0.25">
      <c r="A13">
        <v>0.12</v>
      </c>
      <c r="B13" t="e">
        <v>#N/A</v>
      </c>
      <c r="C13">
        <v>1.0615078085420126E-2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X13">
        <f>Table2[[#This Row],[Average of ITL]]</f>
        <v>0.12</v>
      </c>
      <c r="Y13" t="str">
        <f>_xlfn.IFNA(Table2[[#This Row],[6K,100]],"")</f>
        <v/>
      </c>
      <c r="AB13">
        <v>0.21</v>
      </c>
      <c r="AC13">
        <v>3.164305115443973E-2</v>
      </c>
      <c r="AD13">
        <v>3.1739877198450353E-2</v>
      </c>
    </row>
    <row r="14" spans="1:31" x14ac:dyDescent="0.25">
      <c r="A14">
        <v>0.13</v>
      </c>
      <c r="B14" t="e">
        <v>#N/A</v>
      </c>
      <c r="C14" t="e">
        <v>#N/A</v>
      </c>
      <c r="D14" t="e">
        <v>#N/A</v>
      </c>
      <c r="E14" t="e">
        <v>#N/A</v>
      </c>
      <c r="F14">
        <v>1.6155172768504214E-2</v>
      </c>
      <c r="G14" t="e">
        <v>#N/A</v>
      </c>
      <c r="H14" t="e">
        <v>#N/A</v>
      </c>
      <c r="I14" t="e">
        <v>#N/A</v>
      </c>
      <c r="X14">
        <f>Table2[[#This Row],[Average of ITL]]</f>
        <v>0.13</v>
      </c>
      <c r="Y14" t="str">
        <f>_xlfn.IFNA(Table2[[#This Row],[6K,100]],"")</f>
        <v/>
      </c>
      <c r="AB14">
        <v>0.22</v>
      </c>
      <c r="AC14">
        <v>3.5378277627620171E-2</v>
      </c>
      <c r="AD14">
        <v>3.2955499782787903E-2</v>
      </c>
    </row>
    <row r="15" spans="1:31" x14ac:dyDescent="0.25">
      <c r="A15">
        <v>0.14000000000000001</v>
      </c>
      <c r="B15">
        <v>1.3541516688289783E-2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>
        <v>2.2143876234593563E-2</v>
      </c>
      <c r="X15">
        <f>Table2[[#This Row],[Average of ITL]]</f>
        <v>0.14000000000000001</v>
      </c>
      <c r="Y15">
        <f>_xlfn.IFNA(Table2[[#This Row],[6K,100]],"")</f>
        <v>2.2143876234593563E-2</v>
      </c>
      <c r="AB15">
        <v>0.24</v>
      </c>
      <c r="AC15">
        <v>3.8194114817827314E-2</v>
      </c>
      <c r="AD15">
        <v>3.5386744951463003E-2</v>
      </c>
    </row>
    <row r="16" spans="1:31" x14ac:dyDescent="0.25">
      <c r="A16">
        <v>0.15</v>
      </c>
      <c r="B16" t="e">
        <v>#N/A</v>
      </c>
      <c r="C16" t="e">
        <v>#N/A</v>
      </c>
      <c r="D16" t="e">
        <v>#N/A</v>
      </c>
      <c r="E16" t="e">
        <v>#N/A</v>
      </c>
      <c r="F16">
        <v>1.8282164253900317E-2</v>
      </c>
      <c r="G16" t="e">
        <v>#N/A</v>
      </c>
      <c r="H16" t="e">
        <v>#N/A</v>
      </c>
      <c r="I16" t="e">
        <v>#N/A</v>
      </c>
      <c r="X16">
        <f>Table2[[#This Row],[Average of ITL]]</f>
        <v>0.15</v>
      </c>
      <c r="Y16" t="str">
        <f>_xlfn.IFNA(Table2[[#This Row],[6K,100]],"")</f>
        <v/>
      </c>
      <c r="AB16">
        <v>0.33</v>
      </c>
      <c r="AC16">
        <v>4.5377523930434899E-2</v>
      </c>
      <c r="AD16">
        <v>4.6327348210500975E-2</v>
      </c>
    </row>
    <row r="17" spans="1:30" x14ac:dyDescent="0.25">
      <c r="A17">
        <v>0.16</v>
      </c>
      <c r="B17" t="e">
        <v>#N/A</v>
      </c>
      <c r="C17">
        <v>1.1505180267543465E-2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>
        <v>2.4129971595228988E-2</v>
      </c>
      <c r="X17">
        <f>Table2[[#This Row],[Average of ITL]]</f>
        <v>0.16</v>
      </c>
      <c r="Y17">
        <f>_xlfn.IFNA(Table2[[#This Row],[6K,100]],"")</f>
        <v>2.4129971595228988E-2</v>
      </c>
      <c r="AB17">
        <v>0.4</v>
      </c>
      <c r="AC17">
        <v>5.6983425120598952E-2</v>
      </c>
      <c r="AD17">
        <v>5.4836706300863833E-2</v>
      </c>
    </row>
    <row r="18" spans="1:30" x14ac:dyDescent="0.25">
      <c r="A18">
        <v>0.17</v>
      </c>
      <c r="B18" t="e">
        <v>#N/A</v>
      </c>
      <c r="C18">
        <v>1.1636336481284381E-2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X18">
        <f>Table2[[#This Row],[Average of ITL]]</f>
        <v>0.17</v>
      </c>
      <c r="Y18" t="str">
        <f>_xlfn.IFNA(Table2[[#This Row],[6K,100]],"")</f>
        <v/>
      </c>
      <c r="AB18">
        <v>0.41000000000000003</v>
      </c>
      <c r="AC18">
        <v>5.5761778610436331E-2</v>
      </c>
      <c r="AD18">
        <v>5.6052328885201383E-2</v>
      </c>
    </row>
    <row r="19" spans="1:30" x14ac:dyDescent="0.25">
      <c r="A19">
        <v>0.18</v>
      </c>
      <c r="B19">
        <v>1.555310791801642E-2</v>
      </c>
      <c r="C19" t="e">
        <v>#N/A</v>
      </c>
      <c r="D19" t="e">
        <v>#N/A</v>
      </c>
      <c r="E19" t="e">
        <v>#N/A</v>
      </c>
      <c r="F19">
        <v>1.8460602292626395E-2</v>
      </c>
      <c r="G19" t="e">
        <v>#N/A</v>
      </c>
      <c r="H19">
        <v>1.3464460377900028E-2</v>
      </c>
      <c r="I19" t="e">
        <v>#N/A</v>
      </c>
      <c r="X19">
        <f>Table2[[#This Row],[Average of ITL]]</f>
        <v>0.18</v>
      </c>
      <c r="Y19" t="str">
        <f>_xlfn.IFNA(Table2[[#This Row],[6K,100]],"")</f>
        <v/>
      </c>
      <c r="AB19">
        <v>0.54</v>
      </c>
      <c r="AC19">
        <v>7.0172334482096241E-2</v>
      </c>
      <c r="AD19">
        <v>7.1855422481589548E-2</v>
      </c>
    </row>
    <row r="20" spans="1:30" x14ac:dyDescent="0.25">
      <c r="A20">
        <v>0.19</v>
      </c>
      <c r="B20">
        <v>1.6170001649484025E-2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X20">
        <f>Table2[[#This Row],[Average of ITL]]</f>
        <v>0.19</v>
      </c>
      <c r="Y20" t="str">
        <f>_xlfn.IFNA(Table2[[#This Row],[6K,100]],"")</f>
        <v/>
      </c>
      <c r="AB20">
        <v>0.70000000000000007</v>
      </c>
      <c r="AC20">
        <v>8.4682442355198839E-2</v>
      </c>
      <c r="AD20">
        <v>9.1305383830990378E-2</v>
      </c>
    </row>
    <row r="21" spans="1:30" x14ac:dyDescent="0.25">
      <c r="A21">
        <v>0.21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>
        <v>3.164305115443973E-2</v>
      </c>
      <c r="X21">
        <f>Table2[[#This Row],[Average of ITL]]</f>
        <v>0.21</v>
      </c>
      <c r="Y21">
        <f>_xlfn.IFNA(Table2[[#This Row],[6K,100]],"")</f>
        <v>3.164305115443973E-2</v>
      </c>
      <c r="AB21">
        <v>0.72</v>
      </c>
      <c r="AC21">
        <v>9.0844476588396894E-2</v>
      </c>
      <c r="AD21">
        <v>9.3736628999665478E-2</v>
      </c>
    </row>
    <row r="22" spans="1:30" x14ac:dyDescent="0.25">
      <c r="A22">
        <v>0.22</v>
      </c>
      <c r="B22" t="e">
        <v>#N/A</v>
      </c>
      <c r="C22" t="e">
        <v>#N/A</v>
      </c>
      <c r="D22">
        <v>1.5406034269445123E-2</v>
      </c>
      <c r="E22" t="e">
        <v>#N/A</v>
      </c>
      <c r="F22" t="e">
        <v>#N/A</v>
      </c>
      <c r="G22" t="e">
        <v>#N/A</v>
      </c>
      <c r="H22">
        <v>1.4772788022741266E-2</v>
      </c>
      <c r="I22">
        <v>3.5378277627620171E-2</v>
      </c>
      <c r="X22">
        <f>Table2[[#This Row],[Average of ITL]]</f>
        <v>0.22</v>
      </c>
      <c r="Y22">
        <f>_xlfn.IFNA(Table2[[#This Row],[6K,100]],"")</f>
        <v>3.5378277627620171E-2</v>
      </c>
      <c r="AB22">
        <v>0.74</v>
      </c>
      <c r="AC22">
        <v>9.7520763342730118E-2</v>
      </c>
      <c r="AD22">
        <v>9.6167874168340578E-2</v>
      </c>
    </row>
    <row r="23" spans="1:30" x14ac:dyDescent="0.25">
      <c r="A23">
        <v>0.23</v>
      </c>
      <c r="B23" t="e">
        <v>#N/A</v>
      </c>
      <c r="C23" t="e">
        <v>#N/A</v>
      </c>
      <c r="D23" t="e">
        <v>#N/A</v>
      </c>
      <c r="E23" t="e">
        <v>#N/A</v>
      </c>
      <c r="F23">
        <v>2.2218246486298266E-2</v>
      </c>
      <c r="G23">
        <v>1.9149387940522167E-2</v>
      </c>
      <c r="H23" t="e">
        <v>#N/A</v>
      </c>
      <c r="I23" t="e">
        <v>#N/A</v>
      </c>
      <c r="X23">
        <f>Table2[[#This Row],[Average of ITL]]</f>
        <v>0.23</v>
      </c>
      <c r="Y23" t="str">
        <f>_xlfn.IFNA(Table2[[#This Row],[6K,100]],"")</f>
        <v/>
      </c>
      <c r="AB23">
        <v>0.76</v>
      </c>
      <c r="AC23">
        <v>0.10462679664851991</v>
      </c>
      <c r="AD23">
        <v>9.8599119337015678E-2</v>
      </c>
    </row>
    <row r="24" spans="1:30" x14ac:dyDescent="0.25">
      <c r="A24">
        <v>0.24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>
        <v>1.5582201915096445E-2</v>
      </c>
      <c r="I24">
        <v>3.8194114817827314E-2</v>
      </c>
      <c r="X24">
        <f>Table2[[#This Row],[Average of ITL]]</f>
        <v>0.24</v>
      </c>
      <c r="Y24">
        <f>_xlfn.IFNA(Table2[[#This Row],[6K,100]],"")</f>
        <v>3.8194114817827314E-2</v>
      </c>
      <c r="AB24">
        <v>0.77</v>
      </c>
      <c r="AC24">
        <v>0.10106962356492293</v>
      </c>
      <c r="AD24">
        <v>9.9814741921353228E-2</v>
      </c>
    </row>
    <row r="25" spans="1:30" x14ac:dyDescent="0.25">
      <c r="A25">
        <v>0.25</v>
      </c>
      <c r="B25" t="e">
        <v>#N/A</v>
      </c>
      <c r="C25">
        <v>1.3493247325563274E-2</v>
      </c>
      <c r="D25">
        <v>1.4934354230036029E-2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X25">
        <f>Table2[[#This Row],[Average of ITL]]</f>
        <v>0.25</v>
      </c>
      <c r="Y25" t="str">
        <f>_xlfn.IFNA(Table2[[#This Row],[6K,100]],"")</f>
        <v/>
      </c>
      <c r="AB25">
        <v>0.79</v>
      </c>
      <c r="AC25">
        <v>9.6583568567583281E-2</v>
      </c>
      <c r="AD25">
        <v>0.10224598709002833</v>
      </c>
    </row>
    <row r="26" spans="1:30" x14ac:dyDescent="0.25">
      <c r="A26">
        <v>0.26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>
        <v>1.6073429748460325E-2</v>
      </c>
      <c r="I26" t="e">
        <v>#N/A</v>
      </c>
      <c r="X26">
        <f>Table2[[#This Row],[Average of ITL]]</f>
        <v>0.26</v>
      </c>
      <c r="Y26" t="str">
        <f>_xlfn.IFNA(Table2[[#This Row],[6K,100]],"")</f>
        <v/>
      </c>
      <c r="AB26">
        <v>0.8</v>
      </c>
      <c r="AC26">
        <v>0.10782964884424413</v>
      </c>
      <c r="AD26">
        <v>0.10346160967436588</v>
      </c>
    </row>
    <row r="27" spans="1:30" x14ac:dyDescent="0.25">
      <c r="A27">
        <v>0.27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>
        <v>1.7040464900077414E-2</v>
      </c>
      <c r="I27" t="e">
        <v>#N/A</v>
      </c>
      <c r="X27">
        <f>Table2[[#This Row],[Average of ITL]]</f>
        <v>0.27</v>
      </c>
      <c r="Y27" t="str">
        <f>_xlfn.IFNA(Table2[[#This Row],[6K,100]],"")</f>
        <v/>
      </c>
      <c r="AB27">
        <v>0.85</v>
      </c>
      <c r="AC27">
        <v>0.11063943531066119</v>
      </c>
      <c r="AD27">
        <v>0.10953972259605363</v>
      </c>
    </row>
    <row r="28" spans="1:30" x14ac:dyDescent="0.25">
      <c r="A28">
        <v>0.28000000000000003</v>
      </c>
      <c r="B28">
        <v>2.0987859075821697E-2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X28">
        <f>Table2[[#This Row],[Average of ITL]]</f>
        <v>0.28000000000000003</v>
      </c>
      <c r="Y28" t="str">
        <f>_xlfn.IFNA(Table2[[#This Row],[6K,100]],"")</f>
        <v/>
      </c>
    </row>
    <row r="29" spans="1:30" x14ac:dyDescent="0.25">
      <c r="A29">
        <v>0.28999999999999998</v>
      </c>
      <c r="B29" t="e">
        <v>#N/A</v>
      </c>
      <c r="C29" t="e">
        <v>#N/A</v>
      </c>
      <c r="D29" t="e">
        <v>#N/A</v>
      </c>
      <c r="E29" t="e">
        <v>#N/A</v>
      </c>
      <c r="F29">
        <v>2.5528575404787906E-2</v>
      </c>
      <c r="G29" t="e">
        <v>#N/A</v>
      </c>
      <c r="H29" t="e">
        <v>#N/A</v>
      </c>
      <c r="I29" t="e">
        <v>#N/A</v>
      </c>
      <c r="X29">
        <f>Table2[[#This Row],[Average of ITL]]</f>
        <v>0.28999999999999998</v>
      </c>
      <c r="Y29" t="str">
        <f>_xlfn.IFNA(Table2[[#This Row],[6K,100]],"")</f>
        <v/>
      </c>
    </row>
    <row r="30" spans="1:30" x14ac:dyDescent="0.25">
      <c r="A30">
        <v>0.3</v>
      </c>
      <c r="B30" t="e">
        <v>#N/A</v>
      </c>
      <c r="C30" t="e">
        <v>#N/A</v>
      </c>
      <c r="D30">
        <v>1.6075060193484956E-2</v>
      </c>
      <c r="E30" t="e">
        <v>#N/A</v>
      </c>
      <c r="F30">
        <v>2.6751555661055363E-2</v>
      </c>
      <c r="G30" t="e">
        <v>#N/A</v>
      </c>
      <c r="H30" t="e">
        <v>#N/A</v>
      </c>
      <c r="I30" t="e">
        <v>#N/A</v>
      </c>
      <c r="X30">
        <f>Table2[[#This Row],[Average of ITL]]</f>
        <v>0.3</v>
      </c>
      <c r="Y30" t="str">
        <f>_xlfn.IFNA(Table2[[#This Row],[6K,100]],"")</f>
        <v/>
      </c>
    </row>
    <row r="31" spans="1:30" x14ac:dyDescent="0.25">
      <c r="A31">
        <v>0.31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>
        <v>1.7937609454206145E-2</v>
      </c>
      <c r="I31" t="e">
        <v>#N/A</v>
      </c>
      <c r="X31">
        <f>Table2[[#This Row],[Average of ITL]]</f>
        <v>0.31</v>
      </c>
      <c r="Y31" t="str">
        <f>_xlfn.IFNA(Table2[[#This Row],[6K,100]],"")</f>
        <v/>
      </c>
    </row>
    <row r="32" spans="1:30" x14ac:dyDescent="0.25">
      <c r="A32">
        <v>0.32</v>
      </c>
      <c r="B32" t="e">
        <v>#N/A</v>
      </c>
      <c r="C32" t="e">
        <v>#N/A</v>
      </c>
      <c r="D32">
        <v>1.614998110024948E-2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X32">
        <f>Table2[[#This Row],[Average of ITL]]</f>
        <v>0.32</v>
      </c>
      <c r="Y32" t="str">
        <f>_xlfn.IFNA(Table2[[#This Row],[6K,100]],"")</f>
        <v/>
      </c>
    </row>
    <row r="33" spans="1:25" x14ac:dyDescent="0.25">
      <c r="A33">
        <v>0.33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>
        <v>4.5377523930434899E-2</v>
      </c>
      <c r="X33">
        <f>Table2[[#This Row],[Average of ITL]]</f>
        <v>0.33</v>
      </c>
      <c r="Y33">
        <f>_xlfn.IFNA(Table2[[#This Row],[6K,100]],"")</f>
        <v>4.5377523930434899E-2</v>
      </c>
    </row>
    <row r="34" spans="1:25" x14ac:dyDescent="0.25">
      <c r="A34">
        <v>0.34</v>
      </c>
      <c r="B34">
        <v>2.4352671910760473E-2</v>
      </c>
      <c r="C34" t="e">
        <v>#N/A</v>
      </c>
      <c r="D34" t="e">
        <v>#N/A</v>
      </c>
      <c r="E34" t="e">
        <v>#N/A</v>
      </c>
      <c r="F34" t="e">
        <v>#N/A</v>
      </c>
      <c r="G34">
        <v>2.4075493365291672E-2</v>
      </c>
      <c r="H34">
        <v>1.9511345407451829E-2</v>
      </c>
      <c r="I34" t="e">
        <v>#N/A</v>
      </c>
      <c r="X34">
        <f>Table2[[#This Row],[Average of ITL]]</f>
        <v>0.34</v>
      </c>
      <c r="Y34" t="str">
        <f>_xlfn.IFNA(Table2[[#This Row],[6K,100]],"")</f>
        <v/>
      </c>
    </row>
    <row r="35" spans="1:25" x14ac:dyDescent="0.25">
      <c r="A35">
        <v>0.36</v>
      </c>
      <c r="B35" t="e">
        <v>#N/A</v>
      </c>
      <c r="C35">
        <v>1.6468549703887021E-2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X35">
        <f>Table2[[#This Row],[Average of ITL]]</f>
        <v>0.36</v>
      </c>
      <c r="Y35" t="str">
        <f>_xlfn.IFNA(Table2[[#This Row],[6K,100]],"")</f>
        <v/>
      </c>
    </row>
    <row r="36" spans="1:25" x14ac:dyDescent="0.25">
      <c r="A36">
        <v>0.37</v>
      </c>
      <c r="B36" t="e">
        <v>#N/A</v>
      </c>
      <c r="C36" t="e">
        <v>#N/A</v>
      </c>
      <c r="D36" t="e">
        <v>#N/A</v>
      </c>
      <c r="E36" t="e">
        <v>#N/A</v>
      </c>
      <c r="F36">
        <v>3.1966866583761563E-2</v>
      </c>
      <c r="G36" t="e">
        <v>#N/A</v>
      </c>
      <c r="H36" t="e">
        <v>#N/A</v>
      </c>
      <c r="I36" t="e">
        <v>#N/A</v>
      </c>
      <c r="X36">
        <f>Table2[[#This Row],[Average of ITL]]</f>
        <v>0.37</v>
      </c>
      <c r="Y36" t="str">
        <f>_xlfn.IFNA(Table2[[#This Row],[6K,100]],"")</f>
        <v/>
      </c>
    </row>
    <row r="37" spans="1:25" x14ac:dyDescent="0.25">
      <c r="A37">
        <v>0.38</v>
      </c>
      <c r="B37" t="e">
        <v>#N/A</v>
      </c>
      <c r="C37">
        <v>1.7494420013152732E-2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X37">
        <f>Table2[[#This Row],[Average of ITL]]</f>
        <v>0.38</v>
      </c>
      <c r="Y37" t="str">
        <f>_xlfn.IFNA(Table2[[#This Row],[6K,100]],"")</f>
        <v/>
      </c>
    </row>
    <row r="38" spans="1:25" x14ac:dyDescent="0.25">
      <c r="A38">
        <v>0.4</v>
      </c>
      <c r="B38" t="e">
        <v>#N/A</v>
      </c>
      <c r="C38" t="e">
        <v>#N/A</v>
      </c>
      <c r="D38">
        <v>1.7961932173386517E-2</v>
      </c>
      <c r="E38" t="e">
        <v>#N/A</v>
      </c>
      <c r="F38" t="e">
        <v>#N/A</v>
      </c>
      <c r="G38" t="e">
        <v>#N/A</v>
      </c>
      <c r="H38" t="e">
        <v>#N/A</v>
      </c>
      <c r="I38">
        <v>5.6983425120598952E-2</v>
      </c>
      <c r="X38">
        <f>Table2[[#This Row],[Average of ITL]]</f>
        <v>0.4</v>
      </c>
      <c r="Y38">
        <f>_xlfn.IFNA(Table2[[#This Row],[6K,100]],"")</f>
        <v>5.6983425120598952E-2</v>
      </c>
    </row>
    <row r="39" spans="1:25" x14ac:dyDescent="0.25">
      <c r="A39">
        <v>0.41000000000000003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>
        <v>5.5761778610436331E-2</v>
      </c>
      <c r="X39">
        <f>Table2[[#This Row],[Average of ITL]]</f>
        <v>0.41000000000000003</v>
      </c>
      <c r="Y39">
        <f>_xlfn.IFNA(Table2[[#This Row],[6K,100]],"")</f>
        <v>5.5761778610436331E-2</v>
      </c>
    </row>
    <row r="40" spans="1:25" x14ac:dyDescent="0.25">
      <c r="A40">
        <v>0.42</v>
      </c>
      <c r="B40" t="e">
        <v>#N/A</v>
      </c>
      <c r="C40">
        <v>1.7667547286003699E-2</v>
      </c>
      <c r="D40" t="e">
        <v>#N/A</v>
      </c>
      <c r="E40">
        <v>1.9820489445293736E-2</v>
      </c>
      <c r="F40">
        <v>3.8099701908507574E-2</v>
      </c>
      <c r="G40" t="e">
        <v>#N/A</v>
      </c>
      <c r="H40" t="e">
        <v>#N/A</v>
      </c>
      <c r="I40" t="e">
        <v>#N/A</v>
      </c>
      <c r="X40">
        <f>Table2[[#This Row],[Average of ITL]]</f>
        <v>0.42</v>
      </c>
      <c r="Y40" t="str">
        <f>_xlfn.IFNA(Table2[[#This Row],[6K,100]],"")</f>
        <v/>
      </c>
    </row>
    <row r="41" spans="1:25" x14ac:dyDescent="0.25">
      <c r="A41">
        <v>0.44</v>
      </c>
      <c r="B41" t="e">
        <v>#N/A</v>
      </c>
      <c r="C41" t="e">
        <v>#N/A</v>
      </c>
      <c r="D41">
        <v>1.8766042390591448E-2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X41">
        <f>Table2[[#This Row],[Average of ITL]]</f>
        <v>0.44</v>
      </c>
      <c r="Y41" t="str">
        <f>_xlfn.IFNA(Table2[[#This Row],[6K,100]],"")</f>
        <v/>
      </c>
    </row>
    <row r="42" spans="1:25" x14ac:dyDescent="0.25">
      <c r="A42">
        <v>0.46</v>
      </c>
      <c r="B42">
        <v>2.9957435989161077E-2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X42">
        <f>Table2[[#This Row],[Average of ITL]]</f>
        <v>0.46</v>
      </c>
      <c r="Y42" t="str">
        <f>_xlfn.IFNA(Table2[[#This Row],[6K,100]],"")</f>
        <v/>
      </c>
    </row>
    <row r="43" spans="1:25" x14ac:dyDescent="0.25">
      <c r="A43">
        <v>0.47000000000000003</v>
      </c>
      <c r="B43" t="e">
        <v>#N/A</v>
      </c>
      <c r="C43">
        <v>1.8797775393388193E-2</v>
      </c>
      <c r="D43" t="e">
        <v>#N/A</v>
      </c>
      <c r="E43" t="e">
        <v>#N/A</v>
      </c>
      <c r="F43">
        <v>4.0627822946799279E-2</v>
      </c>
      <c r="G43">
        <v>3.675773757560289E-2</v>
      </c>
      <c r="H43" t="e">
        <v>#N/A</v>
      </c>
      <c r="I43" t="e">
        <v>#N/A</v>
      </c>
      <c r="X43">
        <f>Table2[[#This Row],[Average of ITL]]</f>
        <v>0.47000000000000003</v>
      </c>
      <c r="Y43" t="str">
        <f>_xlfn.IFNA(Table2[[#This Row],[6K,100]],"")</f>
        <v/>
      </c>
    </row>
    <row r="44" spans="1:25" x14ac:dyDescent="0.25">
      <c r="A44">
        <v>0.48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>
        <v>2.6119119766612808E-2</v>
      </c>
      <c r="I44" t="e">
        <v>#N/A</v>
      </c>
      <c r="X44">
        <f>Table2[[#This Row],[Average of ITL]]</f>
        <v>0.48</v>
      </c>
      <c r="Y44" t="str">
        <f>_xlfn.IFNA(Table2[[#This Row],[6K,100]],"")</f>
        <v/>
      </c>
    </row>
    <row r="45" spans="1:25" x14ac:dyDescent="0.25">
      <c r="A45">
        <v>0.49</v>
      </c>
      <c r="B45" t="e">
        <v>#N/A</v>
      </c>
      <c r="C45">
        <v>1.995583345049148E-2</v>
      </c>
      <c r="D45" t="e">
        <v>#N/A</v>
      </c>
      <c r="E45" t="e">
        <v>#N/A</v>
      </c>
      <c r="F45" t="e">
        <v>#N/A</v>
      </c>
      <c r="G45" t="e">
        <v>#N/A</v>
      </c>
      <c r="H45">
        <v>2.6898599939678539E-2</v>
      </c>
      <c r="I45" t="e">
        <v>#N/A</v>
      </c>
      <c r="X45">
        <f>Table2[[#This Row],[Average of ITL]]</f>
        <v>0.49</v>
      </c>
      <c r="Y45" t="str">
        <f>_xlfn.IFNA(Table2[[#This Row],[6K,100]],"")</f>
        <v/>
      </c>
    </row>
    <row r="46" spans="1:25" x14ac:dyDescent="0.25">
      <c r="A46">
        <v>0.5</v>
      </c>
      <c r="B46" t="e">
        <v>#N/A</v>
      </c>
      <c r="C46" t="e">
        <v>#N/A</v>
      </c>
      <c r="D46">
        <v>2.0872182953329547E-2</v>
      </c>
      <c r="E46" t="e">
        <v>#N/A</v>
      </c>
      <c r="F46" t="e">
        <v>#N/A</v>
      </c>
      <c r="G46" t="e">
        <v>#N/A</v>
      </c>
      <c r="H46">
        <v>2.7495596487765641E-2</v>
      </c>
      <c r="I46" t="e">
        <v>#N/A</v>
      </c>
      <c r="X46">
        <f>Table2[[#This Row],[Average of ITL]]</f>
        <v>0.5</v>
      </c>
      <c r="Y46" t="str">
        <f>_xlfn.IFNA(Table2[[#This Row],[6K,100]],"")</f>
        <v/>
      </c>
    </row>
    <row r="47" spans="1:25" x14ac:dyDescent="0.25">
      <c r="A47">
        <v>0.52</v>
      </c>
      <c r="B47" t="e">
        <v>#N/A</v>
      </c>
      <c r="C47" t="e">
        <v>#N/A</v>
      </c>
      <c r="D47">
        <v>2.0326716039575112E-2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X47">
        <f>Table2[[#This Row],[Average of ITL]]</f>
        <v>0.52</v>
      </c>
      <c r="Y47" t="str">
        <f>_xlfn.IFNA(Table2[[#This Row],[6K,100]],"")</f>
        <v/>
      </c>
    </row>
    <row r="48" spans="1:25" x14ac:dyDescent="0.25">
      <c r="A48">
        <v>0.53</v>
      </c>
      <c r="B48" t="e">
        <v>#N/A</v>
      </c>
      <c r="C48">
        <v>2.045607145350236E-2</v>
      </c>
      <c r="D48" t="e">
        <v>#N/A</v>
      </c>
      <c r="E48" t="e">
        <v>#N/A</v>
      </c>
      <c r="F48" t="e">
        <v>#N/A</v>
      </c>
      <c r="G48">
        <v>3.9154183738759556E-2</v>
      </c>
      <c r="H48" t="e">
        <v>#N/A</v>
      </c>
      <c r="I48" t="e">
        <v>#N/A</v>
      </c>
      <c r="X48">
        <f>Table2[[#This Row],[Average of ITL]]</f>
        <v>0.53</v>
      </c>
      <c r="Y48" t="str">
        <f>_xlfn.IFNA(Table2[[#This Row],[6K,100]],"")</f>
        <v/>
      </c>
    </row>
    <row r="49" spans="1:25" x14ac:dyDescent="0.25">
      <c r="A49">
        <v>0.54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>
        <v>7.0172334482096241E-2</v>
      </c>
      <c r="X49">
        <f>Table2[[#This Row],[Average of ITL]]</f>
        <v>0.54</v>
      </c>
      <c r="Y49">
        <f>_xlfn.IFNA(Table2[[#This Row],[6K,100]],"")</f>
        <v>7.0172334482096241E-2</v>
      </c>
    </row>
    <row r="50" spans="1:25" x14ac:dyDescent="0.25">
      <c r="A50">
        <v>0.55000000000000004</v>
      </c>
      <c r="B50" t="e">
        <v>#N/A</v>
      </c>
      <c r="C50" t="e">
        <v>#N/A</v>
      </c>
      <c r="D50" t="e">
        <v>#N/A</v>
      </c>
      <c r="E50">
        <v>2.21166259454268E-2</v>
      </c>
      <c r="F50">
        <v>4.6991688022651655E-2</v>
      </c>
      <c r="G50" t="e">
        <v>#N/A</v>
      </c>
      <c r="H50" t="e">
        <v>#N/A</v>
      </c>
      <c r="I50" t="e">
        <v>#N/A</v>
      </c>
      <c r="X50">
        <f>Table2[[#This Row],[Average of ITL]]</f>
        <v>0.55000000000000004</v>
      </c>
      <c r="Y50" t="str">
        <f>_xlfn.IFNA(Table2[[#This Row],[6K,100]],"")</f>
        <v/>
      </c>
    </row>
    <row r="51" spans="1:25" x14ac:dyDescent="0.25">
      <c r="A51">
        <v>0.57000000000000006</v>
      </c>
      <c r="B51" t="e">
        <v>#N/A</v>
      </c>
      <c r="C51" t="e">
        <v>#N/A</v>
      </c>
      <c r="D51">
        <v>2.1851780945371161E-2</v>
      </c>
      <c r="E51">
        <v>2.3147635654410761E-2</v>
      </c>
      <c r="F51" t="e">
        <v>#N/A</v>
      </c>
      <c r="G51" t="e">
        <v>#N/A</v>
      </c>
      <c r="H51" t="e">
        <v>#N/A</v>
      </c>
      <c r="I51" t="e">
        <v>#N/A</v>
      </c>
      <c r="X51">
        <f>Table2[[#This Row],[Average of ITL]]</f>
        <v>0.57000000000000006</v>
      </c>
      <c r="Y51" t="str">
        <f>_xlfn.IFNA(Table2[[#This Row],[6K,100]],"")</f>
        <v/>
      </c>
    </row>
    <row r="52" spans="1:25" x14ac:dyDescent="0.25">
      <c r="A52">
        <v>0.57999999999999996</v>
      </c>
      <c r="B52" t="e">
        <v>#N/A</v>
      </c>
      <c r="C52" t="e">
        <v>#N/A</v>
      </c>
      <c r="D52" t="e">
        <v>#N/A</v>
      </c>
      <c r="E52" t="e">
        <v>#N/A</v>
      </c>
      <c r="F52">
        <v>5.3520305456334349E-2</v>
      </c>
      <c r="G52" t="e">
        <v>#N/A</v>
      </c>
      <c r="H52" t="e">
        <v>#N/A</v>
      </c>
      <c r="I52" t="e">
        <v>#N/A</v>
      </c>
      <c r="X52">
        <f>Table2[[#This Row],[Average of ITL]]</f>
        <v>0.57999999999999996</v>
      </c>
      <c r="Y52" t="str">
        <f>_xlfn.IFNA(Table2[[#This Row],[6K,100]],"")</f>
        <v/>
      </c>
    </row>
    <row r="53" spans="1:25" x14ac:dyDescent="0.25">
      <c r="A53">
        <v>0.59</v>
      </c>
      <c r="B53" t="e">
        <v>#N/A</v>
      </c>
      <c r="C53">
        <v>2.1612713884395868E-2</v>
      </c>
      <c r="D53" t="e">
        <v>#N/A</v>
      </c>
      <c r="E53" t="e">
        <v>#N/A</v>
      </c>
      <c r="F53">
        <v>5.1818445044632899E-2</v>
      </c>
      <c r="G53" t="e">
        <v>#N/A</v>
      </c>
      <c r="H53" t="e">
        <v>#N/A</v>
      </c>
      <c r="I53" t="e">
        <v>#N/A</v>
      </c>
      <c r="X53">
        <f>Table2[[#This Row],[Average of ITL]]</f>
        <v>0.59</v>
      </c>
      <c r="Y53" t="str">
        <f>_xlfn.IFNA(Table2[[#This Row],[6K,100]],"")</f>
        <v/>
      </c>
    </row>
    <row r="54" spans="1:25" x14ac:dyDescent="0.25">
      <c r="A54">
        <v>0.61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>
        <v>3.0594831133307181E-2</v>
      </c>
      <c r="I54" t="e">
        <v>#N/A</v>
      </c>
      <c r="X54">
        <f>Table2[[#This Row],[Average of ITL]]</f>
        <v>0.61</v>
      </c>
      <c r="Y54" t="str">
        <f>_xlfn.IFNA(Table2[[#This Row],[6K,100]],"")</f>
        <v/>
      </c>
    </row>
    <row r="55" spans="1:25" x14ac:dyDescent="0.25">
      <c r="A55">
        <v>0.62</v>
      </c>
      <c r="B55" t="e">
        <v>#N/A</v>
      </c>
      <c r="C55" t="e">
        <v>#N/A</v>
      </c>
      <c r="D55" t="e">
        <v>#N/A</v>
      </c>
      <c r="E55" t="e">
        <v>#N/A</v>
      </c>
      <c r="F55">
        <v>5.388280799580767E-2</v>
      </c>
      <c r="G55" t="e">
        <v>#N/A</v>
      </c>
      <c r="H55">
        <v>3.1481167201555318E-2</v>
      </c>
      <c r="I55" t="e">
        <v>#N/A</v>
      </c>
      <c r="X55">
        <f>Table2[[#This Row],[Average of ITL]]</f>
        <v>0.62</v>
      </c>
      <c r="Y55" t="str">
        <f>_xlfn.IFNA(Table2[[#This Row],[6K,100]],"")</f>
        <v/>
      </c>
    </row>
    <row r="56" spans="1:25" x14ac:dyDescent="0.25">
      <c r="A56">
        <v>0.63</v>
      </c>
      <c r="B56" t="e">
        <v>#N/A</v>
      </c>
      <c r="C56" t="e">
        <v>#N/A</v>
      </c>
      <c r="D56" t="e">
        <v>#N/A</v>
      </c>
      <c r="E56" t="e">
        <v>#N/A</v>
      </c>
      <c r="F56">
        <v>5.4876145341185456E-2</v>
      </c>
      <c r="G56" t="e">
        <v>#N/A</v>
      </c>
      <c r="H56" t="e">
        <v>#N/A</v>
      </c>
      <c r="I56" t="e">
        <v>#N/A</v>
      </c>
      <c r="X56">
        <f>Table2[[#This Row],[Average of ITL]]</f>
        <v>0.63</v>
      </c>
      <c r="Y56" t="str">
        <f>_xlfn.IFNA(Table2[[#This Row],[6K,100]],"")</f>
        <v/>
      </c>
    </row>
    <row r="57" spans="1:25" x14ac:dyDescent="0.25">
      <c r="A57">
        <v>0.64</v>
      </c>
      <c r="B57">
        <v>4.3304766797038811E-2</v>
      </c>
      <c r="C57">
        <v>2.2412820088045599E-2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X57">
        <f>Table2[[#This Row],[Average of ITL]]</f>
        <v>0.64</v>
      </c>
      <c r="Y57" t="str">
        <f>_xlfn.IFNA(Table2[[#This Row],[6K,100]],"")</f>
        <v/>
      </c>
    </row>
    <row r="58" spans="1:25" x14ac:dyDescent="0.25">
      <c r="A58">
        <v>0.66</v>
      </c>
      <c r="B58" t="e">
        <v>#N/A</v>
      </c>
      <c r="C58">
        <v>2.3826842528162459E-2</v>
      </c>
      <c r="D58" t="e">
        <v>#N/A</v>
      </c>
      <c r="E58">
        <v>2.7029909332638716E-2</v>
      </c>
      <c r="F58" t="e">
        <v>#N/A</v>
      </c>
      <c r="G58" t="e">
        <v>#N/A</v>
      </c>
      <c r="H58" t="e">
        <v>#N/A</v>
      </c>
      <c r="I58" t="e">
        <v>#N/A</v>
      </c>
      <c r="X58">
        <f>Table2[[#This Row],[Average of ITL]]</f>
        <v>0.66</v>
      </c>
      <c r="Y58" t="str">
        <f>_xlfn.IFNA(Table2[[#This Row],[6K,100]],"")</f>
        <v/>
      </c>
    </row>
    <row r="59" spans="1:25" x14ac:dyDescent="0.25">
      <c r="A59">
        <v>0.67</v>
      </c>
      <c r="B59" t="e">
        <v>#N/A</v>
      </c>
      <c r="C59">
        <v>2.2953772822062748E-2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X59">
        <f>Table2[[#This Row],[Average of ITL]]</f>
        <v>0.67</v>
      </c>
      <c r="Y59" t="str">
        <f>_xlfn.IFNA(Table2[[#This Row],[6K,100]],"")</f>
        <v/>
      </c>
    </row>
    <row r="60" spans="1:25" x14ac:dyDescent="0.25">
      <c r="A60">
        <v>0.68</v>
      </c>
      <c r="B60" t="e">
        <v>#N/A</v>
      </c>
      <c r="C60" t="e">
        <v>#N/A</v>
      </c>
      <c r="D60">
        <v>2.4655918108415869E-2</v>
      </c>
      <c r="E60">
        <v>2.7770829411846651E-2</v>
      </c>
      <c r="F60" t="e">
        <v>#N/A</v>
      </c>
      <c r="G60" t="e">
        <v>#N/A</v>
      </c>
      <c r="H60" t="e">
        <v>#N/A</v>
      </c>
      <c r="I60" t="e">
        <v>#N/A</v>
      </c>
      <c r="X60">
        <f>Table2[[#This Row],[Average of ITL]]</f>
        <v>0.68</v>
      </c>
      <c r="Y60" t="str">
        <f>_xlfn.IFNA(Table2[[#This Row],[6K,100]],"")</f>
        <v/>
      </c>
    </row>
    <row r="61" spans="1:25" x14ac:dyDescent="0.25">
      <c r="A61">
        <v>0.69000000000000006</v>
      </c>
      <c r="B61" t="e">
        <v>#N/A</v>
      </c>
      <c r="C61" t="e">
        <v>#N/A</v>
      </c>
      <c r="D61">
        <v>2.4125358087585144E-2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X61">
        <f>Table2[[#This Row],[Average of ITL]]</f>
        <v>0.69000000000000006</v>
      </c>
      <c r="Y61" t="str">
        <f>_xlfn.IFNA(Table2[[#This Row],[6K,100]],"")</f>
        <v/>
      </c>
    </row>
    <row r="62" spans="1:25" x14ac:dyDescent="0.25">
      <c r="A62">
        <v>0.70000000000000007</v>
      </c>
      <c r="B62" t="e">
        <v>#N/A</v>
      </c>
      <c r="C62" t="e">
        <v>#N/A</v>
      </c>
      <c r="D62">
        <v>2.4144724083930518E-2</v>
      </c>
      <c r="E62">
        <v>2.8225682364917449E-2</v>
      </c>
      <c r="F62" t="e">
        <v>#N/A</v>
      </c>
      <c r="G62" t="e">
        <v>#N/A</v>
      </c>
      <c r="H62" t="e">
        <v>#N/A</v>
      </c>
      <c r="I62">
        <v>8.4682442355198839E-2</v>
      </c>
      <c r="X62">
        <f>Table2[[#This Row],[Average of ITL]]</f>
        <v>0.70000000000000007</v>
      </c>
      <c r="Y62">
        <f>_xlfn.IFNA(Table2[[#This Row],[6K,100]],"")</f>
        <v>8.4682442355198839E-2</v>
      </c>
    </row>
    <row r="63" spans="1:25" x14ac:dyDescent="0.25">
      <c r="A63">
        <v>0.72</v>
      </c>
      <c r="B63">
        <v>4.666319249013149E-2</v>
      </c>
      <c r="C63" t="e">
        <v>#N/A</v>
      </c>
      <c r="D63">
        <v>2.485305557891445E-2</v>
      </c>
      <c r="E63" t="e">
        <v>#N/A</v>
      </c>
      <c r="F63" t="e">
        <v>#N/A</v>
      </c>
      <c r="G63" t="e">
        <v>#N/A</v>
      </c>
      <c r="H63" t="e">
        <v>#N/A</v>
      </c>
      <c r="I63">
        <v>9.0844476588396894E-2</v>
      </c>
      <c r="X63">
        <f>Table2[[#This Row],[Average of ITL]]</f>
        <v>0.72</v>
      </c>
      <c r="Y63">
        <f>_xlfn.IFNA(Table2[[#This Row],[6K,100]],"")</f>
        <v>9.0844476588396894E-2</v>
      </c>
    </row>
    <row r="64" spans="1:25" x14ac:dyDescent="0.25">
      <c r="A64">
        <v>0.74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>
        <v>9.7520763342730118E-2</v>
      </c>
      <c r="X64">
        <f>Table2[[#This Row],[Average of ITL]]</f>
        <v>0.74</v>
      </c>
      <c r="Y64">
        <f>_xlfn.IFNA(Table2[[#This Row],[6K,100]],"")</f>
        <v>9.7520763342730118E-2</v>
      </c>
    </row>
    <row r="65" spans="1:25" x14ac:dyDescent="0.25">
      <c r="A65">
        <v>0.75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>
        <v>3.7746585141523716E-2</v>
      </c>
      <c r="I65" t="e">
        <v>#N/A</v>
      </c>
      <c r="X65">
        <f>Table2[[#This Row],[Average of ITL]]</f>
        <v>0.75</v>
      </c>
      <c r="Y65" t="str">
        <f>_xlfn.IFNA(Table2[[#This Row],[6K,100]],"")</f>
        <v/>
      </c>
    </row>
    <row r="66" spans="1:25" x14ac:dyDescent="0.25">
      <c r="A66">
        <v>0.76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>
        <v>4.9975882181106622E-2</v>
      </c>
      <c r="H66">
        <v>3.6644341857891408E-2</v>
      </c>
      <c r="I66">
        <v>0.10462679664851991</v>
      </c>
      <c r="X66">
        <f>Table2[[#This Row],[Average of ITL]]</f>
        <v>0.76</v>
      </c>
      <c r="Y66">
        <f>_xlfn.IFNA(Table2[[#This Row],[6K,100]],"")</f>
        <v>0.10462679664851991</v>
      </c>
    </row>
    <row r="67" spans="1:25" x14ac:dyDescent="0.25">
      <c r="A67">
        <v>0.77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>
        <v>0.10106962356492293</v>
      </c>
      <c r="X67">
        <f>Table2[[#This Row],[Average of ITL]]</f>
        <v>0.77</v>
      </c>
      <c r="Y67">
        <f>_xlfn.IFNA(Table2[[#This Row],[6K,100]],"")</f>
        <v>0.10106962356492293</v>
      </c>
    </row>
    <row r="68" spans="1:25" x14ac:dyDescent="0.25">
      <c r="A68">
        <v>0.78</v>
      </c>
      <c r="B68">
        <v>4.9184309247364444E-2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X68">
        <f>Table2[[#This Row],[Average of ITL]]</f>
        <v>0.78</v>
      </c>
      <c r="Y68" t="str">
        <f>_xlfn.IFNA(Table2[[#This Row],[6K,100]],"")</f>
        <v/>
      </c>
    </row>
    <row r="69" spans="1:25" x14ac:dyDescent="0.25">
      <c r="A69">
        <v>0.79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>
        <v>9.6583568567583281E-2</v>
      </c>
      <c r="X69">
        <f>Table2[[#This Row],[Average of ITL]]</f>
        <v>0.79</v>
      </c>
      <c r="Y69">
        <f>_xlfn.IFNA(Table2[[#This Row],[6K,100]],"")</f>
        <v>9.6583568567583281E-2</v>
      </c>
    </row>
    <row r="70" spans="1:25" x14ac:dyDescent="0.25">
      <c r="A70">
        <v>0.8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>
        <v>0.10782964884424413</v>
      </c>
      <c r="X70">
        <f>Table2[[#This Row],[Average of ITL]]</f>
        <v>0.8</v>
      </c>
      <c r="Y70">
        <f>_xlfn.IFNA(Table2[[#This Row],[6K,100]],"")</f>
        <v>0.10782964884424413</v>
      </c>
    </row>
    <row r="71" spans="1:25" x14ac:dyDescent="0.25">
      <c r="A71">
        <v>0.82000000000000006</v>
      </c>
      <c r="B71">
        <v>4.9659702641519837E-2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>
        <v>3.985327849326771E-2</v>
      </c>
      <c r="I71" t="e">
        <v>#N/A</v>
      </c>
      <c r="X71">
        <f>Table2[[#This Row],[Average of ITL]]</f>
        <v>0.82000000000000006</v>
      </c>
      <c r="Y71" t="str">
        <f>_xlfn.IFNA(Table2[[#This Row],[6K,100]],"")</f>
        <v/>
      </c>
    </row>
    <row r="72" spans="1:25" x14ac:dyDescent="0.25">
      <c r="A72">
        <v>0.85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>
        <v>4.0333052586724066E-2</v>
      </c>
      <c r="I72">
        <v>0.11063943531066119</v>
      </c>
      <c r="X72">
        <f>Table2[[#This Row],[Average of ITL]]</f>
        <v>0.85</v>
      </c>
      <c r="Y72">
        <f>_xlfn.IFNA(Table2[[#This Row],[6K,100]],"")</f>
        <v>0.11063943531066119</v>
      </c>
    </row>
    <row r="73" spans="1:25" x14ac:dyDescent="0.25">
      <c r="A73">
        <v>0.86</v>
      </c>
      <c r="B73">
        <v>5.4880265473210399E-2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X73">
        <f>Table2[[#This Row],[Average of ITL]]</f>
        <v>0.86</v>
      </c>
      <c r="Y73" t="str">
        <f>_xlfn.IFNA(Table2[[#This Row],[6K,100]],"")</f>
        <v/>
      </c>
    </row>
    <row r="74" spans="1:25" x14ac:dyDescent="0.25">
      <c r="A74">
        <v>0.87</v>
      </c>
      <c r="B74">
        <v>5.5731671260744756E-2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>
        <v>4.0770240221047249E-2</v>
      </c>
      <c r="I74" t="e">
        <v>#N/A</v>
      </c>
      <c r="X74">
        <f>Table2[[#This Row],[Average of ITL]]</f>
        <v>0.87</v>
      </c>
      <c r="Y74" t="str">
        <f>_xlfn.IFNA(Table2[[#This Row],[6K,100]],"")</f>
        <v/>
      </c>
    </row>
    <row r="75" spans="1:25" x14ac:dyDescent="0.25">
      <c r="A75">
        <v>0.88</v>
      </c>
      <c r="B75">
        <v>5.3791036716912759E-2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X75">
        <f>Table2[[#This Row],[Average of ITL]]</f>
        <v>0.88</v>
      </c>
      <c r="Y75" t="str">
        <f>_xlfn.IFNA(Table2[[#This Row],[6K,100]],"")</f>
        <v/>
      </c>
    </row>
    <row r="76" spans="1:25" x14ac:dyDescent="0.25">
      <c r="A76">
        <v>0.89</v>
      </c>
      <c r="B76">
        <v>5.398782987364837E-2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X76">
        <f>Table2[[#This Row],[Average of ITL]]</f>
        <v>0.89</v>
      </c>
      <c r="Y76" t="str">
        <f>_xlfn.IFNA(Table2[[#This Row],[6K,100]],"")</f>
        <v/>
      </c>
    </row>
    <row r="77" spans="1:25" x14ac:dyDescent="0.25">
      <c r="A77">
        <v>0.91</v>
      </c>
      <c r="B77">
        <v>5.3599857191652223E-2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X77">
        <f>Table2[[#This Row],[Average of ITL]]</f>
        <v>0.91</v>
      </c>
      <c r="Y77" t="str">
        <f>_xlfn.IFNA(Table2[[#This Row],[6K,100]],"")</f>
        <v/>
      </c>
    </row>
  </sheetData>
  <autoFilter ref="X3:Y77" xr:uid="{4645FBE7-0EF1-4F5A-8937-22B89ACE2904}"/>
  <sortState xmlns:xlrd2="http://schemas.microsoft.com/office/spreadsheetml/2017/richdata2" ref="X3:Y77">
    <sortCondition ref="Y3:Y77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F226-ED4B-44D4-BB0F-36C678F2D990}">
  <dimension ref="A1:AI152"/>
  <sheetViews>
    <sheetView topLeftCell="R4" workbookViewId="0">
      <selection activeCell="T37" sqref="T3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6.5703125" bestFit="1" customWidth="1"/>
    <col min="4" max="4" width="14.5703125" bestFit="1" customWidth="1"/>
    <col min="5" max="5" width="16.5703125" bestFit="1" customWidth="1"/>
    <col min="6" max="6" width="14.5703125" bestFit="1" customWidth="1"/>
    <col min="7" max="7" width="16.5703125" bestFit="1" customWidth="1"/>
    <col min="8" max="8" width="14.5703125" bestFit="1" customWidth="1"/>
    <col min="9" max="9" width="16.5703125" bestFit="1" customWidth="1"/>
    <col min="10" max="10" width="14.5703125" bestFit="1" customWidth="1"/>
    <col min="11" max="12" width="16.5703125" bestFit="1" customWidth="1"/>
    <col min="13" max="13" width="14.5703125" bestFit="1" customWidth="1"/>
    <col min="14" max="14" width="14.42578125" bestFit="1" customWidth="1"/>
    <col min="15" max="15" width="16.5703125" bestFit="1" customWidth="1"/>
    <col min="16" max="16" width="14.5703125" bestFit="1" customWidth="1"/>
    <col min="17" max="17" width="14.42578125" bestFit="1" customWidth="1"/>
    <col min="18" max="18" width="21.7109375" bestFit="1" customWidth="1"/>
    <col min="19" max="19" width="19.42578125" bestFit="1" customWidth="1"/>
    <col min="20" max="20" width="9.85546875" bestFit="1" customWidth="1"/>
    <col min="21" max="21" width="9.42578125" bestFit="1" customWidth="1"/>
    <col min="22" max="22" width="9.85546875" bestFit="1" customWidth="1"/>
    <col min="23" max="23" width="9.42578125" bestFit="1" customWidth="1"/>
    <col min="24" max="24" width="9.85546875" bestFit="1" customWidth="1"/>
    <col min="25" max="25" width="9.42578125" bestFit="1" customWidth="1"/>
    <col min="26" max="26" width="9.85546875" bestFit="1" customWidth="1"/>
    <col min="27" max="27" width="18.5703125" customWidth="1"/>
    <col min="28" max="28" width="11.5703125" customWidth="1"/>
    <col min="29" max="30" width="13.5703125" customWidth="1"/>
    <col min="31" max="31" width="9.42578125" bestFit="1" customWidth="1"/>
    <col min="32" max="32" width="10.85546875" bestFit="1" customWidth="1"/>
    <col min="33" max="33" width="9.42578125" bestFit="1" customWidth="1"/>
    <col min="34" max="34" width="10.85546875" bestFit="1" customWidth="1"/>
    <col min="35" max="35" width="9.42578125" bestFit="1" customWidth="1"/>
    <col min="36" max="36" width="10.85546875" bestFit="1" customWidth="1"/>
    <col min="37" max="37" width="9.42578125" bestFit="1" customWidth="1"/>
    <col min="38" max="38" width="10.85546875" bestFit="1" customWidth="1"/>
    <col min="39" max="39" width="11.28515625" bestFit="1" customWidth="1"/>
  </cols>
  <sheetData>
    <row r="1" spans="1:35" x14ac:dyDescent="0.25">
      <c r="A1" s="61" t="s">
        <v>0</v>
      </c>
      <c r="B1" t="s">
        <v>67</v>
      </c>
    </row>
    <row r="2" spans="1:35" x14ac:dyDescent="0.25">
      <c r="A2" s="61" t="s">
        <v>2</v>
      </c>
      <c r="B2" t="s">
        <v>67</v>
      </c>
    </row>
    <row r="4" spans="1:35" x14ac:dyDescent="0.25">
      <c r="B4" s="61" t="s">
        <v>64</v>
      </c>
    </row>
    <row r="5" spans="1:35" x14ac:dyDescent="0.25">
      <c r="B5" t="s">
        <v>142</v>
      </c>
      <c r="D5" t="s">
        <v>143</v>
      </c>
      <c r="F5" t="s">
        <v>140</v>
      </c>
      <c r="H5" t="s">
        <v>141</v>
      </c>
      <c r="J5" t="s">
        <v>144</v>
      </c>
      <c r="AA5" t="s">
        <v>145</v>
      </c>
      <c r="AB5" t="s">
        <v>137</v>
      </c>
      <c r="AC5" t="s">
        <v>139</v>
      </c>
      <c r="AD5" t="s">
        <v>138</v>
      </c>
      <c r="AE5" t="s">
        <v>142</v>
      </c>
      <c r="AF5" t="s">
        <v>143</v>
      </c>
      <c r="AG5" t="s">
        <v>140</v>
      </c>
      <c r="AH5" t="s">
        <v>141</v>
      </c>
      <c r="AI5" t="s">
        <v>144</v>
      </c>
    </row>
    <row r="6" spans="1:35" x14ac:dyDescent="0.25">
      <c r="A6" s="61" t="s">
        <v>63</v>
      </c>
      <c r="B6" t="s">
        <v>146</v>
      </c>
      <c r="C6" t="s">
        <v>145</v>
      </c>
      <c r="D6" t="s">
        <v>146</v>
      </c>
      <c r="E6" t="s">
        <v>145</v>
      </c>
      <c r="F6" t="s">
        <v>146</v>
      </c>
      <c r="G6" t="s">
        <v>145</v>
      </c>
      <c r="H6" t="s">
        <v>146</v>
      </c>
      <c r="I6" t="s">
        <v>145</v>
      </c>
      <c r="J6" t="s">
        <v>146</v>
      </c>
      <c r="K6" t="s">
        <v>145</v>
      </c>
      <c r="AA6" s="215">
        <v>1.0150557507719928E-2</v>
      </c>
      <c r="AB6" s="215">
        <v>3.2088905166513686E-2</v>
      </c>
      <c r="AC6" s="215" t="e">
        <v>#N/A</v>
      </c>
      <c r="AD6" s="215" t="e">
        <v>#N/A</v>
      </c>
      <c r="AE6" s="215" t="e">
        <v>#N/A</v>
      </c>
      <c r="AF6" s="215" t="e">
        <v>#N/A</v>
      </c>
      <c r="AG6" s="215" t="e">
        <v>#N/A</v>
      </c>
      <c r="AH6" s="215" t="e">
        <v>#N/A</v>
      </c>
      <c r="AI6" s="215" t="e">
        <v>#N/A</v>
      </c>
    </row>
    <row r="7" spans="1:35" x14ac:dyDescent="0.25">
      <c r="A7" s="149">
        <v>0.05</v>
      </c>
      <c r="B7" s="60"/>
      <c r="C7" s="73"/>
      <c r="D7" s="60"/>
      <c r="E7" s="73"/>
      <c r="F7" s="60"/>
      <c r="G7" s="73"/>
      <c r="H7" s="60"/>
      <c r="I7" s="73"/>
      <c r="J7" s="60">
        <v>2.907407407407407</v>
      </c>
      <c r="K7" s="73">
        <v>0.18337234885524822</v>
      </c>
      <c r="AA7" s="215">
        <v>1.6512173139232419E-2</v>
      </c>
      <c r="AB7" s="215">
        <v>3.3712867396926166E-2</v>
      </c>
      <c r="AC7" s="215" t="e">
        <v>#N/A</v>
      </c>
      <c r="AD7" s="215" t="e">
        <v>#N/A</v>
      </c>
      <c r="AE7" s="215" t="e">
        <v>#N/A</v>
      </c>
      <c r="AF7" s="215" t="e">
        <v>#N/A</v>
      </c>
      <c r="AG7" s="215" t="e">
        <v>#N/A</v>
      </c>
      <c r="AH7" s="215" t="e">
        <v>#N/A</v>
      </c>
      <c r="AI7" s="215" t="e">
        <v>#N/A</v>
      </c>
    </row>
    <row r="8" spans="1:35" x14ac:dyDescent="0.25">
      <c r="A8" s="149">
        <v>0.06</v>
      </c>
      <c r="B8" s="60"/>
      <c r="C8" s="73"/>
      <c r="D8" s="60">
        <v>4.4907407407407405</v>
      </c>
      <c r="E8" s="73">
        <v>0.14609779152533819</v>
      </c>
      <c r="F8" s="60"/>
      <c r="G8" s="73"/>
      <c r="H8" s="60"/>
      <c r="I8" s="73"/>
      <c r="J8" s="60">
        <v>3.6481481481481484</v>
      </c>
      <c r="K8" s="73">
        <v>0.20840024211616243</v>
      </c>
      <c r="AA8" s="215">
        <v>1.6875256696937891E-2</v>
      </c>
      <c r="AB8" s="215" t="e">
        <v>#N/A</v>
      </c>
      <c r="AC8" s="215">
        <v>8.4236843585686033E-2</v>
      </c>
      <c r="AD8" s="215" t="e">
        <v>#N/A</v>
      </c>
      <c r="AE8" s="215" t="e">
        <v>#N/A</v>
      </c>
      <c r="AF8" s="215" t="e">
        <v>#N/A</v>
      </c>
      <c r="AG8" s="215" t="e">
        <v>#N/A</v>
      </c>
      <c r="AH8" s="215" t="e">
        <v>#N/A</v>
      </c>
      <c r="AI8" s="215" t="e">
        <v>#N/A</v>
      </c>
    </row>
    <row r="9" spans="1:35" x14ac:dyDescent="0.25">
      <c r="A9" s="149">
        <v>7.0000000000000007E-2</v>
      </c>
      <c r="B9" s="60"/>
      <c r="C9" s="73"/>
      <c r="D9" s="60">
        <v>4.8953703703703706</v>
      </c>
      <c r="E9" s="73">
        <v>0.15100879810177245</v>
      </c>
      <c r="F9" s="60"/>
      <c r="G9" s="73"/>
      <c r="H9" s="60"/>
      <c r="I9" s="73"/>
      <c r="J9" s="60">
        <v>4.3703703703703702</v>
      </c>
      <c r="K9" s="73">
        <v>0.20094196874183576</v>
      </c>
      <c r="AA9" s="215">
        <v>1.9997642191089005E-2</v>
      </c>
      <c r="AB9" s="215">
        <v>5.4781456020521681E-2</v>
      </c>
      <c r="AC9" s="215" t="e">
        <v>#N/A</v>
      </c>
      <c r="AD9" s="215" t="e">
        <v>#N/A</v>
      </c>
      <c r="AE9" s="215" t="e">
        <v>#N/A</v>
      </c>
      <c r="AF9" s="215" t="e">
        <v>#N/A</v>
      </c>
      <c r="AG9" s="215" t="e">
        <v>#N/A</v>
      </c>
      <c r="AH9" s="215" t="e">
        <v>#N/A</v>
      </c>
      <c r="AI9" s="215" t="e">
        <v>#N/A</v>
      </c>
    </row>
    <row r="10" spans="1:35" x14ac:dyDescent="0.25">
      <c r="A10" s="149">
        <v>0.08</v>
      </c>
      <c r="B10" s="60"/>
      <c r="C10" s="73"/>
      <c r="D10" s="60">
        <v>5.4499999999999993</v>
      </c>
      <c r="E10" s="73">
        <v>0.16247661777030895</v>
      </c>
      <c r="F10" s="60"/>
      <c r="G10" s="73"/>
      <c r="H10" s="60"/>
      <c r="I10" s="73"/>
      <c r="J10" s="60">
        <v>5.0740740740740735</v>
      </c>
      <c r="K10" s="73">
        <v>0.21283558649133549</v>
      </c>
      <c r="AA10" s="215">
        <v>2.7674917911307269E-2</v>
      </c>
      <c r="AB10" s="215" t="e">
        <v>#N/A</v>
      </c>
      <c r="AC10" s="215" t="e">
        <v>#N/A</v>
      </c>
      <c r="AD10" s="215">
        <v>0.14001906340436057</v>
      </c>
      <c r="AE10" s="215" t="e">
        <v>#N/A</v>
      </c>
      <c r="AF10" s="215" t="e">
        <v>#N/A</v>
      </c>
      <c r="AG10" s="215" t="e">
        <v>#N/A</v>
      </c>
      <c r="AH10" s="215" t="e">
        <v>#N/A</v>
      </c>
      <c r="AI10" s="215" t="e">
        <v>#N/A</v>
      </c>
    </row>
    <row r="11" spans="1:35" x14ac:dyDescent="0.25">
      <c r="A11" s="149">
        <v>0.09</v>
      </c>
      <c r="B11" s="60"/>
      <c r="C11" s="73"/>
      <c r="D11" s="60">
        <v>6.4120370370370381</v>
      </c>
      <c r="E11" s="73">
        <v>0.15414380962088226</v>
      </c>
      <c r="F11" s="60">
        <v>6.333333333333333</v>
      </c>
      <c r="G11" s="73">
        <v>0.14532217116317739</v>
      </c>
      <c r="H11" s="60"/>
      <c r="I11" s="73"/>
      <c r="J11" s="60">
        <v>5.1481481481481488</v>
      </c>
      <c r="K11" s="73">
        <v>0.20026413565238368</v>
      </c>
      <c r="AA11" s="215">
        <v>3.5640373294391452E-2</v>
      </c>
      <c r="AB11" s="215">
        <v>5.646885228648503E-2</v>
      </c>
      <c r="AC11" s="215" t="e">
        <v>#N/A</v>
      </c>
      <c r="AD11" s="215" t="e">
        <v>#N/A</v>
      </c>
      <c r="AE11" s="215" t="e">
        <v>#N/A</v>
      </c>
      <c r="AF11" s="215" t="e">
        <v>#N/A</v>
      </c>
      <c r="AG11" s="215" t="e">
        <v>#N/A</v>
      </c>
      <c r="AH11" s="215" t="e">
        <v>#N/A</v>
      </c>
      <c r="AI11" s="215" t="e">
        <v>#N/A</v>
      </c>
    </row>
    <row r="12" spans="1:35" x14ac:dyDescent="0.25">
      <c r="A12" s="149">
        <v>0.1</v>
      </c>
      <c r="B12" s="60"/>
      <c r="C12" s="73"/>
      <c r="D12" s="60">
        <v>7.212037037037037</v>
      </c>
      <c r="E12" s="73">
        <v>0.16585312348836032</v>
      </c>
      <c r="F12" s="60"/>
      <c r="G12" s="73"/>
      <c r="H12" s="60"/>
      <c r="I12" s="73"/>
      <c r="J12" s="60"/>
      <c r="K12" s="73"/>
      <c r="AA12" s="215">
        <v>3.9849347419340118E-2</v>
      </c>
      <c r="AB12" s="215">
        <v>8.1037995716015873E-2</v>
      </c>
      <c r="AC12" s="215" t="e">
        <v>#N/A</v>
      </c>
      <c r="AD12" s="215" t="e">
        <v>#N/A</v>
      </c>
      <c r="AE12" s="215" t="e">
        <v>#N/A</v>
      </c>
      <c r="AF12" s="215" t="e">
        <v>#N/A</v>
      </c>
      <c r="AG12" s="215" t="e">
        <v>#N/A</v>
      </c>
      <c r="AH12" s="215" t="e">
        <v>#N/A</v>
      </c>
      <c r="AI12" s="215" t="e">
        <v>#N/A</v>
      </c>
    </row>
    <row r="13" spans="1:35" x14ac:dyDescent="0.25">
      <c r="A13" s="149">
        <v>0.11</v>
      </c>
      <c r="B13" s="60"/>
      <c r="C13" s="73"/>
      <c r="D13" s="60">
        <v>7.7037037037037024</v>
      </c>
      <c r="E13" s="73">
        <v>0.16607952366403897</v>
      </c>
      <c r="F13" s="60"/>
      <c r="G13" s="73"/>
      <c r="H13" s="60"/>
      <c r="I13" s="73"/>
      <c r="J13" s="60"/>
      <c r="K13" s="73"/>
      <c r="AA13" s="215">
        <v>4.1308812120658976E-2</v>
      </c>
      <c r="AB13" s="215" t="e">
        <v>#N/A</v>
      </c>
      <c r="AC13" s="215">
        <v>8.9675797590644396E-2</v>
      </c>
      <c r="AD13" s="215" t="e">
        <v>#N/A</v>
      </c>
      <c r="AE13" s="215" t="e">
        <v>#N/A</v>
      </c>
      <c r="AF13" s="215" t="e">
        <v>#N/A</v>
      </c>
      <c r="AG13" s="215" t="e">
        <v>#N/A</v>
      </c>
      <c r="AH13" s="215" t="e">
        <v>#N/A</v>
      </c>
      <c r="AI13" s="215" t="e">
        <v>#N/A</v>
      </c>
    </row>
    <row r="14" spans="1:35" x14ac:dyDescent="0.25">
      <c r="A14" s="149">
        <v>0.13</v>
      </c>
      <c r="B14" s="60"/>
      <c r="C14" s="73"/>
      <c r="D14" s="60">
        <v>9.7407407407407405</v>
      </c>
      <c r="E14" s="73">
        <v>0.18404528138351414</v>
      </c>
      <c r="F14" s="60"/>
      <c r="G14" s="73"/>
      <c r="H14" s="60"/>
      <c r="I14" s="73"/>
      <c r="J14" s="60"/>
      <c r="K14" s="73"/>
      <c r="AA14" s="215">
        <v>4.4642703215240054E-2</v>
      </c>
      <c r="AB14" s="215" t="e">
        <v>#N/A</v>
      </c>
      <c r="AC14" s="215" t="e">
        <v>#N/A</v>
      </c>
      <c r="AD14" s="215" t="e">
        <v>#N/A</v>
      </c>
      <c r="AE14" s="215" t="e">
        <v>#N/A</v>
      </c>
      <c r="AF14" s="215" t="e">
        <v>#N/A</v>
      </c>
      <c r="AG14" s="215" t="e">
        <v>#N/A</v>
      </c>
      <c r="AH14" s="215" t="e">
        <v>#N/A</v>
      </c>
      <c r="AI14" s="215">
        <v>0.18273021965980119</v>
      </c>
    </row>
    <row r="15" spans="1:35" x14ac:dyDescent="0.25">
      <c r="A15" s="149">
        <v>0.14000000000000001</v>
      </c>
      <c r="B15" s="60"/>
      <c r="C15" s="73"/>
      <c r="D15" s="60">
        <v>9.9944444444444436</v>
      </c>
      <c r="E15" s="73">
        <v>0.18370497780114689</v>
      </c>
      <c r="F15" s="60"/>
      <c r="G15" s="73"/>
      <c r="H15" s="60"/>
      <c r="I15" s="73"/>
      <c r="J15" s="60">
        <v>8.851851851851853</v>
      </c>
      <c r="K15" s="73">
        <v>0.24826633152047695</v>
      </c>
      <c r="AA15" s="215">
        <v>4.6332212740281015E-2</v>
      </c>
      <c r="AB15" s="215" t="e">
        <v>#N/A</v>
      </c>
      <c r="AC15" s="215" t="e">
        <v>#N/A</v>
      </c>
      <c r="AD15" s="215" t="e">
        <v>#N/A</v>
      </c>
      <c r="AE15" s="215" t="e">
        <v>#N/A</v>
      </c>
      <c r="AF15" s="215" t="e">
        <v>#N/A</v>
      </c>
      <c r="AG15" s="215" t="e">
        <v>#N/A</v>
      </c>
      <c r="AH15" s="215" t="e">
        <v>#N/A</v>
      </c>
      <c r="AI15" s="215">
        <v>0.18401447805069526</v>
      </c>
    </row>
    <row r="16" spans="1:35" x14ac:dyDescent="0.25">
      <c r="A16" s="149">
        <v>0.15</v>
      </c>
      <c r="B16" s="60"/>
      <c r="C16" s="73"/>
      <c r="D16" s="60">
        <v>10.74074074074074</v>
      </c>
      <c r="E16" s="73">
        <v>0.20070684176064443</v>
      </c>
      <c r="F16" s="60"/>
      <c r="G16" s="73"/>
      <c r="H16" s="60">
        <v>10.633333333333333</v>
      </c>
      <c r="I16" s="73">
        <v>0.15313947465266206</v>
      </c>
      <c r="J16" s="60"/>
      <c r="K16" s="73"/>
      <c r="AA16" s="215">
        <v>5.5009625606987904E-2</v>
      </c>
      <c r="AB16" s="215" t="e">
        <v>#N/A</v>
      </c>
      <c r="AC16" s="215" t="e">
        <v>#N/A</v>
      </c>
      <c r="AD16" s="215" t="e">
        <v>#N/A</v>
      </c>
      <c r="AE16" s="215" t="e">
        <v>#N/A</v>
      </c>
      <c r="AF16" s="215" t="e">
        <v>#N/A</v>
      </c>
      <c r="AG16" s="215" t="e">
        <v>#N/A</v>
      </c>
      <c r="AH16" s="215" t="e">
        <v>#N/A</v>
      </c>
      <c r="AI16" s="215">
        <v>0.22444158374208048</v>
      </c>
    </row>
    <row r="17" spans="1:35" x14ac:dyDescent="0.25">
      <c r="A17" s="149">
        <v>0.16</v>
      </c>
      <c r="B17" s="60"/>
      <c r="C17" s="73"/>
      <c r="D17" s="60">
        <v>12.05</v>
      </c>
      <c r="E17" s="73">
        <v>0.17401289876308371</v>
      </c>
      <c r="F17" s="60"/>
      <c r="G17" s="73"/>
      <c r="H17" s="60"/>
      <c r="I17" s="73"/>
      <c r="J17" s="60">
        <v>9.9259259259259238</v>
      </c>
      <c r="K17" s="73">
        <v>0.26500080159138367</v>
      </c>
      <c r="AA17" s="215">
        <v>5.5108173991085967E-2</v>
      </c>
      <c r="AB17" s="215">
        <v>0.10961615169575983</v>
      </c>
      <c r="AC17" s="215" t="e">
        <v>#N/A</v>
      </c>
      <c r="AD17" s="215" t="e">
        <v>#N/A</v>
      </c>
      <c r="AE17" s="215" t="e">
        <v>#N/A</v>
      </c>
      <c r="AF17" s="215" t="e">
        <v>#N/A</v>
      </c>
      <c r="AG17" s="215" t="e">
        <v>#N/A</v>
      </c>
      <c r="AH17" s="215" t="e">
        <v>#N/A</v>
      </c>
      <c r="AI17" s="215" t="e">
        <v>#N/A</v>
      </c>
    </row>
    <row r="18" spans="1:35" x14ac:dyDescent="0.25">
      <c r="A18" s="149">
        <v>0.18</v>
      </c>
      <c r="B18" s="60"/>
      <c r="C18" s="73"/>
      <c r="D18" s="60">
        <v>13.000000000000002</v>
      </c>
      <c r="E18" s="73">
        <v>0.20060907582293877</v>
      </c>
      <c r="F18" s="60"/>
      <c r="G18" s="73"/>
      <c r="H18" s="60">
        <v>12.926470588235295</v>
      </c>
      <c r="I18" s="73">
        <v>0.15110481634772516</v>
      </c>
      <c r="J18" s="60"/>
      <c r="K18" s="73"/>
      <c r="AA18" s="215">
        <v>5.7532058595354346E-2</v>
      </c>
      <c r="AB18" s="215">
        <v>9.0780137003355202E-2</v>
      </c>
      <c r="AC18" s="215" t="e">
        <v>#N/A</v>
      </c>
      <c r="AD18" s="215" t="e">
        <v>#N/A</v>
      </c>
      <c r="AE18" s="215" t="e">
        <v>#N/A</v>
      </c>
      <c r="AF18" s="215" t="e">
        <v>#N/A</v>
      </c>
      <c r="AG18" s="215" t="e">
        <v>#N/A</v>
      </c>
      <c r="AH18" s="215" t="e">
        <v>#N/A</v>
      </c>
      <c r="AI18" s="215" t="e">
        <v>#N/A</v>
      </c>
    </row>
    <row r="19" spans="1:35" x14ac:dyDescent="0.25">
      <c r="A19" s="149">
        <v>0.19</v>
      </c>
      <c r="B19" s="60"/>
      <c r="C19" s="73"/>
      <c r="D19" s="60">
        <v>13.875</v>
      </c>
      <c r="E19" s="73">
        <v>0.18713431163072164</v>
      </c>
      <c r="F19" s="60"/>
      <c r="G19" s="73"/>
      <c r="H19" s="60"/>
      <c r="I19" s="73"/>
      <c r="J19" s="60"/>
      <c r="K19" s="73"/>
      <c r="AA19" s="215">
        <v>5.8994914231531768E-2</v>
      </c>
      <c r="AB19" s="215" t="e">
        <v>#N/A</v>
      </c>
      <c r="AC19" s="215" t="e">
        <v>#N/A</v>
      </c>
      <c r="AD19" s="215" t="e">
        <v>#N/A</v>
      </c>
      <c r="AE19" s="215" t="e">
        <v>#N/A</v>
      </c>
      <c r="AF19" s="215">
        <v>0.1488430971451522</v>
      </c>
      <c r="AG19" s="215" t="e">
        <v>#N/A</v>
      </c>
      <c r="AH19" s="215" t="e">
        <v>#N/A</v>
      </c>
      <c r="AI19" s="215" t="e">
        <v>#N/A</v>
      </c>
    </row>
    <row r="20" spans="1:35" x14ac:dyDescent="0.25">
      <c r="A20" s="149">
        <v>0.21</v>
      </c>
      <c r="B20" s="60"/>
      <c r="C20" s="73"/>
      <c r="D20" s="60">
        <v>15.3</v>
      </c>
      <c r="E20" s="73">
        <v>0.20479113765244134</v>
      </c>
      <c r="F20" s="60"/>
      <c r="G20" s="73"/>
      <c r="H20" s="60"/>
      <c r="I20" s="73"/>
      <c r="J20" s="60">
        <v>12.962962962962962</v>
      </c>
      <c r="K20" s="73">
        <v>0.34435389896390012</v>
      </c>
      <c r="AA20" s="215">
        <v>5.9106973536764078E-2</v>
      </c>
      <c r="AB20" s="215" t="e">
        <v>#N/A</v>
      </c>
      <c r="AC20" s="215" t="e">
        <v>#N/A</v>
      </c>
      <c r="AD20" s="215" t="e">
        <v>#N/A</v>
      </c>
      <c r="AE20" s="215" t="e">
        <v>#N/A</v>
      </c>
      <c r="AF20" s="215" t="e">
        <v>#N/A</v>
      </c>
      <c r="AG20" s="215" t="e">
        <v>#N/A</v>
      </c>
      <c r="AH20" s="215" t="e">
        <v>#N/A</v>
      </c>
      <c r="AI20" s="215">
        <v>0.19235890049024437</v>
      </c>
    </row>
    <row r="21" spans="1:35" x14ac:dyDescent="0.25">
      <c r="A21" s="149">
        <v>0.22</v>
      </c>
      <c r="B21" s="60"/>
      <c r="C21" s="73"/>
      <c r="D21" s="60"/>
      <c r="E21" s="73"/>
      <c r="F21" s="60"/>
      <c r="G21" s="73"/>
      <c r="H21" s="60">
        <v>16.021568627450979</v>
      </c>
      <c r="I21" s="73">
        <v>0.1590698381829343</v>
      </c>
      <c r="J21" s="60">
        <v>13.555555555555557</v>
      </c>
      <c r="K21" s="73">
        <v>0.3306238962355677</v>
      </c>
      <c r="AA21" s="215">
        <v>6.230122149713261E-2</v>
      </c>
      <c r="AB21" s="215" t="e">
        <v>#N/A</v>
      </c>
      <c r="AC21" s="215" t="e">
        <v>#N/A</v>
      </c>
      <c r="AD21" s="215">
        <v>0.14131639997156367</v>
      </c>
      <c r="AE21" s="215" t="e">
        <v>#N/A</v>
      </c>
      <c r="AF21" s="215" t="e">
        <v>#N/A</v>
      </c>
      <c r="AG21" s="215" t="e">
        <v>#N/A</v>
      </c>
      <c r="AH21" s="215" t="e">
        <v>#N/A</v>
      </c>
      <c r="AI21" s="215" t="e">
        <v>#N/A</v>
      </c>
    </row>
    <row r="22" spans="1:35" x14ac:dyDescent="0.25">
      <c r="A22" s="149">
        <v>0.23</v>
      </c>
      <c r="B22" s="60"/>
      <c r="C22" s="73"/>
      <c r="D22" s="60">
        <v>17.407407407407405</v>
      </c>
      <c r="E22" s="73">
        <v>0.21021471894285801</v>
      </c>
      <c r="F22" s="60">
        <v>17.313368983957215</v>
      </c>
      <c r="G22" s="73">
        <v>0.26971127856781363</v>
      </c>
      <c r="H22" s="60"/>
      <c r="I22" s="73"/>
      <c r="J22" s="60"/>
      <c r="K22" s="73"/>
      <c r="AA22" s="215">
        <v>6.3885297244490422E-2</v>
      </c>
      <c r="AB22" s="215" t="e">
        <v>#N/A</v>
      </c>
      <c r="AC22" s="215" t="e">
        <v>#N/A</v>
      </c>
      <c r="AD22" s="215" t="e">
        <v>#N/A</v>
      </c>
      <c r="AE22" s="215" t="e">
        <v>#N/A</v>
      </c>
      <c r="AF22" s="215">
        <v>0.15019183677874534</v>
      </c>
      <c r="AG22" s="215" t="e">
        <v>#N/A</v>
      </c>
      <c r="AH22" s="215" t="e">
        <v>#N/A</v>
      </c>
      <c r="AI22" s="215" t="e">
        <v>#N/A</v>
      </c>
    </row>
    <row r="23" spans="1:35" x14ac:dyDescent="0.25">
      <c r="A23" s="149">
        <v>0.24</v>
      </c>
      <c r="B23" s="60"/>
      <c r="C23" s="73"/>
      <c r="D23" s="60"/>
      <c r="E23" s="73"/>
      <c r="F23" s="60"/>
      <c r="G23" s="73"/>
      <c r="H23" s="60">
        <v>17.590196078431372</v>
      </c>
      <c r="I23" s="73">
        <v>0.16688994919247621</v>
      </c>
      <c r="J23" s="60">
        <v>14.888888888888886</v>
      </c>
      <c r="K23" s="73">
        <v>0.49033358348481709</v>
      </c>
      <c r="AA23" s="215">
        <v>6.8267103410625515E-2</v>
      </c>
      <c r="AB23" s="215" t="e">
        <v>#N/A</v>
      </c>
      <c r="AC23" s="215" t="e">
        <v>#N/A</v>
      </c>
      <c r="AD23" s="215" t="e">
        <v>#N/A</v>
      </c>
      <c r="AE23" s="215" t="e">
        <v>#N/A</v>
      </c>
      <c r="AF23" s="215" t="e">
        <v>#N/A</v>
      </c>
      <c r="AG23" s="215" t="e">
        <v>#N/A</v>
      </c>
      <c r="AH23" s="215" t="e">
        <v>#N/A</v>
      </c>
      <c r="AI23" s="215">
        <v>0.20094196874183576</v>
      </c>
    </row>
    <row r="24" spans="1:35" x14ac:dyDescent="0.25">
      <c r="A24" s="149">
        <v>0.26</v>
      </c>
      <c r="B24" s="60"/>
      <c r="C24" s="73"/>
      <c r="D24" s="60">
        <v>19.450000000000003</v>
      </c>
      <c r="E24" s="73">
        <v>0.21398528934232625</v>
      </c>
      <c r="F24" s="60"/>
      <c r="G24" s="73"/>
      <c r="H24" s="60">
        <v>18.705882352941174</v>
      </c>
      <c r="I24" s="73">
        <v>0.17102828618696231</v>
      </c>
      <c r="J24" s="60"/>
      <c r="K24" s="73"/>
      <c r="AA24" s="215">
        <v>6.8285948980057493E-2</v>
      </c>
      <c r="AB24" s="215" t="e">
        <v>#N/A</v>
      </c>
      <c r="AC24" s="215">
        <v>8.9116244570299888E-2</v>
      </c>
      <c r="AD24" s="215" t="e">
        <v>#N/A</v>
      </c>
      <c r="AE24" s="215" t="e">
        <v>#N/A</v>
      </c>
      <c r="AF24" s="215" t="e">
        <v>#N/A</v>
      </c>
      <c r="AG24" s="215" t="e">
        <v>#N/A</v>
      </c>
      <c r="AH24" s="215" t="e">
        <v>#N/A</v>
      </c>
      <c r="AI24" s="215" t="e">
        <v>#N/A</v>
      </c>
    </row>
    <row r="25" spans="1:35" x14ac:dyDescent="0.25">
      <c r="A25" s="149">
        <v>0.27</v>
      </c>
      <c r="B25" s="60"/>
      <c r="C25" s="73"/>
      <c r="D25" s="60"/>
      <c r="E25" s="73"/>
      <c r="F25" s="60"/>
      <c r="G25" s="73"/>
      <c r="H25" s="60">
        <v>19.601102941176471</v>
      </c>
      <c r="I25" s="73">
        <v>0.18478550120979248</v>
      </c>
      <c r="J25" s="60"/>
      <c r="K25" s="73"/>
      <c r="AA25" s="215">
        <v>6.9947992989110142E-2</v>
      </c>
      <c r="AB25" s="215" t="e">
        <v>#N/A</v>
      </c>
      <c r="AC25" s="215" t="e">
        <v>#N/A</v>
      </c>
      <c r="AD25" s="215" t="e">
        <v>#N/A</v>
      </c>
      <c r="AE25" s="215" t="e">
        <v>#N/A</v>
      </c>
      <c r="AF25" s="215">
        <v>0.14817790955466786</v>
      </c>
      <c r="AG25" s="215" t="e">
        <v>#N/A</v>
      </c>
      <c r="AH25" s="215" t="e">
        <v>#N/A</v>
      </c>
      <c r="AI25" s="215" t="e">
        <v>#N/A</v>
      </c>
    </row>
    <row r="26" spans="1:35" x14ac:dyDescent="0.25">
      <c r="A26" s="149">
        <v>0.28000000000000003</v>
      </c>
      <c r="B26" s="60"/>
      <c r="C26" s="73"/>
      <c r="D26" s="60"/>
      <c r="E26" s="73"/>
      <c r="F26" s="60"/>
      <c r="G26" s="73"/>
      <c r="H26" s="60">
        <v>20.666666666666668</v>
      </c>
      <c r="I26" s="73">
        <v>0.16331143727170164</v>
      </c>
      <c r="J26" s="60"/>
      <c r="K26" s="73"/>
      <c r="AA26" s="215">
        <v>7.817315444408951E-2</v>
      </c>
      <c r="AB26" s="215">
        <v>0.14188560392014285</v>
      </c>
      <c r="AC26" s="215" t="e">
        <v>#N/A</v>
      </c>
      <c r="AD26" s="215" t="e">
        <v>#N/A</v>
      </c>
      <c r="AE26" s="215" t="e">
        <v>#N/A</v>
      </c>
      <c r="AF26" s="215" t="e">
        <v>#N/A</v>
      </c>
      <c r="AG26" s="215" t="e">
        <v>#N/A</v>
      </c>
      <c r="AH26" s="215" t="e">
        <v>#N/A</v>
      </c>
      <c r="AI26" s="215" t="e">
        <v>#N/A</v>
      </c>
    </row>
    <row r="27" spans="1:35" x14ac:dyDescent="0.25">
      <c r="A27" s="149">
        <v>0.28999999999999998</v>
      </c>
      <c r="B27" s="60"/>
      <c r="C27" s="73"/>
      <c r="D27" s="60">
        <v>21.407407407407405</v>
      </c>
      <c r="E27" s="73">
        <v>0.25286004256319128</v>
      </c>
      <c r="F27" s="60"/>
      <c r="G27" s="73"/>
      <c r="H27" s="60"/>
      <c r="I27" s="73"/>
      <c r="J27" s="60"/>
      <c r="K27" s="73"/>
      <c r="AA27" s="215">
        <v>7.9329368157917426E-2</v>
      </c>
      <c r="AB27" s="215" t="e">
        <v>#N/A</v>
      </c>
      <c r="AC27" s="215" t="e">
        <v>#N/A</v>
      </c>
      <c r="AD27" s="215" t="e">
        <v>#N/A</v>
      </c>
      <c r="AE27" s="215" t="e">
        <v>#N/A</v>
      </c>
      <c r="AF27" s="215" t="e">
        <v>#N/A</v>
      </c>
      <c r="AG27" s="215" t="e">
        <v>#N/A</v>
      </c>
      <c r="AH27" s="215" t="e">
        <v>#N/A</v>
      </c>
      <c r="AI27" s="215">
        <v>0.21283558649133549</v>
      </c>
    </row>
    <row r="28" spans="1:35" x14ac:dyDescent="0.25">
      <c r="A28" s="149">
        <v>0.3</v>
      </c>
      <c r="B28" s="60"/>
      <c r="C28" s="73"/>
      <c r="D28" s="60">
        <v>22.199074074074069</v>
      </c>
      <c r="E28" s="73">
        <v>0.25441059099384633</v>
      </c>
      <c r="F28" s="60"/>
      <c r="G28" s="73"/>
      <c r="H28" s="60"/>
      <c r="I28" s="73"/>
      <c r="J28" s="60"/>
      <c r="K28" s="73"/>
      <c r="AA28" s="215">
        <v>8.0174122920437893E-2</v>
      </c>
      <c r="AB28" s="215" t="e">
        <v>#N/A</v>
      </c>
      <c r="AC28" s="215" t="e">
        <v>#N/A</v>
      </c>
      <c r="AD28" s="215" t="e">
        <v>#N/A</v>
      </c>
      <c r="AE28" s="215" t="e">
        <v>#N/A</v>
      </c>
      <c r="AF28" s="215">
        <v>0.15084290821219767</v>
      </c>
      <c r="AG28" s="215" t="e">
        <v>#N/A</v>
      </c>
      <c r="AH28" s="215" t="e">
        <v>#N/A</v>
      </c>
      <c r="AI28" s="215" t="e">
        <v>#N/A</v>
      </c>
    </row>
    <row r="29" spans="1:35" x14ac:dyDescent="0.25">
      <c r="A29" s="149">
        <v>0.31</v>
      </c>
      <c r="B29" s="60"/>
      <c r="C29" s="73"/>
      <c r="D29" s="60"/>
      <c r="E29" s="73"/>
      <c r="F29" s="60"/>
      <c r="G29" s="73"/>
      <c r="H29" s="60">
        <v>22.84191176470588</v>
      </c>
      <c r="I29" s="73">
        <v>0.17878856696611251</v>
      </c>
      <c r="J29" s="60"/>
      <c r="K29" s="73"/>
      <c r="AA29" s="215">
        <v>8.0536160675803811E-2</v>
      </c>
      <c r="AB29" s="215" t="e">
        <v>#N/A</v>
      </c>
      <c r="AC29" s="215" t="e">
        <v>#N/A</v>
      </c>
      <c r="AD29" s="215" t="e">
        <v>#N/A</v>
      </c>
      <c r="AE29" s="215" t="e">
        <v>#N/A</v>
      </c>
      <c r="AF29" s="215" t="e">
        <v>#N/A</v>
      </c>
      <c r="AG29" s="215" t="e">
        <v>#N/A</v>
      </c>
      <c r="AH29" s="215" t="e">
        <v>#N/A</v>
      </c>
      <c r="AI29" s="215">
        <v>0.20026413565238368</v>
      </c>
    </row>
    <row r="30" spans="1:35" x14ac:dyDescent="0.25">
      <c r="A30" s="149">
        <v>0.33</v>
      </c>
      <c r="B30" s="60"/>
      <c r="C30" s="73"/>
      <c r="D30" s="60"/>
      <c r="E30" s="73"/>
      <c r="F30" s="60"/>
      <c r="G30" s="73"/>
      <c r="H30" s="60"/>
      <c r="I30" s="73"/>
      <c r="J30" s="60">
        <v>21</v>
      </c>
      <c r="K30" s="73">
        <v>0.3821734862349872</v>
      </c>
      <c r="AA30" s="215">
        <v>8.4433992759244889E-2</v>
      </c>
      <c r="AB30" s="215" t="e">
        <v>#N/A</v>
      </c>
      <c r="AC30" s="215" t="e">
        <v>#N/A</v>
      </c>
      <c r="AD30" s="215" t="e">
        <v>#N/A</v>
      </c>
      <c r="AE30" s="215" t="e">
        <v>#N/A</v>
      </c>
      <c r="AF30" s="215" t="e">
        <v>#N/A</v>
      </c>
      <c r="AG30" s="215">
        <v>0.14532217116317739</v>
      </c>
      <c r="AH30" s="215" t="e">
        <v>#N/A</v>
      </c>
      <c r="AI30" s="215" t="e">
        <v>#N/A</v>
      </c>
    </row>
    <row r="31" spans="1:35" x14ac:dyDescent="0.25">
      <c r="A31" s="149">
        <v>0.34</v>
      </c>
      <c r="B31" s="60"/>
      <c r="C31" s="73"/>
      <c r="D31" s="60"/>
      <c r="E31" s="73"/>
      <c r="F31" s="60">
        <v>25.670308123249299</v>
      </c>
      <c r="G31" s="73">
        <v>0.24776598173587749</v>
      </c>
      <c r="H31" s="60">
        <v>25.02941176470588</v>
      </c>
      <c r="I31" s="73">
        <v>0.18453547350022789</v>
      </c>
      <c r="J31" s="60"/>
      <c r="K31" s="73"/>
      <c r="AA31" s="215">
        <v>9.3204608798092115E-2</v>
      </c>
      <c r="AB31" s="215" t="e">
        <v>#N/A</v>
      </c>
      <c r="AC31" s="215" t="e">
        <v>#N/A</v>
      </c>
      <c r="AD31" s="215" t="e">
        <v>#N/A</v>
      </c>
      <c r="AE31" s="215" t="e">
        <v>#N/A</v>
      </c>
      <c r="AF31" s="215">
        <v>0.16534524085197999</v>
      </c>
      <c r="AG31" s="215" t="e">
        <v>#N/A</v>
      </c>
      <c r="AH31" s="215" t="e">
        <v>#N/A</v>
      </c>
      <c r="AI31" s="215" t="e">
        <v>#N/A</v>
      </c>
    </row>
    <row r="32" spans="1:35" x14ac:dyDescent="0.25">
      <c r="A32" s="149">
        <v>0.37</v>
      </c>
      <c r="B32" s="60"/>
      <c r="C32" s="73"/>
      <c r="D32" s="60">
        <v>27.465277777777775</v>
      </c>
      <c r="E32" s="73">
        <v>0.42455590466476639</v>
      </c>
      <c r="F32" s="60"/>
      <c r="G32" s="73"/>
      <c r="H32" s="60"/>
      <c r="I32" s="73"/>
      <c r="J32" s="60"/>
      <c r="K32" s="73"/>
      <c r="AA32" s="215">
        <v>9.50714187924976E-2</v>
      </c>
      <c r="AB32" s="215" t="e">
        <v>#N/A</v>
      </c>
      <c r="AC32" s="215" t="e">
        <v>#N/A</v>
      </c>
      <c r="AD32" s="215">
        <v>0.14455132195937925</v>
      </c>
      <c r="AE32" s="215" t="e">
        <v>#N/A</v>
      </c>
      <c r="AF32" s="215" t="e">
        <v>#N/A</v>
      </c>
      <c r="AG32" s="215" t="e">
        <v>#N/A</v>
      </c>
      <c r="AH32" s="215" t="e">
        <v>#N/A</v>
      </c>
      <c r="AI32" s="215" t="e">
        <v>#N/A</v>
      </c>
    </row>
    <row r="33" spans="1:35" x14ac:dyDescent="0.25">
      <c r="A33" s="149">
        <v>0.4</v>
      </c>
      <c r="B33" s="60"/>
      <c r="C33" s="73"/>
      <c r="D33" s="60"/>
      <c r="E33" s="73"/>
      <c r="F33" s="60"/>
      <c r="G33" s="73"/>
      <c r="H33" s="60">
        <v>29.066666666666666</v>
      </c>
      <c r="I33" s="73">
        <v>0.18832897591354758</v>
      </c>
      <c r="J33" s="60">
        <v>25.074074074074073</v>
      </c>
      <c r="K33" s="73">
        <v>0.58959784170468954</v>
      </c>
      <c r="AA33" s="215">
        <v>9.8829461963218179E-2</v>
      </c>
      <c r="AB33" s="215" t="e">
        <v>#N/A</v>
      </c>
      <c r="AC33" s="215">
        <v>9.1278880747759722E-2</v>
      </c>
      <c r="AD33" s="215" t="e">
        <v>#N/A</v>
      </c>
      <c r="AE33" s="215" t="e">
        <v>#N/A</v>
      </c>
      <c r="AF33" s="215" t="e">
        <v>#N/A</v>
      </c>
      <c r="AG33" s="215" t="e">
        <v>#N/A</v>
      </c>
      <c r="AH33" s="215" t="e">
        <v>#N/A</v>
      </c>
      <c r="AI33" s="215" t="e">
        <v>#N/A</v>
      </c>
    </row>
    <row r="34" spans="1:35" x14ac:dyDescent="0.25">
      <c r="A34" s="149">
        <v>0.41000000000000003</v>
      </c>
      <c r="B34" s="60"/>
      <c r="C34" s="73"/>
      <c r="D34" s="60"/>
      <c r="E34" s="73"/>
      <c r="F34" s="60"/>
      <c r="G34" s="73"/>
      <c r="H34" s="60"/>
      <c r="I34" s="73"/>
      <c r="J34" s="60">
        <v>26.222222222222218</v>
      </c>
      <c r="K34" s="73">
        <v>0.50133485819597334</v>
      </c>
      <c r="AA34" s="215">
        <v>0.1015458437491021</v>
      </c>
      <c r="AB34" s="215" t="e">
        <v>#N/A</v>
      </c>
      <c r="AC34" s="215" t="e">
        <v>#N/A</v>
      </c>
      <c r="AD34" s="215" t="e">
        <v>#N/A</v>
      </c>
      <c r="AE34" s="215" t="e">
        <v>#N/A</v>
      </c>
      <c r="AF34" s="215">
        <v>0.16607952366403897</v>
      </c>
      <c r="AG34" s="215" t="e">
        <v>#N/A</v>
      </c>
      <c r="AH34" s="215" t="e">
        <v>#N/A</v>
      </c>
      <c r="AI34" s="215" t="e">
        <v>#N/A</v>
      </c>
    </row>
    <row r="35" spans="1:35" x14ac:dyDescent="0.25">
      <c r="A35" s="149">
        <v>0.42</v>
      </c>
      <c r="B35" s="60">
        <v>29.425000000000001</v>
      </c>
      <c r="C35" s="73">
        <v>0.18708273940370831</v>
      </c>
      <c r="D35" s="60">
        <v>31.962962962962958</v>
      </c>
      <c r="E35" s="73">
        <v>0.86688896098379542</v>
      </c>
      <c r="F35" s="60"/>
      <c r="G35" s="73"/>
      <c r="H35" s="60"/>
      <c r="I35" s="73"/>
      <c r="J35" s="60"/>
      <c r="K35" s="73"/>
      <c r="AA35" s="215">
        <v>0.10698367787766773</v>
      </c>
      <c r="AB35" s="215" t="e">
        <v>#N/A</v>
      </c>
      <c r="AC35" s="215" t="e">
        <v>#N/A</v>
      </c>
      <c r="AD35" s="215">
        <v>0.14438882254426644</v>
      </c>
      <c r="AE35" s="215" t="e">
        <v>#N/A</v>
      </c>
      <c r="AF35" s="215" t="e">
        <v>#N/A</v>
      </c>
      <c r="AG35" s="215" t="e">
        <v>#N/A</v>
      </c>
      <c r="AH35" s="215" t="e">
        <v>#N/A</v>
      </c>
      <c r="AI35" s="215" t="e">
        <v>#N/A</v>
      </c>
    </row>
    <row r="36" spans="1:35" x14ac:dyDescent="0.25">
      <c r="A36" s="149">
        <v>0.47000000000000003</v>
      </c>
      <c r="B36" s="60"/>
      <c r="C36" s="73"/>
      <c r="D36" s="60">
        <v>35.592592592592602</v>
      </c>
      <c r="E36" s="73">
        <v>0.98734279889595244</v>
      </c>
      <c r="F36" s="60">
        <v>35.05740740740741</v>
      </c>
      <c r="G36" s="73">
        <v>0.94486020957379535</v>
      </c>
      <c r="H36" s="60"/>
      <c r="I36" s="73"/>
      <c r="J36" s="60"/>
      <c r="K36" s="73"/>
      <c r="AA36" s="215">
        <v>0.1145187788071008</v>
      </c>
      <c r="AB36" s="215" t="e">
        <v>#N/A</v>
      </c>
      <c r="AC36" s="215">
        <v>9.1119561946509747E-2</v>
      </c>
      <c r="AD36" s="215" t="e">
        <v>#N/A</v>
      </c>
      <c r="AE36" s="215" t="e">
        <v>#N/A</v>
      </c>
      <c r="AF36" s="215" t="e">
        <v>#N/A</v>
      </c>
      <c r="AG36" s="215" t="e">
        <v>#N/A</v>
      </c>
      <c r="AH36" s="215" t="e">
        <v>#N/A</v>
      </c>
      <c r="AI36" s="215" t="e">
        <v>#N/A</v>
      </c>
    </row>
    <row r="37" spans="1:35" x14ac:dyDescent="0.25">
      <c r="A37" s="149">
        <v>0.48</v>
      </c>
      <c r="B37" s="60"/>
      <c r="C37" s="73"/>
      <c r="D37" s="60"/>
      <c r="E37" s="73"/>
      <c r="F37" s="60"/>
      <c r="G37" s="73"/>
      <c r="H37" s="60">
        <v>35.349074074074075</v>
      </c>
      <c r="I37" s="73">
        <v>0.55566616063393848</v>
      </c>
      <c r="J37" s="60"/>
      <c r="K37" s="73"/>
      <c r="AA37" s="215">
        <v>0.12825331149613536</v>
      </c>
      <c r="AB37" s="215" t="e">
        <v>#N/A</v>
      </c>
      <c r="AC37" s="215" t="e">
        <v>#N/A</v>
      </c>
      <c r="AD37" s="215" t="e">
        <v>#N/A</v>
      </c>
      <c r="AE37" s="215" t="e">
        <v>#N/A</v>
      </c>
      <c r="AF37" s="215">
        <v>0.18404528138351414</v>
      </c>
      <c r="AG37" s="215" t="e">
        <v>#N/A</v>
      </c>
      <c r="AH37" s="215" t="e">
        <v>#N/A</v>
      </c>
      <c r="AI37" s="215" t="e">
        <v>#N/A</v>
      </c>
    </row>
    <row r="38" spans="1:35" x14ac:dyDescent="0.25">
      <c r="A38" s="149">
        <v>0.49</v>
      </c>
      <c r="B38" s="60"/>
      <c r="C38" s="73"/>
      <c r="D38" s="60"/>
      <c r="E38" s="73"/>
      <c r="F38" s="60"/>
      <c r="G38" s="73"/>
      <c r="H38" s="60">
        <v>35.857142857142847</v>
      </c>
      <c r="I38" s="73">
        <v>0.52980489719111601</v>
      </c>
      <c r="J38" s="60"/>
      <c r="K38" s="73"/>
      <c r="AA38" s="215">
        <v>0.13567259668284176</v>
      </c>
      <c r="AB38" s="215">
        <v>0.1726471811842305</v>
      </c>
      <c r="AC38" s="215" t="e">
        <v>#N/A</v>
      </c>
      <c r="AD38" s="215" t="e">
        <v>#N/A</v>
      </c>
      <c r="AE38" s="215" t="e">
        <v>#N/A</v>
      </c>
      <c r="AF38" s="215" t="e">
        <v>#N/A</v>
      </c>
      <c r="AG38" s="215" t="e">
        <v>#N/A</v>
      </c>
      <c r="AH38" s="215" t="e">
        <v>#N/A</v>
      </c>
      <c r="AI38" s="215" t="e">
        <v>#N/A</v>
      </c>
    </row>
    <row r="39" spans="1:35" x14ac:dyDescent="0.25">
      <c r="A39" s="149">
        <v>0.5</v>
      </c>
      <c r="B39" s="60"/>
      <c r="C39" s="73"/>
      <c r="D39" s="60">
        <v>37.599999999999994</v>
      </c>
      <c r="E39" s="73">
        <v>0.25079316509162963</v>
      </c>
      <c r="F39" s="60"/>
      <c r="G39" s="73"/>
      <c r="H39" s="60">
        <v>36.846153846153847</v>
      </c>
      <c r="I39" s="73">
        <v>1.097514941873035</v>
      </c>
      <c r="J39" s="60"/>
      <c r="K39" s="73"/>
      <c r="AA39" s="215">
        <v>0.13641673892210099</v>
      </c>
      <c r="AB39" s="215">
        <v>0.12824057422707746</v>
      </c>
      <c r="AC39" s="215" t="e">
        <v>#N/A</v>
      </c>
      <c r="AD39" s="215" t="e">
        <v>#N/A</v>
      </c>
      <c r="AE39" s="215" t="e">
        <v>#N/A</v>
      </c>
      <c r="AF39" s="215" t="e">
        <v>#N/A</v>
      </c>
      <c r="AG39" s="215" t="e">
        <v>#N/A</v>
      </c>
      <c r="AH39" s="215" t="e">
        <v>#N/A</v>
      </c>
      <c r="AI39" s="215" t="e">
        <v>#N/A</v>
      </c>
    </row>
    <row r="40" spans="1:35" x14ac:dyDescent="0.25">
      <c r="A40" s="149">
        <v>0.51</v>
      </c>
      <c r="B40" s="60"/>
      <c r="C40" s="73"/>
      <c r="D40" s="60"/>
      <c r="E40" s="73"/>
      <c r="F40" s="60"/>
      <c r="G40" s="73"/>
      <c r="H40" s="60">
        <v>37.06666666666667</v>
      </c>
      <c r="I40" s="73">
        <v>0.18566078006176104</v>
      </c>
      <c r="J40" s="60"/>
      <c r="K40" s="73"/>
      <c r="AA40" s="215">
        <v>0.13848806137401951</v>
      </c>
      <c r="AB40" s="215" t="e">
        <v>#N/A</v>
      </c>
      <c r="AC40" s="215" t="e">
        <v>#N/A</v>
      </c>
      <c r="AD40" s="215" t="e">
        <v>#N/A</v>
      </c>
      <c r="AE40" s="215" t="e">
        <v>#N/A</v>
      </c>
      <c r="AF40" s="215" t="e">
        <v>#N/A</v>
      </c>
      <c r="AG40" s="215" t="e">
        <v>#N/A</v>
      </c>
      <c r="AH40" s="215" t="e">
        <v>#N/A</v>
      </c>
      <c r="AI40" s="215">
        <v>0.24826633152047695</v>
      </c>
    </row>
    <row r="41" spans="1:35" x14ac:dyDescent="0.25">
      <c r="A41" s="149">
        <v>0.52</v>
      </c>
      <c r="B41" s="60"/>
      <c r="C41" s="73"/>
      <c r="D41" s="60"/>
      <c r="E41" s="73"/>
      <c r="F41" s="60"/>
      <c r="G41" s="73"/>
      <c r="H41" s="60">
        <v>37.733333333333327</v>
      </c>
      <c r="I41" s="73">
        <v>0.19187203165454392</v>
      </c>
      <c r="J41" s="60"/>
      <c r="K41" s="73"/>
      <c r="AA41" s="215">
        <v>0.14127517742723331</v>
      </c>
      <c r="AB41" s="215" t="e">
        <v>#N/A</v>
      </c>
      <c r="AC41" s="215" t="e">
        <v>#N/A</v>
      </c>
      <c r="AD41" s="215" t="e">
        <v>#N/A</v>
      </c>
      <c r="AE41" s="215" t="e">
        <v>#N/A</v>
      </c>
      <c r="AF41" s="215">
        <v>0.20070684176064443</v>
      </c>
      <c r="AG41" s="215" t="e">
        <v>#N/A</v>
      </c>
      <c r="AH41" s="215" t="e">
        <v>#N/A</v>
      </c>
      <c r="AI41" s="215" t="e">
        <v>#N/A</v>
      </c>
    </row>
    <row r="42" spans="1:35" x14ac:dyDescent="0.25">
      <c r="A42" s="149">
        <v>0.53</v>
      </c>
      <c r="B42" s="60"/>
      <c r="C42" s="73"/>
      <c r="D42" s="60"/>
      <c r="E42" s="73"/>
      <c r="F42" s="60">
        <v>39.88425925925926</v>
      </c>
      <c r="G42" s="73">
        <v>1.0033520229788151</v>
      </c>
      <c r="H42" s="60"/>
      <c r="I42" s="73"/>
      <c r="J42" s="60"/>
      <c r="K42" s="73"/>
      <c r="AA42" s="215">
        <v>0.15360972938438372</v>
      </c>
      <c r="AB42" s="215" t="e">
        <v>#N/A</v>
      </c>
      <c r="AC42" s="215">
        <v>9.5279410350119442E-2</v>
      </c>
      <c r="AD42" s="215" t="e">
        <v>#N/A</v>
      </c>
      <c r="AE42" s="215" t="e">
        <v>#N/A</v>
      </c>
      <c r="AF42" s="215" t="e">
        <v>#N/A</v>
      </c>
      <c r="AG42" s="215" t="e">
        <v>#N/A</v>
      </c>
      <c r="AH42" s="215" t="e">
        <v>#N/A</v>
      </c>
      <c r="AI42" s="215" t="e">
        <v>#N/A</v>
      </c>
    </row>
    <row r="43" spans="1:35" x14ac:dyDescent="0.25">
      <c r="A43" s="149">
        <v>0.54</v>
      </c>
      <c r="B43" s="60"/>
      <c r="C43" s="73"/>
      <c r="D43" s="60"/>
      <c r="E43" s="73"/>
      <c r="F43" s="60"/>
      <c r="G43" s="73"/>
      <c r="H43" s="60"/>
      <c r="I43" s="73"/>
      <c r="J43" s="60">
        <v>34.296296296296291</v>
      </c>
      <c r="K43" s="73">
        <v>0.74375447320014987</v>
      </c>
      <c r="AA43" s="215">
        <v>0.15521075769330225</v>
      </c>
      <c r="AB43" s="215" t="e">
        <v>#N/A</v>
      </c>
      <c r="AC43" s="215" t="e">
        <v>#N/A</v>
      </c>
      <c r="AD43" s="215" t="e">
        <v>#N/A</v>
      </c>
      <c r="AE43" s="215" t="e">
        <v>#N/A</v>
      </c>
      <c r="AF43" s="215" t="e">
        <v>#N/A</v>
      </c>
      <c r="AG43" s="215" t="e">
        <v>#N/A</v>
      </c>
      <c r="AH43" s="215" t="e">
        <v>#N/A</v>
      </c>
      <c r="AI43" s="215">
        <v>0.26500080159138367</v>
      </c>
    </row>
    <row r="44" spans="1:35" x14ac:dyDescent="0.25">
      <c r="A44" s="149">
        <v>0.55000000000000004</v>
      </c>
      <c r="B44" s="60">
        <v>38.209226190476194</v>
      </c>
      <c r="C44" s="73">
        <v>0.21287415386511527</v>
      </c>
      <c r="D44" s="60">
        <v>41.337962962962969</v>
      </c>
      <c r="E44" s="73">
        <v>1.1216695541638895</v>
      </c>
      <c r="F44" s="60"/>
      <c r="G44" s="73"/>
      <c r="H44" s="60"/>
      <c r="I44" s="73"/>
      <c r="J44" s="60"/>
      <c r="K44" s="73"/>
      <c r="AA44" s="215">
        <v>0.166508465294574</v>
      </c>
      <c r="AB44" s="215" t="e">
        <v>#N/A</v>
      </c>
      <c r="AC44" s="215">
        <v>9.4523633663128437E-2</v>
      </c>
      <c r="AD44" s="215" t="e">
        <v>#N/A</v>
      </c>
      <c r="AE44" s="215" t="e">
        <v>#N/A</v>
      </c>
      <c r="AF44" s="215" t="e">
        <v>#N/A</v>
      </c>
      <c r="AG44" s="215" t="e">
        <v>#N/A</v>
      </c>
      <c r="AH44" s="215" t="e">
        <v>#N/A</v>
      </c>
      <c r="AI44" s="215" t="e">
        <v>#N/A</v>
      </c>
    </row>
    <row r="45" spans="1:35" x14ac:dyDescent="0.25">
      <c r="A45" s="149">
        <v>0.57000000000000006</v>
      </c>
      <c r="B45" s="60">
        <v>39.763194444444444</v>
      </c>
      <c r="C45" s="73">
        <v>0.34084885026655765</v>
      </c>
      <c r="D45" s="60"/>
      <c r="E45" s="73"/>
      <c r="F45" s="60"/>
      <c r="G45" s="73"/>
      <c r="H45" s="60"/>
      <c r="I45" s="73"/>
      <c r="J45" s="60"/>
      <c r="K45" s="73"/>
      <c r="AA45" s="215">
        <v>0.17103859581070602</v>
      </c>
      <c r="AB45" s="215">
        <v>0.17191651717567114</v>
      </c>
      <c r="AC45" s="215" t="e">
        <v>#N/A</v>
      </c>
      <c r="AD45" s="215" t="e">
        <v>#N/A</v>
      </c>
      <c r="AE45" s="215" t="e">
        <v>#N/A</v>
      </c>
      <c r="AF45" s="215" t="e">
        <v>#N/A</v>
      </c>
      <c r="AG45" s="215" t="e">
        <v>#N/A</v>
      </c>
      <c r="AH45" s="215" t="e">
        <v>#N/A</v>
      </c>
      <c r="AI45" s="215" t="e">
        <v>#N/A</v>
      </c>
    </row>
    <row r="46" spans="1:35" x14ac:dyDescent="0.25">
      <c r="A46" s="149">
        <v>0.57999999999999996</v>
      </c>
      <c r="B46" s="60"/>
      <c r="C46" s="73"/>
      <c r="D46" s="60">
        <v>43.925000000000004</v>
      </c>
      <c r="E46" s="73">
        <v>1.0021450242301133</v>
      </c>
      <c r="F46" s="60"/>
      <c r="G46" s="73"/>
      <c r="H46" s="60"/>
      <c r="I46" s="73"/>
      <c r="J46" s="60"/>
      <c r="K46" s="73"/>
      <c r="AA46" s="215">
        <v>0.17125822486567252</v>
      </c>
      <c r="AB46" s="215" t="e">
        <v>#N/A</v>
      </c>
      <c r="AC46" s="215" t="e">
        <v>#N/A</v>
      </c>
      <c r="AD46" s="215" t="e">
        <v>#N/A</v>
      </c>
      <c r="AE46" s="215" t="e">
        <v>#N/A</v>
      </c>
      <c r="AF46" s="215">
        <v>0.20060907582293877</v>
      </c>
      <c r="AG46" s="215" t="e">
        <v>#N/A</v>
      </c>
      <c r="AH46" s="215" t="e">
        <v>#N/A</v>
      </c>
      <c r="AI46" s="215" t="e">
        <v>#N/A</v>
      </c>
    </row>
    <row r="47" spans="1:35" x14ac:dyDescent="0.25">
      <c r="A47" s="149">
        <v>0.59</v>
      </c>
      <c r="B47" s="60"/>
      <c r="C47" s="73"/>
      <c r="D47" s="60">
        <v>44.620370370370367</v>
      </c>
      <c r="E47" s="73">
        <v>1.6190427893488941</v>
      </c>
      <c r="F47" s="60"/>
      <c r="G47" s="73"/>
      <c r="H47" s="60"/>
      <c r="I47" s="73"/>
      <c r="J47" s="60"/>
      <c r="K47" s="73"/>
      <c r="AA47" s="215">
        <v>0.17211700816866699</v>
      </c>
      <c r="AB47" s="215" t="e">
        <v>#N/A</v>
      </c>
      <c r="AC47" s="215" t="e">
        <v>#N/A</v>
      </c>
      <c r="AD47" s="215" t="e">
        <v>#N/A</v>
      </c>
      <c r="AE47" s="215" t="e">
        <v>#N/A</v>
      </c>
      <c r="AF47" s="215" t="e">
        <v>#N/A</v>
      </c>
      <c r="AG47" s="215" t="e">
        <v>#N/A</v>
      </c>
      <c r="AH47" s="215">
        <v>0.15039057758938695</v>
      </c>
      <c r="AI47" s="215" t="e">
        <v>#N/A</v>
      </c>
    </row>
    <row r="48" spans="1:35" x14ac:dyDescent="0.25">
      <c r="A48" s="149">
        <v>0.61</v>
      </c>
      <c r="B48" s="60"/>
      <c r="C48" s="73"/>
      <c r="D48" s="60">
        <v>45.95</v>
      </c>
      <c r="E48" s="73">
        <v>0.33392263269015754</v>
      </c>
      <c r="F48" s="60"/>
      <c r="G48" s="73"/>
      <c r="H48" s="60">
        <v>44.774509803921561</v>
      </c>
      <c r="I48" s="73">
        <v>0.31278119207276189</v>
      </c>
      <c r="J48" s="60"/>
      <c r="K48" s="73"/>
      <c r="AA48" s="215">
        <v>0.17859033450463196</v>
      </c>
      <c r="AB48" s="215" t="e">
        <v>#N/A</v>
      </c>
      <c r="AC48" s="215" t="e">
        <v>#N/A</v>
      </c>
      <c r="AD48" s="215" t="e">
        <v>#N/A</v>
      </c>
      <c r="AE48" s="215" t="e">
        <v>#N/A</v>
      </c>
      <c r="AF48" s="215" t="e">
        <v>#N/A</v>
      </c>
      <c r="AG48" s="215" t="e">
        <v>#N/A</v>
      </c>
      <c r="AH48" s="215">
        <v>0.15181905510606336</v>
      </c>
      <c r="AI48" s="215" t="e">
        <v>#N/A</v>
      </c>
    </row>
    <row r="49" spans="1:35" x14ac:dyDescent="0.25">
      <c r="A49" s="149">
        <v>0.62</v>
      </c>
      <c r="B49" s="60"/>
      <c r="C49" s="73"/>
      <c r="D49" s="60">
        <v>46.741203703703704</v>
      </c>
      <c r="E49" s="73">
        <v>0.66062882669956602</v>
      </c>
      <c r="F49" s="60"/>
      <c r="G49" s="73"/>
      <c r="H49" s="60">
        <v>45.394957983193279</v>
      </c>
      <c r="I49" s="73">
        <v>0.48408511269759902</v>
      </c>
      <c r="J49" s="60"/>
      <c r="K49" s="73"/>
      <c r="AA49" s="215">
        <v>0.18465843461770537</v>
      </c>
      <c r="AB49" s="215">
        <v>0.21039942635422862</v>
      </c>
      <c r="AC49" s="215" t="e">
        <v>#N/A</v>
      </c>
      <c r="AD49" s="215" t="e">
        <v>#N/A</v>
      </c>
      <c r="AE49" s="215" t="e">
        <v>#N/A</v>
      </c>
      <c r="AF49" s="215" t="e">
        <v>#N/A</v>
      </c>
      <c r="AG49" s="215" t="e">
        <v>#N/A</v>
      </c>
      <c r="AH49" s="215" t="e">
        <v>#N/A</v>
      </c>
      <c r="AI49" s="215" t="e">
        <v>#N/A</v>
      </c>
    </row>
    <row r="50" spans="1:35" x14ac:dyDescent="0.25">
      <c r="A50" s="149">
        <v>0.63</v>
      </c>
      <c r="B50" s="60"/>
      <c r="C50" s="73"/>
      <c r="D50" s="60">
        <v>47.592592592592588</v>
      </c>
      <c r="E50" s="73">
        <v>1.0035043611307832</v>
      </c>
      <c r="F50" s="60"/>
      <c r="G50" s="73"/>
      <c r="H50" s="60"/>
      <c r="I50" s="73"/>
      <c r="J50" s="60"/>
      <c r="K50" s="73"/>
      <c r="AA50" s="215">
        <v>0.2027382696893946</v>
      </c>
      <c r="AB50" s="215" t="e">
        <v>#N/A</v>
      </c>
      <c r="AC50" s="215" t="e">
        <v>#N/A</v>
      </c>
      <c r="AD50" s="215" t="e">
        <v>#N/A</v>
      </c>
      <c r="AE50" s="215" t="e">
        <v>#N/A</v>
      </c>
      <c r="AF50" s="215" t="e">
        <v>#N/A</v>
      </c>
      <c r="AG50" s="215" t="e">
        <v>#N/A</v>
      </c>
      <c r="AH50" s="215" t="e">
        <v>#N/A</v>
      </c>
      <c r="AI50" s="215">
        <v>0.34435389896390012</v>
      </c>
    </row>
    <row r="51" spans="1:35" x14ac:dyDescent="0.25">
      <c r="A51" s="149">
        <v>0.66</v>
      </c>
      <c r="B51" s="60">
        <v>45.961111111111116</v>
      </c>
      <c r="C51" s="73">
        <v>0.32445321451237169</v>
      </c>
      <c r="D51" s="60"/>
      <c r="E51" s="73"/>
      <c r="F51" s="60"/>
      <c r="G51" s="73"/>
      <c r="H51" s="60"/>
      <c r="I51" s="73"/>
      <c r="J51" s="60"/>
      <c r="K51" s="73"/>
      <c r="AA51" s="215">
        <v>0.21169130957270418</v>
      </c>
      <c r="AB51" s="215" t="e">
        <v>#N/A</v>
      </c>
      <c r="AC51" s="215" t="e">
        <v>#N/A</v>
      </c>
      <c r="AD51" s="215">
        <v>0.34444617464136235</v>
      </c>
      <c r="AE51" s="215" t="e">
        <v>#N/A</v>
      </c>
      <c r="AF51" s="215" t="e">
        <v>#N/A</v>
      </c>
      <c r="AG51" s="215" t="e">
        <v>#N/A</v>
      </c>
      <c r="AH51" s="215" t="e">
        <v>#N/A</v>
      </c>
      <c r="AI51" s="215" t="e">
        <v>#N/A</v>
      </c>
    </row>
    <row r="52" spans="1:35" x14ac:dyDescent="0.25">
      <c r="A52" s="149">
        <v>0.67</v>
      </c>
      <c r="B52" s="60"/>
      <c r="C52" s="73"/>
      <c r="D52" s="60"/>
      <c r="E52" s="73"/>
      <c r="F52" s="60"/>
      <c r="G52" s="73"/>
      <c r="H52" s="60">
        <v>49.257575757575758</v>
      </c>
      <c r="I52" s="73">
        <v>0.2141179992798363</v>
      </c>
      <c r="J52" s="60"/>
      <c r="K52" s="73"/>
      <c r="AA52" s="215">
        <v>0.21213113812027698</v>
      </c>
      <c r="AB52" s="215" t="e">
        <v>#N/A</v>
      </c>
      <c r="AC52" s="215" t="e">
        <v>#N/A</v>
      </c>
      <c r="AD52" s="215" t="e">
        <v>#N/A</v>
      </c>
      <c r="AE52" s="215" t="e">
        <v>#N/A</v>
      </c>
      <c r="AF52" s="215" t="e">
        <v>#N/A</v>
      </c>
      <c r="AG52" s="215" t="e">
        <v>#N/A</v>
      </c>
      <c r="AH52" s="215" t="e">
        <v>#N/A</v>
      </c>
      <c r="AI52" s="215">
        <v>0.3306238962355677</v>
      </c>
    </row>
    <row r="53" spans="1:35" x14ac:dyDescent="0.25">
      <c r="A53" s="149">
        <v>0.68</v>
      </c>
      <c r="B53" s="60">
        <v>47.489236111111111</v>
      </c>
      <c r="C53" s="73">
        <v>0.284615048688595</v>
      </c>
      <c r="D53" s="60"/>
      <c r="E53" s="73"/>
      <c r="F53" s="60"/>
      <c r="G53" s="73"/>
      <c r="H53" s="60"/>
      <c r="I53" s="73"/>
      <c r="J53" s="60"/>
      <c r="K53" s="73"/>
      <c r="AA53" s="215">
        <v>0.2133619312736732</v>
      </c>
      <c r="AB53" s="215" t="e">
        <v>#N/A</v>
      </c>
      <c r="AC53" s="215" t="e">
        <v>#N/A</v>
      </c>
      <c r="AD53" s="215" t="e">
        <v>#N/A</v>
      </c>
      <c r="AE53" s="215" t="e">
        <v>#N/A</v>
      </c>
      <c r="AF53" s="215" t="e">
        <v>#N/A</v>
      </c>
      <c r="AG53" s="215" t="e">
        <v>#N/A</v>
      </c>
      <c r="AH53" s="215">
        <v>0.16208390292466535</v>
      </c>
      <c r="AI53" s="215" t="e">
        <v>#N/A</v>
      </c>
    </row>
    <row r="54" spans="1:35" x14ac:dyDescent="0.25">
      <c r="A54" s="149">
        <v>0.70000000000000007</v>
      </c>
      <c r="B54" s="60">
        <v>48.752525252525253</v>
      </c>
      <c r="C54" s="73">
        <v>0.35638908945720671</v>
      </c>
      <c r="D54" s="60"/>
      <c r="E54" s="73"/>
      <c r="F54" s="60"/>
      <c r="G54" s="73"/>
      <c r="H54" s="60"/>
      <c r="I54" s="73"/>
      <c r="J54" s="60">
        <v>44.925925925925924</v>
      </c>
      <c r="K54" s="73">
        <v>1.2817617600254509</v>
      </c>
      <c r="AA54" s="215">
        <v>0.22876618141438113</v>
      </c>
      <c r="AB54" s="215" t="e">
        <v>#N/A</v>
      </c>
      <c r="AC54" s="215" t="e">
        <v>#N/A</v>
      </c>
      <c r="AD54" s="215" t="e">
        <v>#N/A</v>
      </c>
      <c r="AE54" s="215" t="e">
        <v>#N/A</v>
      </c>
      <c r="AF54" s="215" t="e">
        <v>#N/A</v>
      </c>
      <c r="AG54" s="215">
        <v>0.26971127856781363</v>
      </c>
      <c r="AH54" s="215" t="e">
        <v>#N/A</v>
      </c>
      <c r="AI54" s="215" t="e">
        <v>#N/A</v>
      </c>
    </row>
    <row r="55" spans="1:35" x14ac:dyDescent="0.25">
      <c r="A55" s="149">
        <v>0.72</v>
      </c>
      <c r="B55" s="60"/>
      <c r="C55" s="73"/>
      <c r="D55" s="60"/>
      <c r="E55" s="73"/>
      <c r="F55" s="60"/>
      <c r="G55" s="73"/>
      <c r="H55" s="60"/>
      <c r="I55" s="73"/>
      <c r="J55" s="60">
        <v>45.74074074074074</v>
      </c>
      <c r="K55" s="73">
        <v>0.61902965535370225</v>
      </c>
      <c r="AA55" s="215">
        <v>0.22976180214349332</v>
      </c>
      <c r="AB55" s="215" t="e">
        <v>#N/A</v>
      </c>
      <c r="AC55" s="215" t="e">
        <v>#N/A</v>
      </c>
      <c r="AD55" s="215" t="e">
        <v>#N/A</v>
      </c>
      <c r="AE55" s="215" t="e">
        <v>#N/A</v>
      </c>
      <c r="AF55" s="215">
        <v>0.21021471894285801</v>
      </c>
      <c r="AG55" s="215" t="e">
        <v>#N/A</v>
      </c>
      <c r="AH55" s="215" t="e">
        <v>#N/A</v>
      </c>
      <c r="AI55" s="215" t="e">
        <v>#N/A</v>
      </c>
    </row>
    <row r="56" spans="1:35" x14ac:dyDescent="0.25">
      <c r="A56" s="149">
        <v>0.74</v>
      </c>
      <c r="B56" s="60"/>
      <c r="C56" s="73"/>
      <c r="D56" s="60"/>
      <c r="E56" s="73"/>
      <c r="F56" s="60"/>
      <c r="G56" s="73"/>
      <c r="H56" s="60">
        <v>54.021212121212123</v>
      </c>
      <c r="I56" s="73">
        <v>0.22371002404670326</v>
      </c>
      <c r="J56" s="60">
        <v>47.407407407407412</v>
      </c>
      <c r="K56" s="73">
        <v>1.227755021093192</v>
      </c>
      <c r="AA56" s="215">
        <v>0.23186219578771949</v>
      </c>
      <c r="AB56" s="215" t="e">
        <v>#N/A</v>
      </c>
      <c r="AC56" s="215" t="e">
        <v>#N/A</v>
      </c>
      <c r="AD56" s="215" t="e">
        <v>#N/A</v>
      </c>
      <c r="AE56" s="215" t="e">
        <v>#N/A</v>
      </c>
      <c r="AF56" s="215" t="e">
        <v>#N/A</v>
      </c>
      <c r="AG56" s="215" t="e">
        <v>#N/A</v>
      </c>
      <c r="AH56" s="215" t="e">
        <v>#N/A</v>
      </c>
      <c r="AI56" s="215">
        <v>0.49033358348481709</v>
      </c>
    </row>
    <row r="57" spans="1:35" x14ac:dyDescent="0.25">
      <c r="A57" s="149">
        <v>0.75</v>
      </c>
      <c r="B57" s="60"/>
      <c r="C57" s="73"/>
      <c r="D57" s="60"/>
      <c r="E57" s="73"/>
      <c r="F57" s="60"/>
      <c r="G57" s="73"/>
      <c r="H57" s="60">
        <v>54.971048722519313</v>
      </c>
      <c r="I57" s="73">
        <v>0.46098731702471685</v>
      </c>
      <c r="J57" s="60"/>
      <c r="K57" s="73"/>
      <c r="AA57" s="215">
        <v>0.23920275635467531</v>
      </c>
      <c r="AB57" s="215" t="e">
        <v>#N/A</v>
      </c>
      <c r="AC57" s="215" t="e">
        <v>#N/A</v>
      </c>
      <c r="AD57" s="215" t="e">
        <v>#N/A</v>
      </c>
      <c r="AE57" s="215" t="e">
        <v>#N/A</v>
      </c>
      <c r="AF57" s="215" t="e">
        <v>#N/A</v>
      </c>
      <c r="AG57" s="215" t="e">
        <v>#N/A</v>
      </c>
      <c r="AH57" s="215">
        <v>0.16800686798882636</v>
      </c>
      <c r="AI57" s="215" t="e">
        <v>#N/A</v>
      </c>
    </row>
    <row r="58" spans="1:35" x14ac:dyDescent="0.25">
      <c r="A58" s="149">
        <v>0.76</v>
      </c>
      <c r="B58" s="60"/>
      <c r="C58" s="73"/>
      <c r="D58" s="60"/>
      <c r="E58" s="73"/>
      <c r="F58" s="60">
        <v>57.210317460317469</v>
      </c>
      <c r="G58" s="73">
        <v>0.95899900142358907</v>
      </c>
      <c r="H58" s="60">
        <v>56.125</v>
      </c>
      <c r="I58" s="73">
        <v>0.47236298177643204</v>
      </c>
      <c r="J58" s="60">
        <v>48.603703703703701</v>
      </c>
      <c r="K58" s="73">
        <v>1.3392629044221371</v>
      </c>
      <c r="AA58" s="215">
        <v>0.24133771429440673</v>
      </c>
      <c r="AB58" s="215" t="e">
        <v>#N/A</v>
      </c>
      <c r="AC58" s="215" t="e">
        <v>#N/A</v>
      </c>
      <c r="AD58" s="215">
        <v>0.24551542522963241</v>
      </c>
      <c r="AE58" s="215" t="e">
        <v>#N/A</v>
      </c>
      <c r="AF58" s="215" t="e">
        <v>#N/A</v>
      </c>
      <c r="AG58" s="215" t="e">
        <v>#N/A</v>
      </c>
      <c r="AH58" s="215" t="e">
        <v>#N/A</v>
      </c>
      <c r="AI58" s="215" t="e">
        <v>#N/A</v>
      </c>
    </row>
    <row r="59" spans="1:35" x14ac:dyDescent="0.25">
      <c r="A59" s="149">
        <v>0.77</v>
      </c>
      <c r="B59" s="60"/>
      <c r="C59" s="73"/>
      <c r="D59" s="60"/>
      <c r="E59" s="73"/>
      <c r="F59" s="60"/>
      <c r="G59" s="73"/>
      <c r="H59" s="60"/>
      <c r="I59" s="73"/>
      <c r="J59" s="60">
        <v>48.918518518518518</v>
      </c>
      <c r="K59" s="73">
        <v>1.1255584311320885</v>
      </c>
      <c r="AA59" s="215">
        <v>0.24204809930178434</v>
      </c>
      <c r="AB59" s="215" t="e">
        <v>#N/A</v>
      </c>
      <c r="AC59" s="215">
        <v>9.8829320237326823E-2</v>
      </c>
      <c r="AD59" s="215" t="e">
        <v>#N/A</v>
      </c>
      <c r="AE59" s="215" t="e">
        <v>#N/A</v>
      </c>
      <c r="AF59" s="215" t="e">
        <v>#N/A</v>
      </c>
      <c r="AG59" s="215" t="e">
        <v>#N/A</v>
      </c>
      <c r="AH59" s="215" t="e">
        <v>#N/A</v>
      </c>
      <c r="AI59" s="215" t="e">
        <v>#N/A</v>
      </c>
    </row>
    <row r="60" spans="1:35" x14ac:dyDescent="0.25">
      <c r="A60" s="149">
        <v>0.79</v>
      </c>
      <c r="B60" s="60"/>
      <c r="C60" s="73"/>
      <c r="D60" s="60">
        <v>59.421212121212115</v>
      </c>
      <c r="E60" s="73">
        <v>0.33085325630630852</v>
      </c>
      <c r="F60" s="60"/>
      <c r="G60" s="73"/>
      <c r="H60" s="60"/>
      <c r="I60" s="73"/>
      <c r="J60" s="60">
        <v>50.25925925925926</v>
      </c>
      <c r="K60" s="73">
        <v>1.3774511413063049</v>
      </c>
      <c r="AA60" s="215">
        <v>0.25347282435084195</v>
      </c>
      <c r="AB60" s="215" t="e">
        <v>#N/A</v>
      </c>
      <c r="AC60" s="215" t="e">
        <v>#N/A</v>
      </c>
      <c r="AD60" s="215" t="e">
        <v>#N/A</v>
      </c>
      <c r="AE60" s="215" t="e">
        <v>#N/A</v>
      </c>
      <c r="AF60" s="215" t="e">
        <v>#N/A</v>
      </c>
      <c r="AG60" s="215" t="e">
        <v>#N/A</v>
      </c>
      <c r="AH60" s="215">
        <v>0.17102828618696231</v>
      </c>
      <c r="AI60" s="215" t="e">
        <v>#N/A</v>
      </c>
    </row>
    <row r="61" spans="1:35" x14ac:dyDescent="0.25">
      <c r="A61" s="149">
        <v>0.8</v>
      </c>
      <c r="B61" s="60"/>
      <c r="C61" s="73"/>
      <c r="D61" s="60"/>
      <c r="E61" s="73"/>
      <c r="F61" s="60"/>
      <c r="G61" s="73"/>
      <c r="H61" s="60"/>
      <c r="I61" s="73"/>
      <c r="J61" s="60">
        <v>51.033333333333331</v>
      </c>
      <c r="K61" s="73">
        <v>1.3740283270689924</v>
      </c>
      <c r="AA61" s="215">
        <v>0.26573095879158481</v>
      </c>
      <c r="AB61" s="215" t="e">
        <v>#N/A</v>
      </c>
      <c r="AC61" s="215" t="e">
        <v>#N/A</v>
      </c>
      <c r="AD61" s="215" t="e">
        <v>#N/A</v>
      </c>
      <c r="AE61" s="215" t="e">
        <v>#N/A</v>
      </c>
      <c r="AF61" s="215" t="e">
        <v>#N/A</v>
      </c>
      <c r="AG61" s="215" t="e">
        <v>#N/A</v>
      </c>
      <c r="AH61" s="215">
        <v>0.18478550120979248</v>
      </c>
      <c r="AI61" s="215" t="e">
        <v>#N/A</v>
      </c>
    </row>
    <row r="62" spans="1:35" x14ac:dyDescent="0.25">
      <c r="A62" s="149">
        <v>0.82000000000000006</v>
      </c>
      <c r="B62" s="60"/>
      <c r="C62" s="73"/>
      <c r="D62" s="60"/>
      <c r="E62" s="73"/>
      <c r="F62" s="60"/>
      <c r="G62" s="73"/>
      <c r="H62" s="60">
        <v>60.040079099821753</v>
      </c>
      <c r="I62" s="73">
        <v>0.34637143300178058</v>
      </c>
      <c r="J62" s="60"/>
      <c r="K62" s="73"/>
      <c r="AA62" s="215">
        <v>0.27561761917076111</v>
      </c>
      <c r="AB62" s="215">
        <v>0.24747104080859131</v>
      </c>
      <c r="AC62" s="215" t="e">
        <v>#N/A</v>
      </c>
      <c r="AD62" s="215" t="e">
        <v>#N/A</v>
      </c>
      <c r="AE62" s="215" t="e">
        <v>#N/A</v>
      </c>
      <c r="AF62" s="215" t="e">
        <v>#N/A</v>
      </c>
      <c r="AG62" s="215" t="e">
        <v>#N/A</v>
      </c>
      <c r="AH62" s="215" t="e">
        <v>#N/A</v>
      </c>
      <c r="AI62" s="215" t="e">
        <v>#N/A</v>
      </c>
    </row>
    <row r="63" spans="1:35" x14ac:dyDescent="0.25">
      <c r="A63" s="149">
        <v>0.83000000000000007</v>
      </c>
      <c r="B63" s="60"/>
      <c r="C63" s="73"/>
      <c r="D63" s="60">
        <v>62.429545454545455</v>
      </c>
      <c r="E63" s="73">
        <v>0.34599719055063832</v>
      </c>
      <c r="F63" s="60"/>
      <c r="G63" s="73"/>
      <c r="H63" s="60"/>
      <c r="I63" s="73"/>
      <c r="J63" s="60"/>
      <c r="K63" s="73"/>
      <c r="AA63" s="215">
        <v>0.28184351923684736</v>
      </c>
      <c r="AB63" s="215" t="e">
        <v>#N/A</v>
      </c>
      <c r="AC63" s="215" t="e">
        <v>#N/A</v>
      </c>
      <c r="AD63" s="215" t="e">
        <v>#N/A</v>
      </c>
      <c r="AE63" s="215" t="e">
        <v>#N/A</v>
      </c>
      <c r="AF63" s="215">
        <v>0.25286004256319128</v>
      </c>
      <c r="AG63" s="215" t="e">
        <v>#N/A</v>
      </c>
      <c r="AH63" s="215" t="e">
        <v>#N/A</v>
      </c>
      <c r="AI63" s="215" t="e">
        <v>#N/A</v>
      </c>
    </row>
    <row r="64" spans="1:35" x14ac:dyDescent="0.25">
      <c r="A64" s="149">
        <v>0.85</v>
      </c>
      <c r="B64" s="60"/>
      <c r="C64" s="73"/>
      <c r="D64" s="60">
        <v>64.268181818181816</v>
      </c>
      <c r="E64" s="73">
        <v>0.38880960210423587</v>
      </c>
      <c r="F64" s="60"/>
      <c r="G64" s="73"/>
      <c r="H64" s="60">
        <v>62.105555555555554</v>
      </c>
      <c r="I64" s="73">
        <v>0.51192707631293743</v>
      </c>
      <c r="J64" s="60">
        <v>53.966666666666669</v>
      </c>
      <c r="K64" s="73">
        <v>1.0074532958660602</v>
      </c>
      <c r="AA64" s="215">
        <v>0.29222768152170792</v>
      </c>
      <c r="AB64" s="215" t="e">
        <v>#N/A</v>
      </c>
      <c r="AC64" s="215" t="e">
        <v>#N/A</v>
      </c>
      <c r="AD64" s="215" t="e">
        <v>#N/A</v>
      </c>
      <c r="AE64" s="215" t="e">
        <v>#N/A</v>
      </c>
      <c r="AF64" s="215">
        <v>0.27919130141827481</v>
      </c>
      <c r="AG64" s="215" t="e">
        <v>#N/A</v>
      </c>
      <c r="AH64" s="215" t="e">
        <v>#N/A</v>
      </c>
      <c r="AI64" s="215" t="e">
        <v>#N/A</v>
      </c>
    </row>
    <row r="65" spans="1:35" x14ac:dyDescent="0.25">
      <c r="A65" s="149">
        <v>0.87</v>
      </c>
      <c r="B65" s="60"/>
      <c r="C65" s="73"/>
      <c r="D65" s="60"/>
      <c r="E65" s="73"/>
      <c r="F65" s="60"/>
      <c r="G65" s="73"/>
      <c r="H65" s="60">
        <v>63.927083333333329</v>
      </c>
      <c r="I65" s="73">
        <v>0.46409661693382043</v>
      </c>
      <c r="J65" s="60"/>
      <c r="K65" s="73"/>
      <c r="AA65" s="215">
        <v>0.29655056359238813</v>
      </c>
      <c r="AB65" s="215" t="e">
        <v>#N/A</v>
      </c>
      <c r="AC65" s="215" t="e">
        <v>#N/A</v>
      </c>
      <c r="AD65" s="215">
        <v>0.15544193767138964</v>
      </c>
      <c r="AE65" s="215" t="e">
        <v>#N/A</v>
      </c>
      <c r="AF65" s="215" t="e">
        <v>#N/A</v>
      </c>
      <c r="AG65" s="215" t="e">
        <v>#N/A</v>
      </c>
      <c r="AH65" s="215" t="e">
        <v>#N/A</v>
      </c>
      <c r="AI65" s="215" t="e">
        <v>#N/A</v>
      </c>
    </row>
    <row r="66" spans="1:35" x14ac:dyDescent="0.25">
      <c r="A66" s="149">
        <v>0.45</v>
      </c>
      <c r="B66" s="60"/>
      <c r="C66" s="73"/>
      <c r="D66" s="60">
        <v>33.700000000000003</v>
      </c>
      <c r="E66" s="73">
        <v>0.233589265452812</v>
      </c>
      <c r="F66" s="60"/>
      <c r="G66" s="73"/>
      <c r="H66" s="60"/>
      <c r="I66" s="73"/>
      <c r="J66" s="60"/>
      <c r="K66" s="73"/>
      <c r="AA66" s="215">
        <v>0.3095032058595355</v>
      </c>
      <c r="AB66" s="215" t="e">
        <v>#N/A</v>
      </c>
      <c r="AC66" s="215" t="e">
        <v>#N/A</v>
      </c>
      <c r="AD66" s="215" t="e">
        <v>#N/A</v>
      </c>
      <c r="AE66" s="215" t="e">
        <v>#N/A</v>
      </c>
      <c r="AF66" s="215" t="e">
        <v>#N/A</v>
      </c>
      <c r="AG66" s="215" t="e">
        <v>#N/A</v>
      </c>
      <c r="AH66" s="215">
        <v>0.17878856696611251</v>
      </c>
      <c r="AI66" s="215" t="e">
        <v>#N/A</v>
      </c>
    </row>
    <row r="67" spans="1:35" x14ac:dyDescent="0.25">
      <c r="AA67" s="215">
        <v>0.31619645703294674</v>
      </c>
      <c r="AB67" s="215" t="e">
        <v>#N/A</v>
      </c>
      <c r="AC67" s="215" t="e">
        <v>#N/A</v>
      </c>
      <c r="AD67" s="215">
        <v>0.15481857555113479</v>
      </c>
      <c r="AE67" s="215" t="e">
        <v>#N/A</v>
      </c>
      <c r="AF67" s="215" t="e">
        <v>#N/A</v>
      </c>
      <c r="AG67" s="215" t="e">
        <v>#N/A</v>
      </c>
      <c r="AH67" s="215" t="e">
        <v>#N/A</v>
      </c>
      <c r="AI67" s="215" t="e">
        <v>#N/A</v>
      </c>
    </row>
    <row r="68" spans="1:35" x14ac:dyDescent="0.25">
      <c r="AA68" s="215">
        <v>0.32849179668419387</v>
      </c>
      <c r="AB68" s="215" t="e">
        <v>#N/A</v>
      </c>
      <c r="AC68" s="215" t="e">
        <v>#N/A</v>
      </c>
      <c r="AD68" s="215" t="e">
        <v>#N/A</v>
      </c>
      <c r="AE68" s="215" t="e">
        <v>#N/A</v>
      </c>
      <c r="AF68" s="215" t="e">
        <v>#N/A</v>
      </c>
      <c r="AG68" s="215" t="e">
        <v>#N/A</v>
      </c>
      <c r="AH68" s="215" t="e">
        <v>#N/A</v>
      </c>
      <c r="AI68" s="215">
        <v>0.3821734862349872</v>
      </c>
    </row>
    <row r="69" spans="1:35" x14ac:dyDescent="0.25">
      <c r="AA69" s="215">
        <v>0.33335134965545565</v>
      </c>
      <c r="AB69" s="215">
        <v>0.23537157400344649</v>
      </c>
      <c r="AC69" s="215" t="e">
        <v>#N/A</v>
      </c>
      <c r="AD69" s="215" t="e">
        <v>#N/A</v>
      </c>
      <c r="AE69" s="215" t="e">
        <v>#N/A</v>
      </c>
      <c r="AF69" s="215" t="e">
        <v>#N/A</v>
      </c>
      <c r="AG69" s="215" t="e">
        <v>#N/A</v>
      </c>
      <c r="AH69" s="215" t="e">
        <v>#N/A</v>
      </c>
      <c r="AI69" s="215" t="e">
        <v>#N/A</v>
      </c>
    </row>
    <row r="70" spans="1:35" x14ac:dyDescent="0.25">
      <c r="AA70" s="215">
        <v>0.33464087147659677</v>
      </c>
      <c r="AB70" s="215">
        <v>0.27097875811431282</v>
      </c>
      <c r="AC70" s="215" t="e">
        <v>#N/A</v>
      </c>
      <c r="AD70" s="215" t="e">
        <v>#N/A</v>
      </c>
      <c r="AE70" s="215" t="e">
        <v>#N/A</v>
      </c>
      <c r="AF70" s="215" t="e">
        <v>#N/A</v>
      </c>
      <c r="AG70" s="215" t="e">
        <v>#N/A</v>
      </c>
      <c r="AH70" s="215" t="e">
        <v>#N/A</v>
      </c>
      <c r="AI70" s="215" t="e">
        <v>#N/A</v>
      </c>
    </row>
    <row r="71" spans="1:35" x14ac:dyDescent="0.25">
      <c r="AA71" s="215">
        <v>0.33898827180212654</v>
      </c>
      <c r="AB71" s="215" t="e">
        <v>#N/A</v>
      </c>
      <c r="AC71" s="215" t="e">
        <v>#N/A</v>
      </c>
      <c r="AD71" s="215" t="e">
        <v>#N/A</v>
      </c>
      <c r="AE71" s="215" t="e">
        <v>#N/A</v>
      </c>
      <c r="AF71" s="215" t="e">
        <v>#N/A</v>
      </c>
      <c r="AG71" s="215" t="e">
        <v>#N/A</v>
      </c>
      <c r="AH71" s="215">
        <v>0.18453547350022789</v>
      </c>
      <c r="AI71" s="215" t="e">
        <v>#N/A</v>
      </c>
    </row>
    <row r="72" spans="1:35" x14ac:dyDescent="0.25">
      <c r="AA72" s="215">
        <v>0.33997760986991121</v>
      </c>
      <c r="AB72" s="215" t="e">
        <v>#N/A</v>
      </c>
      <c r="AC72" s="215" t="e">
        <v>#N/A</v>
      </c>
      <c r="AD72" s="215" t="e">
        <v>#N/A</v>
      </c>
      <c r="AE72" s="215" t="e">
        <v>#N/A</v>
      </c>
      <c r="AF72" s="215" t="e">
        <v>#N/A</v>
      </c>
      <c r="AG72" s="215">
        <v>0.24776598173587749</v>
      </c>
      <c r="AH72" s="215" t="e">
        <v>#N/A</v>
      </c>
      <c r="AI72" s="215" t="e">
        <v>#N/A</v>
      </c>
    </row>
    <row r="73" spans="1:35" x14ac:dyDescent="0.25">
      <c r="AA73" s="215">
        <v>0.35913983708301006</v>
      </c>
      <c r="AB73" s="215" t="e">
        <v>#N/A</v>
      </c>
      <c r="AC73" s="215">
        <v>0.1137712211585975</v>
      </c>
      <c r="AD73" s="215" t="e">
        <v>#N/A</v>
      </c>
      <c r="AE73" s="215" t="e">
        <v>#N/A</v>
      </c>
      <c r="AF73" s="215" t="e">
        <v>#N/A</v>
      </c>
      <c r="AG73" s="215" t="e">
        <v>#N/A</v>
      </c>
      <c r="AH73" s="215" t="e">
        <v>#N/A</v>
      </c>
      <c r="AI73" s="215" t="e">
        <v>#N/A</v>
      </c>
    </row>
    <row r="74" spans="1:35" x14ac:dyDescent="0.25">
      <c r="AA74" s="215">
        <v>0.36012700054593</v>
      </c>
      <c r="AB74" s="215" t="e">
        <v>#N/A</v>
      </c>
      <c r="AC74" s="215" t="e">
        <v>#N/A</v>
      </c>
      <c r="AD74" s="215" t="e">
        <v>#N/A</v>
      </c>
      <c r="AE74" s="215" t="e">
        <v>#N/A</v>
      </c>
      <c r="AF74" s="215">
        <v>0.25693345001399481</v>
      </c>
      <c r="AG74" s="215" t="e">
        <v>#N/A</v>
      </c>
      <c r="AH74" s="215" t="e">
        <v>#N/A</v>
      </c>
      <c r="AI74" s="215" t="e">
        <v>#N/A</v>
      </c>
    </row>
    <row r="75" spans="1:35" x14ac:dyDescent="0.25">
      <c r="AA75" s="215">
        <v>0.36374881475734844</v>
      </c>
      <c r="AB75" s="215" t="e">
        <v>#N/A</v>
      </c>
      <c r="AC75" s="215" t="e">
        <v>#N/A</v>
      </c>
      <c r="AD75" s="215" t="e">
        <v>#N/A</v>
      </c>
      <c r="AE75" s="215" t="e">
        <v>#N/A</v>
      </c>
      <c r="AF75" s="215">
        <v>0.59217835931553797</v>
      </c>
      <c r="AG75" s="215" t="e">
        <v>#N/A</v>
      </c>
      <c r="AH75" s="215" t="e">
        <v>#N/A</v>
      </c>
      <c r="AI75" s="215" t="e">
        <v>#N/A</v>
      </c>
    </row>
    <row r="76" spans="1:35" x14ac:dyDescent="0.25">
      <c r="AA76" s="215">
        <v>0.37595034910783548</v>
      </c>
      <c r="AB76" s="215" t="e">
        <v>#N/A</v>
      </c>
      <c r="AC76" s="215">
        <v>0.1220509026578615</v>
      </c>
      <c r="AD76" s="215" t="e">
        <v>#N/A</v>
      </c>
      <c r="AE76" s="215" t="e">
        <v>#N/A</v>
      </c>
      <c r="AF76" s="215" t="e">
        <v>#N/A</v>
      </c>
      <c r="AG76" s="215" t="e">
        <v>#N/A</v>
      </c>
      <c r="AH76" s="215" t="e">
        <v>#N/A</v>
      </c>
      <c r="AI76" s="215" t="e">
        <v>#N/A</v>
      </c>
    </row>
    <row r="77" spans="1:35" x14ac:dyDescent="0.25">
      <c r="AA77" s="215">
        <v>0.39154670574375766</v>
      </c>
      <c r="AB77" s="215" t="e">
        <v>#N/A</v>
      </c>
      <c r="AC77" s="215" t="e">
        <v>#N/A</v>
      </c>
      <c r="AD77" s="215">
        <v>0.19344804233874538</v>
      </c>
      <c r="AE77" s="215" t="e">
        <v>#N/A</v>
      </c>
      <c r="AF77" s="215" t="e">
        <v>#N/A</v>
      </c>
      <c r="AG77" s="215" t="e">
        <v>#N/A</v>
      </c>
      <c r="AH77" s="215" t="e">
        <v>#N/A</v>
      </c>
      <c r="AI77" s="215" t="e">
        <v>#N/A</v>
      </c>
    </row>
    <row r="78" spans="1:35" x14ac:dyDescent="0.25">
      <c r="AA78" s="215">
        <v>0.39190299686808611</v>
      </c>
      <c r="AB78" s="215" t="e">
        <v>#N/A</v>
      </c>
      <c r="AC78" s="215" t="e">
        <v>#N/A</v>
      </c>
      <c r="AD78" s="215" t="e">
        <v>#N/A</v>
      </c>
      <c r="AE78" s="215" t="e">
        <v>#N/A</v>
      </c>
      <c r="AF78" s="215" t="e">
        <v>#N/A</v>
      </c>
      <c r="AG78" s="215" t="e">
        <v>#N/A</v>
      </c>
      <c r="AH78" s="215" t="e">
        <v>#N/A</v>
      </c>
      <c r="AI78" s="215">
        <v>0.58959784170468954</v>
      </c>
    </row>
    <row r="79" spans="1:35" x14ac:dyDescent="0.25">
      <c r="AA79" s="215">
        <v>0.40995029164152513</v>
      </c>
      <c r="AB79" s="215" t="e">
        <v>#N/A</v>
      </c>
      <c r="AC79" s="215" t="e">
        <v>#N/A</v>
      </c>
      <c r="AD79" s="215" t="e">
        <v>#N/A</v>
      </c>
      <c r="AE79" s="215" t="e">
        <v>#N/A</v>
      </c>
      <c r="AF79" s="215" t="e">
        <v>#N/A</v>
      </c>
      <c r="AG79" s="215" t="e">
        <v>#N/A</v>
      </c>
      <c r="AH79" s="215" t="e">
        <v>#N/A</v>
      </c>
      <c r="AI79" s="215">
        <v>0.50133485819597334</v>
      </c>
    </row>
    <row r="80" spans="1:35" x14ac:dyDescent="0.25">
      <c r="AA80" s="215">
        <v>0.41449276685072783</v>
      </c>
      <c r="AB80" s="215" t="e">
        <v>#N/A</v>
      </c>
      <c r="AC80" s="215">
        <v>0.11382646205373795</v>
      </c>
      <c r="AD80" s="215" t="e">
        <v>#N/A</v>
      </c>
      <c r="AE80" s="215" t="e">
        <v>#N/A</v>
      </c>
      <c r="AF80" s="215" t="e">
        <v>#N/A</v>
      </c>
      <c r="AG80" s="215" t="e">
        <v>#N/A</v>
      </c>
      <c r="AH80" s="215" t="e">
        <v>#N/A</v>
      </c>
      <c r="AI80" s="215" t="e">
        <v>#N/A</v>
      </c>
    </row>
    <row r="81" spans="27:35" x14ac:dyDescent="0.25">
      <c r="AA81" s="215">
        <v>0.41702999741401603</v>
      </c>
      <c r="AB81" s="215" t="e">
        <v>#N/A</v>
      </c>
      <c r="AC81" s="215" t="e">
        <v>#N/A</v>
      </c>
      <c r="AD81" s="215" t="e">
        <v>#N/A</v>
      </c>
      <c r="AE81" s="215">
        <v>0.18708273940370831</v>
      </c>
      <c r="AF81" s="215" t="e">
        <v>#N/A</v>
      </c>
      <c r="AG81" s="215" t="e">
        <v>#N/A</v>
      </c>
      <c r="AH81" s="215" t="e">
        <v>#N/A</v>
      </c>
      <c r="AI81" s="215" t="e">
        <v>#N/A</v>
      </c>
    </row>
    <row r="82" spans="27:35" x14ac:dyDescent="0.25">
      <c r="AA82" s="215">
        <v>0.41909030830675514</v>
      </c>
      <c r="AB82" s="215" t="e">
        <v>#N/A</v>
      </c>
      <c r="AC82" s="215" t="e">
        <v>#N/A</v>
      </c>
      <c r="AD82" s="215" t="e">
        <v>#N/A</v>
      </c>
      <c r="AE82" s="215" t="e">
        <v>#N/A</v>
      </c>
      <c r="AF82" s="215">
        <v>0.86688896098379542</v>
      </c>
      <c r="AG82" s="215" t="e">
        <v>#N/A</v>
      </c>
      <c r="AH82" s="215" t="e">
        <v>#N/A</v>
      </c>
      <c r="AI82" s="215" t="e">
        <v>#N/A</v>
      </c>
    </row>
    <row r="83" spans="27:35" x14ac:dyDescent="0.25">
      <c r="AA83" s="215">
        <v>0.43729828190854692</v>
      </c>
      <c r="AB83" s="215" t="e">
        <v>#N/A</v>
      </c>
      <c r="AC83" s="215" t="e">
        <v>#N/A</v>
      </c>
      <c r="AD83" s="215">
        <v>0.20141286979510664</v>
      </c>
      <c r="AE83" s="215" t="e">
        <v>#N/A</v>
      </c>
      <c r="AF83" s="215" t="e">
        <v>#N/A</v>
      </c>
      <c r="AG83" s="215" t="e">
        <v>#N/A</v>
      </c>
      <c r="AH83" s="215" t="e">
        <v>#N/A</v>
      </c>
      <c r="AI83" s="215" t="e">
        <v>#N/A</v>
      </c>
    </row>
    <row r="84" spans="27:35" x14ac:dyDescent="0.25">
      <c r="AA84" s="215">
        <v>0.45074998288687074</v>
      </c>
      <c r="AB84" s="215">
        <v>0.58864848545418547</v>
      </c>
      <c r="AC84" s="215" t="e">
        <v>#N/A</v>
      </c>
      <c r="AD84" s="215" t="e">
        <v>#N/A</v>
      </c>
      <c r="AE84" s="215" t="e">
        <v>#N/A</v>
      </c>
      <c r="AF84" s="215" t="e">
        <v>#N/A</v>
      </c>
      <c r="AG84" s="215" t="e">
        <v>#N/A</v>
      </c>
      <c r="AH84" s="215" t="e">
        <v>#N/A</v>
      </c>
      <c r="AI84" s="215" t="e">
        <v>#N/A</v>
      </c>
    </row>
    <row r="85" spans="27:35" x14ac:dyDescent="0.25">
      <c r="AA85" s="215">
        <v>0.4614724305375974</v>
      </c>
      <c r="AB85" s="215" t="e">
        <v>#N/A</v>
      </c>
      <c r="AC85" s="215" t="e">
        <v>#N/A</v>
      </c>
      <c r="AD85" s="215" t="e">
        <v>#N/A</v>
      </c>
      <c r="AE85" s="215" t="e">
        <v>#N/A</v>
      </c>
      <c r="AF85" s="215" t="e">
        <v>#N/A</v>
      </c>
      <c r="AG85" s="215">
        <v>0.94486020957379535</v>
      </c>
      <c r="AH85" s="215" t="e">
        <v>#N/A</v>
      </c>
      <c r="AI85" s="215" t="e">
        <v>#N/A</v>
      </c>
    </row>
    <row r="86" spans="27:35" x14ac:dyDescent="0.25">
      <c r="AA86" s="215">
        <v>0.46837916271585794</v>
      </c>
      <c r="AB86" s="215" t="e">
        <v>#N/A</v>
      </c>
      <c r="AC86" s="215" t="e">
        <v>#N/A</v>
      </c>
      <c r="AD86" s="215" t="e">
        <v>#N/A</v>
      </c>
      <c r="AE86" s="215" t="e">
        <v>#N/A</v>
      </c>
      <c r="AF86" s="215">
        <v>0.98734279889595244</v>
      </c>
      <c r="AG86" s="215" t="e">
        <v>#N/A</v>
      </c>
      <c r="AH86" s="215" t="e">
        <v>#N/A</v>
      </c>
      <c r="AI86" s="215" t="e">
        <v>#N/A</v>
      </c>
    </row>
    <row r="87" spans="27:35" x14ac:dyDescent="0.25">
      <c r="AA87" s="215">
        <v>0.46908025170243944</v>
      </c>
      <c r="AB87" s="215" t="e">
        <v>#N/A</v>
      </c>
      <c r="AC87" s="215">
        <v>0.12747489874914486</v>
      </c>
      <c r="AD87" s="215" t="e">
        <v>#N/A</v>
      </c>
      <c r="AE87" s="215" t="e">
        <v>#N/A</v>
      </c>
      <c r="AF87" s="215" t="e">
        <v>#N/A</v>
      </c>
      <c r="AG87" s="215" t="e">
        <v>#N/A</v>
      </c>
      <c r="AH87" s="215" t="e">
        <v>#N/A</v>
      </c>
      <c r="AI87" s="215" t="e">
        <v>#N/A</v>
      </c>
    </row>
    <row r="88" spans="27:35" x14ac:dyDescent="0.25">
      <c r="AA88" s="215">
        <v>0.47599172485130598</v>
      </c>
      <c r="AB88" s="215" t="e">
        <v>#N/A</v>
      </c>
      <c r="AC88" s="215" t="e">
        <v>#N/A</v>
      </c>
      <c r="AD88" s="215" t="e">
        <v>#N/A</v>
      </c>
      <c r="AE88" s="215" t="e">
        <v>#N/A</v>
      </c>
      <c r="AF88" s="215" t="e">
        <v>#N/A</v>
      </c>
      <c r="AG88" s="215" t="e">
        <v>#N/A</v>
      </c>
      <c r="AH88" s="215">
        <v>0.23780301124955791</v>
      </c>
      <c r="AI88" s="215" t="e">
        <v>#N/A</v>
      </c>
    </row>
    <row r="89" spans="27:35" x14ac:dyDescent="0.25">
      <c r="AA89" s="215">
        <v>0.47636895526247736</v>
      </c>
      <c r="AB89" s="215" t="e">
        <v>#N/A</v>
      </c>
      <c r="AC89" s="215" t="e">
        <v>#N/A</v>
      </c>
      <c r="AD89" s="215" t="e">
        <v>#N/A</v>
      </c>
      <c r="AE89" s="215" t="e">
        <v>#N/A</v>
      </c>
      <c r="AF89" s="215" t="e">
        <v>#N/A</v>
      </c>
      <c r="AG89" s="215" t="e">
        <v>#N/A</v>
      </c>
      <c r="AH89" s="215">
        <v>0.29382635968487436</v>
      </c>
      <c r="AI89" s="215" t="e">
        <v>#N/A</v>
      </c>
    </row>
    <row r="90" spans="27:35" x14ac:dyDescent="0.25">
      <c r="AA90" s="215">
        <v>0.47788337212309279</v>
      </c>
      <c r="AB90" s="215" t="e">
        <v>#N/A</v>
      </c>
      <c r="AC90" s="215" t="e">
        <v>#N/A</v>
      </c>
      <c r="AD90" s="215" t="e">
        <v>#N/A</v>
      </c>
      <c r="AE90" s="215" t="e">
        <v>#N/A</v>
      </c>
      <c r="AF90" s="215" t="e">
        <v>#N/A</v>
      </c>
      <c r="AG90" s="215" t="e">
        <v>#N/A</v>
      </c>
      <c r="AH90" s="215">
        <v>1.1353691109673829</v>
      </c>
      <c r="AI90" s="215" t="e">
        <v>#N/A</v>
      </c>
    </row>
    <row r="91" spans="27:35" x14ac:dyDescent="0.25">
      <c r="AA91" s="215">
        <v>0.48270530865565769</v>
      </c>
      <c r="AB91" s="215" t="e">
        <v>#N/A</v>
      </c>
      <c r="AC91" s="215" t="e">
        <v>#N/A</v>
      </c>
      <c r="AD91" s="215" t="e">
        <v>#N/A</v>
      </c>
      <c r="AE91" s="215" t="e">
        <v>#N/A</v>
      </c>
      <c r="AF91" s="215" t="e">
        <v>#N/A</v>
      </c>
      <c r="AG91" s="215" t="e">
        <v>#N/A</v>
      </c>
      <c r="AH91" s="215">
        <v>0.52980489719111601</v>
      </c>
      <c r="AI91" s="215" t="e">
        <v>#N/A</v>
      </c>
    </row>
    <row r="92" spans="27:35" x14ac:dyDescent="0.25">
      <c r="AA92" s="215">
        <v>0.48496541880263877</v>
      </c>
      <c r="AB92" s="215" t="e">
        <v>#N/A</v>
      </c>
      <c r="AC92" s="215">
        <v>0.14194134164131386</v>
      </c>
      <c r="AD92" s="215" t="e">
        <v>#N/A</v>
      </c>
      <c r="AE92" s="215" t="e">
        <v>#N/A</v>
      </c>
      <c r="AF92" s="215" t="e">
        <v>#N/A</v>
      </c>
      <c r="AG92" s="215" t="e">
        <v>#N/A</v>
      </c>
      <c r="AH92" s="215" t="e">
        <v>#N/A</v>
      </c>
      <c r="AI92" s="215" t="e">
        <v>#N/A</v>
      </c>
    </row>
    <row r="93" spans="27:35" x14ac:dyDescent="0.25">
      <c r="AA93" s="215">
        <v>0.49365638240735221</v>
      </c>
      <c r="AB93" s="215" t="e">
        <v>#N/A</v>
      </c>
      <c r="AC93" s="215" t="e">
        <v>#N/A</v>
      </c>
      <c r="AD93" s="215" t="e">
        <v>#N/A</v>
      </c>
      <c r="AE93" s="215" t="e">
        <v>#N/A</v>
      </c>
      <c r="AF93" s="215" t="e">
        <v>#N/A</v>
      </c>
      <c r="AG93" s="215" t="e">
        <v>#N/A</v>
      </c>
      <c r="AH93" s="215">
        <v>1.097514941873035</v>
      </c>
      <c r="AI93" s="215" t="e">
        <v>#N/A</v>
      </c>
    </row>
    <row r="94" spans="27:35" x14ac:dyDescent="0.25">
      <c r="AA94" s="215">
        <v>0.49386129038198118</v>
      </c>
      <c r="AB94" s="215" t="e">
        <v>#N/A</v>
      </c>
      <c r="AC94" s="215" t="e">
        <v>#N/A</v>
      </c>
      <c r="AD94" s="215">
        <v>0.16248296045972282</v>
      </c>
      <c r="AE94" s="215" t="e">
        <v>#N/A</v>
      </c>
      <c r="AF94" s="215" t="e">
        <v>#N/A</v>
      </c>
      <c r="AG94" s="215" t="e">
        <v>#N/A</v>
      </c>
      <c r="AH94" s="215" t="e">
        <v>#N/A</v>
      </c>
      <c r="AI94" s="215" t="e">
        <v>#N/A</v>
      </c>
    </row>
    <row r="95" spans="27:35" x14ac:dyDescent="0.25">
      <c r="AA95" s="215">
        <v>0.51077284626098474</v>
      </c>
      <c r="AB95" s="215" t="e">
        <v>#N/A</v>
      </c>
      <c r="AC95" s="215" t="e">
        <v>#N/A</v>
      </c>
      <c r="AD95" s="215">
        <v>0.16432492611937052</v>
      </c>
      <c r="AE95" s="215" t="e">
        <v>#N/A</v>
      </c>
      <c r="AF95" s="215" t="e">
        <v>#N/A</v>
      </c>
      <c r="AG95" s="215" t="e">
        <v>#N/A</v>
      </c>
      <c r="AH95" s="215" t="e">
        <v>#N/A</v>
      </c>
      <c r="AI95" s="215" t="e">
        <v>#N/A</v>
      </c>
    </row>
    <row r="96" spans="27:35" x14ac:dyDescent="0.25">
      <c r="AA96" s="215">
        <v>0.52409993391374299</v>
      </c>
      <c r="AB96" s="215" t="e">
        <v>#N/A</v>
      </c>
      <c r="AC96" s="215" t="e">
        <v>#N/A</v>
      </c>
      <c r="AD96" s="215" t="e">
        <v>#N/A</v>
      </c>
      <c r="AE96" s="215" t="e">
        <v>#N/A</v>
      </c>
      <c r="AF96" s="215" t="e">
        <v>#N/A</v>
      </c>
      <c r="AG96" s="215">
        <v>1.0033520229788151</v>
      </c>
      <c r="AH96" s="215" t="e">
        <v>#N/A</v>
      </c>
      <c r="AI96" s="215" t="e">
        <v>#N/A</v>
      </c>
    </row>
    <row r="97" spans="27:35" x14ac:dyDescent="0.25">
      <c r="AA97" s="215">
        <v>0.52573215671062834</v>
      </c>
      <c r="AB97" s="215" t="e">
        <v>#N/A</v>
      </c>
      <c r="AC97" s="215">
        <v>0.17051431715836304</v>
      </c>
      <c r="AD97" s="215" t="e">
        <v>#N/A</v>
      </c>
      <c r="AE97" s="215" t="e">
        <v>#N/A</v>
      </c>
      <c r="AF97" s="215" t="e">
        <v>#N/A</v>
      </c>
      <c r="AG97" s="215" t="e">
        <v>#N/A</v>
      </c>
      <c r="AH97" s="215" t="e">
        <v>#N/A</v>
      </c>
      <c r="AI97" s="215" t="e">
        <v>#N/A</v>
      </c>
    </row>
    <row r="98" spans="27:35" x14ac:dyDescent="0.25">
      <c r="AA98" s="215">
        <v>0.53462057868574553</v>
      </c>
      <c r="AB98" s="215" t="e">
        <v>#N/A</v>
      </c>
      <c r="AC98" s="215" t="e">
        <v>#N/A</v>
      </c>
      <c r="AD98" s="215" t="e">
        <v>#N/A</v>
      </c>
      <c r="AE98" s="215" t="e">
        <v>#N/A</v>
      </c>
      <c r="AF98" s="215" t="e">
        <v>#N/A</v>
      </c>
      <c r="AG98" s="215" t="e">
        <v>#N/A</v>
      </c>
      <c r="AH98" s="215" t="e">
        <v>#N/A</v>
      </c>
      <c r="AI98" s="215">
        <v>0.74375447320014987</v>
      </c>
    </row>
    <row r="99" spans="27:35" x14ac:dyDescent="0.25">
      <c r="AA99" s="215">
        <v>0.54082065739406704</v>
      </c>
      <c r="AB99" s="215" t="e">
        <v>#N/A</v>
      </c>
      <c r="AC99" s="215" t="e">
        <v>#N/A</v>
      </c>
      <c r="AD99" s="215" t="e">
        <v>#N/A</v>
      </c>
      <c r="AE99" s="215">
        <v>0.21287415386511527</v>
      </c>
      <c r="AF99" s="215" t="e">
        <v>#N/A</v>
      </c>
      <c r="AG99" s="215" t="e">
        <v>#N/A</v>
      </c>
      <c r="AH99" s="215" t="e">
        <v>#N/A</v>
      </c>
      <c r="AI99" s="215" t="e">
        <v>#N/A</v>
      </c>
    </row>
    <row r="100" spans="27:35" x14ac:dyDescent="0.25">
      <c r="AA100" s="215">
        <v>0.54142099818981126</v>
      </c>
      <c r="AB100" s="215" t="e">
        <v>#N/A</v>
      </c>
      <c r="AC100" s="215" t="e">
        <v>#N/A</v>
      </c>
      <c r="AD100" s="215" t="e">
        <v>#N/A</v>
      </c>
      <c r="AE100" s="215" t="e">
        <v>#N/A</v>
      </c>
      <c r="AF100" s="215">
        <v>1.1216695541638895</v>
      </c>
      <c r="AG100" s="215" t="e">
        <v>#N/A</v>
      </c>
      <c r="AH100" s="215" t="e">
        <v>#N/A</v>
      </c>
      <c r="AI100" s="215" t="e">
        <v>#N/A</v>
      </c>
    </row>
    <row r="101" spans="27:35" x14ac:dyDescent="0.25">
      <c r="AA101" s="215">
        <v>0.56045971252478244</v>
      </c>
      <c r="AB101" s="215" t="e">
        <v>#N/A</v>
      </c>
      <c r="AC101" s="215" t="e">
        <v>#N/A</v>
      </c>
      <c r="AD101" s="215" t="e">
        <v>#N/A</v>
      </c>
      <c r="AE101" s="215">
        <v>0.34084885026655765</v>
      </c>
      <c r="AF101" s="215" t="e">
        <v>#N/A</v>
      </c>
      <c r="AG101" s="215" t="e">
        <v>#N/A</v>
      </c>
      <c r="AH101" s="215" t="e">
        <v>#N/A</v>
      </c>
      <c r="AI101" s="215" t="e">
        <v>#N/A</v>
      </c>
    </row>
    <row r="102" spans="27:35" x14ac:dyDescent="0.25">
      <c r="AA102" s="215">
        <v>0.56726287207545623</v>
      </c>
      <c r="AB102" s="215" t="e">
        <v>#N/A</v>
      </c>
      <c r="AC102" s="215" t="e">
        <v>#N/A</v>
      </c>
      <c r="AD102" s="215">
        <v>0.17561969466664892</v>
      </c>
      <c r="AE102" s="215" t="e">
        <v>#N/A</v>
      </c>
      <c r="AF102" s="215" t="e">
        <v>#N/A</v>
      </c>
      <c r="AG102" s="215" t="e">
        <v>#N/A</v>
      </c>
      <c r="AH102" s="215" t="e">
        <v>#N/A</v>
      </c>
      <c r="AI102" s="215" t="e">
        <v>#N/A</v>
      </c>
    </row>
    <row r="103" spans="27:35" x14ac:dyDescent="0.25">
      <c r="AA103" s="215">
        <v>0.57643881274602771</v>
      </c>
      <c r="AB103" s="215" t="e">
        <v>#N/A</v>
      </c>
      <c r="AC103" s="215" t="e">
        <v>#N/A</v>
      </c>
      <c r="AD103" s="215" t="e">
        <v>#N/A</v>
      </c>
      <c r="AE103" s="215" t="e">
        <v>#N/A</v>
      </c>
      <c r="AF103" s="215">
        <v>1.4690196156259414</v>
      </c>
      <c r="AG103" s="215" t="e">
        <v>#N/A</v>
      </c>
      <c r="AH103" s="215" t="e">
        <v>#N/A</v>
      </c>
      <c r="AI103" s="215" t="e">
        <v>#N/A</v>
      </c>
    </row>
    <row r="104" spans="27:35" x14ac:dyDescent="0.25">
      <c r="AA104" s="215">
        <v>0.57772749475619911</v>
      </c>
      <c r="AB104" s="215" t="e">
        <v>#N/A</v>
      </c>
      <c r="AC104" s="215" t="e">
        <v>#N/A</v>
      </c>
      <c r="AD104" s="215" t="e">
        <v>#N/A</v>
      </c>
      <c r="AE104" s="215" t="e">
        <v>#N/A</v>
      </c>
      <c r="AF104" s="215">
        <v>1.2600287174116651</v>
      </c>
      <c r="AG104" s="215" t="e">
        <v>#N/A</v>
      </c>
      <c r="AH104" s="215" t="e">
        <v>#N/A</v>
      </c>
      <c r="AI104" s="215" t="e">
        <v>#N/A</v>
      </c>
    </row>
    <row r="105" spans="27:35" x14ac:dyDescent="0.25">
      <c r="AA105" s="215">
        <v>0.58152480833295317</v>
      </c>
      <c r="AB105" s="215" t="e">
        <v>#N/A</v>
      </c>
      <c r="AC105" s="215">
        <v>0.14617989457196995</v>
      </c>
      <c r="AD105" s="215" t="e">
        <v>#N/A</v>
      </c>
      <c r="AE105" s="215" t="e">
        <v>#N/A</v>
      </c>
      <c r="AF105" s="215" t="e">
        <v>#N/A</v>
      </c>
      <c r="AG105" s="215" t="e">
        <v>#N/A</v>
      </c>
      <c r="AH105" s="215" t="e">
        <v>#N/A</v>
      </c>
      <c r="AI105" s="215" t="e">
        <v>#N/A</v>
      </c>
    </row>
    <row r="106" spans="27:35" x14ac:dyDescent="0.25">
      <c r="AA106" s="215">
        <v>0.58347268913599404</v>
      </c>
      <c r="AB106" s="215" t="e">
        <v>#N/A</v>
      </c>
      <c r="AC106" s="215" t="e">
        <v>#N/A</v>
      </c>
      <c r="AD106" s="215" t="e">
        <v>#N/A</v>
      </c>
      <c r="AE106" s="215" t="e">
        <v>#N/A</v>
      </c>
      <c r="AF106" s="215">
        <v>1.8639268350212816</v>
      </c>
      <c r="AG106" s="215" t="e">
        <v>#N/A</v>
      </c>
      <c r="AH106" s="215" t="e">
        <v>#N/A</v>
      </c>
      <c r="AI106" s="215" t="e">
        <v>#N/A</v>
      </c>
    </row>
    <row r="107" spans="27:35" x14ac:dyDescent="0.25">
      <c r="AA107" s="215">
        <v>0.58683698244404214</v>
      </c>
      <c r="AB107" s="215" t="e">
        <v>#N/A</v>
      </c>
      <c r="AC107" s="215" t="e">
        <v>#N/A</v>
      </c>
      <c r="AD107" s="215" t="e">
        <v>#N/A</v>
      </c>
      <c r="AE107" s="215" t="e">
        <v>#N/A</v>
      </c>
      <c r="AF107" s="215">
        <v>1.3741587436765066</v>
      </c>
      <c r="AG107" s="215" t="e">
        <v>#N/A</v>
      </c>
      <c r="AH107" s="215" t="e">
        <v>#N/A</v>
      </c>
      <c r="AI107" s="215" t="e">
        <v>#N/A</v>
      </c>
    </row>
    <row r="108" spans="27:35" x14ac:dyDescent="0.25">
      <c r="AA108" s="215">
        <v>0.60576522307914638</v>
      </c>
      <c r="AB108" s="215" t="e">
        <v>#N/A</v>
      </c>
      <c r="AC108" s="215" t="e">
        <v>#N/A</v>
      </c>
      <c r="AD108" s="215" t="e">
        <v>#N/A</v>
      </c>
      <c r="AE108" s="215" t="e">
        <v>#N/A</v>
      </c>
      <c r="AF108" s="215" t="e">
        <v>#N/A</v>
      </c>
      <c r="AG108" s="215" t="e">
        <v>#N/A</v>
      </c>
      <c r="AH108" s="215">
        <v>0.31278119207276189</v>
      </c>
      <c r="AI108" s="215" t="e">
        <v>#N/A</v>
      </c>
    </row>
    <row r="109" spans="27:35" x14ac:dyDescent="0.25">
      <c r="AA109" s="215">
        <v>0.61353338852996586</v>
      </c>
      <c r="AB109" s="215" t="e">
        <v>#N/A</v>
      </c>
      <c r="AC109" s="215" t="e">
        <v>#N/A</v>
      </c>
      <c r="AD109" s="215" t="e">
        <v>#N/A</v>
      </c>
      <c r="AE109" s="215" t="e">
        <v>#N/A</v>
      </c>
      <c r="AF109" s="215" t="e">
        <v>#N/A</v>
      </c>
      <c r="AG109" s="215" t="e">
        <v>#N/A</v>
      </c>
      <c r="AH109" s="215">
        <v>0.48408511269759902</v>
      </c>
      <c r="AI109" s="215" t="e">
        <v>#N/A</v>
      </c>
    </row>
    <row r="110" spans="27:35" x14ac:dyDescent="0.25">
      <c r="AA110" s="215">
        <v>0.61607476366979863</v>
      </c>
      <c r="AB110" s="215" t="e">
        <v>#N/A</v>
      </c>
      <c r="AC110" s="215" t="e">
        <v>#N/A</v>
      </c>
      <c r="AD110" s="215" t="e">
        <v>#N/A</v>
      </c>
      <c r="AE110" s="215" t="e">
        <v>#N/A</v>
      </c>
      <c r="AF110" s="215">
        <v>1.0457511996065998</v>
      </c>
      <c r="AG110" s="215" t="e">
        <v>#N/A</v>
      </c>
      <c r="AH110" s="215" t="e">
        <v>#N/A</v>
      </c>
      <c r="AI110" s="215" t="e">
        <v>#N/A</v>
      </c>
    </row>
    <row r="111" spans="27:35" x14ac:dyDescent="0.25">
      <c r="AA111" s="215">
        <v>0.62465017383558896</v>
      </c>
      <c r="AB111" s="215" t="e">
        <v>#N/A</v>
      </c>
      <c r="AC111" s="215" t="e">
        <v>#N/A</v>
      </c>
      <c r="AD111" s="215" t="e">
        <v>#N/A</v>
      </c>
      <c r="AE111" s="215" t="e">
        <v>#N/A</v>
      </c>
      <c r="AF111" s="215">
        <v>1.0035043611307832</v>
      </c>
      <c r="AG111" s="215" t="e">
        <v>#N/A</v>
      </c>
      <c r="AH111" s="215" t="e">
        <v>#N/A</v>
      </c>
      <c r="AI111" s="215" t="e">
        <v>#N/A</v>
      </c>
    </row>
    <row r="112" spans="27:35" x14ac:dyDescent="0.25">
      <c r="AA112" s="215">
        <v>0.63176008533747097</v>
      </c>
      <c r="AB112" s="215">
        <v>0.34317679329223766</v>
      </c>
      <c r="AC112" s="215" t="e">
        <v>#N/A</v>
      </c>
      <c r="AD112" s="215" t="e">
        <v>#N/A</v>
      </c>
      <c r="AE112" s="215" t="e">
        <v>#N/A</v>
      </c>
      <c r="AF112" s="215" t="e">
        <v>#N/A</v>
      </c>
      <c r="AG112" s="215" t="e">
        <v>#N/A</v>
      </c>
      <c r="AH112" s="215" t="e">
        <v>#N/A</v>
      </c>
      <c r="AI112" s="215" t="e">
        <v>#N/A</v>
      </c>
    </row>
    <row r="113" spans="27:35" x14ac:dyDescent="0.25">
      <c r="AA113" s="215">
        <v>0.63672105239139465</v>
      </c>
      <c r="AB113" s="215" t="e">
        <v>#N/A</v>
      </c>
      <c r="AC113" s="215">
        <v>0.13298162133171454</v>
      </c>
      <c r="AD113" s="215" t="e">
        <v>#N/A</v>
      </c>
      <c r="AE113" s="215" t="e">
        <v>#N/A</v>
      </c>
      <c r="AF113" s="215" t="e">
        <v>#N/A</v>
      </c>
      <c r="AG113" s="215" t="e">
        <v>#N/A</v>
      </c>
      <c r="AH113" s="215" t="e">
        <v>#N/A</v>
      </c>
      <c r="AI113" s="215" t="e">
        <v>#N/A</v>
      </c>
    </row>
    <row r="114" spans="27:35" x14ac:dyDescent="0.25">
      <c r="AA114" s="215">
        <v>0.65109408671666236</v>
      </c>
      <c r="AB114" s="215" t="e">
        <v>#N/A</v>
      </c>
      <c r="AC114" s="215" t="e">
        <v>#N/A</v>
      </c>
      <c r="AD114" s="215" t="e">
        <v>#N/A</v>
      </c>
      <c r="AE114" s="215">
        <v>0.32445321451237169</v>
      </c>
      <c r="AF114" s="215" t="e">
        <v>#N/A</v>
      </c>
      <c r="AG114" s="215" t="e">
        <v>#N/A</v>
      </c>
      <c r="AH114" s="215" t="e">
        <v>#N/A</v>
      </c>
      <c r="AI114" s="215" t="e">
        <v>#N/A</v>
      </c>
    </row>
    <row r="115" spans="27:35" x14ac:dyDescent="0.25">
      <c r="AA115" s="215">
        <v>0.65425178863891043</v>
      </c>
      <c r="AB115" s="215" t="e">
        <v>#N/A</v>
      </c>
      <c r="AC115" s="215">
        <v>0.14047344867591277</v>
      </c>
      <c r="AD115" s="215" t="e">
        <v>#N/A</v>
      </c>
      <c r="AE115" s="215" t="e">
        <v>#N/A</v>
      </c>
      <c r="AF115" s="215" t="e">
        <v>#N/A</v>
      </c>
      <c r="AG115" s="215" t="e">
        <v>#N/A</v>
      </c>
      <c r="AH115" s="215" t="e">
        <v>#N/A</v>
      </c>
      <c r="AI115" s="215" t="e">
        <v>#N/A</v>
      </c>
    </row>
    <row r="116" spans="27:35" x14ac:dyDescent="0.25">
      <c r="AA116" s="215">
        <v>0.66312162691216692</v>
      </c>
      <c r="AB116" s="215" t="e">
        <v>#N/A</v>
      </c>
      <c r="AC116" s="215">
        <v>0.12644045595853715</v>
      </c>
      <c r="AD116" s="215" t="e">
        <v>#N/A</v>
      </c>
      <c r="AE116" s="215" t="e">
        <v>#N/A</v>
      </c>
      <c r="AF116" s="215" t="e">
        <v>#N/A</v>
      </c>
      <c r="AG116" s="215" t="e">
        <v>#N/A</v>
      </c>
      <c r="AH116" s="215" t="e">
        <v>#N/A</v>
      </c>
      <c r="AI116" s="215" t="e">
        <v>#N/A</v>
      </c>
    </row>
    <row r="117" spans="27:35" x14ac:dyDescent="0.25">
      <c r="AA117" s="215">
        <v>0.67199419769847424</v>
      </c>
      <c r="AB117" s="215" t="e">
        <v>#N/A</v>
      </c>
      <c r="AC117" s="215" t="e">
        <v>#N/A</v>
      </c>
      <c r="AD117" s="215" t="e">
        <v>#N/A</v>
      </c>
      <c r="AE117" s="215">
        <v>0.284615048688595</v>
      </c>
      <c r="AF117" s="215" t="e">
        <v>#N/A</v>
      </c>
      <c r="AG117" s="215" t="e">
        <v>#N/A</v>
      </c>
      <c r="AH117" s="215" t="e">
        <v>#N/A</v>
      </c>
      <c r="AI117" s="215" t="e">
        <v>#N/A</v>
      </c>
    </row>
    <row r="118" spans="27:35" x14ac:dyDescent="0.25">
      <c r="AA118" s="215">
        <v>0.67386728678039765</v>
      </c>
      <c r="AB118" s="215" t="e">
        <v>#N/A</v>
      </c>
      <c r="AC118" s="215" t="e">
        <v>#N/A</v>
      </c>
      <c r="AD118" s="215">
        <v>0.19329064533754595</v>
      </c>
      <c r="AE118" s="215" t="e">
        <v>#N/A</v>
      </c>
      <c r="AF118" s="215" t="e">
        <v>#N/A</v>
      </c>
      <c r="AG118" s="215" t="e">
        <v>#N/A</v>
      </c>
      <c r="AH118" s="215" t="e">
        <v>#N/A</v>
      </c>
      <c r="AI118" s="215" t="e">
        <v>#N/A</v>
      </c>
    </row>
    <row r="119" spans="27:35" x14ac:dyDescent="0.25">
      <c r="AA119" s="215">
        <v>0.68742814378966433</v>
      </c>
      <c r="AB119" s="215" t="e">
        <v>#N/A</v>
      </c>
      <c r="AC119" s="215" t="e">
        <v>#N/A</v>
      </c>
      <c r="AD119" s="215">
        <v>0.18625423975646438</v>
      </c>
      <c r="AE119" s="215" t="e">
        <v>#N/A</v>
      </c>
      <c r="AF119" s="215" t="e">
        <v>#N/A</v>
      </c>
      <c r="AG119" s="215" t="e">
        <v>#N/A</v>
      </c>
      <c r="AH119" s="215" t="e">
        <v>#N/A</v>
      </c>
      <c r="AI119" s="215" t="e">
        <v>#N/A</v>
      </c>
    </row>
    <row r="120" spans="27:35" x14ac:dyDescent="0.25">
      <c r="AA120" s="215">
        <v>0.69155535181136429</v>
      </c>
      <c r="AB120" s="215" t="e">
        <v>#N/A</v>
      </c>
      <c r="AC120" s="215" t="e">
        <v>#N/A</v>
      </c>
      <c r="AD120" s="215" t="e">
        <v>#N/A</v>
      </c>
      <c r="AE120" s="215">
        <v>0.35638908945720671</v>
      </c>
      <c r="AF120" s="215" t="e">
        <v>#N/A</v>
      </c>
      <c r="AG120" s="215" t="e">
        <v>#N/A</v>
      </c>
      <c r="AH120" s="215" t="e">
        <v>#N/A</v>
      </c>
      <c r="AI120" s="215" t="e">
        <v>#N/A</v>
      </c>
    </row>
    <row r="121" spans="27:35" x14ac:dyDescent="0.25">
      <c r="AA121" s="215">
        <v>0.69163114163282824</v>
      </c>
      <c r="AB121" s="215" t="e">
        <v>#N/A</v>
      </c>
      <c r="AC121" s="215" t="e">
        <v>#N/A</v>
      </c>
      <c r="AD121" s="215">
        <v>0.19339880353494768</v>
      </c>
      <c r="AE121" s="215" t="e">
        <v>#N/A</v>
      </c>
      <c r="AF121" s="215" t="e">
        <v>#N/A</v>
      </c>
      <c r="AG121" s="215" t="e">
        <v>#N/A</v>
      </c>
      <c r="AH121" s="215" t="e">
        <v>#N/A</v>
      </c>
      <c r="AI121" s="215" t="e">
        <v>#N/A</v>
      </c>
    </row>
    <row r="122" spans="27:35" x14ac:dyDescent="0.25">
      <c r="AA122" s="215">
        <v>0.69932189753756857</v>
      </c>
      <c r="AB122" s="215" t="e">
        <v>#N/A</v>
      </c>
      <c r="AC122" s="215" t="e">
        <v>#N/A</v>
      </c>
      <c r="AD122" s="215" t="e">
        <v>#N/A</v>
      </c>
      <c r="AE122" s="215" t="e">
        <v>#N/A</v>
      </c>
      <c r="AF122" s="215" t="e">
        <v>#N/A</v>
      </c>
      <c r="AG122" s="215" t="e">
        <v>#N/A</v>
      </c>
      <c r="AH122" s="215" t="e">
        <v>#N/A</v>
      </c>
      <c r="AI122" s="215">
        <v>1.2817617600254509</v>
      </c>
    </row>
    <row r="123" spans="27:35" x14ac:dyDescent="0.25">
      <c r="AA123" s="215">
        <v>0.71036971783084368</v>
      </c>
      <c r="AB123" s="215" t="e">
        <v>#N/A</v>
      </c>
      <c r="AC123" s="215" t="e">
        <v>#N/A</v>
      </c>
      <c r="AD123" s="215">
        <v>0.19055890054550972</v>
      </c>
      <c r="AE123" s="215" t="e">
        <v>#N/A</v>
      </c>
      <c r="AF123" s="215" t="e">
        <v>#N/A</v>
      </c>
      <c r="AG123" s="215" t="e">
        <v>#N/A</v>
      </c>
      <c r="AH123" s="215" t="e">
        <v>#N/A</v>
      </c>
      <c r="AI123" s="215" t="e">
        <v>#N/A</v>
      </c>
    </row>
    <row r="124" spans="27:35" x14ac:dyDescent="0.25">
      <c r="AA124" s="215">
        <v>0.71598852315687067</v>
      </c>
      <c r="AB124" s="215" t="e">
        <v>#N/A</v>
      </c>
      <c r="AC124" s="215" t="e">
        <v>#N/A</v>
      </c>
      <c r="AD124" s="215">
        <v>0.2054726877016777</v>
      </c>
      <c r="AE124" s="215" t="e">
        <v>#N/A</v>
      </c>
      <c r="AF124" s="215" t="e">
        <v>#N/A</v>
      </c>
      <c r="AG124" s="215" t="e">
        <v>#N/A</v>
      </c>
      <c r="AH124" s="215" t="e">
        <v>#N/A</v>
      </c>
      <c r="AI124" s="215" t="e">
        <v>#N/A</v>
      </c>
    </row>
    <row r="125" spans="27:35" x14ac:dyDescent="0.25">
      <c r="AA125" s="215">
        <v>0.71633479872424777</v>
      </c>
      <c r="AB125" s="215" t="e">
        <v>#N/A</v>
      </c>
      <c r="AC125" s="215" t="e">
        <v>#N/A</v>
      </c>
      <c r="AD125" s="215" t="e">
        <v>#N/A</v>
      </c>
      <c r="AE125" s="215" t="e">
        <v>#N/A</v>
      </c>
      <c r="AF125" s="215" t="e">
        <v>#N/A</v>
      </c>
      <c r="AG125" s="215" t="e">
        <v>#N/A</v>
      </c>
      <c r="AH125" s="215" t="e">
        <v>#N/A</v>
      </c>
      <c r="AI125" s="215">
        <v>0.61902965535370225</v>
      </c>
    </row>
    <row r="126" spans="27:35" x14ac:dyDescent="0.25">
      <c r="AA126" s="215">
        <v>0.71907486423584166</v>
      </c>
      <c r="AB126" s="215">
        <v>0.38150473381773814</v>
      </c>
      <c r="AC126" s="215" t="e">
        <v>#N/A</v>
      </c>
      <c r="AD126" s="215" t="e">
        <v>#N/A</v>
      </c>
      <c r="AE126" s="215" t="e">
        <v>#N/A</v>
      </c>
      <c r="AF126" s="215" t="e">
        <v>#N/A</v>
      </c>
      <c r="AG126" s="215" t="e">
        <v>#N/A</v>
      </c>
      <c r="AH126" s="215" t="e">
        <v>#N/A</v>
      </c>
      <c r="AI126" s="215" t="e">
        <v>#N/A</v>
      </c>
    </row>
    <row r="127" spans="27:35" x14ac:dyDescent="0.25">
      <c r="AA127" s="215">
        <v>0.71910207094216017</v>
      </c>
      <c r="AB127" s="215">
        <v>0.67462474180888077</v>
      </c>
      <c r="AC127" s="215" t="e">
        <v>#N/A</v>
      </c>
      <c r="AD127" s="215" t="e">
        <v>#N/A</v>
      </c>
      <c r="AE127" s="215" t="e">
        <v>#N/A</v>
      </c>
      <c r="AF127" s="215" t="e">
        <v>#N/A</v>
      </c>
      <c r="AG127" s="215" t="e">
        <v>#N/A</v>
      </c>
      <c r="AH127" s="215" t="e">
        <v>#N/A</v>
      </c>
      <c r="AI127" s="215" t="e">
        <v>#N/A</v>
      </c>
    </row>
    <row r="128" spans="27:35" x14ac:dyDescent="0.25">
      <c r="AA128" s="215">
        <v>0.73818061661351031</v>
      </c>
      <c r="AB128" s="215" t="e">
        <v>#N/A</v>
      </c>
      <c r="AC128" s="215" t="e">
        <v>#N/A</v>
      </c>
      <c r="AD128" s="215" t="e">
        <v>#N/A</v>
      </c>
      <c r="AE128" s="215" t="e">
        <v>#N/A</v>
      </c>
      <c r="AF128" s="215" t="e">
        <v>#N/A</v>
      </c>
      <c r="AG128" s="215" t="e">
        <v>#N/A</v>
      </c>
      <c r="AH128" s="215" t="e">
        <v>#N/A</v>
      </c>
      <c r="AI128" s="215">
        <v>1.227755021093192</v>
      </c>
    </row>
    <row r="129" spans="27:35" x14ac:dyDescent="0.25">
      <c r="AA129" s="215">
        <v>0.74480582302742671</v>
      </c>
      <c r="AB129" s="215" t="e">
        <v>#N/A</v>
      </c>
      <c r="AC129" s="215" t="e">
        <v>#N/A</v>
      </c>
      <c r="AD129" s="215" t="e">
        <v>#N/A</v>
      </c>
      <c r="AE129" s="215" t="e">
        <v>#N/A</v>
      </c>
      <c r="AF129" s="215" t="e">
        <v>#N/A</v>
      </c>
      <c r="AG129" s="215" t="e">
        <v>#N/A</v>
      </c>
      <c r="AH129" s="215">
        <v>0.70102937710468272</v>
      </c>
      <c r="AI129" s="215" t="e">
        <v>#N/A</v>
      </c>
    </row>
    <row r="130" spans="27:35" x14ac:dyDescent="0.25">
      <c r="AA130" s="215">
        <v>0.75703141354809311</v>
      </c>
      <c r="AB130" s="215" t="e">
        <v>#N/A</v>
      </c>
      <c r="AC130" s="215" t="e">
        <v>#N/A</v>
      </c>
      <c r="AD130" s="215" t="e">
        <v>#N/A</v>
      </c>
      <c r="AE130" s="215" t="e">
        <v>#N/A</v>
      </c>
      <c r="AF130" s="215" t="e">
        <v>#N/A</v>
      </c>
      <c r="AG130" s="215">
        <v>0.95899900142358907</v>
      </c>
      <c r="AH130" s="215" t="e">
        <v>#N/A</v>
      </c>
      <c r="AI130" s="215" t="e">
        <v>#N/A</v>
      </c>
    </row>
    <row r="131" spans="27:35" x14ac:dyDescent="0.25">
      <c r="AA131" s="215">
        <v>0.7583958279458668</v>
      </c>
      <c r="AB131" s="215" t="e">
        <v>#N/A</v>
      </c>
      <c r="AC131" s="215" t="e">
        <v>#N/A</v>
      </c>
      <c r="AD131" s="215" t="e">
        <v>#N/A</v>
      </c>
      <c r="AE131" s="215" t="e">
        <v>#N/A</v>
      </c>
      <c r="AF131" s="215" t="e">
        <v>#N/A</v>
      </c>
      <c r="AG131" s="215" t="e">
        <v>#N/A</v>
      </c>
      <c r="AH131" s="215" t="e">
        <v>#N/A</v>
      </c>
      <c r="AI131" s="215">
        <v>1.3392629044221371</v>
      </c>
    </row>
    <row r="132" spans="27:35" x14ac:dyDescent="0.25">
      <c r="AA132" s="215">
        <v>0.75889012800620637</v>
      </c>
      <c r="AB132" s="215" t="e">
        <v>#N/A</v>
      </c>
      <c r="AC132" s="215" t="e">
        <v>#N/A</v>
      </c>
      <c r="AD132" s="215" t="e">
        <v>#N/A</v>
      </c>
      <c r="AE132" s="215" t="e">
        <v>#N/A</v>
      </c>
      <c r="AF132" s="215" t="e">
        <v>#N/A</v>
      </c>
      <c r="AG132" s="215" t="e">
        <v>#N/A</v>
      </c>
      <c r="AH132" s="215">
        <v>0.47236298177643204</v>
      </c>
      <c r="AI132" s="215" t="e">
        <v>#N/A</v>
      </c>
    </row>
    <row r="133" spans="27:35" x14ac:dyDescent="0.25">
      <c r="AA133" s="215">
        <v>0.76341579748872235</v>
      </c>
      <c r="AB133" s="215" t="e">
        <v>#N/A</v>
      </c>
      <c r="AC133" s="215" t="e">
        <v>#N/A</v>
      </c>
      <c r="AD133" s="215" t="e">
        <v>#N/A</v>
      </c>
      <c r="AE133" s="215" t="e">
        <v>#N/A</v>
      </c>
      <c r="AF133" s="215" t="e">
        <v>#N/A</v>
      </c>
      <c r="AG133" s="215" t="e">
        <v>#N/A</v>
      </c>
      <c r="AH133" s="215" t="e">
        <v>#N/A</v>
      </c>
      <c r="AI133" s="215">
        <v>1.1255584311320885</v>
      </c>
    </row>
    <row r="134" spans="27:35" x14ac:dyDescent="0.25">
      <c r="AA134" s="215">
        <v>0.77042547042090703</v>
      </c>
      <c r="AB134" s="215">
        <v>0.55509771442608835</v>
      </c>
      <c r="AC134" s="215" t="e">
        <v>#N/A</v>
      </c>
      <c r="AD134" s="215" t="e">
        <v>#N/A</v>
      </c>
      <c r="AE134" s="215" t="e">
        <v>#N/A</v>
      </c>
      <c r="AF134" s="215" t="e">
        <v>#N/A</v>
      </c>
      <c r="AG134" s="215" t="e">
        <v>#N/A</v>
      </c>
      <c r="AH134" s="215" t="e">
        <v>#N/A</v>
      </c>
      <c r="AI134" s="215" t="e">
        <v>#N/A</v>
      </c>
    </row>
    <row r="135" spans="27:35" x14ac:dyDescent="0.25">
      <c r="AA135" s="215">
        <v>0.78210499094905606</v>
      </c>
      <c r="AB135" s="215" t="e">
        <v>#N/A</v>
      </c>
      <c r="AC135" s="215" t="e">
        <v>#N/A</v>
      </c>
      <c r="AD135" s="215" t="e">
        <v>#N/A</v>
      </c>
      <c r="AE135" s="215" t="e">
        <v>#N/A</v>
      </c>
      <c r="AF135" s="215" t="e">
        <v>#N/A</v>
      </c>
      <c r="AG135" s="215" t="e">
        <v>#N/A</v>
      </c>
      <c r="AH135" s="215" t="e">
        <v>#N/A</v>
      </c>
      <c r="AI135" s="215">
        <v>1.3774511413063049</v>
      </c>
    </row>
    <row r="136" spans="27:35" x14ac:dyDescent="0.25">
      <c r="AA136" s="215">
        <v>0.79698991466252911</v>
      </c>
      <c r="AB136" s="215" t="e">
        <v>#N/A</v>
      </c>
      <c r="AC136" s="215" t="e">
        <v>#N/A</v>
      </c>
      <c r="AD136" s="215" t="e">
        <v>#N/A</v>
      </c>
      <c r="AE136" s="215" t="e">
        <v>#N/A</v>
      </c>
      <c r="AF136" s="215" t="e">
        <v>#N/A</v>
      </c>
      <c r="AG136" s="215" t="e">
        <v>#N/A</v>
      </c>
      <c r="AH136" s="215" t="e">
        <v>#N/A</v>
      </c>
      <c r="AI136" s="215">
        <v>1.3740283270689924</v>
      </c>
    </row>
    <row r="137" spans="27:35" x14ac:dyDescent="0.25">
      <c r="AA137" s="215">
        <v>0.81162910184693704</v>
      </c>
      <c r="AB137" s="215">
        <v>0.58397318882651494</v>
      </c>
      <c r="AC137" s="215" t="e">
        <v>#N/A</v>
      </c>
      <c r="AD137" s="215" t="e">
        <v>#N/A</v>
      </c>
      <c r="AE137" s="215" t="e">
        <v>#N/A</v>
      </c>
      <c r="AF137" s="215" t="e">
        <v>#N/A</v>
      </c>
      <c r="AG137" s="215" t="e">
        <v>#N/A</v>
      </c>
      <c r="AH137" s="215" t="e">
        <v>#N/A</v>
      </c>
      <c r="AI137" s="215" t="e">
        <v>#N/A</v>
      </c>
    </row>
    <row r="138" spans="27:35" x14ac:dyDescent="0.25">
      <c r="AA138" s="215">
        <v>0.81599065052708442</v>
      </c>
      <c r="AB138" s="215" t="e">
        <v>#N/A</v>
      </c>
      <c r="AC138" s="215" t="e">
        <v>#N/A</v>
      </c>
      <c r="AD138" s="215" t="e">
        <v>#N/A</v>
      </c>
      <c r="AE138" s="215" t="e">
        <v>#N/A</v>
      </c>
      <c r="AF138" s="215" t="e">
        <v>#N/A</v>
      </c>
      <c r="AG138" s="215" t="e">
        <v>#N/A</v>
      </c>
      <c r="AH138" s="215">
        <v>0.43838685597627414</v>
      </c>
      <c r="AI138" s="215" t="e">
        <v>#N/A</v>
      </c>
    </row>
    <row r="139" spans="27:35" x14ac:dyDescent="0.25">
      <c r="AA139" s="215">
        <v>0.84196233083354888</v>
      </c>
      <c r="AB139" s="215" t="e">
        <v>#N/A</v>
      </c>
      <c r="AC139" s="215" t="e">
        <v>#N/A</v>
      </c>
      <c r="AD139" s="215" t="e">
        <v>#N/A</v>
      </c>
      <c r="AE139" s="215" t="e">
        <v>#N/A</v>
      </c>
      <c r="AF139" s="215" t="e">
        <v>#N/A</v>
      </c>
      <c r="AG139" s="215" t="e">
        <v>#N/A</v>
      </c>
      <c r="AH139" s="215">
        <v>0.51192707631293743</v>
      </c>
      <c r="AI139" s="215" t="e">
        <v>#N/A</v>
      </c>
    </row>
    <row r="140" spans="27:35" x14ac:dyDescent="0.25">
      <c r="AA140" s="215">
        <v>0.84485906387380394</v>
      </c>
      <c r="AB140" s="215" t="e">
        <v>#N/A</v>
      </c>
      <c r="AC140" s="215" t="e">
        <v>#N/A</v>
      </c>
      <c r="AD140" s="215" t="e">
        <v>#N/A</v>
      </c>
      <c r="AE140" s="215" t="e">
        <v>#N/A</v>
      </c>
      <c r="AF140" s="215" t="e">
        <v>#N/A</v>
      </c>
      <c r="AG140" s="215" t="e">
        <v>#N/A</v>
      </c>
      <c r="AH140" s="215" t="e">
        <v>#N/A</v>
      </c>
      <c r="AI140" s="215">
        <v>1.0074532958660602</v>
      </c>
    </row>
    <row r="141" spans="27:35" x14ac:dyDescent="0.25">
      <c r="AA141" s="215">
        <v>0.85300405137488144</v>
      </c>
      <c r="AB141" s="215">
        <v>0.65528987854474108</v>
      </c>
      <c r="AC141" s="215" t="e">
        <v>#N/A</v>
      </c>
      <c r="AD141" s="215" t="e">
        <v>#N/A</v>
      </c>
      <c r="AE141" s="215" t="e">
        <v>#N/A</v>
      </c>
      <c r="AF141" s="215" t="e">
        <v>#N/A</v>
      </c>
      <c r="AG141" s="215" t="e">
        <v>#N/A</v>
      </c>
      <c r="AH141" s="215" t="e">
        <v>#N/A</v>
      </c>
      <c r="AI141" s="215" t="e">
        <v>#N/A</v>
      </c>
    </row>
    <row r="142" spans="27:35" x14ac:dyDescent="0.25">
      <c r="AA142" s="215">
        <v>0.86249757564003104</v>
      </c>
      <c r="AB142" s="215" t="e">
        <v>#N/A</v>
      </c>
      <c r="AC142" s="215" t="e">
        <v>#N/A</v>
      </c>
      <c r="AD142" s="215" t="e">
        <v>#N/A</v>
      </c>
      <c r="AE142" s="215" t="e">
        <v>#N/A</v>
      </c>
      <c r="AF142" s="215" t="e">
        <v>#N/A</v>
      </c>
      <c r="AG142" s="215" t="e">
        <v>#N/A</v>
      </c>
      <c r="AH142" s="215">
        <v>0.46343671585796753</v>
      </c>
      <c r="AI142" s="215" t="e">
        <v>#N/A</v>
      </c>
    </row>
    <row r="143" spans="27:35" x14ac:dyDescent="0.25">
      <c r="AA143" s="215">
        <v>0.86774469873286786</v>
      </c>
      <c r="AB143" s="215" t="e">
        <v>#N/A</v>
      </c>
      <c r="AC143" s="215" t="e">
        <v>#N/A</v>
      </c>
      <c r="AD143" s="215" t="e">
        <v>#N/A</v>
      </c>
      <c r="AE143" s="215" t="e">
        <v>#N/A</v>
      </c>
      <c r="AF143" s="215" t="e">
        <v>#N/A</v>
      </c>
      <c r="AG143" s="215" t="e">
        <v>#N/A</v>
      </c>
      <c r="AH143" s="215">
        <v>0.46475651800967327</v>
      </c>
      <c r="AI143" s="215" t="e">
        <v>#N/A</v>
      </c>
    </row>
    <row r="144" spans="27:35" x14ac:dyDescent="0.25">
      <c r="AA144" s="215">
        <v>0.86822536850271537</v>
      </c>
      <c r="AB144" s="215">
        <v>0.70765306539515027</v>
      </c>
      <c r="AC144" s="215" t="e">
        <v>#N/A</v>
      </c>
      <c r="AD144" s="215" t="e">
        <v>#N/A</v>
      </c>
      <c r="AE144" s="215" t="e">
        <v>#N/A</v>
      </c>
      <c r="AF144" s="215" t="e">
        <v>#N/A</v>
      </c>
      <c r="AG144" s="215" t="e">
        <v>#N/A</v>
      </c>
      <c r="AH144" s="215" t="e">
        <v>#N/A</v>
      </c>
      <c r="AI144" s="215" t="e">
        <v>#N/A</v>
      </c>
    </row>
    <row r="145" spans="27:35" x14ac:dyDescent="0.25">
      <c r="AA145" s="215">
        <v>0.87014661362483015</v>
      </c>
      <c r="AB145" s="215">
        <v>0.66836240618394516</v>
      </c>
      <c r="AC145" s="215" t="e">
        <v>#N/A</v>
      </c>
      <c r="AD145" s="215" t="e">
        <v>#N/A</v>
      </c>
      <c r="AE145" s="215" t="e">
        <v>#N/A</v>
      </c>
      <c r="AF145" s="215" t="e">
        <v>#N/A</v>
      </c>
      <c r="AG145" s="215" t="e">
        <v>#N/A</v>
      </c>
      <c r="AH145" s="215" t="e">
        <v>#N/A</v>
      </c>
      <c r="AI145" s="215" t="e">
        <v>#N/A</v>
      </c>
    </row>
    <row r="146" spans="27:35" x14ac:dyDescent="0.25">
      <c r="AA146" s="215">
        <v>0.87177630395430672</v>
      </c>
      <c r="AB146" s="215">
        <v>1.3315193647995767</v>
      </c>
      <c r="AC146" s="215" t="e">
        <v>#N/A</v>
      </c>
      <c r="AD146" s="215" t="e">
        <v>#N/A</v>
      </c>
      <c r="AE146" s="215" t="e">
        <v>#N/A</v>
      </c>
      <c r="AF146" s="215" t="e">
        <v>#N/A</v>
      </c>
      <c r="AG146" s="215" t="e">
        <v>#N/A</v>
      </c>
      <c r="AH146" s="215" t="e">
        <v>#N/A</v>
      </c>
      <c r="AI146" s="215" t="e">
        <v>#N/A</v>
      </c>
    </row>
    <row r="147" spans="27:35" x14ac:dyDescent="0.25">
      <c r="AA147" s="215">
        <v>0.8748298029030479</v>
      </c>
      <c r="AB147" s="215">
        <v>1.827707541219866</v>
      </c>
      <c r="AC147" s="215" t="e">
        <v>#N/A</v>
      </c>
      <c r="AD147" s="215" t="e">
        <v>#N/A</v>
      </c>
      <c r="AE147" s="215" t="e">
        <v>#N/A</v>
      </c>
      <c r="AF147" s="215" t="e">
        <v>#N/A</v>
      </c>
      <c r="AG147" s="215" t="e">
        <v>#N/A</v>
      </c>
      <c r="AH147" s="215" t="e">
        <v>#N/A</v>
      </c>
      <c r="AI147" s="215" t="e">
        <v>#N/A</v>
      </c>
    </row>
    <row r="148" spans="27:35" x14ac:dyDescent="0.25">
      <c r="AA148" s="215">
        <v>0.87529748645382954</v>
      </c>
      <c r="AB148" s="215">
        <v>0.60584197872183487</v>
      </c>
      <c r="AC148" s="215" t="e">
        <v>#N/A</v>
      </c>
      <c r="AD148" s="215" t="e">
        <v>#N/A</v>
      </c>
      <c r="AE148" s="215" t="e">
        <v>#N/A</v>
      </c>
      <c r="AF148" s="215" t="e">
        <v>#N/A</v>
      </c>
      <c r="AG148" s="215" t="e">
        <v>#N/A</v>
      </c>
      <c r="AH148" s="215" t="e">
        <v>#N/A</v>
      </c>
      <c r="AI148" s="215" t="e">
        <v>#N/A</v>
      </c>
    </row>
    <row r="149" spans="27:35" x14ac:dyDescent="0.25">
      <c r="AA149" s="215">
        <v>0.88144787395175306</v>
      </c>
      <c r="AB149" s="215">
        <v>0.71150757217011518</v>
      </c>
      <c r="AC149" s="215" t="e">
        <v>#N/A</v>
      </c>
      <c r="AD149" s="215" t="e">
        <v>#N/A</v>
      </c>
      <c r="AE149" s="215" t="e">
        <v>#N/A</v>
      </c>
      <c r="AF149" s="215" t="e">
        <v>#N/A</v>
      </c>
      <c r="AG149" s="215" t="e">
        <v>#N/A</v>
      </c>
      <c r="AH149" s="215" t="e">
        <v>#N/A</v>
      </c>
      <c r="AI149" s="215" t="e">
        <v>#N/A</v>
      </c>
    </row>
    <row r="150" spans="27:35" x14ac:dyDescent="0.25">
      <c r="AA150" s="215">
        <v>0.90006702220761503</v>
      </c>
      <c r="AB150" s="215">
        <v>1.915492380903296</v>
      </c>
      <c r="AC150" s="215" t="e">
        <v>#N/A</v>
      </c>
      <c r="AD150" s="215" t="e">
        <v>#N/A</v>
      </c>
      <c r="AE150" s="215" t="e">
        <v>#N/A</v>
      </c>
      <c r="AF150" s="215" t="e">
        <v>#N/A</v>
      </c>
      <c r="AG150" s="215" t="e">
        <v>#N/A</v>
      </c>
      <c r="AH150" s="215" t="e">
        <v>#N/A</v>
      </c>
      <c r="AI150" s="215" t="e">
        <v>#N/A</v>
      </c>
    </row>
    <row r="151" spans="27:35" x14ac:dyDescent="0.25">
      <c r="AA151" s="215">
        <v>0.90925288049880759</v>
      </c>
      <c r="AB151" s="215">
        <v>1.5742659354815207</v>
      </c>
      <c r="AC151" s="215" t="e">
        <v>#N/A</v>
      </c>
      <c r="AD151" s="215" t="e">
        <v>#N/A</v>
      </c>
      <c r="AE151" s="215" t="e">
        <v>#N/A</v>
      </c>
      <c r="AF151" s="215" t="e">
        <v>#N/A</v>
      </c>
      <c r="AG151" s="215" t="e">
        <v>#N/A</v>
      </c>
      <c r="AH151" s="215" t="e">
        <v>#N/A</v>
      </c>
      <c r="AI151" s="215" t="e">
        <v>#N/A</v>
      </c>
    </row>
    <row r="152" spans="27:35" x14ac:dyDescent="0.25">
      <c r="AA152" s="214"/>
      <c r="AB152" s="214"/>
      <c r="AC152" s="214"/>
      <c r="AD152" s="214"/>
      <c r="AE152" s="214"/>
      <c r="AF152" s="214"/>
      <c r="AG152" s="214"/>
      <c r="AH152" s="214"/>
      <c r="AI152" s="214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E610-96C8-4FE1-95AA-8DEA8F8DCBFF}">
  <dimension ref="A3:M220"/>
  <sheetViews>
    <sheetView workbookViewId="0">
      <selection activeCell="A6" sqref="A6"/>
    </sheetView>
  </sheetViews>
  <sheetFormatPr defaultRowHeight="15" x14ac:dyDescent="0.25"/>
  <cols>
    <col min="1" max="13" width="13.5703125" bestFit="1" customWidth="1"/>
    <col min="14" max="14" width="11.5703125" bestFit="1" customWidth="1"/>
    <col min="15" max="15" width="10.7109375" bestFit="1" customWidth="1"/>
    <col min="16" max="16" width="11.5703125" bestFit="1" customWidth="1"/>
    <col min="17" max="18" width="10.7109375" bestFit="1" customWidth="1"/>
    <col min="19" max="19" width="11.5703125" bestFit="1" customWidth="1"/>
    <col min="20" max="20" width="10.7109375" bestFit="1" customWidth="1"/>
    <col min="21" max="21" width="11.5703125" bestFit="1" customWidth="1"/>
  </cols>
  <sheetData>
    <row r="3" spans="1:13" x14ac:dyDescent="0.25">
      <c r="A3" s="61" t="s">
        <v>74</v>
      </c>
      <c r="B3" s="61" t="s">
        <v>136</v>
      </c>
      <c r="C3" s="61" t="s">
        <v>157</v>
      </c>
    </row>
    <row r="4" spans="1:13" x14ac:dyDescent="0.25">
      <c r="B4" t="s">
        <v>137</v>
      </c>
      <c r="C4" t="s">
        <v>137</v>
      </c>
      <c r="D4" t="s">
        <v>139</v>
      </c>
      <c r="E4" t="s">
        <v>138</v>
      </c>
      <c r="F4" t="s">
        <v>138</v>
      </c>
      <c r="G4" t="s">
        <v>142</v>
      </c>
      <c r="H4" t="s">
        <v>143</v>
      </c>
      <c r="I4" t="s">
        <v>143</v>
      </c>
      <c r="J4" t="s">
        <v>140</v>
      </c>
      <c r="K4" t="s">
        <v>141</v>
      </c>
      <c r="L4" t="s">
        <v>141</v>
      </c>
      <c r="M4" t="s">
        <v>144</v>
      </c>
    </row>
    <row r="5" spans="1:13" x14ac:dyDescent="0.25">
      <c r="A5" s="61" t="s">
        <v>81</v>
      </c>
      <c r="B5" s="220">
        <v>46104</v>
      </c>
      <c r="C5" s="220">
        <v>46092</v>
      </c>
      <c r="D5" s="220">
        <v>46092</v>
      </c>
      <c r="E5" s="220">
        <v>46104</v>
      </c>
      <c r="F5" s="220">
        <v>46092</v>
      </c>
      <c r="G5" s="220">
        <v>46092</v>
      </c>
      <c r="H5" s="220">
        <v>46104</v>
      </c>
      <c r="I5" s="220">
        <v>46092</v>
      </c>
      <c r="J5" s="220">
        <v>46092</v>
      </c>
      <c r="K5" s="220">
        <v>46104</v>
      </c>
      <c r="L5" s="220">
        <v>46092</v>
      </c>
      <c r="M5" s="220">
        <v>46092</v>
      </c>
    </row>
    <row r="6" spans="1:13" x14ac:dyDescent="0.25">
      <c r="A6" s="199">
        <v>1.0150557507719928E-2</v>
      </c>
      <c r="B6" s="73"/>
      <c r="C6" s="73">
        <v>6.596198861928409E-3</v>
      </c>
      <c r="D6" s="73"/>
      <c r="E6" s="73"/>
      <c r="F6" s="73"/>
      <c r="G6" s="73"/>
      <c r="H6" s="73"/>
      <c r="I6" s="73"/>
      <c r="J6" s="73"/>
      <c r="K6" s="73"/>
      <c r="L6" s="73"/>
      <c r="M6" s="73"/>
    </row>
    <row r="7" spans="1:13" x14ac:dyDescent="0.25">
      <c r="A7" s="199">
        <v>1.1850271528316525E-2</v>
      </c>
      <c r="B7" s="73">
        <v>6.6212960266655973E-3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x14ac:dyDescent="0.25">
      <c r="A8" s="199">
        <v>1.6512173139232419E-2</v>
      </c>
      <c r="B8" s="73"/>
      <c r="C8" s="73">
        <v>7.0278514508279053E-3</v>
      </c>
      <c r="D8" s="73"/>
      <c r="E8" s="73"/>
      <c r="F8" s="73"/>
      <c r="G8" s="73"/>
      <c r="H8" s="73"/>
      <c r="I8" s="73"/>
      <c r="J8" s="73"/>
      <c r="K8" s="73"/>
      <c r="L8" s="73"/>
      <c r="M8" s="73"/>
    </row>
    <row r="9" spans="1:13" x14ac:dyDescent="0.25">
      <c r="A9" s="199">
        <v>1.6875256696937891E-2</v>
      </c>
      <c r="B9" s="73"/>
      <c r="C9" s="73"/>
      <c r="D9" s="73">
        <v>8.4535995613054232E-3</v>
      </c>
      <c r="E9" s="73"/>
      <c r="F9" s="73"/>
      <c r="G9" s="73"/>
      <c r="H9" s="73"/>
      <c r="I9" s="73"/>
      <c r="J9" s="73"/>
      <c r="K9" s="73"/>
      <c r="L9" s="73"/>
      <c r="M9" s="73"/>
    </row>
    <row r="10" spans="1:13" x14ac:dyDescent="0.25">
      <c r="A10" s="199">
        <v>1.9997642191089005E-2</v>
      </c>
      <c r="B10" s="73"/>
      <c r="C10" s="73">
        <v>7.280404097911467E-3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</row>
    <row r="11" spans="1:13" x14ac:dyDescent="0.25">
      <c r="A11" s="199">
        <v>2.5965865011636929E-2</v>
      </c>
      <c r="B11" s="73">
        <v>7.490851774883912E-3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</row>
    <row r="12" spans="1:13" x14ac:dyDescent="0.25">
      <c r="A12" s="199">
        <v>2.7674917911307269E-2</v>
      </c>
      <c r="B12" s="73"/>
      <c r="C12" s="73"/>
      <c r="D12" s="73"/>
      <c r="E12" s="73"/>
      <c r="F12" s="73">
        <v>9.6372250619072009E-3</v>
      </c>
      <c r="G12" s="73"/>
      <c r="H12" s="73"/>
      <c r="I12" s="73"/>
      <c r="J12" s="73"/>
      <c r="K12" s="73"/>
      <c r="L12" s="73"/>
      <c r="M12" s="73"/>
    </row>
    <row r="13" spans="1:13" x14ac:dyDescent="0.25">
      <c r="A13" s="199">
        <v>3.1234376346866644E-2</v>
      </c>
      <c r="B13" s="73"/>
      <c r="C13" s="73"/>
      <c r="D13" s="73"/>
      <c r="E13" s="73">
        <v>9.6815497098528564E-3</v>
      </c>
      <c r="F13" s="73"/>
      <c r="G13" s="73"/>
      <c r="H13" s="73"/>
      <c r="I13" s="73"/>
      <c r="J13" s="73"/>
      <c r="K13" s="73"/>
      <c r="L13" s="73"/>
      <c r="M13" s="73"/>
    </row>
    <row r="14" spans="1:13" x14ac:dyDescent="0.25">
      <c r="A14" s="199">
        <v>3.5640373294391452E-2</v>
      </c>
      <c r="B14" s="73"/>
      <c r="C14" s="73">
        <v>8.0706952791960666E-3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5" spans="1:13" x14ac:dyDescent="0.25">
      <c r="A15" s="199">
        <v>3.6869666408068269E-2</v>
      </c>
      <c r="B15" s="73">
        <v>8.1016796352175388E-3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</row>
    <row r="16" spans="1:13" x14ac:dyDescent="0.25">
      <c r="A16" s="199">
        <v>3.9849347419340118E-2</v>
      </c>
      <c r="B16" s="73"/>
      <c r="C16" s="73">
        <v>8.2483981479025952E-3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</row>
    <row r="17" spans="1:13" x14ac:dyDescent="0.25">
      <c r="A17" s="199">
        <v>4.1308812120658976E-2</v>
      </c>
      <c r="B17" s="73"/>
      <c r="C17" s="73"/>
      <c r="D17" s="73">
        <v>9.0757148595714369E-3</v>
      </c>
      <c r="E17" s="73"/>
      <c r="F17" s="73"/>
      <c r="G17" s="73"/>
      <c r="H17" s="73"/>
      <c r="I17" s="73"/>
      <c r="J17" s="73"/>
      <c r="K17" s="73"/>
      <c r="L17" s="73"/>
      <c r="M17" s="73"/>
    </row>
    <row r="18" spans="1:13" x14ac:dyDescent="0.25">
      <c r="A18" s="199">
        <v>4.4642703215240054E-2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>
        <v>1.1061016764952936E-2</v>
      </c>
    </row>
    <row r="19" spans="1:13" x14ac:dyDescent="0.25">
      <c r="A19" s="199">
        <v>4.6332212740281015E-2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>
        <v>1.1654574736677229E-2</v>
      </c>
    </row>
    <row r="20" spans="1:13" x14ac:dyDescent="0.25">
      <c r="A20" s="199">
        <v>5.5009625606987904E-2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>
        <v>1.8346191558481693E-2</v>
      </c>
    </row>
    <row r="21" spans="1:13" x14ac:dyDescent="0.25">
      <c r="A21" s="199">
        <v>5.5108173991085967E-2</v>
      </c>
      <c r="B21" s="73"/>
      <c r="C21" s="73">
        <v>9.0297684207135426E-3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</row>
    <row r="22" spans="1:13" x14ac:dyDescent="0.25">
      <c r="A22" s="199">
        <v>5.7327385570209471E-2</v>
      </c>
      <c r="B22" s="73"/>
      <c r="C22" s="73"/>
      <c r="D22" s="73"/>
      <c r="E22" s="73">
        <v>9.9585361931964558E-3</v>
      </c>
      <c r="F22" s="73"/>
      <c r="G22" s="73"/>
      <c r="H22" s="73"/>
      <c r="I22" s="73"/>
      <c r="J22" s="73"/>
      <c r="K22" s="73"/>
      <c r="L22" s="73"/>
      <c r="M22" s="73"/>
    </row>
    <row r="23" spans="1:13" x14ac:dyDescent="0.25">
      <c r="A23" s="199">
        <v>5.7532058595354346E-2</v>
      </c>
      <c r="B23" s="73"/>
      <c r="C23" s="73">
        <v>9.3669171539898718E-3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</row>
    <row r="24" spans="1:13" x14ac:dyDescent="0.25">
      <c r="A24" s="199">
        <v>5.8219550038789744E-2</v>
      </c>
      <c r="B24" s="73">
        <v>9.0222427353906856E-3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</row>
    <row r="25" spans="1:13" x14ac:dyDescent="0.25">
      <c r="A25" s="199">
        <v>5.8994914231531768E-2</v>
      </c>
      <c r="B25" s="73"/>
      <c r="C25" s="73"/>
      <c r="D25" s="73"/>
      <c r="E25" s="73"/>
      <c r="F25" s="73"/>
      <c r="G25" s="73"/>
      <c r="H25" s="73"/>
      <c r="I25" s="73">
        <v>1.0721021489823184E-2</v>
      </c>
      <c r="J25" s="73"/>
      <c r="K25" s="73"/>
      <c r="L25" s="73"/>
      <c r="M25" s="73"/>
    </row>
    <row r="26" spans="1:13" x14ac:dyDescent="0.25">
      <c r="A26" s="199">
        <v>5.9106973536764078E-2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>
        <v>1.3275207717987576E-2</v>
      </c>
    </row>
    <row r="27" spans="1:13" x14ac:dyDescent="0.25">
      <c r="A27" s="199">
        <v>5.9313421256788207E-2</v>
      </c>
      <c r="B27" s="73"/>
      <c r="C27" s="73"/>
      <c r="D27" s="73"/>
      <c r="E27" s="73"/>
      <c r="F27" s="73"/>
      <c r="G27" s="73"/>
      <c r="H27" s="73">
        <v>9.6212234184526301E-3</v>
      </c>
      <c r="I27" s="73"/>
      <c r="J27" s="73"/>
      <c r="K27" s="73"/>
      <c r="L27" s="73"/>
      <c r="M27" s="73"/>
    </row>
    <row r="28" spans="1:13" x14ac:dyDescent="0.25">
      <c r="A28" s="199">
        <v>6.0624515128006207E-2</v>
      </c>
      <c r="B28" s="73"/>
      <c r="C28" s="73"/>
      <c r="D28" s="73"/>
      <c r="E28" s="73"/>
      <c r="F28" s="73"/>
      <c r="G28" s="73"/>
      <c r="H28" s="73">
        <v>1.1228162871936714E-2</v>
      </c>
      <c r="I28" s="73"/>
      <c r="J28" s="73"/>
      <c r="K28" s="73"/>
      <c r="L28" s="73"/>
      <c r="M28" s="73"/>
    </row>
    <row r="29" spans="1:13" x14ac:dyDescent="0.25">
      <c r="A29" s="199">
        <v>6.230122149713261E-2</v>
      </c>
      <c r="B29" s="73"/>
      <c r="C29" s="73"/>
      <c r="D29" s="73"/>
      <c r="E29" s="73"/>
      <c r="F29" s="73">
        <v>1.0460084484178884E-2</v>
      </c>
      <c r="G29" s="73"/>
      <c r="H29" s="73"/>
      <c r="I29" s="73"/>
      <c r="J29" s="73"/>
      <c r="K29" s="73"/>
      <c r="L29" s="73"/>
      <c r="M29" s="73"/>
    </row>
    <row r="30" spans="1:13" x14ac:dyDescent="0.25">
      <c r="A30" s="199">
        <v>6.355486595983105E-2</v>
      </c>
      <c r="B30" s="73"/>
      <c r="C30" s="73"/>
      <c r="D30" s="73"/>
      <c r="E30" s="73"/>
      <c r="F30" s="73"/>
      <c r="G30" s="73"/>
      <c r="H30" s="73">
        <v>1.086438303311912E-2</v>
      </c>
      <c r="I30" s="73"/>
      <c r="J30" s="73"/>
      <c r="K30" s="73"/>
      <c r="L30" s="73"/>
      <c r="M30" s="73"/>
    </row>
    <row r="31" spans="1:13" x14ac:dyDescent="0.25">
      <c r="A31" s="199">
        <v>6.3885297244490422E-2</v>
      </c>
      <c r="B31" s="73"/>
      <c r="C31" s="73"/>
      <c r="D31" s="73"/>
      <c r="E31" s="73"/>
      <c r="F31" s="73"/>
      <c r="G31" s="73"/>
      <c r="H31" s="73"/>
      <c r="I31" s="73">
        <v>1.128819261719761E-2</v>
      </c>
      <c r="J31" s="73"/>
      <c r="K31" s="73"/>
      <c r="L31" s="73"/>
      <c r="M31" s="73"/>
    </row>
    <row r="32" spans="1:13" x14ac:dyDescent="0.25">
      <c r="A32" s="199">
        <v>6.8267103410625515E-2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>
        <v>1.4768636010278974E-2</v>
      </c>
    </row>
    <row r="33" spans="1:13" x14ac:dyDescent="0.25">
      <c r="A33" s="199">
        <v>6.8285948980057493E-2</v>
      </c>
      <c r="B33" s="73"/>
      <c r="C33" s="73"/>
      <c r="D33" s="73">
        <v>9.7737484105561365E-3</v>
      </c>
      <c r="E33" s="73"/>
      <c r="F33" s="73"/>
      <c r="G33" s="73"/>
      <c r="H33" s="73"/>
      <c r="I33" s="73"/>
      <c r="J33" s="73"/>
      <c r="K33" s="73"/>
      <c r="L33" s="73"/>
      <c r="M33" s="73"/>
    </row>
    <row r="34" spans="1:13" x14ac:dyDescent="0.25">
      <c r="A34" s="199">
        <v>6.9947992989110142E-2</v>
      </c>
      <c r="B34" s="73"/>
      <c r="C34" s="73"/>
      <c r="D34" s="73"/>
      <c r="E34" s="73"/>
      <c r="F34" s="73"/>
      <c r="G34" s="73"/>
      <c r="H34" s="73"/>
      <c r="I34" s="73">
        <v>1.0464462487309993E-2</v>
      </c>
      <c r="J34" s="73"/>
      <c r="K34" s="73"/>
      <c r="L34" s="73"/>
      <c r="M34" s="73"/>
    </row>
    <row r="35" spans="1:13" x14ac:dyDescent="0.25">
      <c r="A35" s="199">
        <v>7.1823118696664079E-2</v>
      </c>
      <c r="B35" s="73"/>
      <c r="C35" s="73"/>
      <c r="D35" s="73"/>
      <c r="E35" s="73"/>
      <c r="F35" s="73"/>
      <c r="G35" s="73"/>
      <c r="H35" s="73">
        <v>1.1404410581020489E-2</v>
      </c>
      <c r="I35" s="73"/>
      <c r="J35" s="73"/>
      <c r="K35" s="73"/>
      <c r="L35" s="73"/>
      <c r="M35" s="73"/>
    </row>
    <row r="36" spans="1:13" x14ac:dyDescent="0.25">
      <c r="A36" s="199">
        <v>7.817315444408951E-2</v>
      </c>
      <c r="B36" s="73"/>
      <c r="C36" s="73">
        <v>1.0746412006416907E-2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</row>
    <row r="37" spans="1:13" x14ac:dyDescent="0.25">
      <c r="A37" s="199">
        <v>7.9329368157917426E-2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>
        <v>1.5918493463828256E-2</v>
      </c>
    </row>
    <row r="38" spans="1:13" x14ac:dyDescent="0.25">
      <c r="A38" s="199">
        <v>8.0174122920437893E-2</v>
      </c>
      <c r="B38" s="73"/>
      <c r="C38" s="73"/>
      <c r="D38" s="73"/>
      <c r="E38" s="73"/>
      <c r="F38" s="73"/>
      <c r="G38" s="73"/>
      <c r="H38" s="73"/>
      <c r="I38" s="73">
        <v>1.1873789179147687E-2</v>
      </c>
      <c r="J38" s="73"/>
      <c r="K38" s="73"/>
      <c r="L38" s="73"/>
      <c r="M38" s="73"/>
    </row>
    <row r="39" spans="1:13" x14ac:dyDescent="0.25">
      <c r="A39" s="199">
        <v>8.0536160675803811E-2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>
        <v>1.5086350243453263E-2</v>
      </c>
    </row>
    <row r="40" spans="1:13" x14ac:dyDescent="0.25">
      <c r="A40" s="199">
        <v>8.0896043444530635E-2</v>
      </c>
      <c r="B40" s="73">
        <v>1.1071213533300241E-2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</row>
    <row r="41" spans="1:13" x14ac:dyDescent="0.25">
      <c r="A41" s="199">
        <v>8.4433992759244889E-2</v>
      </c>
      <c r="B41" s="73"/>
      <c r="C41" s="73"/>
      <c r="D41" s="73"/>
      <c r="E41" s="73"/>
      <c r="F41" s="73"/>
      <c r="G41" s="73"/>
      <c r="H41" s="73"/>
      <c r="I41" s="73"/>
      <c r="J41" s="73">
        <v>1.1154069304209259E-2</v>
      </c>
      <c r="K41" s="73"/>
      <c r="L41" s="73"/>
      <c r="M41" s="73"/>
    </row>
    <row r="42" spans="1:13" x14ac:dyDescent="0.25">
      <c r="A42" s="199">
        <v>8.5151280062063614E-2</v>
      </c>
      <c r="B42" s="73"/>
      <c r="C42" s="73"/>
      <c r="D42" s="73"/>
      <c r="E42" s="73">
        <v>1.1780866166576431E-2</v>
      </c>
      <c r="F42" s="73"/>
      <c r="G42" s="73"/>
      <c r="H42" s="73"/>
      <c r="I42" s="73"/>
      <c r="J42" s="73"/>
      <c r="K42" s="73"/>
      <c r="L42" s="73"/>
      <c r="M42" s="73"/>
    </row>
    <row r="43" spans="1:13" x14ac:dyDescent="0.25">
      <c r="A43" s="199">
        <v>8.9103956555469377E-2</v>
      </c>
      <c r="B43" s="73"/>
      <c r="C43" s="73"/>
      <c r="D43" s="73"/>
      <c r="E43" s="73"/>
      <c r="F43" s="73"/>
      <c r="G43" s="73"/>
      <c r="H43" s="73">
        <v>1.3399499060221923E-2</v>
      </c>
      <c r="I43" s="73"/>
      <c r="J43" s="73"/>
      <c r="K43" s="73"/>
      <c r="L43" s="73"/>
      <c r="M43" s="73"/>
    </row>
    <row r="44" spans="1:13" x14ac:dyDescent="0.25">
      <c r="A44" s="199">
        <v>9.3204608798092115E-2</v>
      </c>
      <c r="B44" s="73"/>
      <c r="C44" s="73"/>
      <c r="D44" s="73"/>
      <c r="E44" s="73"/>
      <c r="F44" s="73"/>
      <c r="G44" s="73"/>
      <c r="H44" s="73"/>
      <c r="I44" s="73">
        <v>1.42198915768788E-2</v>
      </c>
      <c r="J44" s="73"/>
      <c r="K44" s="73"/>
      <c r="L44" s="73"/>
      <c r="M44" s="73"/>
    </row>
    <row r="45" spans="1:13" x14ac:dyDescent="0.25">
      <c r="A45" s="199">
        <v>9.50714187924976E-2</v>
      </c>
      <c r="B45" s="73"/>
      <c r="C45" s="73"/>
      <c r="D45" s="73"/>
      <c r="E45" s="73"/>
      <c r="F45" s="73">
        <v>1.1342318018871873E-2</v>
      </c>
      <c r="G45" s="73"/>
      <c r="H45" s="73"/>
      <c r="I45" s="73"/>
      <c r="J45" s="73"/>
      <c r="K45" s="73"/>
      <c r="L45" s="73"/>
      <c r="M45" s="73"/>
    </row>
    <row r="46" spans="1:13" x14ac:dyDescent="0.25">
      <c r="A46" s="199">
        <v>9.5996896819239702E-2</v>
      </c>
      <c r="B46" s="73"/>
      <c r="C46" s="73"/>
      <c r="D46" s="73"/>
      <c r="E46" s="73">
        <v>1.1676885233167225E-2</v>
      </c>
      <c r="F46" s="73"/>
      <c r="G46" s="73"/>
      <c r="H46" s="73"/>
      <c r="I46" s="73"/>
      <c r="J46" s="73"/>
      <c r="K46" s="73"/>
      <c r="L46" s="73"/>
      <c r="M46" s="73"/>
    </row>
    <row r="47" spans="1:13" x14ac:dyDescent="0.25">
      <c r="A47" s="199">
        <v>9.6761055081458491E-2</v>
      </c>
      <c r="B47" s="73"/>
      <c r="C47" s="73"/>
      <c r="D47" s="73"/>
      <c r="E47" s="73"/>
      <c r="F47" s="73"/>
      <c r="G47" s="73"/>
      <c r="H47" s="73">
        <v>1.3324501686882279E-2</v>
      </c>
      <c r="I47" s="73"/>
      <c r="J47" s="73"/>
      <c r="K47" s="73"/>
      <c r="L47" s="73"/>
      <c r="M47" s="73"/>
    </row>
    <row r="48" spans="1:13" x14ac:dyDescent="0.25">
      <c r="A48" s="199">
        <v>9.8829461963218179E-2</v>
      </c>
      <c r="B48" s="73"/>
      <c r="C48" s="73"/>
      <c r="D48" s="73">
        <v>1.0705457534636925E-2</v>
      </c>
      <c r="E48" s="73"/>
      <c r="F48" s="73"/>
      <c r="G48" s="73"/>
      <c r="H48" s="73"/>
      <c r="I48" s="73"/>
      <c r="J48" s="73"/>
      <c r="K48" s="73"/>
      <c r="L48" s="73"/>
      <c r="M48" s="73"/>
    </row>
    <row r="49" spans="1:13" x14ac:dyDescent="0.25">
      <c r="A49" s="199">
        <v>0.1015458437491021</v>
      </c>
      <c r="B49" s="73"/>
      <c r="C49" s="73"/>
      <c r="D49" s="73"/>
      <c r="E49" s="73"/>
      <c r="F49" s="73"/>
      <c r="G49" s="73"/>
      <c r="H49" s="73"/>
      <c r="I49" s="73">
        <v>1.3731578108277158E-2</v>
      </c>
      <c r="J49" s="73"/>
      <c r="K49" s="73"/>
      <c r="L49" s="73"/>
      <c r="M49" s="73"/>
    </row>
    <row r="50" spans="1:13" x14ac:dyDescent="0.25">
      <c r="A50" s="199">
        <v>0.10698367787766773</v>
      </c>
      <c r="B50" s="73"/>
      <c r="C50" s="73"/>
      <c r="D50" s="73"/>
      <c r="E50" s="73"/>
      <c r="F50" s="73">
        <v>1.1075833659466924E-2</v>
      </c>
      <c r="G50" s="73"/>
      <c r="H50" s="73"/>
      <c r="I50" s="73"/>
      <c r="J50" s="73"/>
      <c r="K50" s="73"/>
      <c r="L50" s="73"/>
      <c r="M50" s="73"/>
    </row>
    <row r="51" spans="1:13" x14ac:dyDescent="0.25">
      <c r="A51" s="199">
        <v>0.1145187788071008</v>
      </c>
      <c r="B51" s="73"/>
      <c r="C51" s="73"/>
      <c r="D51" s="73">
        <v>1.0615078085420126E-2</v>
      </c>
      <c r="E51" s="73"/>
      <c r="F51" s="73"/>
      <c r="G51" s="73"/>
      <c r="H51" s="73"/>
      <c r="I51" s="73"/>
      <c r="J51" s="73"/>
      <c r="K51" s="73"/>
      <c r="L51" s="73"/>
      <c r="M51" s="73"/>
    </row>
    <row r="52" spans="1:13" x14ac:dyDescent="0.25">
      <c r="A52" s="199">
        <v>0.11821179208688905</v>
      </c>
      <c r="B52" s="73">
        <v>1.2433206767652884E-2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</row>
    <row r="53" spans="1:13" x14ac:dyDescent="0.25">
      <c r="A53" s="199">
        <v>0.12825331149613536</v>
      </c>
      <c r="B53" s="73"/>
      <c r="C53" s="73"/>
      <c r="D53" s="73"/>
      <c r="E53" s="73"/>
      <c r="F53" s="73"/>
      <c r="G53" s="73"/>
      <c r="H53" s="73"/>
      <c r="I53" s="73">
        <v>1.6155172768504214E-2</v>
      </c>
      <c r="J53" s="73"/>
      <c r="K53" s="73"/>
      <c r="L53" s="73"/>
      <c r="M53" s="73"/>
    </row>
    <row r="54" spans="1:13" x14ac:dyDescent="0.25">
      <c r="A54" s="199">
        <v>0.13169209550900782</v>
      </c>
      <c r="B54" s="73"/>
      <c r="C54" s="73"/>
      <c r="D54" s="73"/>
      <c r="E54" s="73"/>
      <c r="F54" s="73"/>
      <c r="G54" s="73"/>
      <c r="H54" s="73">
        <v>1.5942548324487743E-2</v>
      </c>
      <c r="I54" s="73"/>
      <c r="J54" s="73"/>
      <c r="K54" s="73"/>
      <c r="L54" s="73"/>
      <c r="M54" s="73"/>
    </row>
    <row r="55" spans="1:13" x14ac:dyDescent="0.25">
      <c r="A55" s="199">
        <v>0.13567259668284176</v>
      </c>
      <c r="B55" s="73"/>
      <c r="C55" s="73">
        <v>1.3768167139153839E-2</v>
      </c>
      <c r="D55" s="73"/>
      <c r="E55" s="73"/>
      <c r="F55" s="73"/>
      <c r="G55" s="73"/>
      <c r="H55" s="73"/>
      <c r="I55" s="73"/>
      <c r="J55" s="73"/>
      <c r="K55" s="73"/>
      <c r="L55" s="73"/>
      <c r="M55" s="73"/>
    </row>
    <row r="56" spans="1:13" x14ac:dyDescent="0.25">
      <c r="A56" s="199">
        <v>0.13641673892210099</v>
      </c>
      <c r="B56" s="73"/>
      <c r="C56" s="73">
        <v>1.3314866237425725E-2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</row>
    <row r="57" spans="1:13" x14ac:dyDescent="0.25">
      <c r="A57" s="199">
        <v>0.13848806137401951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>
        <v>2.2143876234593563E-2</v>
      </c>
    </row>
    <row r="58" spans="1:13" x14ac:dyDescent="0.25">
      <c r="A58" s="199">
        <v>0.14127517742723331</v>
      </c>
      <c r="B58" s="73"/>
      <c r="C58" s="73"/>
      <c r="D58" s="73"/>
      <c r="E58" s="73"/>
      <c r="F58" s="73"/>
      <c r="G58" s="73"/>
      <c r="H58" s="73"/>
      <c r="I58" s="73">
        <v>1.8282164253900317E-2</v>
      </c>
      <c r="J58" s="73"/>
      <c r="K58" s="73"/>
      <c r="L58" s="73"/>
      <c r="M58" s="73"/>
    </row>
    <row r="59" spans="1:13" x14ac:dyDescent="0.25">
      <c r="A59" s="199">
        <v>0.14444789242306691</v>
      </c>
      <c r="B59" s="73"/>
      <c r="C59" s="73"/>
      <c r="D59" s="73"/>
      <c r="E59" s="73"/>
      <c r="F59" s="73"/>
      <c r="G59" s="73"/>
      <c r="H59" s="73"/>
      <c r="I59" s="73"/>
      <c r="J59" s="73"/>
      <c r="K59" s="73">
        <v>1.2235912914705667E-2</v>
      </c>
      <c r="L59" s="73"/>
      <c r="M59" s="73"/>
    </row>
    <row r="60" spans="1:13" x14ac:dyDescent="0.25">
      <c r="A60" s="199">
        <v>0.15360972938438372</v>
      </c>
      <c r="B60" s="73"/>
      <c r="C60" s="73"/>
      <c r="D60" s="73">
        <v>1.1505180267543465E-2</v>
      </c>
      <c r="E60" s="73"/>
      <c r="F60" s="73"/>
      <c r="G60" s="73"/>
      <c r="H60" s="73"/>
      <c r="I60" s="73"/>
      <c r="J60" s="73"/>
      <c r="K60" s="73"/>
      <c r="L60" s="73"/>
      <c r="M60" s="73"/>
    </row>
    <row r="61" spans="1:13" x14ac:dyDescent="0.25">
      <c r="A61" s="199">
        <v>0.15521075769330225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>
        <v>2.4129971595228988E-2</v>
      </c>
    </row>
    <row r="62" spans="1:13" x14ac:dyDescent="0.25">
      <c r="A62" s="199">
        <v>0.15773467804499613</v>
      </c>
      <c r="B62" s="73"/>
      <c r="C62" s="73"/>
      <c r="D62" s="73"/>
      <c r="E62" s="73">
        <v>1.2692933260667404E-2</v>
      </c>
      <c r="F62" s="73"/>
      <c r="G62" s="73"/>
      <c r="H62" s="73"/>
      <c r="I62" s="73"/>
      <c r="J62" s="73"/>
      <c r="K62" s="73"/>
      <c r="L62" s="73"/>
      <c r="M62" s="73"/>
    </row>
    <row r="63" spans="1:13" x14ac:dyDescent="0.25">
      <c r="A63" s="199">
        <v>0.15862684251357639</v>
      </c>
      <c r="B63" s="73"/>
      <c r="C63" s="73"/>
      <c r="D63" s="73"/>
      <c r="E63" s="73"/>
      <c r="F63" s="73"/>
      <c r="G63" s="73"/>
      <c r="H63" s="73">
        <v>1.6929177718728747E-2</v>
      </c>
      <c r="I63" s="73"/>
      <c r="J63" s="73"/>
      <c r="K63" s="73"/>
      <c r="L63" s="73"/>
      <c r="M63" s="73"/>
    </row>
    <row r="64" spans="1:13" x14ac:dyDescent="0.25">
      <c r="A64" s="199">
        <v>0.15977501939487976</v>
      </c>
      <c r="B64" s="73">
        <v>1.584888159105512E-2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spans="1:13" x14ac:dyDescent="0.25">
      <c r="A65" s="199">
        <v>0.166508465294574</v>
      </c>
      <c r="B65" s="73"/>
      <c r="C65" s="73"/>
      <c r="D65" s="73">
        <v>1.1636336481284381E-2</v>
      </c>
      <c r="E65" s="73"/>
      <c r="F65" s="73"/>
      <c r="G65" s="73"/>
      <c r="H65" s="73"/>
      <c r="I65" s="73"/>
      <c r="J65" s="73"/>
      <c r="K65" s="73"/>
      <c r="L65" s="73"/>
      <c r="M65" s="73"/>
    </row>
    <row r="66" spans="1:13" x14ac:dyDescent="0.25">
      <c r="A66" s="199">
        <v>0.17103859581070602</v>
      </c>
      <c r="B66" s="73"/>
      <c r="C66" s="73">
        <v>1.555310791801642E-2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spans="1:13" x14ac:dyDescent="0.25">
      <c r="A67" s="199">
        <v>0.17125822486567252</v>
      </c>
      <c r="B67" s="73"/>
      <c r="C67" s="73"/>
      <c r="D67" s="73"/>
      <c r="E67" s="73"/>
      <c r="F67" s="73"/>
      <c r="G67" s="73"/>
      <c r="H67" s="73"/>
      <c r="I67" s="73">
        <v>1.8460602292626395E-2</v>
      </c>
      <c r="J67" s="73"/>
      <c r="K67" s="73"/>
      <c r="L67" s="73"/>
      <c r="M67" s="73"/>
    </row>
    <row r="68" spans="1:13" x14ac:dyDescent="0.25">
      <c r="A68" s="199">
        <v>0.17211700816866699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>
        <v>1.3253454096760171E-2</v>
      </c>
      <c r="M68" s="73"/>
    </row>
    <row r="69" spans="1:13" x14ac:dyDescent="0.25">
      <c r="A69" s="199">
        <v>0.17859033450463196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>
        <v>1.3675466659039886E-2</v>
      </c>
      <c r="M69" s="73"/>
    </row>
    <row r="70" spans="1:13" x14ac:dyDescent="0.25">
      <c r="A70" s="199">
        <v>0.17876260667183863</v>
      </c>
      <c r="B70" s="73"/>
      <c r="C70" s="73"/>
      <c r="D70" s="73"/>
      <c r="E70" s="73">
        <v>1.2816159787474895E-2</v>
      </c>
      <c r="F70" s="73"/>
      <c r="G70" s="73"/>
      <c r="H70" s="73"/>
      <c r="I70" s="73"/>
      <c r="J70" s="73"/>
      <c r="K70" s="73"/>
      <c r="L70" s="73"/>
      <c r="M70" s="73"/>
    </row>
    <row r="71" spans="1:13" x14ac:dyDescent="0.25">
      <c r="A71" s="199">
        <v>0.18175717610550809</v>
      </c>
      <c r="B71" s="73"/>
      <c r="C71" s="73"/>
      <c r="D71" s="73"/>
      <c r="E71" s="73"/>
      <c r="F71" s="73"/>
      <c r="G71" s="73"/>
      <c r="H71" s="73">
        <v>1.8620865082390158E-2</v>
      </c>
      <c r="I71" s="73"/>
      <c r="J71" s="73"/>
      <c r="K71" s="73"/>
      <c r="L71" s="73"/>
      <c r="M71" s="73"/>
    </row>
    <row r="72" spans="1:13" x14ac:dyDescent="0.25">
      <c r="A72" s="199">
        <v>0.18389449185415049</v>
      </c>
      <c r="B72" s="73"/>
      <c r="C72" s="73"/>
      <c r="D72" s="73"/>
      <c r="E72" s="73"/>
      <c r="F72" s="73"/>
      <c r="G72" s="73"/>
      <c r="H72" s="73">
        <v>1.9950350457762972E-2</v>
      </c>
      <c r="I72" s="73"/>
      <c r="J72" s="73"/>
      <c r="K72" s="73"/>
      <c r="L72" s="73"/>
      <c r="M72" s="73"/>
    </row>
    <row r="73" spans="1:13" x14ac:dyDescent="0.25">
      <c r="A73" s="199">
        <v>0.18465843461770537</v>
      </c>
      <c r="B73" s="73"/>
      <c r="C73" s="73">
        <v>1.6170001649484025E-2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spans="1:13" x14ac:dyDescent="0.25">
      <c r="A74" s="199">
        <v>0.20157098525989142</v>
      </c>
      <c r="B74" s="73"/>
      <c r="C74" s="73"/>
      <c r="D74" s="73"/>
      <c r="E74" s="73"/>
      <c r="F74" s="73"/>
      <c r="G74" s="73"/>
      <c r="H74" s="73">
        <v>2.3321659898174307E-2</v>
      </c>
      <c r="I74" s="73"/>
      <c r="J74" s="73"/>
      <c r="K74" s="73"/>
      <c r="L74" s="73"/>
      <c r="M74" s="73"/>
    </row>
    <row r="75" spans="1:13" x14ac:dyDescent="0.25">
      <c r="A75" s="199">
        <v>0.2027382696893946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>
        <v>3.164305115443973E-2</v>
      </c>
    </row>
    <row r="76" spans="1:13" x14ac:dyDescent="0.25">
      <c r="A76" s="199">
        <v>0.21169130957270418</v>
      </c>
      <c r="B76" s="73"/>
      <c r="C76" s="73"/>
      <c r="D76" s="73"/>
      <c r="E76" s="73"/>
      <c r="F76" s="73">
        <v>1.5406034269445123E-2</v>
      </c>
      <c r="G76" s="73"/>
      <c r="H76" s="73"/>
      <c r="I76" s="73"/>
      <c r="J76" s="73"/>
      <c r="K76" s="73"/>
      <c r="L76" s="73"/>
      <c r="M76" s="73"/>
    </row>
    <row r="77" spans="1:13" x14ac:dyDescent="0.25">
      <c r="A77" s="199">
        <v>0.21213113812027698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>
        <v>3.5378277627620171E-2</v>
      </c>
    </row>
    <row r="78" spans="1:13" x14ac:dyDescent="0.25">
      <c r="A78" s="199">
        <v>0.2133619312736732</v>
      </c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>
        <v>1.4772788022741266E-2</v>
      </c>
      <c r="M78" s="73"/>
    </row>
    <row r="79" spans="1:13" x14ac:dyDescent="0.25">
      <c r="A79" s="199">
        <v>0.21848719937936381</v>
      </c>
      <c r="B79" s="73"/>
      <c r="C79" s="73"/>
      <c r="D79" s="73"/>
      <c r="E79" s="73"/>
      <c r="F79" s="73"/>
      <c r="G79" s="73"/>
      <c r="H79" s="73"/>
      <c r="I79" s="73"/>
      <c r="J79" s="73"/>
      <c r="K79" s="73">
        <v>1.503680506743626E-2</v>
      </c>
      <c r="L79" s="73"/>
      <c r="M79" s="73"/>
    </row>
    <row r="80" spans="1:13" x14ac:dyDescent="0.25">
      <c r="A80" s="199">
        <v>0.21891388673390225</v>
      </c>
      <c r="B80" s="73"/>
      <c r="C80" s="73"/>
      <c r="D80" s="73"/>
      <c r="E80" s="73"/>
      <c r="F80" s="73"/>
      <c r="G80" s="73"/>
      <c r="H80" s="73"/>
      <c r="I80" s="73"/>
      <c r="J80" s="73"/>
      <c r="K80" s="73">
        <v>1.4532837509576783E-2</v>
      </c>
      <c r="L80" s="73"/>
      <c r="M80" s="73"/>
    </row>
    <row r="81" spans="1:13" x14ac:dyDescent="0.25">
      <c r="A81" s="199">
        <v>0.22876618141438113</v>
      </c>
      <c r="B81" s="73"/>
      <c r="C81" s="73"/>
      <c r="D81" s="73"/>
      <c r="E81" s="73"/>
      <c r="F81" s="73"/>
      <c r="G81" s="73"/>
      <c r="H81" s="73"/>
      <c r="I81" s="73"/>
      <c r="J81" s="73">
        <v>1.9149387940522167E-2</v>
      </c>
      <c r="K81" s="73"/>
      <c r="L81" s="73"/>
      <c r="M81" s="73"/>
    </row>
    <row r="82" spans="1:13" x14ac:dyDescent="0.25">
      <c r="A82" s="199">
        <v>0.22976180214349332</v>
      </c>
      <c r="B82" s="73"/>
      <c r="C82" s="73"/>
      <c r="D82" s="73"/>
      <c r="E82" s="73"/>
      <c r="F82" s="73"/>
      <c r="G82" s="73"/>
      <c r="H82" s="73"/>
      <c r="I82" s="73">
        <v>2.2218246486298266E-2</v>
      </c>
      <c r="J82" s="73"/>
      <c r="K82" s="73"/>
      <c r="L82" s="73"/>
      <c r="M82" s="73"/>
    </row>
    <row r="83" spans="1:13" x14ac:dyDescent="0.25">
      <c r="A83" s="199">
        <v>0.23186219578771949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>
        <v>3.8194114817827314E-2</v>
      </c>
    </row>
    <row r="84" spans="1:13" x14ac:dyDescent="0.25">
      <c r="A84" s="199">
        <v>0.2370157745021981</v>
      </c>
      <c r="B84" s="73"/>
      <c r="C84" s="73"/>
      <c r="D84" s="73"/>
      <c r="E84" s="73"/>
      <c r="F84" s="73"/>
      <c r="G84" s="73"/>
      <c r="H84" s="73"/>
      <c r="I84" s="73"/>
      <c r="J84" s="73"/>
      <c r="K84" s="73">
        <v>1.5750199519474317E-2</v>
      </c>
      <c r="L84" s="73"/>
      <c r="M84" s="73"/>
    </row>
    <row r="85" spans="1:13" x14ac:dyDescent="0.25">
      <c r="A85" s="199">
        <v>0.23920275635467531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>
        <v>1.5582201915096445E-2</v>
      </c>
      <c r="M85" s="73"/>
    </row>
    <row r="86" spans="1:13" x14ac:dyDescent="0.25">
      <c r="A86" s="199">
        <v>0.24133771429440673</v>
      </c>
      <c r="B86" s="73"/>
      <c r="C86" s="73"/>
      <c r="D86" s="73"/>
      <c r="E86" s="73"/>
      <c r="F86" s="73">
        <v>1.4934354230036029E-2</v>
      </c>
      <c r="G86" s="73"/>
      <c r="H86" s="73"/>
      <c r="I86" s="73"/>
      <c r="J86" s="73"/>
      <c r="K86" s="73"/>
      <c r="L86" s="73"/>
      <c r="M86" s="73"/>
    </row>
    <row r="87" spans="1:13" x14ac:dyDescent="0.25">
      <c r="A87" s="199">
        <v>0.24204809930178434</v>
      </c>
      <c r="B87" s="73"/>
      <c r="C87" s="73"/>
      <c r="D87" s="73">
        <v>1.3493247325563274E-2</v>
      </c>
      <c r="E87" s="73"/>
      <c r="F87" s="73"/>
      <c r="G87" s="73"/>
      <c r="H87" s="73"/>
      <c r="I87" s="73"/>
      <c r="J87" s="73"/>
      <c r="K87" s="73"/>
      <c r="L87" s="73"/>
      <c r="M87" s="73"/>
    </row>
    <row r="88" spans="1:13" x14ac:dyDescent="0.25">
      <c r="A88" s="199">
        <v>0.25347282435084195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>
        <v>1.6073429748460325E-2</v>
      </c>
      <c r="M88" s="73"/>
    </row>
    <row r="89" spans="1:13" x14ac:dyDescent="0.25">
      <c r="A89" s="199">
        <v>0.25623739332816142</v>
      </c>
      <c r="B89" s="73"/>
      <c r="C89" s="73"/>
      <c r="D89" s="73"/>
      <c r="E89" s="73"/>
      <c r="F89" s="73"/>
      <c r="G89" s="73"/>
      <c r="H89" s="73">
        <v>2.4031371159684622E-2</v>
      </c>
      <c r="I89" s="73"/>
      <c r="J89" s="73"/>
      <c r="K89" s="73"/>
      <c r="L89" s="73"/>
      <c r="M89" s="73"/>
    </row>
    <row r="90" spans="1:13" x14ac:dyDescent="0.25">
      <c r="A90" s="199">
        <v>0.26573095879158481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>
        <v>1.7040464900077414E-2</v>
      </c>
      <c r="M90" s="73"/>
    </row>
    <row r="91" spans="1:13" x14ac:dyDescent="0.25">
      <c r="A91" s="199">
        <v>0.27561761917076111</v>
      </c>
      <c r="B91" s="73"/>
      <c r="C91" s="73">
        <v>2.0987859075821697E-2</v>
      </c>
      <c r="D91" s="73"/>
      <c r="E91" s="73"/>
      <c r="F91" s="73"/>
      <c r="G91" s="73"/>
      <c r="H91" s="73"/>
      <c r="I91" s="73"/>
      <c r="J91" s="73"/>
      <c r="K91" s="73"/>
      <c r="L91" s="73"/>
      <c r="M91" s="73"/>
    </row>
    <row r="92" spans="1:13" x14ac:dyDescent="0.25">
      <c r="A92" s="199">
        <v>0.2799327644168606</v>
      </c>
      <c r="B92" s="73"/>
      <c r="C92" s="73"/>
      <c r="D92" s="73"/>
      <c r="E92" s="73"/>
      <c r="F92" s="73"/>
      <c r="G92" s="73"/>
      <c r="H92" s="73"/>
      <c r="I92" s="73"/>
      <c r="J92" s="73"/>
      <c r="K92" s="73">
        <v>1.7185741715384034E-2</v>
      </c>
      <c r="L92" s="73"/>
      <c r="M92" s="73"/>
    </row>
    <row r="93" spans="1:13" x14ac:dyDescent="0.25">
      <c r="A93" s="199">
        <v>0.28184351923684736</v>
      </c>
      <c r="B93" s="73"/>
      <c r="C93" s="73"/>
      <c r="D93" s="73"/>
      <c r="E93" s="73"/>
      <c r="F93" s="73"/>
      <c r="G93" s="73"/>
      <c r="H93" s="73"/>
      <c r="I93" s="73">
        <v>2.5528575404787906E-2</v>
      </c>
      <c r="J93" s="73"/>
      <c r="K93" s="73"/>
      <c r="L93" s="73"/>
      <c r="M93" s="73"/>
    </row>
    <row r="94" spans="1:13" x14ac:dyDescent="0.25">
      <c r="A94" s="199">
        <v>0.29114817688130334</v>
      </c>
      <c r="B94" s="73"/>
      <c r="C94" s="73"/>
      <c r="D94" s="73"/>
      <c r="E94" s="73">
        <v>1.622387482705575E-2</v>
      </c>
      <c r="F94" s="73"/>
      <c r="G94" s="73"/>
      <c r="H94" s="73"/>
      <c r="I94" s="73"/>
      <c r="J94" s="73"/>
      <c r="K94" s="73"/>
      <c r="L94" s="73"/>
      <c r="M94" s="73"/>
    </row>
    <row r="95" spans="1:13" x14ac:dyDescent="0.25">
      <c r="A95" s="199">
        <v>0.29222768152170792</v>
      </c>
      <c r="B95" s="73"/>
      <c r="C95" s="73"/>
      <c r="D95" s="73"/>
      <c r="E95" s="73"/>
      <c r="F95" s="73"/>
      <c r="G95" s="73"/>
      <c r="H95" s="73"/>
      <c r="I95" s="73">
        <v>2.6751555661055363E-2</v>
      </c>
      <c r="J95" s="73"/>
      <c r="K95" s="73"/>
      <c r="L95" s="73"/>
      <c r="M95" s="73"/>
    </row>
    <row r="96" spans="1:13" x14ac:dyDescent="0.25">
      <c r="A96" s="199">
        <v>0.29388673390224984</v>
      </c>
      <c r="B96" s="73"/>
      <c r="C96" s="73"/>
      <c r="D96" s="73"/>
      <c r="E96" s="73"/>
      <c r="F96" s="73"/>
      <c r="G96" s="73"/>
      <c r="H96" s="73">
        <v>2.7285715660388569E-2</v>
      </c>
      <c r="I96" s="73"/>
      <c r="J96" s="73"/>
      <c r="K96" s="73"/>
      <c r="L96" s="73"/>
      <c r="M96" s="73"/>
    </row>
    <row r="97" spans="1:13" x14ac:dyDescent="0.25">
      <c r="A97" s="199">
        <v>0.29655056359238813</v>
      </c>
      <c r="B97" s="73"/>
      <c r="C97" s="73"/>
      <c r="D97" s="73"/>
      <c r="E97" s="73"/>
      <c r="F97" s="73">
        <v>1.6075060193484956E-2</v>
      </c>
      <c r="G97" s="73"/>
      <c r="H97" s="73"/>
      <c r="I97" s="73"/>
      <c r="J97" s="73"/>
      <c r="K97" s="73"/>
      <c r="L97" s="73"/>
      <c r="M97" s="73"/>
    </row>
    <row r="98" spans="1:13" x14ac:dyDescent="0.25">
      <c r="A98" s="199">
        <v>0.30568657874321181</v>
      </c>
      <c r="B98" s="73">
        <v>2.3421438229960803E-2</v>
      </c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99" spans="1:13" x14ac:dyDescent="0.25">
      <c r="A99" s="199">
        <v>0.3084910783553142</v>
      </c>
      <c r="B99" s="73"/>
      <c r="C99" s="73"/>
      <c r="D99" s="73"/>
      <c r="E99" s="73">
        <v>1.6070387078168404E-2</v>
      </c>
      <c r="F99" s="73"/>
      <c r="G99" s="73"/>
      <c r="H99" s="73"/>
      <c r="I99" s="73"/>
      <c r="J99" s="73"/>
      <c r="K99" s="73"/>
      <c r="L99" s="73"/>
      <c r="M99" s="73"/>
    </row>
    <row r="100" spans="1:13" x14ac:dyDescent="0.25">
      <c r="A100" s="199">
        <v>0.3095032058595355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>
        <v>1.7937609454206145E-2</v>
      </c>
      <c r="M100" s="73"/>
    </row>
    <row r="101" spans="1:13" x14ac:dyDescent="0.25">
      <c r="A101" s="199">
        <v>0.31619645703294674</v>
      </c>
      <c r="B101" s="73"/>
      <c r="C101" s="73"/>
      <c r="D101" s="73"/>
      <c r="E101" s="73"/>
      <c r="F101" s="73">
        <v>1.614998110024948E-2</v>
      </c>
      <c r="G101" s="73"/>
      <c r="H101" s="73"/>
      <c r="I101" s="73"/>
      <c r="J101" s="73"/>
      <c r="K101" s="73"/>
      <c r="L101" s="73"/>
      <c r="M101" s="73"/>
    </row>
    <row r="102" spans="1:13" x14ac:dyDescent="0.25">
      <c r="A102" s="199">
        <v>0.32849179668419387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>
        <v>4.5377523930434899E-2</v>
      </c>
    </row>
    <row r="103" spans="1:13" x14ac:dyDescent="0.25">
      <c r="A103" s="199">
        <v>0.33335134965545565</v>
      </c>
      <c r="B103" s="73"/>
      <c r="C103" s="73">
        <v>2.3725058598717791E-2</v>
      </c>
      <c r="D103" s="73"/>
      <c r="E103" s="73"/>
      <c r="F103" s="73"/>
      <c r="G103" s="73"/>
      <c r="H103" s="73"/>
      <c r="I103" s="73"/>
      <c r="J103" s="73"/>
      <c r="K103" s="73"/>
      <c r="L103" s="73"/>
      <c r="M103" s="73"/>
    </row>
    <row r="104" spans="1:13" x14ac:dyDescent="0.25">
      <c r="A104" s="199">
        <v>0.33464087147659677</v>
      </c>
      <c r="B104" s="73"/>
      <c r="C104" s="73">
        <v>2.4980285222803156E-2</v>
      </c>
      <c r="D104" s="73"/>
      <c r="E104" s="73"/>
      <c r="F104" s="73"/>
      <c r="G104" s="73"/>
      <c r="H104" s="73"/>
      <c r="I104" s="73"/>
      <c r="J104" s="73"/>
      <c r="K104" s="73"/>
      <c r="L104" s="73"/>
      <c r="M104" s="73"/>
    </row>
    <row r="105" spans="1:13" x14ac:dyDescent="0.25">
      <c r="A105" s="199">
        <v>0.33898827180212654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>
        <v>1.9511345407451829E-2</v>
      </c>
      <c r="M105" s="73"/>
    </row>
    <row r="106" spans="1:13" x14ac:dyDescent="0.25">
      <c r="A106" s="199">
        <v>0.33997760986991121</v>
      </c>
      <c r="B106" s="73"/>
      <c r="C106" s="73"/>
      <c r="D106" s="73"/>
      <c r="E106" s="73"/>
      <c r="F106" s="73"/>
      <c r="G106" s="73"/>
      <c r="H106" s="73"/>
      <c r="I106" s="73"/>
      <c r="J106" s="73">
        <v>2.4075493365291672E-2</v>
      </c>
      <c r="K106" s="73"/>
      <c r="L106" s="73"/>
      <c r="M106" s="73"/>
    </row>
    <row r="107" spans="1:13" x14ac:dyDescent="0.25">
      <c r="A107" s="199">
        <v>0.34968192397207143</v>
      </c>
      <c r="B107" s="73">
        <v>2.7628285836238893E-2</v>
      </c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</row>
    <row r="108" spans="1:13" x14ac:dyDescent="0.25">
      <c r="A108" s="199">
        <v>0.35913983708301006</v>
      </c>
      <c r="B108" s="73"/>
      <c r="C108" s="73"/>
      <c r="D108" s="73">
        <v>1.6468549703887021E-2</v>
      </c>
      <c r="E108" s="73"/>
      <c r="F108" s="73"/>
      <c r="G108" s="73"/>
      <c r="H108" s="73"/>
      <c r="I108" s="73"/>
      <c r="J108" s="73"/>
      <c r="K108" s="73"/>
      <c r="L108" s="73"/>
      <c r="M108" s="73"/>
    </row>
    <row r="109" spans="1:13" x14ac:dyDescent="0.25">
      <c r="A109" s="199">
        <v>0.36012700054593</v>
      </c>
      <c r="B109" s="73"/>
      <c r="C109" s="73"/>
      <c r="D109" s="73"/>
      <c r="E109" s="73"/>
      <c r="F109" s="73"/>
      <c r="G109" s="73"/>
      <c r="H109" s="73"/>
      <c r="I109" s="73">
        <v>2.9272509485958415E-2</v>
      </c>
      <c r="J109" s="73"/>
      <c r="K109" s="73"/>
      <c r="L109" s="73"/>
      <c r="M109" s="73"/>
    </row>
    <row r="110" spans="1:13" x14ac:dyDescent="0.25">
      <c r="A110" s="199">
        <v>0.36374881475734844</v>
      </c>
      <c r="B110" s="73"/>
      <c r="C110" s="73"/>
      <c r="D110" s="73"/>
      <c r="E110" s="73"/>
      <c r="F110" s="73"/>
      <c r="G110" s="73"/>
      <c r="H110" s="73"/>
      <c r="I110" s="73">
        <v>3.4661223681564719E-2</v>
      </c>
      <c r="J110" s="73"/>
      <c r="K110" s="73"/>
      <c r="L110" s="73"/>
      <c r="M110" s="73"/>
    </row>
    <row r="111" spans="1:13" x14ac:dyDescent="0.25">
      <c r="A111" s="199">
        <v>0.37595034910783548</v>
      </c>
      <c r="B111" s="73"/>
      <c r="C111" s="73"/>
      <c r="D111" s="73">
        <v>1.7494420013152732E-2</v>
      </c>
      <c r="E111" s="73"/>
      <c r="F111" s="73"/>
      <c r="G111" s="73"/>
      <c r="H111" s="73"/>
      <c r="I111" s="73"/>
      <c r="J111" s="73"/>
      <c r="K111" s="73"/>
      <c r="L111" s="73"/>
      <c r="M111" s="73"/>
    </row>
    <row r="112" spans="1:13" x14ac:dyDescent="0.25">
      <c r="A112" s="199">
        <v>0.38005289512659568</v>
      </c>
      <c r="B112" s="73"/>
      <c r="C112" s="73"/>
      <c r="D112" s="73"/>
      <c r="E112" s="73">
        <v>1.764151540892438E-2</v>
      </c>
      <c r="F112" s="73"/>
      <c r="G112" s="73"/>
      <c r="H112" s="73"/>
      <c r="I112" s="73"/>
      <c r="J112" s="73"/>
      <c r="K112" s="73"/>
      <c r="L112" s="73"/>
      <c r="M112" s="73"/>
    </row>
    <row r="113" spans="1:13" x14ac:dyDescent="0.25">
      <c r="A113" s="199">
        <v>0.39154670574375766</v>
      </c>
      <c r="B113" s="73"/>
      <c r="C113" s="73"/>
      <c r="D113" s="73"/>
      <c r="E113" s="73"/>
      <c r="F113" s="73">
        <v>1.7961932173386517E-2</v>
      </c>
      <c r="G113" s="73"/>
      <c r="H113" s="73"/>
      <c r="I113" s="73"/>
      <c r="J113" s="73"/>
      <c r="K113" s="73"/>
      <c r="L113" s="73"/>
      <c r="M113" s="73"/>
    </row>
    <row r="114" spans="1:13" x14ac:dyDescent="0.25">
      <c r="A114" s="199">
        <v>0.39190299686808611</v>
      </c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>
        <v>5.6983425120598952E-2</v>
      </c>
    </row>
    <row r="115" spans="1:13" x14ac:dyDescent="0.25">
      <c r="A115" s="199">
        <v>0.39383242823894493</v>
      </c>
      <c r="B115" s="73"/>
      <c r="C115" s="73"/>
      <c r="D115" s="73"/>
      <c r="E115" s="73"/>
      <c r="F115" s="73"/>
      <c r="G115" s="73"/>
      <c r="H115" s="73"/>
      <c r="I115" s="73"/>
      <c r="J115" s="73"/>
      <c r="K115" s="73">
        <v>2.1036300817882225E-2</v>
      </c>
      <c r="L115" s="73"/>
      <c r="M115" s="73"/>
    </row>
    <row r="116" spans="1:13" x14ac:dyDescent="0.25">
      <c r="A116" s="199">
        <v>0.40995029164152513</v>
      </c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>
        <v>5.5761778610436331E-2</v>
      </c>
    </row>
    <row r="117" spans="1:13" x14ac:dyDescent="0.25">
      <c r="A117" s="199">
        <v>0.41449276685072783</v>
      </c>
      <c r="B117" s="73"/>
      <c r="C117" s="73"/>
      <c r="D117" s="73">
        <v>1.7667547286003699E-2</v>
      </c>
      <c r="E117" s="73"/>
      <c r="F117" s="73"/>
      <c r="G117" s="73"/>
      <c r="H117" s="73"/>
      <c r="I117" s="73"/>
      <c r="J117" s="73"/>
      <c r="K117" s="73"/>
      <c r="L117" s="73"/>
      <c r="M117" s="73"/>
    </row>
    <row r="118" spans="1:13" x14ac:dyDescent="0.25">
      <c r="A118" s="199">
        <v>0.41702999741401603</v>
      </c>
      <c r="B118" s="73"/>
      <c r="C118" s="73"/>
      <c r="D118" s="73"/>
      <c r="E118" s="73"/>
      <c r="F118" s="73"/>
      <c r="G118" s="73">
        <v>1.9820489445293736E-2</v>
      </c>
      <c r="H118" s="73"/>
      <c r="I118" s="73"/>
      <c r="J118" s="73"/>
      <c r="K118" s="73"/>
      <c r="L118" s="73"/>
      <c r="M118" s="73"/>
    </row>
    <row r="119" spans="1:13" x14ac:dyDescent="0.25">
      <c r="A119" s="199">
        <v>0.41909030830675514</v>
      </c>
      <c r="B119" s="73"/>
      <c r="C119" s="73"/>
      <c r="D119" s="73"/>
      <c r="E119" s="73"/>
      <c r="F119" s="73"/>
      <c r="G119" s="73"/>
      <c r="H119" s="73"/>
      <c r="I119" s="73">
        <v>3.8099701908507574E-2</v>
      </c>
      <c r="J119" s="73"/>
      <c r="K119" s="73"/>
      <c r="L119" s="73"/>
      <c r="M119" s="73"/>
    </row>
    <row r="120" spans="1:13" x14ac:dyDescent="0.25">
      <c r="A120" s="199">
        <v>0.43729828190854692</v>
      </c>
      <c r="B120" s="73"/>
      <c r="C120" s="73"/>
      <c r="D120" s="73"/>
      <c r="E120" s="73"/>
      <c r="F120" s="73">
        <v>1.8766042390591448E-2</v>
      </c>
      <c r="G120" s="73"/>
      <c r="H120" s="73"/>
      <c r="I120" s="73"/>
      <c r="J120" s="73"/>
      <c r="K120" s="73"/>
      <c r="L120" s="73"/>
      <c r="M120" s="73"/>
    </row>
    <row r="121" spans="1:13" x14ac:dyDescent="0.25">
      <c r="A121" s="199">
        <v>0.44270399887157064</v>
      </c>
      <c r="B121" s="73"/>
      <c r="C121" s="73"/>
      <c r="D121" s="73"/>
      <c r="E121" s="73">
        <v>1.9379795176355886E-2</v>
      </c>
      <c r="F121" s="73"/>
      <c r="G121" s="73"/>
      <c r="H121" s="73"/>
      <c r="I121" s="73"/>
      <c r="J121" s="73"/>
      <c r="K121" s="73"/>
      <c r="L121" s="73"/>
      <c r="M121" s="73"/>
    </row>
    <row r="122" spans="1:13" x14ac:dyDescent="0.25">
      <c r="A122" s="199">
        <v>0.44471683475562451</v>
      </c>
      <c r="B122" s="73"/>
      <c r="C122" s="73"/>
      <c r="D122" s="73"/>
      <c r="E122" s="73"/>
      <c r="F122" s="73"/>
      <c r="G122" s="73"/>
      <c r="H122" s="73">
        <v>3.6565374451086839E-2</v>
      </c>
      <c r="I122" s="73"/>
      <c r="J122" s="73"/>
      <c r="K122" s="73"/>
      <c r="L122" s="73"/>
      <c r="M122" s="73"/>
    </row>
    <row r="123" spans="1:13" x14ac:dyDescent="0.25">
      <c r="A123" s="199">
        <v>0.45074998288687074</v>
      </c>
      <c r="B123" s="73"/>
      <c r="C123" s="73">
        <v>2.9957435989161077E-2</v>
      </c>
      <c r="D123" s="73"/>
      <c r="E123" s="73"/>
      <c r="F123" s="73"/>
      <c r="G123" s="73"/>
      <c r="H123" s="73"/>
      <c r="I123" s="73"/>
      <c r="J123" s="73"/>
      <c r="K123" s="73"/>
      <c r="L123" s="73"/>
      <c r="M123" s="73"/>
    </row>
    <row r="124" spans="1:13" x14ac:dyDescent="0.25">
      <c r="A124" s="199">
        <v>0.45902038225544817</v>
      </c>
      <c r="B124" s="73"/>
      <c r="C124" s="73"/>
      <c r="D124" s="73"/>
      <c r="E124" s="73">
        <v>1.8738186022315861E-2</v>
      </c>
      <c r="F124" s="73"/>
      <c r="G124" s="73"/>
      <c r="H124" s="73"/>
      <c r="I124" s="73"/>
      <c r="J124" s="73"/>
      <c r="K124" s="73"/>
      <c r="L124" s="73"/>
      <c r="M124" s="73"/>
    </row>
    <row r="125" spans="1:13" x14ac:dyDescent="0.25">
      <c r="A125" s="199">
        <v>0.46027223358487912</v>
      </c>
      <c r="B125" s="73"/>
      <c r="C125" s="73"/>
      <c r="D125" s="73"/>
      <c r="E125" s="73">
        <v>1.9518618470788347E-2</v>
      </c>
      <c r="F125" s="73"/>
      <c r="G125" s="73"/>
      <c r="H125" s="73"/>
      <c r="I125" s="73"/>
      <c r="J125" s="73"/>
      <c r="K125" s="73"/>
      <c r="L125" s="73"/>
      <c r="M125" s="73"/>
    </row>
    <row r="126" spans="1:13" x14ac:dyDescent="0.25">
      <c r="A126" s="199">
        <v>0.4614724305375974</v>
      </c>
      <c r="B126" s="73"/>
      <c r="C126" s="73"/>
      <c r="D126" s="73"/>
      <c r="E126" s="73"/>
      <c r="F126" s="73"/>
      <c r="G126" s="73"/>
      <c r="H126" s="73"/>
      <c r="I126" s="73"/>
      <c r="J126" s="73">
        <v>3.675773757560289E-2</v>
      </c>
      <c r="K126" s="73"/>
      <c r="L126" s="73"/>
      <c r="M126" s="73"/>
    </row>
    <row r="127" spans="1:13" x14ac:dyDescent="0.25">
      <c r="A127" s="199">
        <v>0.46837916271585794</v>
      </c>
      <c r="B127" s="73"/>
      <c r="C127" s="73"/>
      <c r="D127" s="73"/>
      <c r="E127" s="73"/>
      <c r="F127" s="73"/>
      <c r="G127" s="73"/>
      <c r="H127" s="73"/>
      <c r="I127" s="73">
        <v>4.0627822946799279E-2</v>
      </c>
      <c r="J127" s="73"/>
      <c r="K127" s="73"/>
      <c r="L127" s="73"/>
      <c r="M127" s="73"/>
    </row>
    <row r="128" spans="1:13" x14ac:dyDescent="0.25">
      <c r="A128" s="199">
        <v>0.46908025170243944</v>
      </c>
      <c r="B128" s="73"/>
      <c r="C128" s="73"/>
      <c r="D128" s="73">
        <v>1.8797775393388193E-2</v>
      </c>
      <c r="E128" s="73"/>
      <c r="F128" s="73"/>
      <c r="G128" s="73"/>
      <c r="H128" s="73"/>
      <c r="I128" s="73"/>
      <c r="J128" s="73"/>
      <c r="K128" s="73"/>
      <c r="L128" s="73"/>
      <c r="M128" s="73"/>
    </row>
    <row r="129" spans="1:13" x14ac:dyDescent="0.25">
      <c r="A129" s="199">
        <v>0.47599172485130598</v>
      </c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>
        <v>2.4015037537711399E-2</v>
      </c>
      <c r="M129" s="73"/>
    </row>
    <row r="130" spans="1:13" x14ac:dyDescent="0.25">
      <c r="A130" s="199">
        <v>0.47636895526247736</v>
      </c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>
        <v>2.534745202136612E-2</v>
      </c>
      <c r="M130" s="73"/>
    </row>
    <row r="131" spans="1:13" x14ac:dyDescent="0.25">
      <c r="A131" s="199">
        <v>0.47788337212309279</v>
      </c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>
        <v>2.899486974076091E-2</v>
      </c>
      <c r="M131" s="73"/>
    </row>
    <row r="132" spans="1:13" x14ac:dyDescent="0.25">
      <c r="A132" s="199">
        <v>0.48270530865565769</v>
      </c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>
        <v>2.6898599939678539E-2</v>
      </c>
      <c r="M132" s="73"/>
    </row>
    <row r="133" spans="1:13" x14ac:dyDescent="0.25">
      <c r="A133" s="199">
        <v>0.48496541880263877</v>
      </c>
      <c r="B133" s="73"/>
      <c r="C133" s="73"/>
      <c r="D133" s="73">
        <v>1.995583345049148E-2</v>
      </c>
      <c r="E133" s="73"/>
      <c r="F133" s="73"/>
      <c r="G133" s="73"/>
      <c r="H133" s="73"/>
      <c r="I133" s="73"/>
      <c r="J133" s="73"/>
      <c r="K133" s="73"/>
      <c r="L133" s="73"/>
      <c r="M133" s="73"/>
    </row>
    <row r="134" spans="1:13" x14ac:dyDescent="0.25">
      <c r="A134" s="199">
        <v>0.49365638240735221</v>
      </c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>
        <v>2.7495596487765641E-2</v>
      </c>
      <c r="M134" s="73"/>
    </row>
    <row r="135" spans="1:13" x14ac:dyDescent="0.25">
      <c r="A135" s="199">
        <v>0.49386129038198118</v>
      </c>
      <c r="B135" s="73"/>
      <c r="C135" s="73"/>
      <c r="D135" s="73"/>
      <c r="E135" s="73"/>
      <c r="F135" s="73">
        <v>2.0872182953329547E-2</v>
      </c>
      <c r="G135" s="73"/>
      <c r="H135" s="73"/>
      <c r="I135" s="73"/>
      <c r="J135" s="73"/>
      <c r="K135" s="73"/>
      <c r="L135" s="73"/>
      <c r="M135" s="73"/>
    </row>
    <row r="136" spans="1:13" x14ac:dyDescent="0.25">
      <c r="A136" s="199">
        <v>0.4969550038789759</v>
      </c>
      <c r="B136" s="73"/>
      <c r="C136" s="73"/>
      <c r="D136" s="73"/>
      <c r="E136" s="73"/>
      <c r="F136" s="73"/>
      <c r="G136" s="73"/>
      <c r="H136" s="73">
        <v>4.0983470643534484E-2</v>
      </c>
      <c r="I136" s="73"/>
      <c r="J136" s="73"/>
      <c r="K136" s="73"/>
      <c r="L136" s="73"/>
      <c r="M136" s="73"/>
    </row>
    <row r="137" spans="1:13" x14ac:dyDescent="0.25">
      <c r="A137" s="199">
        <v>0.50254460822342895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>
        <v>2.5932778876334803E-2</v>
      </c>
      <c r="L137" s="73"/>
      <c r="M137" s="73"/>
    </row>
    <row r="138" spans="1:13" x14ac:dyDescent="0.25">
      <c r="A138" s="199">
        <v>0.51077284626098474</v>
      </c>
      <c r="B138" s="73"/>
      <c r="C138" s="73"/>
      <c r="D138" s="73"/>
      <c r="E138" s="73"/>
      <c r="F138" s="73">
        <v>2.0326716039575112E-2</v>
      </c>
      <c r="G138" s="73"/>
      <c r="H138" s="73"/>
      <c r="I138" s="73"/>
      <c r="J138" s="73"/>
      <c r="K138" s="73"/>
      <c r="L138" s="73"/>
      <c r="M138" s="73"/>
    </row>
    <row r="139" spans="1:13" x14ac:dyDescent="0.25">
      <c r="A139" s="199">
        <v>0.51102146366692525</v>
      </c>
      <c r="B139" s="73"/>
      <c r="C139" s="73"/>
      <c r="D139" s="73"/>
      <c r="E139" s="73"/>
      <c r="F139" s="73"/>
      <c r="G139" s="73"/>
      <c r="H139" s="73"/>
      <c r="I139" s="73"/>
      <c r="J139" s="73"/>
      <c r="K139" s="73">
        <v>2.6226145819888858E-2</v>
      </c>
      <c r="L139" s="73"/>
      <c r="M139" s="73"/>
    </row>
    <row r="140" spans="1:13" x14ac:dyDescent="0.25">
      <c r="A140" s="199">
        <v>0.52409993391374299</v>
      </c>
      <c r="B140" s="73"/>
      <c r="C140" s="73"/>
      <c r="D140" s="73"/>
      <c r="E140" s="73"/>
      <c r="F140" s="73"/>
      <c r="G140" s="73"/>
      <c r="H140" s="73"/>
      <c r="I140" s="73"/>
      <c r="J140" s="73">
        <v>3.9154183738759556E-2</v>
      </c>
      <c r="K140" s="73"/>
      <c r="L140" s="73"/>
      <c r="M140" s="73"/>
    </row>
    <row r="141" spans="1:13" x14ac:dyDescent="0.25">
      <c r="A141" s="199">
        <v>0.52573215671062834</v>
      </c>
      <c r="B141" s="73"/>
      <c r="C141" s="73"/>
      <c r="D141" s="73">
        <v>2.045607145350236E-2</v>
      </c>
      <c r="E141" s="73"/>
      <c r="F141" s="73"/>
      <c r="G141" s="73"/>
      <c r="H141" s="73"/>
      <c r="I141" s="73"/>
      <c r="J141" s="73"/>
      <c r="K141" s="73"/>
      <c r="L141" s="73"/>
      <c r="M141" s="73"/>
    </row>
    <row r="142" spans="1:13" x14ac:dyDescent="0.25">
      <c r="A142" s="199">
        <v>0.53462057868574553</v>
      </c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>
        <v>7.0172334482096241E-2</v>
      </c>
    </row>
    <row r="143" spans="1:13" x14ac:dyDescent="0.25">
      <c r="A143" s="199">
        <v>0.54082065739406704</v>
      </c>
      <c r="B143" s="73"/>
      <c r="C143" s="73"/>
      <c r="D143" s="73"/>
      <c r="E143" s="73"/>
      <c r="F143" s="73"/>
      <c r="G143" s="73">
        <v>2.21166259454268E-2</v>
      </c>
      <c r="H143" s="73"/>
      <c r="I143" s="73"/>
      <c r="J143" s="73"/>
      <c r="K143" s="73"/>
      <c r="L143" s="73"/>
      <c r="M143" s="73"/>
    </row>
    <row r="144" spans="1:13" x14ac:dyDescent="0.25">
      <c r="A144" s="199">
        <v>0.54142099818981126</v>
      </c>
      <c r="B144" s="73"/>
      <c r="C144" s="73"/>
      <c r="D144" s="73"/>
      <c r="E144" s="73"/>
      <c r="F144" s="73"/>
      <c r="G144" s="73"/>
      <c r="H144" s="73"/>
      <c r="I144" s="73">
        <v>4.6991688022651655E-2</v>
      </c>
      <c r="J144" s="73"/>
      <c r="K144" s="73"/>
      <c r="L144" s="73"/>
      <c r="M144" s="73"/>
    </row>
    <row r="145" spans="1:13" x14ac:dyDescent="0.25">
      <c r="A145" s="199">
        <v>0.56045971252478244</v>
      </c>
      <c r="B145" s="73"/>
      <c r="C145" s="73"/>
      <c r="D145" s="73"/>
      <c r="E145" s="73"/>
      <c r="F145" s="73"/>
      <c r="G145" s="73">
        <v>2.3147635654410761E-2</v>
      </c>
      <c r="H145" s="73"/>
      <c r="I145" s="73"/>
      <c r="J145" s="73"/>
      <c r="K145" s="73"/>
      <c r="L145" s="73"/>
      <c r="M145" s="73"/>
    </row>
    <row r="146" spans="1:13" x14ac:dyDescent="0.25">
      <c r="A146" s="199">
        <v>0.56726287207545623</v>
      </c>
      <c r="B146" s="73"/>
      <c r="C146" s="73"/>
      <c r="D146" s="73"/>
      <c r="E146" s="73"/>
      <c r="F146" s="73">
        <v>2.1851780945371161E-2</v>
      </c>
      <c r="G146" s="73"/>
      <c r="H146" s="73"/>
      <c r="I146" s="73"/>
      <c r="J146" s="73"/>
      <c r="K146" s="73"/>
      <c r="L146" s="73"/>
      <c r="M146" s="73"/>
    </row>
    <row r="147" spans="1:13" x14ac:dyDescent="0.25">
      <c r="A147" s="199">
        <v>0.57404965089216442</v>
      </c>
      <c r="B147" s="73">
        <v>3.9794129214593008E-2</v>
      </c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</row>
    <row r="148" spans="1:13" x14ac:dyDescent="0.25">
      <c r="A148" s="199">
        <v>0.57643881274602771</v>
      </c>
      <c r="B148" s="73"/>
      <c r="C148" s="73"/>
      <c r="D148" s="73"/>
      <c r="E148" s="73"/>
      <c r="F148" s="73"/>
      <c r="G148" s="73"/>
      <c r="H148" s="73"/>
      <c r="I148" s="73">
        <v>5.2543123906379351E-2</v>
      </c>
      <c r="J148" s="73"/>
      <c r="K148" s="73"/>
      <c r="L148" s="73"/>
      <c r="M148" s="73"/>
    </row>
    <row r="149" spans="1:13" x14ac:dyDescent="0.25">
      <c r="A149" s="199">
        <v>0.57772749475619911</v>
      </c>
      <c r="B149" s="73"/>
      <c r="C149" s="73"/>
      <c r="D149" s="73"/>
      <c r="E149" s="73"/>
      <c r="F149" s="73"/>
      <c r="G149" s="73"/>
      <c r="H149" s="73"/>
      <c r="I149" s="73">
        <v>5.4497487006289348E-2</v>
      </c>
      <c r="J149" s="73"/>
      <c r="K149" s="73"/>
      <c r="L149" s="73"/>
      <c r="M149" s="73"/>
    </row>
    <row r="150" spans="1:13" x14ac:dyDescent="0.25">
      <c r="A150" s="199">
        <v>0.57991078355314196</v>
      </c>
      <c r="B150" s="73"/>
      <c r="C150" s="73"/>
      <c r="D150" s="73"/>
      <c r="E150" s="73"/>
      <c r="F150" s="73"/>
      <c r="G150" s="73"/>
      <c r="H150" s="73">
        <v>4.4880637599709949E-2</v>
      </c>
      <c r="I150" s="73"/>
      <c r="J150" s="73"/>
      <c r="K150" s="73"/>
      <c r="L150" s="73"/>
      <c r="M150" s="73"/>
    </row>
    <row r="151" spans="1:13" x14ac:dyDescent="0.25">
      <c r="A151" s="199">
        <v>0.58152480833295317</v>
      </c>
      <c r="B151" s="73"/>
      <c r="C151" s="73"/>
      <c r="D151" s="73">
        <v>2.1612713884395868E-2</v>
      </c>
      <c r="E151" s="73"/>
      <c r="F151" s="73"/>
      <c r="G151" s="73"/>
      <c r="H151" s="73"/>
      <c r="I151" s="73"/>
      <c r="J151" s="73"/>
      <c r="K151" s="73"/>
      <c r="L151" s="73"/>
      <c r="M151" s="73"/>
    </row>
    <row r="152" spans="1:13" x14ac:dyDescent="0.25">
      <c r="A152" s="199">
        <v>0.58347268913599404</v>
      </c>
      <c r="B152" s="73"/>
      <c r="C152" s="73"/>
      <c r="D152" s="73"/>
      <c r="E152" s="73"/>
      <c r="F152" s="73"/>
      <c r="G152" s="73"/>
      <c r="H152" s="73"/>
      <c r="I152" s="73">
        <v>5.1672567798732034E-2</v>
      </c>
      <c r="J152" s="73"/>
      <c r="K152" s="73"/>
      <c r="L152" s="73"/>
      <c r="M152" s="73"/>
    </row>
    <row r="153" spans="1:13" x14ac:dyDescent="0.25">
      <c r="A153" s="199">
        <v>0.58683698244404214</v>
      </c>
      <c r="B153" s="73"/>
      <c r="C153" s="73"/>
      <c r="D153" s="73"/>
      <c r="E153" s="73"/>
      <c r="F153" s="73"/>
      <c r="G153" s="73"/>
      <c r="H153" s="73"/>
      <c r="I153" s="73">
        <v>5.1964322290533771E-2</v>
      </c>
      <c r="J153" s="73"/>
      <c r="K153" s="73"/>
      <c r="L153" s="73"/>
      <c r="M153" s="73"/>
    </row>
    <row r="154" spans="1:13" x14ac:dyDescent="0.25">
      <c r="A154" s="199">
        <v>0.60576522307914638</v>
      </c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>
        <v>3.0594831133307181E-2</v>
      </c>
      <c r="M154" s="73"/>
    </row>
    <row r="155" spans="1:13" x14ac:dyDescent="0.25">
      <c r="A155" s="199">
        <v>0.60624127230411173</v>
      </c>
      <c r="B155" s="73"/>
      <c r="C155" s="73"/>
      <c r="D155" s="73"/>
      <c r="E155" s="73"/>
      <c r="F155" s="73"/>
      <c r="G155" s="73"/>
      <c r="H155" s="73">
        <v>4.6968770324398397E-2</v>
      </c>
      <c r="I155" s="73"/>
      <c r="J155" s="73"/>
      <c r="K155" s="73"/>
      <c r="L155" s="73"/>
      <c r="M155" s="73"/>
    </row>
    <row r="156" spans="1:13" x14ac:dyDescent="0.25">
      <c r="A156" s="199">
        <v>0.61353338852996586</v>
      </c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>
        <v>3.1481167201555318E-2</v>
      </c>
      <c r="M156" s="73"/>
    </row>
    <row r="157" spans="1:13" x14ac:dyDescent="0.25">
      <c r="A157" s="199">
        <v>0.61581070597362297</v>
      </c>
      <c r="B157" s="73"/>
      <c r="C157" s="73"/>
      <c r="D157" s="73"/>
      <c r="E157" s="73"/>
      <c r="F157" s="73"/>
      <c r="G157" s="73"/>
      <c r="H157" s="73">
        <v>4.943304710785449E-2</v>
      </c>
      <c r="I157" s="73"/>
      <c r="J157" s="73"/>
      <c r="K157" s="73"/>
      <c r="L157" s="73"/>
      <c r="M157" s="73"/>
    </row>
    <row r="158" spans="1:13" x14ac:dyDescent="0.25">
      <c r="A158" s="199">
        <v>0.61607476366979863</v>
      </c>
      <c r="B158" s="73"/>
      <c r="C158" s="73"/>
      <c r="D158" s="73"/>
      <c r="E158" s="73"/>
      <c r="F158" s="73"/>
      <c r="G158" s="73"/>
      <c r="H158" s="73"/>
      <c r="I158" s="73">
        <v>5.388280799580767E-2</v>
      </c>
      <c r="J158" s="73"/>
      <c r="K158" s="73"/>
      <c r="L158" s="73"/>
      <c r="M158" s="73"/>
    </row>
    <row r="159" spans="1:13" x14ac:dyDescent="0.25">
      <c r="A159" s="199">
        <v>0.62465017383558896</v>
      </c>
      <c r="B159" s="73"/>
      <c r="C159" s="73"/>
      <c r="D159" s="73"/>
      <c r="E159" s="73"/>
      <c r="F159" s="73"/>
      <c r="G159" s="73"/>
      <c r="H159" s="73"/>
      <c r="I159" s="73">
        <v>5.4876145341185456E-2</v>
      </c>
      <c r="J159" s="73"/>
      <c r="K159" s="73"/>
      <c r="L159" s="73"/>
      <c r="M159" s="73"/>
    </row>
    <row r="160" spans="1:13" x14ac:dyDescent="0.25">
      <c r="A160" s="199">
        <v>0.63176008533747097</v>
      </c>
      <c r="B160" s="73"/>
      <c r="C160" s="73">
        <v>4.3304766797038811E-2</v>
      </c>
      <c r="D160" s="73"/>
      <c r="E160" s="73"/>
      <c r="F160" s="73"/>
      <c r="G160" s="73"/>
      <c r="H160" s="73"/>
      <c r="I160" s="73"/>
      <c r="J160" s="73"/>
      <c r="K160" s="73"/>
      <c r="L160" s="73"/>
      <c r="M160" s="73"/>
    </row>
    <row r="161" spans="1:13" x14ac:dyDescent="0.25">
      <c r="A161" s="199">
        <v>0.63672105239139465</v>
      </c>
      <c r="B161" s="73"/>
      <c r="C161" s="73"/>
      <c r="D161" s="73">
        <v>2.2412820088045599E-2</v>
      </c>
      <c r="E161" s="73"/>
      <c r="F161" s="73"/>
      <c r="G161" s="73"/>
      <c r="H161" s="73"/>
      <c r="I161" s="73"/>
      <c r="J161" s="73"/>
      <c r="K161" s="73"/>
      <c r="L161" s="73"/>
      <c r="M161" s="73"/>
    </row>
    <row r="162" spans="1:13" x14ac:dyDescent="0.25">
      <c r="A162" s="199">
        <v>0.65109408671666236</v>
      </c>
      <c r="B162" s="73"/>
      <c r="C162" s="73"/>
      <c r="D162" s="73"/>
      <c r="E162" s="73"/>
      <c r="F162" s="73"/>
      <c r="G162" s="73">
        <v>2.7029909332638716E-2</v>
      </c>
      <c r="H162" s="73"/>
      <c r="I162" s="73"/>
      <c r="J162" s="73"/>
      <c r="K162" s="73"/>
      <c r="L162" s="73"/>
      <c r="M162" s="73"/>
    </row>
    <row r="163" spans="1:13" x14ac:dyDescent="0.25">
      <c r="A163" s="199">
        <v>0.65425178863891043</v>
      </c>
      <c r="B163" s="73"/>
      <c r="C163" s="73"/>
      <c r="D163" s="73">
        <v>2.3826842528162459E-2</v>
      </c>
      <c r="E163" s="73"/>
      <c r="F163" s="73"/>
      <c r="G163" s="73"/>
      <c r="H163" s="73"/>
      <c r="I163" s="73"/>
      <c r="J163" s="73"/>
      <c r="K163" s="73"/>
      <c r="L163" s="73"/>
      <c r="M163" s="73"/>
    </row>
    <row r="164" spans="1:13" x14ac:dyDescent="0.25">
      <c r="A164" s="199">
        <v>0.65566330488750968</v>
      </c>
      <c r="B164" s="73"/>
      <c r="C164" s="73"/>
      <c r="D164" s="73"/>
      <c r="E164" s="73">
        <v>2.5104176271498566E-2</v>
      </c>
      <c r="F164" s="73"/>
      <c r="G164" s="73"/>
      <c r="H164" s="73"/>
      <c r="I164" s="73"/>
      <c r="J164" s="73"/>
      <c r="K164" s="73"/>
      <c r="L164" s="73"/>
      <c r="M164" s="73"/>
    </row>
    <row r="165" spans="1:13" x14ac:dyDescent="0.25">
      <c r="A165" s="199">
        <v>0.66312162691216692</v>
      </c>
      <c r="B165" s="73"/>
      <c r="C165" s="73"/>
      <c r="D165" s="73">
        <v>2.2953772822062748E-2</v>
      </c>
      <c r="E165" s="73"/>
      <c r="F165" s="73"/>
      <c r="G165" s="73"/>
      <c r="H165" s="73"/>
      <c r="I165" s="73"/>
      <c r="J165" s="73"/>
      <c r="K165" s="73"/>
      <c r="L165" s="73"/>
      <c r="M165" s="73"/>
    </row>
    <row r="166" spans="1:13" x14ac:dyDescent="0.25">
      <c r="A166" s="199">
        <v>0.6677059971319087</v>
      </c>
      <c r="B166" s="73"/>
      <c r="C166" s="73"/>
      <c r="D166" s="73"/>
      <c r="E166" s="73"/>
      <c r="F166" s="73"/>
      <c r="G166" s="73"/>
      <c r="H166" s="73"/>
      <c r="I166" s="73"/>
      <c r="J166" s="73"/>
      <c r="K166" s="73">
        <v>3.2075457319147974E-2</v>
      </c>
      <c r="L166" s="73"/>
      <c r="M166" s="73"/>
    </row>
    <row r="167" spans="1:13" x14ac:dyDescent="0.25">
      <c r="A167" s="199">
        <v>0.67199419769847424</v>
      </c>
      <c r="B167" s="73"/>
      <c r="C167" s="73"/>
      <c r="D167" s="73"/>
      <c r="E167" s="73"/>
      <c r="F167" s="73"/>
      <c r="G167" s="73">
        <v>2.7770829411846651E-2</v>
      </c>
      <c r="H167" s="73"/>
      <c r="I167" s="73"/>
      <c r="J167" s="73"/>
      <c r="K167" s="73"/>
      <c r="L167" s="73"/>
      <c r="M167" s="73"/>
    </row>
    <row r="168" spans="1:13" x14ac:dyDescent="0.25">
      <c r="A168" s="199">
        <v>0.6726208947504525</v>
      </c>
      <c r="B168" s="73"/>
      <c r="C168" s="73"/>
      <c r="D168" s="73"/>
      <c r="E168" s="73">
        <v>2.5419000666195721E-2</v>
      </c>
      <c r="F168" s="73"/>
      <c r="G168" s="73"/>
      <c r="H168" s="73"/>
      <c r="I168" s="73"/>
      <c r="J168" s="73"/>
      <c r="K168" s="73"/>
      <c r="L168" s="73"/>
      <c r="M168" s="73"/>
    </row>
    <row r="169" spans="1:13" x14ac:dyDescent="0.25">
      <c r="A169" s="199">
        <v>0.67386728678039765</v>
      </c>
      <c r="B169" s="73"/>
      <c r="C169" s="73"/>
      <c r="D169" s="73"/>
      <c r="E169" s="73"/>
      <c r="F169" s="73">
        <v>2.4655918108415869E-2</v>
      </c>
      <c r="G169" s="73"/>
      <c r="H169" s="73"/>
      <c r="I169" s="73"/>
      <c r="J169" s="73"/>
      <c r="K169" s="73"/>
      <c r="L169" s="73"/>
      <c r="M169" s="73"/>
    </row>
    <row r="170" spans="1:13" x14ac:dyDescent="0.25">
      <c r="A170" s="199">
        <v>0.67751675012342194</v>
      </c>
      <c r="B170" s="73">
        <v>4.381452327098001E-2</v>
      </c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</row>
    <row r="171" spans="1:13" x14ac:dyDescent="0.25">
      <c r="A171" s="199">
        <v>0.68742814378966433</v>
      </c>
      <c r="B171" s="73"/>
      <c r="C171" s="73"/>
      <c r="D171" s="73"/>
      <c r="E171" s="73"/>
      <c r="F171" s="73">
        <v>2.4125358087585144E-2</v>
      </c>
      <c r="G171" s="73"/>
      <c r="H171" s="73"/>
      <c r="I171" s="73"/>
      <c r="J171" s="73"/>
      <c r="K171" s="73"/>
      <c r="L171" s="73"/>
      <c r="M171" s="73"/>
    </row>
    <row r="172" spans="1:13" x14ac:dyDescent="0.25">
      <c r="A172" s="199">
        <v>0.69155535181136429</v>
      </c>
      <c r="B172" s="73"/>
      <c r="C172" s="73"/>
      <c r="D172" s="73"/>
      <c r="E172" s="73"/>
      <c r="F172" s="73"/>
      <c r="G172" s="73">
        <v>2.8225682364917449E-2</v>
      </c>
      <c r="H172" s="73"/>
      <c r="I172" s="73"/>
      <c r="J172" s="73"/>
      <c r="K172" s="73"/>
      <c r="L172" s="73"/>
      <c r="M172" s="73"/>
    </row>
    <row r="173" spans="1:13" x14ac:dyDescent="0.25">
      <c r="A173" s="199">
        <v>0.69163114163282824</v>
      </c>
      <c r="B173" s="73"/>
      <c r="C173" s="73"/>
      <c r="D173" s="73"/>
      <c r="E173" s="73"/>
      <c r="F173" s="73">
        <v>2.4144724083930518E-2</v>
      </c>
      <c r="G173" s="73"/>
      <c r="H173" s="73"/>
      <c r="I173" s="73"/>
      <c r="J173" s="73"/>
      <c r="K173" s="73"/>
      <c r="L173" s="73"/>
      <c r="M173" s="73"/>
    </row>
    <row r="174" spans="1:13" x14ac:dyDescent="0.25">
      <c r="A174" s="199">
        <v>0.69932189753756857</v>
      </c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>
        <v>8.4682442355198839E-2</v>
      </c>
    </row>
    <row r="175" spans="1:13" x14ac:dyDescent="0.25">
      <c r="A175" s="199">
        <v>0.70605226813527833</v>
      </c>
      <c r="B175" s="73"/>
      <c r="C175" s="73"/>
      <c r="D175" s="73"/>
      <c r="E175" s="73">
        <v>2.4985119127032752E-2</v>
      </c>
      <c r="F175" s="73"/>
      <c r="G175" s="73"/>
      <c r="H175" s="73"/>
      <c r="I175" s="73"/>
      <c r="J175" s="73"/>
      <c r="K175" s="73"/>
      <c r="L175" s="73"/>
      <c r="M175" s="73"/>
    </row>
    <row r="176" spans="1:13" x14ac:dyDescent="0.25">
      <c r="A176" s="199">
        <v>0.71036971783084368</v>
      </c>
      <c r="B176" s="73"/>
      <c r="C176" s="73"/>
      <c r="D176" s="73"/>
      <c r="E176" s="73"/>
      <c r="F176" s="73">
        <v>2.4324583818512577E-2</v>
      </c>
      <c r="G176" s="73"/>
      <c r="H176" s="73"/>
      <c r="I176" s="73"/>
      <c r="J176" s="73"/>
      <c r="K176" s="73"/>
      <c r="L176" s="73"/>
      <c r="M176" s="73"/>
    </row>
    <row r="177" spans="1:13" x14ac:dyDescent="0.25">
      <c r="A177" s="199">
        <v>0.71598852315687067</v>
      </c>
      <c r="B177" s="73"/>
      <c r="C177" s="73"/>
      <c r="D177" s="73"/>
      <c r="E177" s="73"/>
      <c r="F177" s="73">
        <v>2.5381527339316323E-2</v>
      </c>
      <c r="G177" s="73"/>
      <c r="H177" s="73"/>
      <c r="I177" s="73"/>
      <c r="J177" s="73"/>
      <c r="K177" s="73"/>
      <c r="L177" s="73"/>
      <c r="M177" s="73"/>
    </row>
    <row r="178" spans="1:13" x14ac:dyDescent="0.25">
      <c r="A178" s="199">
        <v>0.71633479872424777</v>
      </c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>
        <v>9.0844476588396894E-2</v>
      </c>
    </row>
    <row r="179" spans="1:13" x14ac:dyDescent="0.25">
      <c r="A179" s="199">
        <v>0.71907486423584166</v>
      </c>
      <c r="B179" s="73"/>
      <c r="C179" s="73">
        <v>4.7299661496975204E-2</v>
      </c>
      <c r="D179" s="73"/>
      <c r="E179" s="73"/>
      <c r="F179" s="73"/>
      <c r="G179" s="73"/>
      <c r="H179" s="73"/>
      <c r="I179" s="73"/>
      <c r="J179" s="73"/>
      <c r="K179" s="73"/>
      <c r="L179" s="73"/>
      <c r="M179" s="73"/>
    </row>
    <row r="180" spans="1:13" x14ac:dyDescent="0.25">
      <c r="A180" s="199">
        <v>0.71910207094216017</v>
      </c>
      <c r="B180" s="73"/>
      <c r="C180" s="73">
        <v>4.6026723483287776E-2</v>
      </c>
      <c r="D180" s="73"/>
      <c r="E180" s="73"/>
      <c r="F180" s="73"/>
      <c r="G180" s="73"/>
      <c r="H180" s="73"/>
      <c r="I180" s="73"/>
      <c r="J180" s="73"/>
      <c r="K180" s="73"/>
      <c r="L180" s="73"/>
      <c r="M180" s="73"/>
    </row>
    <row r="181" spans="1:13" x14ac:dyDescent="0.25">
      <c r="A181" s="199">
        <v>0.72702111697456928</v>
      </c>
      <c r="B181" s="73"/>
      <c r="C181" s="73"/>
      <c r="D181" s="73"/>
      <c r="E181" s="73">
        <v>2.464593313940986E-2</v>
      </c>
      <c r="F181" s="73"/>
      <c r="G181" s="73"/>
      <c r="H181" s="73"/>
      <c r="I181" s="73"/>
      <c r="J181" s="73"/>
      <c r="K181" s="73"/>
      <c r="L181" s="73"/>
      <c r="M181" s="73"/>
    </row>
    <row r="182" spans="1:13" x14ac:dyDescent="0.25">
      <c r="A182" s="199">
        <v>0.73138986692128671</v>
      </c>
      <c r="B182" s="73"/>
      <c r="C182" s="73"/>
      <c r="D182" s="73"/>
      <c r="E182" s="73">
        <v>2.5266111224386646E-2</v>
      </c>
      <c r="F182" s="73"/>
      <c r="G182" s="73"/>
      <c r="H182" s="73"/>
      <c r="I182" s="73"/>
      <c r="J182" s="73"/>
      <c r="K182" s="73"/>
      <c r="L182" s="73"/>
      <c r="M182" s="73"/>
    </row>
    <row r="183" spans="1:13" x14ac:dyDescent="0.25">
      <c r="A183" s="199">
        <v>0.73148623551261249</v>
      </c>
      <c r="B183" s="73"/>
      <c r="C183" s="73"/>
      <c r="D183" s="73"/>
      <c r="E183" s="73"/>
      <c r="F183" s="73"/>
      <c r="G183" s="73"/>
      <c r="H183" s="73"/>
      <c r="I183" s="73"/>
      <c r="J183" s="73"/>
      <c r="K183" s="73">
        <v>3.5467753659058965E-2</v>
      </c>
      <c r="L183" s="73"/>
      <c r="M183" s="73"/>
    </row>
    <row r="184" spans="1:13" x14ac:dyDescent="0.25">
      <c r="A184" s="199">
        <v>0.73818061661351031</v>
      </c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>
        <v>9.7520763342730118E-2</v>
      </c>
    </row>
    <row r="185" spans="1:13" x14ac:dyDescent="0.25">
      <c r="A185" s="199">
        <v>0.74013270799539244</v>
      </c>
      <c r="B185" s="73"/>
      <c r="C185" s="73"/>
      <c r="D185" s="73"/>
      <c r="E185" s="73"/>
      <c r="F185" s="73"/>
      <c r="G185" s="73"/>
      <c r="H185" s="73"/>
      <c r="I185" s="73"/>
      <c r="J185" s="73"/>
      <c r="K185" s="73">
        <v>3.6406629601579137E-2</v>
      </c>
      <c r="L185" s="73"/>
      <c r="M185" s="73"/>
    </row>
    <row r="186" spans="1:13" x14ac:dyDescent="0.25">
      <c r="A186" s="199">
        <v>0.74480582302742671</v>
      </c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>
        <v>3.7746585141523716E-2</v>
      </c>
      <c r="M186" s="73"/>
    </row>
    <row r="187" spans="1:13" x14ac:dyDescent="0.25">
      <c r="A187" s="199">
        <v>0.75703141354809311</v>
      </c>
      <c r="B187" s="73"/>
      <c r="C187" s="73"/>
      <c r="D187" s="73"/>
      <c r="E187" s="73"/>
      <c r="F187" s="73"/>
      <c r="G187" s="73"/>
      <c r="H187" s="73"/>
      <c r="I187" s="73"/>
      <c r="J187" s="73">
        <v>4.9975882181106622E-2</v>
      </c>
      <c r="K187" s="73"/>
      <c r="L187" s="73"/>
      <c r="M187" s="73"/>
    </row>
    <row r="188" spans="1:13" x14ac:dyDescent="0.25">
      <c r="A188" s="199">
        <v>0.7583958279458668</v>
      </c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>
        <v>0.10462679664851991</v>
      </c>
    </row>
    <row r="189" spans="1:13" x14ac:dyDescent="0.25">
      <c r="A189" s="199">
        <v>0.75889012800620637</v>
      </c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>
        <v>3.6644341857891408E-2</v>
      </c>
      <c r="M189" s="73"/>
    </row>
    <row r="190" spans="1:13" x14ac:dyDescent="0.25">
      <c r="A190" s="199">
        <v>0.76301248660829724</v>
      </c>
      <c r="B190" s="73"/>
      <c r="C190" s="73"/>
      <c r="D190" s="73"/>
      <c r="E190" s="73">
        <v>2.6117112964388428E-2</v>
      </c>
      <c r="F190" s="73"/>
      <c r="G190" s="73"/>
      <c r="H190" s="73"/>
      <c r="I190" s="73"/>
      <c r="J190" s="73"/>
      <c r="K190" s="73"/>
      <c r="L190" s="73"/>
      <c r="M190" s="73"/>
    </row>
    <row r="191" spans="1:13" x14ac:dyDescent="0.25">
      <c r="A191" s="199">
        <v>0.76341579748872235</v>
      </c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>
        <v>0.10106962356492293</v>
      </c>
    </row>
    <row r="192" spans="1:13" x14ac:dyDescent="0.25">
      <c r="A192" s="199">
        <v>0.77042547042090703</v>
      </c>
      <c r="B192" s="73"/>
      <c r="C192" s="73">
        <v>4.9184309247364444E-2</v>
      </c>
      <c r="D192" s="73"/>
      <c r="E192" s="73"/>
      <c r="F192" s="73"/>
      <c r="G192" s="73"/>
      <c r="H192" s="73"/>
      <c r="I192" s="73"/>
      <c r="J192" s="73"/>
      <c r="K192" s="73"/>
      <c r="L192" s="73"/>
      <c r="M192" s="73"/>
    </row>
    <row r="193" spans="1:13" x14ac:dyDescent="0.25">
      <c r="A193" s="199">
        <v>0.78105896043444534</v>
      </c>
      <c r="B193" s="73"/>
      <c r="C193" s="73"/>
      <c r="D193" s="73"/>
      <c r="E193" s="73"/>
      <c r="F193" s="73"/>
      <c r="G193" s="73"/>
      <c r="H193" s="73">
        <v>6.0949067151273024E-2</v>
      </c>
      <c r="I193" s="73"/>
      <c r="J193" s="73"/>
      <c r="K193" s="73"/>
      <c r="L193" s="73"/>
      <c r="M193" s="73"/>
    </row>
    <row r="194" spans="1:13" x14ac:dyDescent="0.25">
      <c r="A194" s="199">
        <v>0.78210499094905606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>
        <v>9.6583568567583281E-2</v>
      </c>
    </row>
    <row r="195" spans="1:13" x14ac:dyDescent="0.25">
      <c r="A195" s="199">
        <v>0.78250581846392542</v>
      </c>
      <c r="B195" s="73"/>
      <c r="C195" s="73"/>
      <c r="D195" s="73"/>
      <c r="E195" s="73"/>
      <c r="F195" s="73"/>
      <c r="G195" s="73"/>
      <c r="H195" s="73">
        <v>6.0201198214723778E-2</v>
      </c>
      <c r="I195" s="73"/>
      <c r="J195" s="73"/>
      <c r="K195" s="73"/>
      <c r="L195" s="73"/>
      <c r="M195" s="73"/>
    </row>
    <row r="196" spans="1:13" x14ac:dyDescent="0.25">
      <c r="A196" s="199">
        <v>0.78798716411594616</v>
      </c>
      <c r="B196" s="73"/>
      <c r="C196" s="73"/>
      <c r="D196" s="73"/>
      <c r="E196" s="73"/>
      <c r="F196" s="73"/>
      <c r="G196" s="73"/>
      <c r="H196" s="73">
        <v>6.2837029255082055E-2</v>
      </c>
      <c r="I196" s="73"/>
      <c r="J196" s="73"/>
      <c r="K196" s="73"/>
      <c r="L196" s="73"/>
      <c r="M196" s="73"/>
    </row>
    <row r="197" spans="1:13" x14ac:dyDescent="0.25">
      <c r="A197" s="199">
        <v>0.79698991466252911</v>
      </c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>
        <v>0.10782964884424413</v>
      </c>
    </row>
    <row r="198" spans="1:13" x14ac:dyDescent="0.25">
      <c r="A198" s="199">
        <v>0.8100524249476927</v>
      </c>
      <c r="B198" s="73"/>
      <c r="C198" s="73"/>
      <c r="D198" s="73"/>
      <c r="E198" s="73"/>
      <c r="F198" s="73"/>
      <c r="G198" s="73"/>
      <c r="H198" s="73"/>
      <c r="I198" s="73"/>
      <c r="J198" s="73"/>
      <c r="K198" s="73">
        <v>3.8827688708399657E-2</v>
      </c>
      <c r="L198" s="73"/>
      <c r="M198" s="73"/>
    </row>
    <row r="199" spans="1:13" x14ac:dyDescent="0.25">
      <c r="A199" s="199">
        <v>0.81162910184693704</v>
      </c>
      <c r="B199" s="73"/>
      <c r="C199" s="73">
        <v>4.9659702641519837E-2</v>
      </c>
      <c r="D199" s="73"/>
      <c r="E199" s="73"/>
      <c r="F199" s="73"/>
      <c r="G199" s="73"/>
      <c r="H199" s="73"/>
      <c r="I199" s="73"/>
      <c r="J199" s="73"/>
      <c r="K199" s="73"/>
      <c r="L199" s="73"/>
      <c r="M199" s="73"/>
    </row>
    <row r="200" spans="1:13" x14ac:dyDescent="0.25">
      <c r="A200" s="199">
        <v>0.81599065052708442</v>
      </c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>
        <v>3.985327849326771E-2</v>
      </c>
      <c r="M200" s="73"/>
    </row>
    <row r="201" spans="1:13" x14ac:dyDescent="0.25">
      <c r="A201" s="199">
        <v>0.82089463290782139</v>
      </c>
      <c r="B201" s="73"/>
      <c r="C201" s="73"/>
      <c r="D201" s="73"/>
      <c r="E201" s="73"/>
      <c r="F201" s="73"/>
      <c r="G201" s="73"/>
      <c r="H201" s="73">
        <v>6.4225564259963633E-2</v>
      </c>
      <c r="I201" s="73"/>
      <c r="J201" s="73"/>
      <c r="K201" s="73"/>
      <c r="L201" s="73"/>
      <c r="M201" s="73"/>
    </row>
    <row r="202" spans="1:13" x14ac:dyDescent="0.25">
      <c r="A202" s="199">
        <v>0.82582622187742438</v>
      </c>
      <c r="B202" s="73"/>
      <c r="C202" s="73"/>
      <c r="D202" s="73"/>
      <c r="E202" s="73"/>
      <c r="F202" s="73"/>
      <c r="G202" s="73"/>
      <c r="H202" s="73">
        <v>6.6213860636296473E-2</v>
      </c>
      <c r="I202" s="73"/>
      <c r="J202" s="73"/>
      <c r="K202" s="73"/>
      <c r="L202" s="73"/>
      <c r="M202" s="73"/>
    </row>
    <row r="203" spans="1:13" x14ac:dyDescent="0.25">
      <c r="A203" s="199">
        <v>0.84196233083354888</v>
      </c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>
        <v>4.0333052586724066E-2</v>
      </c>
      <c r="M203" s="73"/>
    </row>
    <row r="204" spans="1:13" x14ac:dyDescent="0.25">
      <c r="A204" s="199">
        <v>0.84277805204880463</v>
      </c>
      <c r="B204" s="73">
        <v>5.524709918565901E-2</v>
      </c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</row>
    <row r="205" spans="1:13" x14ac:dyDescent="0.25">
      <c r="A205" s="199">
        <v>0.84485906387380394</v>
      </c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>
        <v>0.11063943531066119</v>
      </c>
    </row>
    <row r="206" spans="1:13" x14ac:dyDescent="0.25">
      <c r="A206" s="199">
        <v>0.84791875308554909</v>
      </c>
      <c r="B206" s="73"/>
      <c r="C206" s="73"/>
      <c r="D206" s="73"/>
      <c r="E206" s="73"/>
      <c r="F206" s="73"/>
      <c r="G206" s="73"/>
      <c r="H206" s="73">
        <v>6.5766690236459535E-2</v>
      </c>
      <c r="I206" s="73"/>
      <c r="J206" s="73"/>
      <c r="K206" s="73"/>
      <c r="L206" s="73"/>
      <c r="M206" s="73"/>
    </row>
    <row r="207" spans="1:13" x14ac:dyDescent="0.25">
      <c r="A207" s="199">
        <v>0.84901011517574743</v>
      </c>
      <c r="B207" s="73">
        <v>5.3300864370715025E-2</v>
      </c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</row>
    <row r="208" spans="1:13" x14ac:dyDescent="0.25">
      <c r="A208" s="199">
        <v>0.85145637915226746</v>
      </c>
      <c r="B208" s="73">
        <v>5.3554148032525548E-2</v>
      </c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</row>
    <row r="209" spans="1:13" x14ac:dyDescent="0.25">
      <c r="A209" s="199">
        <v>0.85300405137488144</v>
      </c>
      <c r="B209" s="73"/>
      <c r="C209" s="73">
        <v>5.4880265473210399E-2</v>
      </c>
      <c r="D209" s="73"/>
      <c r="E209" s="73"/>
      <c r="F209" s="73"/>
      <c r="G209" s="73"/>
      <c r="H209" s="73"/>
      <c r="I209" s="73"/>
      <c r="J209" s="73"/>
      <c r="K209" s="73"/>
      <c r="L209" s="73"/>
      <c r="M209" s="73"/>
    </row>
    <row r="210" spans="1:13" x14ac:dyDescent="0.25">
      <c r="A210" s="199">
        <v>0.85536268425135764</v>
      </c>
      <c r="B210" s="73">
        <v>5.3560281516683059E-2</v>
      </c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</row>
    <row r="211" spans="1:13" x14ac:dyDescent="0.25">
      <c r="A211" s="199">
        <v>0.86249757564003104</v>
      </c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>
        <v>4.0817544585313267E-2</v>
      </c>
      <c r="M211" s="73"/>
    </row>
    <row r="212" spans="1:13" x14ac:dyDescent="0.25">
      <c r="A212" s="199">
        <v>0.86774469873286786</v>
      </c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>
        <v>4.0722935856781238E-2</v>
      </c>
      <c r="M212" s="73"/>
    </row>
    <row r="213" spans="1:13" x14ac:dyDescent="0.25">
      <c r="A213" s="199">
        <v>0.86822536850271537</v>
      </c>
      <c r="B213" s="73"/>
      <c r="C213" s="73">
        <v>5.5731671260744756E-2</v>
      </c>
      <c r="D213" s="73"/>
      <c r="E213" s="73"/>
      <c r="F213" s="73"/>
      <c r="G213" s="73"/>
      <c r="H213" s="73"/>
      <c r="I213" s="73"/>
      <c r="J213" s="73"/>
      <c r="K213" s="73"/>
      <c r="L213" s="73"/>
      <c r="M213" s="73"/>
    </row>
    <row r="214" spans="1:13" x14ac:dyDescent="0.25">
      <c r="A214" s="199">
        <v>0.87014661362483015</v>
      </c>
      <c r="B214" s="73"/>
      <c r="C214" s="73">
        <v>5.603377519936481E-2</v>
      </c>
      <c r="D214" s="73"/>
      <c r="E214" s="73"/>
      <c r="F214" s="73"/>
      <c r="G214" s="73"/>
      <c r="H214" s="73"/>
      <c r="I214" s="73"/>
      <c r="J214" s="73"/>
      <c r="K214" s="73"/>
      <c r="L214" s="73"/>
      <c r="M214" s="73"/>
    </row>
    <row r="215" spans="1:13" x14ac:dyDescent="0.25">
      <c r="A215" s="199">
        <v>0.87177630395430672</v>
      </c>
      <c r="B215" s="73"/>
      <c r="C215" s="73">
        <v>5.2149953802764624E-2</v>
      </c>
      <c r="D215" s="73"/>
      <c r="E215" s="73"/>
      <c r="F215" s="73"/>
      <c r="G215" s="73"/>
      <c r="H215" s="73"/>
      <c r="I215" s="73"/>
      <c r="J215" s="73"/>
      <c r="K215" s="73"/>
      <c r="L215" s="73"/>
      <c r="M215" s="73"/>
    </row>
    <row r="216" spans="1:13" x14ac:dyDescent="0.25">
      <c r="A216" s="199">
        <v>0.8748298029030479</v>
      </c>
      <c r="B216" s="73"/>
      <c r="C216" s="73">
        <v>5.2832270464367087E-2</v>
      </c>
      <c r="D216" s="73"/>
      <c r="E216" s="73"/>
      <c r="F216" s="73"/>
      <c r="G216" s="73"/>
      <c r="H216" s="73"/>
      <c r="I216" s="73"/>
      <c r="J216" s="73"/>
      <c r="K216" s="73"/>
      <c r="L216" s="73"/>
      <c r="M216" s="73"/>
    </row>
    <row r="217" spans="1:13" x14ac:dyDescent="0.25">
      <c r="A217" s="199">
        <v>0.87529748645382954</v>
      </c>
      <c r="B217" s="73"/>
      <c r="C217" s="73">
        <v>5.4148147401154513E-2</v>
      </c>
      <c r="D217" s="73"/>
      <c r="E217" s="73"/>
      <c r="F217" s="73"/>
      <c r="G217" s="73"/>
      <c r="H217" s="73"/>
      <c r="I217" s="73"/>
      <c r="J217" s="73"/>
      <c r="K217" s="73"/>
      <c r="L217" s="73"/>
      <c r="M217" s="73"/>
    </row>
    <row r="218" spans="1:13" x14ac:dyDescent="0.25">
      <c r="A218" s="199">
        <v>0.88144787395175306</v>
      </c>
      <c r="B218" s="73"/>
      <c r="C218" s="73">
        <v>5.398782987364837E-2</v>
      </c>
      <c r="D218" s="73"/>
      <c r="E218" s="73"/>
      <c r="F218" s="73"/>
      <c r="G218" s="73"/>
      <c r="H218" s="73"/>
      <c r="I218" s="73"/>
      <c r="J218" s="73"/>
      <c r="K218" s="73"/>
      <c r="L218" s="73"/>
      <c r="M218" s="73"/>
    </row>
    <row r="219" spans="1:13" x14ac:dyDescent="0.25">
      <c r="A219" s="199">
        <v>0.90006702220761503</v>
      </c>
      <c r="B219" s="73"/>
      <c r="C219" s="73">
        <v>5.2854428180746427E-2</v>
      </c>
      <c r="D219" s="73"/>
      <c r="E219" s="73"/>
      <c r="F219" s="73"/>
      <c r="G219" s="73"/>
      <c r="H219" s="73"/>
      <c r="I219" s="73"/>
      <c r="J219" s="73"/>
      <c r="K219" s="73"/>
      <c r="L219" s="73"/>
      <c r="M219" s="73"/>
    </row>
    <row r="220" spans="1:13" x14ac:dyDescent="0.25">
      <c r="A220" s="199">
        <v>0.90925288049880759</v>
      </c>
      <c r="B220" s="73"/>
      <c r="C220" s="73">
        <v>5.4345286202558019E-2</v>
      </c>
      <c r="D220" s="73"/>
      <c r="E220" s="73"/>
      <c r="F220" s="73"/>
      <c r="G220" s="73"/>
      <c r="H220" s="73"/>
      <c r="I220" s="73"/>
      <c r="J220" s="73"/>
      <c r="K220" s="73"/>
      <c r="L220" s="73"/>
      <c r="M220" s="7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99A7-DB55-471E-9E89-7F599484A34F}">
  <dimension ref="A5:M222"/>
  <sheetViews>
    <sheetView topLeftCell="P11" zoomScale="130" zoomScaleNormal="130" workbookViewId="0">
      <selection activeCell="AG30" sqref="AG30"/>
    </sheetView>
  </sheetViews>
  <sheetFormatPr defaultRowHeight="15" x14ac:dyDescent="0.25"/>
  <cols>
    <col min="1" max="1" width="13.5703125" bestFit="1" customWidth="1"/>
    <col min="2" max="2" width="22.28515625" bestFit="1" customWidth="1"/>
    <col min="3" max="4" width="25.28515625" bestFit="1" customWidth="1"/>
    <col min="5" max="5" width="23.5703125" bestFit="1" customWidth="1"/>
    <col min="6" max="7" width="25.28515625" bestFit="1" customWidth="1"/>
    <col min="8" max="8" width="22.28515625" bestFit="1" customWidth="1"/>
    <col min="9" max="10" width="25.28515625" bestFit="1" customWidth="1"/>
    <col min="11" max="11" width="22.28515625" bestFit="1" customWidth="1"/>
    <col min="12" max="13" width="25.28515625" bestFit="1" customWidth="1"/>
  </cols>
  <sheetData>
    <row r="5" spans="1:13" x14ac:dyDescent="0.25">
      <c r="A5" t="str">
        <f>'ITL-PIVOT'!A3</f>
        <v>Average of ITL</v>
      </c>
      <c r="B5" t="str">
        <f>'ITL-PIVOT'!B4</f>
        <v>1-15K,300</v>
      </c>
      <c r="C5" t="str">
        <f>'ITL-PIVOT'!C4</f>
        <v>1-15K,300</v>
      </c>
      <c r="D5" t="str">
        <f>'ITL-PIVOT'!D4</f>
        <v>3K,100-1800</v>
      </c>
      <c r="E5" t="str">
        <f>'ITL-PIVOT'!E4</f>
        <v>5K,100-1800</v>
      </c>
      <c r="F5" t="str">
        <f>'ITL-PIVOT'!F4</f>
        <v>5K,100-1800</v>
      </c>
      <c r="G5" t="str">
        <f>'ITL-PIVOT'!G4</f>
        <v>5K,1K</v>
      </c>
      <c r="H5" t="str">
        <f>'ITL-PIVOT'!H4</f>
        <v>5K,200</v>
      </c>
      <c r="I5" t="str">
        <f>'ITL-PIVOT'!I4</f>
        <v>5K,200</v>
      </c>
      <c r="J5" t="str">
        <f>'ITL-PIVOT'!J4</f>
        <v>5K,300</v>
      </c>
      <c r="K5" t="str">
        <f>'ITL-PIVOT'!K4</f>
        <v>5K,500</v>
      </c>
      <c r="L5" t="str">
        <f>'ITL-PIVOT'!L4</f>
        <v>5K,500</v>
      </c>
      <c r="M5" t="str">
        <f>'ITL-PIVOT'!M4</f>
        <v>6K,100</v>
      </c>
    </row>
    <row r="6" spans="1:13" x14ac:dyDescent="0.25">
      <c r="A6" t="str">
        <f>'ITL-PIVOT'!A5</f>
        <v>KV%</v>
      </c>
      <c r="B6" s="220">
        <f>'ITL-PIVOT'!B5</f>
        <v>46104</v>
      </c>
      <c r="C6" s="220">
        <f>'ITL-PIVOT'!C5</f>
        <v>46092</v>
      </c>
      <c r="D6" s="220">
        <f>'ITL-PIVOT'!D5</f>
        <v>46092</v>
      </c>
      <c r="E6" s="220">
        <f>'ITL-PIVOT'!E5</f>
        <v>46104</v>
      </c>
      <c r="F6" s="220">
        <f>'ITL-PIVOT'!F5</f>
        <v>46092</v>
      </c>
      <c r="G6" s="220">
        <f>'ITL-PIVOT'!G5</f>
        <v>46092</v>
      </c>
      <c r="H6" s="220">
        <f>'ITL-PIVOT'!H5</f>
        <v>46104</v>
      </c>
      <c r="I6" s="220">
        <f>'ITL-PIVOT'!I5</f>
        <v>46092</v>
      </c>
      <c r="J6" s="220">
        <f>'ITL-PIVOT'!J5</f>
        <v>46092</v>
      </c>
      <c r="K6" s="220">
        <f>'ITL-PIVOT'!K5</f>
        <v>46104</v>
      </c>
      <c r="L6" s="220">
        <f>'ITL-PIVOT'!L5</f>
        <v>46092</v>
      </c>
      <c r="M6" s="220">
        <f>'ITL-PIVOT'!M5</f>
        <v>46092</v>
      </c>
    </row>
    <row r="7" spans="1:13" x14ac:dyDescent="0.25">
      <c r="A7" t="str">
        <f>A6</f>
        <v>KV%</v>
      </c>
      <c r="B7" t="str">
        <f>_xlfn.CONCAT(B5," ",TEXT(B6,"dd/mm"))</f>
        <v>1-15K,300 23/03</v>
      </c>
      <c r="C7" t="str">
        <f t="shared" ref="C7:M7" si="0">_xlfn.CONCAT(C5," ",TEXT(C6,"dd/mm"))</f>
        <v>1-15K,300 11/03</v>
      </c>
      <c r="D7" t="str">
        <f t="shared" si="0"/>
        <v>3K,100-1800 11/03</v>
      </c>
      <c r="E7" t="str">
        <f t="shared" si="0"/>
        <v>5K,100-1800 23/03</v>
      </c>
      <c r="F7" t="str">
        <f t="shared" si="0"/>
        <v>5K,100-1800 11/03</v>
      </c>
      <c r="G7" t="str">
        <f t="shared" si="0"/>
        <v>5K,1K 11/03</v>
      </c>
      <c r="H7" t="str">
        <f t="shared" si="0"/>
        <v>5K,200 23/03</v>
      </c>
      <c r="I7" t="str">
        <f t="shared" si="0"/>
        <v>5K,200 11/03</v>
      </c>
      <c r="J7" t="str">
        <f t="shared" si="0"/>
        <v>5K,300 11/03</v>
      </c>
      <c r="K7" t="str">
        <f t="shared" si="0"/>
        <v>5K,500 23/03</v>
      </c>
      <c r="L7" t="str">
        <f t="shared" si="0"/>
        <v>5K,500 11/03</v>
      </c>
      <c r="M7" t="str">
        <f t="shared" si="0"/>
        <v>6K,100 11/03</v>
      </c>
    </row>
    <row r="8" spans="1:13" x14ac:dyDescent="0.25">
      <c r="A8">
        <f>IF('ITL-PIVOT'!A6=0,NA(),'ITL-PIVOT'!A6)</f>
        <v>1.0150557507719928E-2</v>
      </c>
      <c r="B8" t="e">
        <f>IF(GETPIVOTDATA("ITL",'ITL-PIVOT'!$A$3,"KV%",$A8,"Experiment",B$5,"date",B$6)=0,NA(),GETPIVOTDATA("ITL",'ITL-PIVOT'!$A$3,"KV%",$A8,"Experiment",B$5,"date",B$6))</f>
        <v>#N/A</v>
      </c>
      <c r="C8">
        <f>IF(GETPIVOTDATA("ITL",'ITL-PIVOT'!$A$3,"KV%",$A8,"Experiment",C$5,"date",C$6)=0,NA(),GETPIVOTDATA("ITL",'ITL-PIVOT'!$A$3,"KV%",$A8,"Experiment",C$5,"date",C$6))</f>
        <v>6.596198861928409E-3</v>
      </c>
      <c r="D8" t="e">
        <f>IF(GETPIVOTDATA("ITL",'ITL-PIVOT'!$A$3,"KV%",$A8,"Experiment",D$5,"date",D$6)=0,NA(),GETPIVOTDATA("ITL",'ITL-PIVOT'!$A$3,"KV%",$A8,"Experiment",D$5,"date",D$6))</f>
        <v>#N/A</v>
      </c>
      <c r="E8" t="e">
        <f>IF(GETPIVOTDATA("ITL",'ITL-PIVOT'!$A$3,"KV%",$A8,"Experiment",E$5,"date",E$6)=0,NA(),GETPIVOTDATA("ITL",'ITL-PIVOT'!$A$3,"KV%",$A8,"Experiment",E$5,"date",E$6))</f>
        <v>#N/A</v>
      </c>
      <c r="F8" t="e">
        <f>IF(GETPIVOTDATA("ITL",'ITL-PIVOT'!$A$3,"KV%",$A8,"Experiment",F$5,"date",F$6)=0,NA(),GETPIVOTDATA("ITL",'ITL-PIVOT'!$A$3,"KV%",$A8,"Experiment",F$5,"date",F$6))</f>
        <v>#N/A</v>
      </c>
      <c r="G8" t="e">
        <f>IF(GETPIVOTDATA("ITL",'ITL-PIVOT'!$A$3,"KV%",$A8,"Experiment",G$5,"date",G$6)=0,NA(),GETPIVOTDATA("ITL",'ITL-PIVOT'!$A$3,"KV%",$A8,"Experiment",G$5,"date",G$6))</f>
        <v>#N/A</v>
      </c>
      <c r="H8" t="e">
        <f>IF(GETPIVOTDATA("ITL",'ITL-PIVOT'!$A$3,"KV%",$A8,"Experiment",H$5,"date",H$6)=0,NA(),GETPIVOTDATA("ITL",'ITL-PIVOT'!$A$3,"KV%",$A8,"Experiment",H$5,"date",H$6))</f>
        <v>#N/A</v>
      </c>
      <c r="I8" t="e">
        <f>IF(GETPIVOTDATA("ITL",'ITL-PIVOT'!$A$3,"KV%",$A8,"Experiment",I$5,"date",I$6)=0,NA(),GETPIVOTDATA("ITL",'ITL-PIVOT'!$A$3,"KV%",$A8,"Experiment",I$5,"date",I$6))</f>
        <v>#N/A</v>
      </c>
      <c r="J8" t="e">
        <f>IF(GETPIVOTDATA("ITL",'ITL-PIVOT'!$A$3,"KV%",$A8,"Experiment",J$5,"date",J$6)=0,NA(),GETPIVOTDATA("ITL",'ITL-PIVOT'!$A$3,"KV%",$A8,"Experiment",J$5,"date",J$6))</f>
        <v>#N/A</v>
      </c>
      <c r="K8" t="e">
        <f>IF(GETPIVOTDATA("ITL",'ITL-PIVOT'!$A$3,"KV%",$A8,"Experiment",K$5,"date",K$6)=0,NA(),GETPIVOTDATA("ITL",'ITL-PIVOT'!$A$3,"KV%",$A8,"Experiment",K$5,"date",K$6))</f>
        <v>#N/A</v>
      </c>
      <c r="L8" t="e">
        <f>IF(GETPIVOTDATA("ITL",'ITL-PIVOT'!$A$3,"KV%",$A8,"Experiment",L$5,"date",L$6)=0,NA(),GETPIVOTDATA("ITL",'ITL-PIVOT'!$A$3,"KV%",$A8,"Experiment",L$5,"date",L$6))</f>
        <v>#N/A</v>
      </c>
      <c r="M8" t="e">
        <f>IF(GETPIVOTDATA("ITL",'ITL-PIVOT'!$A$3,"KV%",$A8,"Experiment",M$5,"date",M$6)=0,NA(),GETPIVOTDATA("ITL",'ITL-PIVOT'!$A$3,"KV%",$A8,"Experiment",M$5,"date",M$6))</f>
        <v>#N/A</v>
      </c>
    </row>
    <row r="9" spans="1:13" x14ac:dyDescent="0.25">
      <c r="A9">
        <f>IF('ITL-PIVOT'!A7=0,NA(),'ITL-PIVOT'!A7)</f>
        <v>1.1850271528316525E-2</v>
      </c>
      <c r="B9">
        <f>IF(GETPIVOTDATA("ITL",'ITL-PIVOT'!$A$3,"KV%",$A9,"Experiment",B$5,"date",B$6)=0,NA(),GETPIVOTDATA("ITL",'ITL-PIVOT'!$A$3,"KV%",$A9,"Experiment",B$5,"date",B$6))</f>
        <v>6.6212960266655973E-3</v>
      </c>
      <c r="C9" t="e">
        <f>IF(GETPIVOTDATA("ITL",'ITL-PIVOT'!$A$3,"KV%",$A9,"Experiment",C$5,"date",C$6)=0,NA(),GETPIVOTDATA("ITL",'ITL-PIVOT'!$A$3,"KV%",$A9,"Experiment",C$5,"date",C$6))</f>
        <v>#N/A</v>
      </c>
      <c r="D9" t="e">
        <f>IF(GETPIVOTDATA("ITL",'ITL-PIVOT'!$A$3,"KV%",$A9,"Experiment",D$5,"date",D$6)=0,NA(),GETPIVOTDATA("ITL",'ITL-PIVOT'!$A$3,"KV%",$A9,"Experiment",D$5,"date",D$6))</f>
        <v>#N/A</v>
      </c>
      <c r="E9" t="e">
        <f>IF(GETPIVOTDATA("ITL",'ITL-PIVOT'!$A$3,"KV%",$A9,"Experiment",E$5,"date",E$6)=0,NA(),GETPIVOTDATA("ITL",'ITL-PIVOT'!$A$3,"KV%",$A9,"Experiment",E$5,"date",E$6))</f>
        <v>#N/A</v>
      </c>
      <c r="F9" t="e">
        <f>IF(GETPIVOTDATA("ITL",'ITL-PIVOT'!$A$3,"KV%",$A9,"Experiment",F$5,"date",F$6)=0,NA(),GETPIVOTDATA("ITL",'ITL-PIVOT'!$A$3,"KV%",$A9,"Experiment",F$5,"date",F$6))</f>
        <v>#N/A</v>
      </c>
      <c r="G9" t="e">
        <f>IF(GETPIVOTDATA("ITL",'ITL-PIVOT'!$A$3,"KV%",$A9,"Experiment",G$5,"date",G$6)=0,NA(),GETPIVOTDATA("ITL",'ITL-PIVOT'!$A$3,"KV%",$A9,"Experiment",G$5,"date",G$6))</f>
        <v>#N/A</v>
      </c>
      <c r="H9" t="e">
        <f>IF(GETPIVOTDATA("ITL",'ITL-PIVOT'!$A$3,"KV%",$A9,"Experiment",H$5,"date",H$6)=0,NA(),GETPIVOTDATA("ITL",'ITL-PIVOT'!$A$3,"KV%",$A9,"Experiment",H$5,"date",H$6))</f>
        <v>#N/A</v>
      </c>
      <c r="I9" t="e">
        <f>IF(GETPIVOTDATA("ITL",'ITL-PIVOT'!$A$3,"KV%",$A9,"Experiment",I$5,"date",I$6)=0,NA(),GETPIVOTDATA("ITL",'ITL-PIVOT'!$A$3,"KV%",$A9,"Experiment",I$5,"date",I$6))</f>
        <v>#N/A</v>
      </c>
      <c r="J9" t="e">
        <f>IF(GETPIVOTDATA("ITL",'ITL-PIVOT'!$A$3,"KV%",$A9,"Experiment",J$5,"date",J$6)=0,NA(),GETPIVOTDATA("ITL",'ITL-PIVOT'!$A$3,"KV%",$A9,"Experiment",J$5,"date",J$6))</f>
        <v>#N/A</v>
      </c>
      <c r="K9" t="e">
        <f>IF(GETPIVOTDATA("ITL",'ITL-PIVOT'!$A$3,"KV%",$A9,"Experiment",K$5,"date",K$6)=0,NA(),GETPIVOTDATA("ITL",'ITL-PIVOT'!$A$3,"KV%",$A9,"Experiment",K$5,"date",K$6))</f>
        <v>#N/A</v>
      </c>
      <c r="L9" t="e">
        <f>IF(GETPIVOTDATA("ITL",'ITL-PIVOT'!$A$3,"KV%",$A9,"Experiment",L$5,"date",L$6)=0,NA(),GETPIVOTDATA("ITL",'ITL-PIVOT'!$A$3,"KV%",$A9,"Experiment",L$5,"date",L$6))</f>
        <v>#N/A</v>
      </c>
      <c r="M9" t="e">
        <f>IF(GETPIVOTDATA("ITL",'ITL-PIVOT'!$A$3,"KV%",$A9,"Experiment",M$5,"date",M$6)=0,NA(),GETPIVOTDATA("ITL",'ITL-PIVOT'!$A$3,"KV%",$A9,"Experiment",M$5,"date",M$6))</f>
        <v>#N/A</v>
      </c>
    </row>
    <row r="10" spans="1:13" x14ac:dyDescent="0.25">
      <c r="A10">
        <f>IF('ITL-PIVOT'!A8=0,NA(),'ITL-PIVOT'!A8)</f>
        <v>1.6512173139232419E-2</v>
      </c>
      <c r="B10" t="e">
        <f>IF(GETPIVOTDATA("ITL",'ITL-PIVOT'!$A$3,"KV%",$A10,"Experiment",B$5,"date",B$6)=0,NA(),GETPIVOTDATA("ITL",'ITL-PIVOT'!$A$3,"KV%",$A10,"Experiment",B$5,"date",B$6))</f>
        <v>#N/A</v>
      </c>
      <c r="C10">
        <f>IF(GETPIVOTDATA("ITL",'ITL-PIVOT'!$A$3,"KV%",$A10,"Experiment",C$5,"date",C$6)=0,NA(),GETPIVOTDATA("ITL",'ITL-PIVOT'!$A$3,"KV%",$A10,"Experiment",C$5,"date",C$6))</f>
        <v>7.0278514508279053E-3</v>
      </c>
      <c r="D10" t="e">
        <f>IF(GETPIVOTDATA("ITL",'ITL-PIVOT'!$A$3,"KV%",$A10,"Experiment",D$5,"date",D$6)=0,NA(),GETPIVOTDATA("ITL",'ITL-PIVOT'!$A$3,"KV%",$A10,"Experiment",D$5,"date",D$6))</f>
        <v>#N/A</v>
      </c>
      <c r="E10" t="e">
        <f>IF(GETPIVOTDATA("ITL",'ITL-PIVOT'!$A$3,"KV%",$A10,"Experiment",E$5,"date",E$6)=0,NA(),GETPIVOTDATA("ITL",'ITL-PIVOT'!$A$3,"KV%",$A10,"Experiment",E$5,"date",E$6))</f>
        <v>#N/A</v>
      </c>
      <c r="F10" t="e">
        <f>IF(GETPIVOTDATA("ITL",'ITL-PIVOT'!$A$3,"KV%",$A10,"Experiment",F$5,"date",F$6)=0,NA(),GETPIVOTDATA("ITL",'ITL-PIVOT'!$A$3,"KV%",$A10,"Experiment",F$5,"date",F$6))</f>
        <v>#N/A</v>
      </c>
      <c r="G10" t="e">
        <f>IF(GETPIVOTDATA("ITL",'ITL-PIVOT'!$A$3,"KV%",$A10,"Experiment",G$5,"date",G$6)=0,NA(),GETPIVOTDATA("ITL",'ITL-PIVOT'!$A$3,"KV%",$A10,"Experiment",G$5,"date",G$6))</f>
        <v>#N/A</v>
      </c>
      <c r="H10" t="e">
        <f>IF(GETPIVOTDATA("ITL",'ITL-PIVOT'!$A$3,"KV%",$A10,"Experiment",H$5,"date",H$6)=0,NA(),GETPIVOTDATA("ITL",'ITL-PIVOT'!$A$3,"KV%",$A10,"Experiment",H$5,"date",H$6))</f>
        <v>#N/A</v>
      </c>
      <c r="I10" t="e">
        <f>IF(GETPIVOTDATA("ITL",'ITL-PIVOT'!$A$3,"KV%",$A10,"Experiment",I$5,"date",I$6)=0,NA(),GETPIVOTDATA("ITL",'ITL-PIVOT'!$A$3,"KV%",$A10,"Experiment",I$5,"date",I$6))</f>
        <v>#N/A</v>
      </c>
      <c r="J10" t="e">
        <f>IF(GETPIVOTDATA("ITL",'ITL-PIVOT'!$A$3,"KV%",$A10,"Experiment",J$5,"date",J$6)=0,NA(),GETPIVOTDATA("ITL",'ITL-PIVOT'!$A$3,"KV%",$A10,"Experiment",J$5,"date",J$6))</f>
        <v>#N/A</v>
      </c>
      <c r="K10" t="e">
        <f>IF(GETPIVOTDATA("ITL",'ITL-PIVOT'!$A$3,"KV%",$A10,"Experiment",K$5,"date",K$6)=0,NA(),GETPIVOTDATA("ITL",'ITL-PIVOT'!$A$3,"KV%",$A10,"Experiment",K$5,"date",K$6))</f>
        <v>#N/A</v>
      </c>
      <c r="L10" t="e">
        <f>IF(GETPIVOTDATA("ITL",'ITL-PIVOT'!$A$3,"KV%",$A10,"Experiment",L$5,"date",L$6)=0,NA(),GETPIVOTDATA("ITL",'ITL-PIVOT'!$A$3,"KV%",$A10,"Experiment",L$5,"date",L$6))</f>
        <v>#N/A</v>
      </c>
      <c r="M10" t="e">
        <f>IF(GETPIVOTDATA("ITL",'ITL-PIVOT'!$A$3,"KV%",$A10,"Experiment",M$5,"date",M$6)=0,NA(),GETPIVOTDATA("ITL",'ITL-PIVOT'!$A$3,"KV%",$A10,"Experiment",M$5,"date",M$6))</f>
        <v>#N/A</v>
      </c>
    </row>
    <row r="11" spans="1:13" x14ac:dyDescent="0.25">
      <c r="A11">
        <f>IF('ITL-PIVOT'!A9=0,NA(),'ITL-PIVOT'!A9)</f>
        <v>1.6875256696937891E-2</v>
      </c>
      <c r="B11" t="e">
        <f>IF(GETPIVOTDATA("ITL",'ITL-PIVOT'!$A$3,"KV%",$A11,"Experiment",B$5,"date",B$6)=0,NA(),GETPIVOTDATA("ITL",'ITL-PIVOT'!$A$3,"KV%",$A11,"Experiment",B$5,"date",B$6))</f>
        <v>#N/A</v>
      </c>
      <c r="C11" t="e">
        <f>IF(GETPIVOTDATA("ITL",'ITL-PIVOT'!$A$3,"KV%",$A11,"Experiment",C$5,"date",C$6)=0,NA(),GETPIVOTDATA("ITL",'ITL-PIVOT'!$A$3,"KV%",$A11,"Experiment",C$5,"date",C$6))</f>
        <v>#N/A</v>
      </c>
      <c r="D11">
        <f>IF(GETPIVOTDATA("ITL",'ITL-PIVOT'!$A$3,"KV%",$A11,"Experiment",D$5,"date",D$6)=0,NA(),GETPIVOTDATA("ITL",'ITL-PIVOT'!$A$3,"KV%",$A11,"Experiment",D$5,"date",D$6))</f>
        <v>8.4535995613054232E-3</v>
      </c>
      <c r="E11" t="e">
        <f>IF(GETPIVOTDATA("ITL",'ITL-PIVOT'!$A$3,"KV%",$A11,"Experiment",E$5,"date",E$6)=0,NA(),GETPIVOTDATA("ITL",'ITL-PIVOT'!$A$3,"KV%",$A11,"Experiment",E$5,"date",E$6))</f>
        <v>#N/A</v>
      </c>
      <c r="F11" t="e">
        <f>IF(GETPIVOTDATA("ITL",'ITL-PIVOT'!$A$3,"KV%",$A11,"Experiment",F$5,"date",F$6)=0,NA(),GETPIVOTDATA("ITL",'ITL-PIVOT'!$A$3,"KV%",$A11,"Experiment",F$5,"date",F$6))</f>
        <v>#N/A</v>
      </c>
      <c r="G11" t="e">
        <f>IF(GETPIVOTDATA("ITL",'ITL-PIVOT'!$A$3,"KV%",$A11,"Experiment",G$5,"date",G$6)=0,NA(),GETPIVOTDATA("ITL",'ITL-PIVOT'!$A$3,"KV%",$A11,"Experiment",G$5,"date",G$6))</f>
        <v>#N/A</v>
      </c>
      <c r="H11" t="e">
        <f>IF(GETPIVOTDATA("ITL",'ITL-PIVOT'!$A$3,"KV%",$A11,"Experiment",H$5,"date",H$6)=0,NA(),GETPIVOTDATA("ITL",'ITL-PIVOT'!$A$3,"KV%",$A11,"Experiment",H$5,"date",H$6))</f>
        <v>#N/A</v>
      </c>
      <c r="I11" t="e">
        <f>IF(GETPIVOTDATA("ITL",'ITL-PIVOT'!$A$3,"KV%",$A11,"Experiment",I$5,"date",I$6)=0,NA(),GETPIVOTDATA("ITL",'ITL-PIVOT'!$A$3,"KV%",$A11,"Experiment",I$5,"date",I$6))</f>
        <v>#N/A</v>
      </c>
      <c r="J11" t="e">
        <f>IF(GETPIVOTDATA("ITL",'ITL-PIVOT'!$A$3,"KV%",$A11,"Experiment",J$5,"date",J$6)=0,NA(),GETPIVOTDATA("ITL",'ITL-PIVOT'!$A$3,"KV%",$A11,"Experiment",J$5,"date",J$6))</f>
        <v>#N/A</v>
      </c>
      <c r="K11" t="e">
        <f>IF(GETPIVOTDATA("ITL",'ITL-PIVOT'!$A$3,"KV%",$A11,"Experiment",K$5,"date",K$6)=0,NA(),GETPIVOTDATA("ITL",'ITL-PIVOT'!$A$3,"KV%",$A11,"Experiment",K$5,"date",K$6))</f>
        <v>#N/A</v>
      </c>
      <c r="L11" t="e">
        <f>IF(GETPIVOTDATA("ITL",'ITL-PIVOT'!$A$3,"KV%",$A11,"Experiment",L$5,"date",L$6)=0,NA(),GETPIVOTDATA("ITL",'ITL-PIVOT'!$A$3,"KV%",$A11,"Experiment",L$5,"date",L$6))</f>
        <v>#N/A</v>
      </c>
      <c r="M11" t="e">
        <f>IF(GETPIVOTDATA("ITL",'ITL-PIVOT'!$A$3,"KV%",$A11,"Experiment",M$5,"date",M$6)=0,NA(),GETPIVOTDATA("ITL",'ITL-PIVOT'!$A$3,"KV%",$A11,"Experiment",M$5,"date",M$6))</f>
        <v>#N/A</v>
      </c>
    </row>
    <row r="12" spans="1:13" x14ac:dyDescent="0.25">
      <c r="A12">
        <f>IF('ITL-PIVOT'!A10=0,NA(),'ITL-PIVOT'!A10)</f>
        <v>1.9997642191089005E-2</v>
      </c>
      <c r="B12" t="e">
        <f>IF(GETPIVOTDATA("ITL",'ITL-PIVOT'!$A$3,"KV%",$A12,"Experiment",B$5,"date",B$6)=0,NA(),GETPIVOTDATA("ITL",'ITL-PIVOT'!$A$3,"KV%",$A12,"Experiment",B$5,"date",B$6))</f>
        <v>#N/A</v>
      </c>
      <c r="C12">
        <f>IF(GETPIVOTDATA("ITL",'ITL-PIVOT'!$A$3,"KV%",$A12,"Experiment",C$5,"date",C$6)=0,NA(),GETPIVOTDATA("ITL",'ITL-PIVOT'!$A$3,"KV%",$A12,"Experiment",C$5,"date",C$6))</f>
        <v>7.280404097911467E-3</v>
      </c>
      <c r="D12" t="e">
        <f>IF(GETPIVOTDATA("ITL",'ITL-PIVOT'!$A$3,"KV%",$A12,"Experiment",D$5,"date",D$6)=0,NA(),GETPIVOTDATA("ITL",'ITL-PIVOT'!$A$3,"KV%",$A12,"Experiment",D$5,"date",D$6))</f>
        <v>#N/A</v>
      </c>
      <c r="E12" t="e">
        <f>IF(GETPIVOTDATA("ITL",'ITL-PIVOT'!$A$3,"KV%",$A12,"Experiment",E$5,"date",E$6)=0,NA(),GETPIVOTDATA("ITL",'ITL-PIVOT'!$A$3,"KV%",$A12,"Experiment",E$5,"date",E$6))</f>
        <v>#N/A</v>
      </c>
      <c r="F12" t="e">
        <f>IF(GETPIVOTDATA("ITL",'ITL-PIVOT'!$A$3,"KV%",$A12,"Experiment",F$5,"date",F$6)=0,NA(),GETPIVOTDATA("ITL",'ITL-PIVOT'!$A$3,"KV%",$A12,"Experiment",F$5,"date",F$6))</f>
        <v>#N/A</v>
      </c>
      <c r="G12" t="e">
        <f>IF(GETPIVOTDATA("ITL",'ITL-PIVOT'!$A$3,"KV%",$A12,"Experiment",G$5,"date",G$6)=0,NA(),GETPIVOTDATA("ITL",'ITL-PIVOT'!$A$3,"KV%",$A12,"Experiment",G$5,"date",G$6))</f>
        <v>#N/A</v>
      </c>
      <c r="H12" t="e">
        <f>IF(GETPIVOTDATA("ITL",'ITL-PIVOT'!$A$3,"KV%",$A12,"Experiment",H$5,"date",H$6)=0,NA(),GETPIVOTDATA("ITL",'ITL-PIVOT'!$A$3,"KV%",$A12,"Experiment",H$5,"date",H$6))</f>
        <v>#N/A</v>
      </c>
      <c r="I12" t="e">
        <f>IF(GETPIVOTDATA("ITL",'ITL-PIVOT'!$A$3,"KV%",$A12,"Experiment",I$5,"date",I$6)=0,NA(),GETPIVOTDATA("ITL",'ITL-PIVOT'!$A$3,"KV%",$A12,"Experiment",I$5,"date",I$6))</f>
        <v>#N/A</v>
      </c>
      <c r="J12" t="e">
        <f>IF(GETPIVOTDATA("ITL",'ITL-PIVOT'!$A$3,"KV%",$A12,"Experiment",J$5,"date",J$6)=0,NA(),GETPIVOTDATA("ITL",'ITL-PIVOT'!$A$3,"KV%",$A12,"Experiment",J$5,"date",J$6))</f>
        <v>#N/A</v>
      </c>
      <c r="K12" t="e">
        <f>IF(GETPIVOTDATA("ITL",'ITL-PIVOT'!$A$3,"KV%",$A12,"Experiment",K$5,"date",K$6)=0,NA(),GETPIVOTDATA("ITL",'ITL-PIVOT'!$A$3,"KV%",$A12,"Experiment",K$5,"date",K$6))</f>
        <v>#N/A</v>
      </c>
      <c r="L12" t="e">
        <f>IF(GETPIVOTDATA("ITL",'ITL-PIVOT'!$A$3,"KV%",$A12,"Experiment",L$5,"date",L$6)=0,NA(),GETPIVOTDATA("ITL",'ITL-PIVOT'!$A$3,"KV%",$A12,"Experiment",L$5,"date",L$6))</f>
        <v>#N/A</v>
      </c>
      <c r="M12" t="e">
        <f>IF(GETPIVOTDATA("ITL",'ITL-PIVOT'!$A$3,"KV%",$A12,"Experiment",M$5,"date",M$6)=0,NA(),GETPIVOTDATA("ITL",'ITL-PIVOT'!$A$3,"KV%",$A12,"Experiment",M$5,"date",M$6))</f>
        <v>#N/A</v>
      </c>
    </row>
    <row r="13" spans="1:13" x14ac:dyDescent="0.25">
      <c r="A13">
        <f>IF('ITL-PIVOT'!A11=0,NA(),'ITL-PIVOT'!A11)</f>
        <v>2.5965865011636929E-2</v>
      </c>
      <c r="B13">
        <f>IF(GETPIVOTDATA("ITL",'ITL-PIVOT'!$A$3,"KV%",$A13,"Experiment",B$5,"date",B$6)=0,NA(),GETPIVOTDATA("ITL",'ITL-PIVOT'!$A$3,"KV%",$A13,"Experiment",B$5,"date",B$6))</f>
        <v>7.490851774883912E-3</v>
      </c>
      <c r="C13" t="e">
        <f>IF(GETPIVOTDATA("ITL",'ITL-PIVOT'!$A$3,"KV%",$A13,"Experiment",C$5,"date",C$6)=0,NA(),GETPIVOTDATA("ITL",'ITL-PIVOT'!$A$3,"KV%",$A13,"Experiment",C$5,"date",C$6))</f>
        <v>#N/A</v>
      </c>
      <c r="D13" t="e">
        <f>IF(GETPIVOTDATA("ITL",'ITL-PIVOT'!$A$3,"KV%",$A13,"Experiment",D$5,"date",D$6)=0,NA(),GETPIVOTDATA("ITL",'ITL-PIVOT'!$A$3,"KV%",$A13,"Experiment",D$5,"date",D$6))</f>
        <v>#N/A</v>
      </c>
      <c r="E13" t="e">
        <f>IF(GETPIVOTDATA("ITL",'ITL-PIVOT'!$A$3,"KV%",$A13,"Experiment",E$5,"date",E$6)=0,NA(),GETPIVOTDATA("ITL",'ITL-PIVOT'!$A$3,"KV%",$A13,"Experiment",E$5,"date",E$6))</f>
        <v>#N/A</v>
      </c>
      <c r="F13" t="e">
        <f>IF(GETPIVOTDATA("ITL",'ITL-PIVOT'!$A$3,"KV%",$A13,"Experiment",F$5,"date",F$6)=0,NA(),GETPIVOTDATA("ITL",'ITL-PIVOT'!$A$3,"KV%",$A13,"Experiment",F$5,"date",F$6))</f>
        <v>#N/A</v>
      </c>
      <c r="G13" t="e">
        <f>IF(GETPIVOTDATA("ITL",'ITL-PIVOT'!$A$3,"KV%",$A13,"Experiment",G$5,"date",G$6)=0,NA(),GETPIVOTDATA("ITL",'ITL-PIVOT'!$A$3,"KV%",$A13,"Experiment",G$5,"date",G$6))</f>
        <v>#N/A</v>
      </c>
      <c r="H13" t="e">
        <f>IF(GETPIVOTDATA("ITL",'ITL-PIVOT'!$A$3,"KV%",$A13,"Experiment",H$5,"date",H$6)=0,NA(),GETPIVOTDATA("ITL",'ITL-PIVOT'!$A$3,"KV%",$A13,"Experiment",H$5,"date",H$6))</f>
        <v>#N/A</v>
      </c>
      <c r="I13" t="e">
        <f>IF(GETPIVOTDATA("ITL",'ITL-PIVOT'!$A$3,"KV%",$A13,"Experiment",I$5,"date",I$6)=0,NA(),GETPIVOTDATA("ITL",'ITL-PIVOT'!$A$3,"KV%",$A13,"Experiment",I$5,"date",I$6))</f>
        <v>#N/A</v>
      </c>
      <c r="J13" t="e">
        <f>IF(GETPIVOTDATA("ITL",'ITL-PIVOT'!$A$3,"KV%",$A13,"Experiment",J$5,"date",J$6)=0,NA(),GETPIVOTDATA("ITL",'ITL-PIVOT'!$A$3,"KV%",$A13,"Experiment",J$5,"date",J$6))</f>
        <v>#N/A</v>
      </c>
      <c r="K13" t="e">
        <f>IF(GETPIVOTDATA("ITL",'ITL-PIVOT'!$A$3,"KV%",$A13,"Experiment",K$5,"date",K$6)=0,NA(),GETPIVOTDATA("ITL",'ITL-PIVOT'!$A$3,"KV%",$A13,"Experiment",K$5,"date",K$6))</f>
        <v>#N/A</v>
      </c>
      <c r="L13" t="e">
        <f>IF(GETPIVOTDATA("ITL",'ITL-PIVOT'!$A$3,"KV%",$A13,"Experiment",L$5,"date",L$6)=0,NA(),GETPIVOTDATA("ITL",'ITL-PIVOT'!$A$3,"KV%",$A13,"Experiment",L$5,"date",L$6))</f>
        <v>#N/A</v>
      </c>
      <c r="M13" t="e">
        <f>IF(GETPIVOTDATA("ITL",'ITL-PIVOT'!$A$3,"KV%",$A13,"Experiment",M$5,"date",M$6)=0,NA(),GETPIVOTDATA("ITL",'ITL-PIVOT'!$A$3,"KV%",$A13,"Experiment",M$5,"date",M$6))</f>
        <v>#N/A</v>
      </c>
    </row>
    <row r="14" spans="1:13" x14ac:dyDescent="0.25">
      <c r="A14">
        <f>IF('ITL-PIVOT'!A12=0,NA(),'ITL-PIVOT'!A12)</f>
        <v>2.7674917911307269E-2</v>
      </c>
      <c r="B14" t="e">
        <f>IF(GETPIVOTDATA("ITL",'ITL-PIVOT'!$A$3,"KV%",$A14,"Experiment",B$5,"date",B$6)=0,NA(),GETPIVOTDATA("ITL",'ITL-PIVOT'!$A$3,"KV%",$A14,"Experiment",B$5,"date",B$6))</f>
        <v>#N/A</v>
      </c>
      <c r="C14" t="e">
        <f>IF(GETPIVOTDATA("ITL",'ITL-PIVOT'!$A$3,"KV%",$A14,"Experiment",C$5,"date",C$6)=0,NA(),GETPIVOTDATA("ITL",'ITL-PIVOT'!$A$3,"KV%",$A14,"Experiment",C$5,"date",C$6))</f>
        <v>#N/A</v>
      </c>
      <c r="D14" t="e">
        <f>IF(GETPIVOTDATA("ITL",'ITL-PIVOT'!$A$3,"KV%",$A14,"Experiment",D$5,"date",D$6)=0,NA(),GETPIVOTDATA("ITL",'ITL-PIVOT'!$A$3,"KV%",$A14,"Experiment",D$5,"date",D$6))</f>
        <v>#N/A</v>
      </c>
      <c r="E14" t="e">
        <f>IF(GETPIVOTDATA("ITL",'ITL-PIVOT'!$A$3,"KV%",$A14,"Experiment",E$5,"date",E$6)=0,NA(),GETPIVOTDATA("ITL",'ITL-PIVOT'!$A$3,"KV%",$A14,"Experiment",E$5,"date",E$6))</f>
        <v>#N/A</v>
      </c>
      <c r="F14">
        <f>IF(GETPIVOTDATA("ITL",'ITL-PIVOT'!$A$3,"KV%",$A14,"Experiment",F$5,"date",F$6)=0,NA(),GETPIVOTDATA("ITL",'ITL-PIVOT'!$A$3,"KV%",$A14,"Experiment",F$5,"date",F$6))</f>
        <v>9.6372250619072009E-3</v>
      </c>
      <c r="G14" t="e">
        <f>IF(GETPIVOTDATA("ITL",'ITL-PIVOT'!$A$3,"KV%",$A14,"Experiment",G$5,"date",G$6)=0,NA(),GETPIVOTDATA("ITL",'ITL-PIVOT'!$A$3,"KV%",$A14,"Experiment",G$5,"date",G$6))</f>
        <v>#N/A</v>
      </c>
      <c r="H14" t="e">
        <f>IF(GETPIVOTDATA("ITL",'ITL-PIVOT'!$A$3,"KV%",$A14,"Experiment",H$5,"date",H$6)=0,NA(),GETPIVOTDATA("ITL",'ITL-PIVOT'!$A$3,"KV%",$A14,"Experiment",H$5,"date",H$6))</f>
        <v>#N/A</v>
      </c>
      <c r="I14" t="e">
        <f>IF(GETPIVOTDATA("ITL",'ITL-PIVOT'!$A$3,"KV%",$A14,"Experiment",I$5,"date",I$6)=0,NA(),GETPIVOTDATA("ITL",'ITL-PIVOT'!$A$3,"KV%",$A14,"Experiment",I$5,"date",I$6))</f>
        <v>#N/A</v>
      </c>
      <c r="J14" t="e">
        <f>IF(GETPIVOTDATA("ITL",'ITL-PIVOT'!$A$3,"KV%",$A14,"Experiment",J$5,"date",J$6)=0,NA(),GETPIVOTDATA("ITL",'ITL-PIVOT'!$A$3,"KV%",$A14,"Experiment",J$5,"date",J$6))</f>
        <v>#N/A</v>
      </c>
      <c r="K14" t="e">
        <f>IF(GETPIVOTDATA("ITL",'ITL-PIVOT'!$A$3,"KV%",$A14,"Experiment",K$5,"date",K$6)=0,NA(),GETPIVOTDATA("ITL",'ITL-PIVOT'!$A$3,"KV%",$A14,"Experiment",K$5,"date",K$6))</f>
        <v>#N/A</v>
      </c>
      <c r="L14" t="e">
        <f>IF(GETPIVOTDATA("ITL",'ITL-PIVOT'!$A$3,"KV%",$A14,"Experiment",L$5,"date",L$6)=0,NA(),GETPIVOTDATA("ITL",'ITL-PIVOT'!$A$3,"KV%",$A14,"Experiment",L$5,"date",L$6))</f>
        <v>#N/A</v>
      </c>
      <c r="M14" t="e">
        <f>IF(GETPIVOTDATA("ITL",'ITL-PIVOT'!$A$3,"KV%",$A14,"Experiment",M$5,"date",M$6)=0,NA(),GETPIVOTDATA("ITL",'ITL-PIVOT'!$A$3,"KV%",$A14,"Experiment",M$5,"date",M$6))</f>
        <v>#N/A</v>
      </c>
    </row>
    <row r="15" spans="1:13" x14ac:dyDescent="0.25">
      <c r="A15">
        <f>IF('ITL-PIVOT'!A13=0,NA(),'ITL-PIVOT'!A13)</f>
        <v>3.1234376346866644E-2</v>
      </c>
      <c r="B15" t="e">
        <f>IF(GETPIVOTDATA("ITL",'ITL-PIVOT'!$A$3,"KV%",$A15,"Experiment",B$5,"date",B$6)=0,NA(),GETPIVOTDATA("ITL",'ITL-PIVOT'!$A$3,"KV%",$A15,"Experiment",B$5,"date",B$6))</f>
        <v>#N/A</v>
      </c>
      <c r="C15" t="e">
        <f>IF(GETPIVOTDATA("ITL",'ITL-PIVOT'!$A$3,"KV%",$A15,"Experiment",C$5,"date",C$6)=0,NA(),GETPIVOTDATA("ITL",'ITL-PIVOT'!$A$3,"KV%",$A15,"Experiment",C$5,"date",C$6))</f>
        <v>#N/A</v>
      </c>
      <c r="D15" t="e">
        <f>IF(GETPIVOTDATA("ITL",'ITL-PIVOT'!$A$3,"KV%",$A15,"Experiment",D$5,"date",D$6)=0,NA(),GETPIVOTDATA("ITL",'ITL-PIVOT'!$A$3,"KV%",$A15,"Experiment",D$5,"date",D$6))</f>
        <v>#N/A</v>
      </c>
      <c r="E15">
        <f>IF(GETPIVOTDATA("ITL",'ITL-PIVOT'!$A$3,"KV%",$A15,"Experiment",E$5,"date",E$6)=0,NA(),GETPIVOTDATA("ITL",'ITL-PIVOT'!$A$3,"KV%",$A15,"Experiment",E$5,"date",E$6))</f>
        <v>9.6815497098528564E-3</v>
      </c>
      <c r="F15" t="e">
        <f>IF(GETPIVOTDATA("ITL",'ITL-PIVOT'!$A$3,"KV%",$A15,"Experiment",F$5,"date",F$6)=0,NA(),GETPIVOTDATA("ITL",'ITL-PIVOT'!$A$3,"KV%",$A15,"Experiment",F$5,"date",F$6))</f>
        <v>#N/A</v>
      </c>
      <c r="G15" t="e">
        <f>IF(GETPIVOTDATA("ITL",'ITL-PIVOT'!$A$3,"KV%",$A15,"Experiment",G$5,"date",G$6)=0,NA(),GETPIVOTDATA("ITL",'ITL-PIVOT'!$A$3,"KV%",$A15,"Experiment",G$5,"date",G$6))</f>
        <v>#N/A</v>
      </c>
      <c r="H15" t="e">
        <f>IF(GETPIVOTDATA("ITL",'ITL-PIVOT'!$A$3,"KV%",$A15,"Experiment",H$5,"date",H$6)=0,NA(),GETPIVOTDATA("ITL",'ITL-PIVOT'!$A$3,"KV%",$A15,"Experiment",H$5,"date",H$6))</f>
        <v>#N/A</v>
      </c>
      <c r="I15" t="e">
        <f>IF(GETPIVOTDATA("ITL",'ITL-PIVOT'!$A$3,"KV%",$A15,"Experiment",I$5,"date",I$6)=0,NA(),GETPIVOTDATA("ITL",'ITL-PIVOT'!$A$3,"KV%",$A15,"Experiment",I$5,"date",I$6))</f>
        <v>#N/A</v>
      </c>
      <c r="J15" t="e">
        <f>IF(GETPIVOTDATA("ITL",'ITL-PIVOT'!$A$3,"KV%",$A15,"Experiment",J$5,"date",J$6)=0,NA(),GETPIVOTDATA("ITL",'ITL-PIVOT'!$A$3,"KV%",$A15,"Experiment",J$5,"date",J$6))</f>
        <v>#N/A</v>
      </c>
      <c r="K15" t="e">
        <f>IF(GETPIVOTDATA("ITL",'ITL-PIVOT'!$A$3,"KV%",$A15,"Experiment",K$5,"date",K$6)=0,NA(),GETPIVOTDATA("ITL",'ITL-PIVOT'!$A$3,"KV%",$A15,"Experiment",K$5,"date",K$6))</f>
        <v>#N/A</v>
      </c>
      <c r="L15" t="e">
        <f>IF(GETPIVOTDATA("ITL",'ITL-PIVOT'!$A$3,"KV%",$A15,"Experiment",L$5,"date",L$6)=0,NA(),GETPIVOTDATA("ITL",'ITL-PIVOT'!$A$3,"KV%",$A15,"Experiment",L$5,"date",L$6))</f>
        <v>#N/A</v>
      </c>
      <c r="M15" t="e">
        <f>IF(GETPIVOTDATA("ITL",'ITL-PIVOT'!$A$3,"KV%",$A15,"Experiment",M$5,"date",M$6)=0,NA(),GETPIVOTDATA("ITL",'ITL-PIVOT'!$A$3,"KV%",$A15,"Experiment",M$5,"date",M$6))</f>
        <v>#N/A</v>
      </c>
    </row>
    <row r="16" spans="1:13" x14ac:dyDescent="0.25">
      <c r="A16">
        <f>IF('ITL-PIVOT'!A14=0,NA(),'ITL-PIVOT'!A14)</f>
        <v>3.5640373294391452E-2</v>
      </c>
      <c r="B16" t="e">
        <f>IF(GETPIVOTDATA("ITL",'ITL-PIVOT'!$A$3,"KV%",$A16,"Experiment",B$5,"date",B$6)=0,NA(),GETPIVOTDATA("ITL",'ITL-PIVOT'!$A$3,"KV%",$A16,"Experiment",B$5,"date",B$6))</f>
        <v>#N/A</v>
      </c>
      <c r="C16">
        <f>IF(GETPIVOTDATA("ITL",'ITL-PIVOT'!$A$3,"KV%",$A16,"Experiment",C$5,"date",C$6)=0,NA(),GETPIVOTDATA("ITL",'ITL-PIVOT'!$A$3,"KV%",$A16,"Experiment",C$5,"date",C$6))</f>
        <v>8.0706952791960666E-3</v>
      </c>
      <c r="D16" t="e">
        <f>IF(GETPIVOTDATA("ITL",'ITL-PIVOT'!$A$3,"KV%",$A16,"Experiment",D$5,"date",D$6)=0,NA(),GETPIVOTDATA("ITL",'ITL-PIVOT'!$A$3,"KV%",$A16,"Experiment",D$5,"date",D$6))</f>
        <v>#N/A</v>
      </c>
      <c r="E16" t="e">
        <f>IF(GETPIVOTDATA("ITL",'ITL-PIVOT'!$A$3,"KV%",$A16,"Experiment",E$5,"date",E$6)=0,NA(),GETPIVOTDATA("ITL",'ITL-PIVOT'!$A$3,"KV%",$A16,"Experiment",E$5,"date",E$6))</f>
        <v>#N/A</v>
      </c>
      <c r="F16" t="e">
        <f>IF(GETPIVOTDATA("ITL",'ITL-PIVOT'!$A$3,"KV%",$A16,"Experiment",F$5,"date",F$6)=0,NA(),GETPIVOTDATA("ITL",'ITL-PIVOT'!$A$3,"KV%",$A16,"Experiment",F$5,"date",F$6))</f>
        <v>#N/A</v>
      </c>
      <c r="G16" t="e">
        <f>IF(GETPIVOTDATA("ITL",'ITL-PIVOT'!$A$3,"KV%",$A16,"Experiment",G$5,"date",G$6)=0,NA(),GETPIVOTDATA("ITL",'ITL-PIVOT'!$A$3,"KV%",$A16,"Experiment",G$5,"date",G$6))</f>
        <v>#N/A</v>
      </c>
      <c r="H16" t="e">
        <f>IF(GETPIVOTDATA("ITL",'ITL-PIVOT'!$A$3,"KV%",$A16,"Experiment",H$5,"date",H$6)=0,NA(),GETPIVOTDATA("ITL",'ITL-PIVOT'!$A$3,"KV%",$A16,"Experiment",H$5,"date",H$6))</f>
        <v>#N/A</v>
      </c>
      <c r="I16" t="e">
        <f>IF(GETPIVOTDATA("ITL",'ITL-PIVOT'!$A$3,"KV%",$A16,"Experiment",I$5,"date",I$6)=0,NA(),GETPIVOTDATA("ITL",'ITL-PIVOT'!$A$3,"KV%",$A16,"Experiment",I$5,"date",I$6))</f>
        <v>#N/A</v>
      </c>
      <c r="J16" t="e">
        <f>IF(GETPIVOTDATA("ITL",'ITL-PIVOT'!$A$3,"KV%",$A16,"Experiment",J$5,"date",J$6)=0,NA(),GETPIVOTDATA("ITL",'ITL-PIVOT'!$A$3,"KV%",$A16,"Experiment",J$5,"date",J$6))</f>
        <v>#N/A</v>
      </c>
      <c r="K16" t="e">
        <f>IF(GETPIVOTDATA("ITL",'ITL-PIVOT'!$A$3,"KV%",$A16,"Experiment",K$5,"date",K$6)=0,NA(),GETPIVOTDATA("ITL",'ITL-PIVOT'!$A$3,"KV%",$A16,"Experiment",K$5,"date",K$6))</f>
        <v>#N/A</v>
      </c>
      <c r="L16" t="e">
        <f>IF(GETPIVOTDATA("ITL",'ITL-PIVOT'!$A$3,"KV%",$A16,"Experiment",L$5,"date",L$6)=0,NA(),GETPIVOTDATA("ITL",'ITL-PIVOT'!$A$3,"KV%",$A16,"Experiment",L$5,"date",L$6))</f>
        <v>#N/A</v>
      </c>
      <c r="M16" t="e">
        <f>IF(GETPIVOTDATA("ITL",'ITL-PIVOT'!$A$3,"KV%",$A16,"Experiment",M$5,"date",M$6)=0,NA(),GETPIVOTDATA("ITL",'ITL-PIVOT'!$A$3,"KV%",$A16,"Experiment",M$5,"date",M$6))</f>
        <v>#N/A</v>
      </c>
    </row>
    <row r="17" spans="1:13" x14ac:dyDescent="0.25">
      <c r="A17">
        <f>IF('ITL-PIVOT'!A15=0,NA(),'ITL-PIVOT'!A15)</f>
        <v>3.6869666408068269E-2</v>
      </c>
      <c r="B17">
        <f>IF(GETPIVOTDATA("ITL",'ITL-PIVOT'!$A$3,"KV%",$A17,"Experiment",B$5,"date",B$6)=0,NA(),GETPIVOTDATA("ITL",'ITL-PIVOT'!$A$3,"KV%",$A17,"Experiment",B$5,"date",B$6))</f>
        <v>8.1016796352175388E-3</v>
      </c>
      <c r="C17" t="e">
        <f>IF(GETPIVOTDATA("ITL",'ITL-PIVOT'!$A$3,"KV%",$A17,"Experiment",C$5,"date",C$6)=0,NA(),GETPIVOTDATA("ITL",'ITL-PIVOT'!$A$3,"KV%",$A17,"Experiment",C$5,"date",C$6))</f>
        <v>#N/A</v>
      </c>
      <c r="D17" t="e">
        <f>IF(GETPIVOTDATA("ITL",'ITL-PIVOT'!$A$3,"KV%",$A17,"Experiment",D$5,"date",D$6)=0,NA(),GETPIVOTDATA("ITL",'ITL-PIVOT'!$A$3,"KV%",$A17,"Experiment",D$5,"date",D$6))</f>
        <v>#N/A</v>
      </c>
      <c r="E17" t="e">
        <f>IF(GETPIVOTDATA("ITL",'ITL-PIVOT'!$A$3,"KV%",$A17,"Experiment",E$5,"date",E$6)=0,NA(),GETPIVOTDATA("ITL",'ITL-PIVOT'!$A$3,"KV%",$A17,"Experiment",E$5,"date",E$6))</f>
        <v>#N/A</v>
      </c>
      <c r="F17" t="e">
        <f>IF(GETPIVOTDATA("ITL",'ITL-PIVOT'!$A$3,"KV%",$A17,"Experiment",F$5,"date",F$6)=0,NA(),GETPIVOTDATA("ITL",'ITL-PIVOT'!$A$3,"KV%",$A17,"Experiment",F$5,"date",F$6))</f>
        <v>#N/A</v>
      </c>
      <c r="G17" t="e">
        <f>IF(GETPIVOTDATA("ITL",'ITL-PIVOT'!$A$3,"KV%",$A17,"Experiment",G$5,"date",G$6)=0,NA(),GETPIVOTDATA("ITL",'ITL-PIVOT'!$A$3,"KV%",$A17,"Experiment",G$5,"date",G$6))</f>
        <v>#N/A</v>
      </c>
      <c r="H17" t="e">
        <f>IF(GETPIVOTDATA("ITL",'ITL-PIVOT'!$A$3,"KV%",$A17,"Experiment",H$5,"date",H$6)=0,NA(),GETPIVOTDATA("ITL",'ITL-PIVOT'!$A$3,"KV%",$A17,"Experiment",H$5,"date",H$6))</f>
        <v>#N/A</v>
      </c>
      <c r="I17" t="e">
        <f>IF(GETPIVOTDATA("ITL",'ITL-PIVOT'!$A$3,"KV%",$A17,"Experiment",I$5,"date",I$6)=0,NA(),GETPIVOTDATA("ITL",'ITL-PIVOT'!$A$3,"KV%",$A17,"Experiment",I$5,"date",I$6))</f>
        <v>#N/A</v>
      </c>
      <c r="J17" t="e">
        <f>IF(GETPIVOTDATA("ITL",'ITL-PIVOT'!$A$3,"KV%",$A17,"Experiment",J$5,"date",J$6)=0,NA(),GETPIVOTDATA("ITL",'ITL-PIVOT'!$A$3,"KV%",$A17,"Experiment",J$5,"date",J$6))</f>
        <v>#N/A</v>
      </c>
      <c r="K17" t="e">
        <f>IF(GETPIVOTDATA("ITL",'ITL-PIVOT'!$A$3,"KV%",$A17,"Experiment",K$5,"date",K$6)=0,NA(),GETPIVOTDATA("ITL",'ITL-PIVOT'!$A$3,"KV%",$A17,"Experiment",K$5,"date",K$6))</f>
        <v>#N/A</v>
      </c>
      <c r="L17" t="e">
        <f>IF(GETPIVOTDATA("ITL",'ITL-PIVOT'!$A$3,"KV%",$A17,"Experiment",L$5,"date",L$6)=0,NA(),GETPIVOTDATA("ITL",'ITL-PIVOT'!$A$3,"KV%",$A17,"Experiment",L$5,"date",L$6))</f>
        <v>#N/A</v>
      </c>
      <c r="M17" t="e">
        <f>IF(GETPIVOTDATA("ITL",'ITL-PIVOT'!$A$3,"KV%",$A17,"Experiment",M$5,"date",M$6)=0,NA(),GETPIVOTDATA("ITL",'ITL-PIVOT'!$A$3,"KV%",$A17,"Experiment",M$5,"date",M$6))</f>
        <v>#N/A</v>
      </c>
    </row>
    <row r="18" spans="1:13" x14ac:dyDescent="0.25">
      <c r="A18">
        <f>IF('ITL-PIVOT'!A16=0,NA(),'ITL-PIVOT'!A16)</f>
        <v>3.9849347419340118E-2</v>
      </c>
      <c r="B18" t="e">
        <f>IF(GETPIVOTDATA("ITL",'ITL-PIVOT'!$A$3,"KV%",$A18,"Experiment",B$5,"date",B$6)=0,NA(),GETPIVOTDATA("ITL",'ITL-PIVOT'!$A$3,"KV%",$A18,"Experiment",B$5,"date",B$6))</f>
        <v>#N/A</v>
      </c>
      <c r="C18">
        <f>IF(GETPIVOTDATA("ITL",'ITL-PIVOT'!$A$3,"KV%",$A18,"Experiment",C$5,"date",C$6)=0,NA(),GETPIVOTDATA("ITL",'ITL-PIVOT'!$A$3,"KV%",$A18,"Experiment",C$5,"date",C$6))</f>
        <v>8.2483981479025952E-3</v>
      </c>
      <c r="D18" t="e">
        <f>IF(GETPIVOTDATA("ITL",'ITL-PIVOT'!$A$3,"KV%",$A18,"Experiment",D$5,"date",D$6)=0,NA(),GETPIVOTDATA("ITL",'ITL-PIVOT'!$A$3,"KV%",$A18,"Experiment",D$5,"date",D$6))</f>
        <v>#N/A</v>
      </c>
      <c r="E18" t="e">
        <f>IF(GETPIVOTDATA("ITL",'ITL-PIVOT'!$A$3,"KV%",$A18,"Experiment",E$5,"date",E$6)=0,NA(),GETPIVOTDATA("ITL",'ITL-PIVOT'!$A$3,"KV%",$A18,"Experiment",E$5,"date",E$6))</f>
        <v>#N/A</v>
      </c>
      <c r="F18" t="e">
        <f>IF(GETPIVOTDATA("ITL",'ITL-PIVOT'!$A$3,"KV%",$A18,"Experiment",F$5,"date",F$6)=0,NA(),GETPIVOTDATA("ITL",'ITL-PIVOT'!$A$3,"KV%",$A18,"Experiment",F$5,"date",F$6))</f>
        <v>#N/A</v>
      </c>
      <c r="G18" t="e">
        <f>IF(GETPIVOTDATA("ITL",'ITL-PIVOT'!$A$3,"KV%",$A18,"Experiment",G$5,"date",G$6)=0,NA(),GETPIVOTDATA("ITL",'ITL-PIVOT'!$A$3,"KV%",$A18,"Experiment",G$5,"date",G$6))</f>
        <v>#N/A</v>
      </c>
      <c r="H18" t="e">
        <f>IF(GETPIVOTDATA("ITL",'ITL-PIVOT'!$A$3,"KV%",$A18,"Experiment",H$5,"date",H$6)=0,NA(),GETPIVOTDATA("ITL",'ITL-PIVOT'!$A$3,"KV%",$A18,"Experiment",H$5,"date",H$6))</f>
        <v>#N/A</v>
      </c>
      <c r="I18" t="e">
        <f>IF(GETPIVOTDATA("ITL",'ITL-PIVOT'!$A$3,"KV%",$A18,"Experiment",I$5,"date",I$6)=0,NA(),GETPIVOTDATA("ITL",'ITL-PIVOT'!$A$3,"KV%",$A18,"Experiment",I$5,"date",I$6))</f>
        <v>#N/A</v>
      </c>
      <c r="J18" t="e">
        <f>IF(GETPIVOTDATA("ITL",'ITL-PIVOT'!$A$3,"KV%",$A18,"Experiment",J$5,"date",J$6)=0,NA(),GETPIVOTDATA("ITL",'ITL-PIVOT'!$A$3,"KV%",$A18,"Experiment",J$5,"date",J$6))</f>
        <v>#N/A</v>
      </c>
      <c r="K18" t="e">
        <f>IF(GETPIVOTDATA("ITL",'ITL-PIVOT'!$A$3,"KV%",$A18,"Experiment",K$5,"date",K$6)=0,NA(),GETPIVOTDATA("ITL",'ITL-PIVOT'!$A$3,"KV%",$A18,"Experiment",K$5,"date",K$6))</f>
        <v>#N/A</v>
      </c>
      <c r="L18" t="e">
        <f>IF(GETPIVOTDATA("ITL",'ITL-PIVOT'!$A$3,"KV%",$A18,"Experiment",L$5,"date",L$6)=0,NA(),GETPIVOTDATA("ITL",'ITL-PIVOT'!$A$3,"KV%",$A18,"Experiment",L$5,"date",L$6))</f>
        <v>#N/A</v>
      </c>
      <c r="M18" t="e">
        <f>IF(GETPIVOTDATA("ITL",'ITL-PIVOT'!$A$3,"KV%",$A18,"Experiment",M$5,"date",M$6)=0,NA(),GETPIVOTDATA("ITL",'ITL-PIVOT'!$A$3,"KV%",$A18,"Experiment",M$5,"date",M$6))</f>
        <v>#N/A</v>
      </c>
    </row>
    <row r="19" spans="1:13" x14ac:dyDescent="0.25">
      <c r="A19">
        <f>IF('ITL-PIVOT'!A17=0,NA(),'ITL-PIVOT'!A17)</f>
        <v>4.1308812120658976E-2</v>
      </c>
      <c r="B19" t="e">
        <f>IF(GETPIVOTDATA("ITL",'ITL-PIVOT'!$A$3,"KV%",$A19,"Experiment",B$5,"date",B$6)=0,NA(),GETPIVOTDATA("ITL",'ITL-PIVOT'!$A$3,"KV%",$A19,"Experiment",B$5,"date",B$6))</f>
        <v>#N/A</v>
      </c>
      <c r="C19" t="e">
        <f>IF(GETPIVOTDATA("ITL",'ITL-PIVOT'!$A$3,"KV%",$A19,"Experiment",C$5,"date",C$6)=0,NA(),GETPIVOTDATA("ITL",'ITL-PIVOT'!$A$3,"KV%",$A19,"Experiment",C$5,"date",C$6))</f>
        <v>#N/A</v>
      </c>
      <c r="D19">
        <f>IF(GETPIVOTDATA("ITL",'ITL-PIVOT'!$A$3,"KV%",$A19,"Experiment",D$5,"date",D$6)=0,NA(),GETPIVOTDATA("ITL",'ITL-PIVOT'!$A$3,"KV%",$A19,"Experiment",D$5,"date",D$6))</f>
        <v>9.0757148595714369E-3</v>
      </c>
      <c r="E19" t="e">
        <f>IF(GETPIVOTDATA("ITL",'ITL-PIVOT'!$A$3,"KV%",$A19,"Experiment",E$5,"date",E$6)=0,NA(),GETPIVOTDATA("ITL",'ITL-PIVOT'!$A$3,"KV%",$A19,"Experiment",E$5,"date",E$6))</f>
        <v>#N/A</v>
      </c>
      <c r="F19" t="e">
        <f>IF(GETPIVOTDATA("ITL",'ITL-PIVOT'!$A$3,"KV%",$A19,"Experiment",F$5,"date",F$6)=0,NA(),GETPIVOTDATA("ITL",'ITL-PIVOT'!$A$3,"KV%",$A19,"Experiment",F$5,"date",F$6))</f>
        <v>#N/A</v>
      </c>
      <c r="G19" t="e">
        <f>IF(GETPIVOTDATA("ITL",'ITL-PIVOT'!$A$3,"KV%",$A19,"Experiment",G$5,"date",G$6)=0,NA(),GETPIVOTDATA("ITL",'ITL-PIVOT'!$A$3,"KV%",$A19,"Experiment",G$5,"date",G$6))</f>
        <v>#N/A</v>
      </c>
      <c r="H19" t="e">
        <f>IF(GETPIVOTDATA("ITL",'ITL-PIVOT'!$A$3,"KV%",$A19,"Experiment",H$5,"date",H$6)=0,NA(),GETPIVOTDATA("ITL",'ITL-PIVOT'!$A$3,"KV%",$A19,"Experiment",H$5,"date",H$6))</f>
        <v>#N/A</v>
      </c>
      <c r="I19" t="e">
        <f>IF(GETPIVOTDATA("ITL",'ITL-PIVOT'!$A$3,"KV%",$A19,"Experiment",I$5,"date",I$6)=0,NA(),GETPIVOTDATA("ITL",'ITL-PIVOT'!$A$3,"KV%",$A19,"Experiment",I$5,"date",I$6))</f>
        <v>#N/A</v>
      </c>
      <c r="J19" t="e">
        <f>IF(GETPIVOTDATA("ITL",'ITL-PIVOT'!$A$3,"KV%",$A19,"Experiment",J$5,"date",J$6)=0,NA(),GETPIVOTDATA("ITL",'ITL-PIVOT'!$A$3,"KV%",$A19,"Experiment",J$5,"date",J$6))</f>
        <v>#N/A</v>
      </c>
      <c r="K19" t="e">
        <f>IF(GETPIVOTDATA("ITL",'ITL-PIVOT'!$A$3,"KV%",$A19,"Experiment",K$5,"date",K$6)=0,NA(),GETPIVOTDATA("ITL",'ITL-PIVOT'!$A$3,"KV%",$A19,"Experiment",K$5,"date",K$6))</f>
        <v>#N/A</v>
      </c>
      <c r="L19" t="e">
        <f>IF(GETPIVOTDATA("ITL",'ITL-PIVOT'!$A$3,"KV%",$A19,"Experiment",L$5,"date",L$6)=0,NA(),GETPIVOTDATA("ITL",'ITL-PIVOT'!$A$3,"KV%",$A19,"Experiment",L$5,"date",L$6))</f>
        <v>#N/A</v>
      </c>
      <c r="M19" t="e">
        <f>IF(GETPIVOTDATA("ITL",'ITL-PIVOT'!$A$3,"KV%",$A19,"Experiment",M$5,"date",M$6)=0,NA(),GETPIVOTDATA("ITL",'ITL-PIVOT'!$A$3,"KV%",$A19,"Experiment",M$5,"date",M$6))</f>
        <v>#N/A</v>
      </c>
    </row>
    <row r="20" spans="1:13" x14ac:dyDescent="0.25">
      <c r="A20">
        <f>IF('ITL-PIVOT'!A18=0,NA(),'ITL-PIVOT'!A18)</f>
        <v>4.4642703215240054E-2</v>
      </c>
      <c r="B20" t="e">
        <f>IF(GETPIVOTDATA("ITL",'ITL-PIVOT'!$A$3,"KV%",$A20,"Experiment",B$5,"date",B$6)=0,NA(),GETPIVOTDATA("ITL",'ITL-PIVOT'!$A$3,"KV%",$A20,"Experiment",B$5,"date",B$6))</f>
        <v>#N/A</v>
      </c>
      <c r="C20" t="e">
        <f>IF(GETPIVOTDATA("ITL",'ITL-PIVOT'!$A$3,"KV%",$A20,"Experiment",C$5,"date",C$6)=0,NA(),GETPIVOTDATA("ITL",'ITL-PIVOT'!$A$3,"KV%",$A20,"Experiment",C$5,"date",C$6))</f>
        <v>#N/A</v>
      </c>
      <c r="D20" t="e">
        <f>IF(GETPIVOTDATA("ITL",'ITL-PIVOT'!$A$3,"KV%",$A20,"Experiment",D$5,"date",D$6)=0,NA(),GETPIVOTDATA("ITL",'ITL-PIVOT'!$A$3,"KV%",$A20,"Experiment",D$5,"date",D$6))</f>
        <v>#N/A</v>
      </c>
      <c r="E20" t="e">
        <f>IF(GETPIVOTDATA("ITL",'ITL-PIVOT'!$A$3,"KV%",$A20,"Experiment",E$5,"date",E$6)=0,NA(),GETPIVOTDATA("ITL",'ITL-PIVOT'!$A$3,"KV%",$A20,"Experiment",E$5,"date",E$6))</f>
        <v>#N/A</v>
      </c>
      <c r="F20" t="e">
        <f>IF(GETPIVOTDATA("ITL",'ITL-PIVOT'!$A$3,"KV%",$A20,"Experiment",F$5,"date",F$6)=0,NA(),GETPIVOTDATA("ITL",'ITL-PIVOT'!$A$3,"KV%",$A20,"Experiment",F$5,"date",F$6))</f>
        <v>#N/A</v>
      </c>
      <c r="G20" t="e">
        <f>IF(GETPIVOTDATA("ITL",'ITL-PIVOT'!$A$3,"KV%",$A20,"Experiment",G$5,"date",G$6)=0,NA(),GETPIVOTDATA("ITL",'ITL-PIVOT'!$A$3,"KV%",$A20,"Experiment",G$5,"date",G$6))</f>
        <v>#N/A</v>
      </c>
      <c r="H20" t="e">
        <f>IF(GETPIVOTDATA("ITL",'ITL-PIVOT'!$A$3,"KV%",$A20,"Experiment",H$5,"date",H$6)=0,NA(),GETPIVOTDATA("ITL",'ITL-PIVOT'!$A$3,"KV%",$A20,"Experiment",H$5,"date",H$6))</f>
        <v>#N/A</v>
      </c>
      <c r="I20" t="e">
        <f>IF(GETPIVOTDATA("ITL",'ITL-PIVOT'!$A$3,"KV%",$A20,"Experiment",I$5,"date",I$6)=0,NA(),GETPIVOTDATA("ITL",'ITL-PIVOT'!$A$3,"KV%",$A20,"Experiment",I$5,"date",I$6))</f>
        <v>#N/A</v>
      </c>
      <c r="J20" t="e">
        <f>IF(GETPIVOTDATA("ITL",'ITL-PIVOT'!$A$3,"KV%",$A20,"Experiment",J$5,"date",J$6)=0,NA(),GETPIVOTDATA("ITL",'ITL-PIVOT'!$A$3,"KV%",$A20,"Experiment",J$5,"date",J$6))</f>
        <v>#N/A</v>
      </c>
      <c r="K20" t="e">
        <f>IF(GETPIVOTDATA("ITL",'ITL-PIVOT'!$A$3,"KV%",$A20,"Experiment",K$5,"date",K$6)=0,NA(),GETPIVOTDATA("ITL",'ITL-PIVOT'!$A$3,"KV%",$A20,"Experiment",K$5,"date",K$6))</f>
        <v>#N/A</v>
      </c>
      <c r="L20" t="e">
        <f>IF(GETPIVOTDATA("ITL",'ITL-PIVOT'!$A$3,"KV%",$A20,"Experiment",L$5,"date",L$6)=0,NA(),GETPIVOTDATA("ITL",'ITL-PIVOT'!$A$3,"KV%",$A20,"Experiment",L$5,"date",L$6))</f>
        <v>#N/A</v>
      </c>
      <c r="M20">
        <f>IF(GETPIVOTDATA("ITL",'ITL-PIVOT'!$A$3,"KV%",$A20,"Experiment",M$5,"date",M$6)=0,NA(),GETPIVOTDATA("ITL",'ITL-PIVOT'!$A$3,"KV%",$A20,"Experiment",M$5,"date",M$6))</f>
        <v>1.1061016764952936E-2</v>
      </c>
    </row>
    <row r="21" spans="1:13" x14ac:dyDescent="0.25">
      <c r="A21">
        <f>IF('ITL-PIVOT'!A19=0,NA(),'ITL-PIVOT'!A19)</f>
        <v>4.6332212740281015E-2</v>
      </c>
      <c r="B21" t="e">
        <f>IF(GETPIVOTDATA("ITL",'ITL-PIVOT'!$A$3,"KV%",$A21,"Experiment",B$5,"date",B$6)=0,NA(),GETPIVOTDATA("ITL",'ITL-PIVOT'!$A$3,"KV%",$A21,"Experiment",B$5,"date",B$6))</f>
        <v>#N/A</v>
      </c>
      <c r="C21" t="e">
        <f>IF(GETPIVOTDATA("ITL",'ITL-PIVOT'!$A$3,"KV%",$A21,"Experiment",C$5,"date",C$6)=0,NA(),GETPIVOTDATA("ITL",'ITL-PIVOT'!$A$3,"KV%",$A21,"Experiment",C$5,"date",C$6))</f>
        <v>#N/A</v>
      </c>
      <c r="D21" t="e">
        <f>IF(GETPIVOTDATA("ITL",'ITL-PIVOT'!$A$3,"KV%",$A21,"Experiment",D$5,"date",D$6)=0,NA(),GETPIVOTDATA("ITL",'ITL-PIVOT'!$A$3,"KV%",$A21,"Experiment",D$5,"date",D$6))</f>
        <v>#N/A</v>
      </c>
      <c r="E21" t="e">
        <f>IF(GETPIVOTDATA("ITL",'ITL-PIVOT'!$A$3,"KV%",$A21,"Experiment",E$5,"date",E$6)=0,NA(),GETPIVOTDATA("ITL",'ITL-PIVOT'!$A$3,"KV%",$A21,"Experiment",E$5,"date",E$6))</f>
        <v>#N/A</v>
      </c>
      <c r="F21" t="e">
        <f>IF(GETPIVOTDATA("ITL",'ITL-PIVOT'!$A$3,"KV%",$A21,"Experiment",F$5,"date",F$6)=0,NA(),GETPIVOTDATA("ITL",'ITL-PIVOT'!$A$3,"KV%",$A21,"Experiment",F$5,"date",F$6))</f>
        <v>#N/A</v>
      </c>
      <c r="G21" t="e">
        <f>IF(GETPIVOTDATA("ITL",'ITL-PIVOT'!$A$3,"KV%",$A21,"Experiment",G$5,"date",G$6)=0,NA(),GETPIVOTDATA("ITL",'ITL-PIVOT'!$A$3,"KV%",$A21,"Experiment",G$5,"date",G$6))</f>
        <v>#N/A</v>
      </c>
      <c r="H21" t="e">
        <f>IF(GETPIVOTDATA("ITL",'ITL-PIVOT'!$A$3,"KV%",$A21,"Experiment",H$5,"date",H$6)=0,NA(),GETPIVOTDATA("ITL",'ITL-PIVOT'!$A$3,"KV%",$A21,"Experiment",H$5,"date",H$6))</f>
        <v>#N/A</v>
      </c>
      <c r="I21" t="e">
        <f>IF(GETPIVOTDATA("ITL",'ITL-PIVOT'!$A$3,"KV%",$A21,"Experiment",I$5,"date",I$6)=0,NA(),GETPIVOTDATA("ITL",'ITL-PIVOT'!$A$3,"KV%",$A21,"Experiment",I$5,"date",I$6))</f>
        <v>#N/A</v>
      </c>
      <c r="J21" t="e">
        <f>IF(GETPIVOTDATA("ITL",'ITL-PIVOT'!$A$3,"KV%",$A21,"Experiment",J$5,"date",J$6)=0,NA(),GETPIVOTDATA("ITL",'ITL-PIVOT'!$A$3,"KV%",$A21,"Experiment",J$5,"date",J$6))</f>
        <v>#N/A</v>
      </c>
      <c r="K21" t="e">
        <f>IF(GETPIVOTDATA("ITL",'ITL-PIVOT'!$A$3,"KV%",$A21,"Experiment",K$5,"date",K$6)=0,NA(),GETPIVOTDATA("ITL",'ITL-PIVOT'!$A$3,"KV%",$A21,"Experiment",K$5,"date",K$6))</f>
        <v>#N/A</v>
      </c>
      <c r="L21" t="e">
        <f>IF(GETPIVOTDATA("ITL",'ITL-PIVOT'!$A$3,"KV%",$A21,"Experiment",L$5,"date",L$6)=0,NA(),GETPIVOTDATA("ITL",'ITL-PIVOT'!$A$3,"KV%",$A21,"Experiment",L$5,"date",L$6))</f>
        <v>#N/A</v>
      </c>
      <c r="M21">
        <f>IF(GETPIVOTDATA("ITL",'ITL-PIVOT'!$A$3,"KV%",$A21,"Experiment",M$5,"date",M$6)=0,NA(),GETPIVOTDATA("ITL",'ITL-PIVOT'!$A$3,"KV%",$A21,"Experiment",M$5,"date",M$6))</f>
        <v>1.1654574736677229E-2</v>
      </c>
    </row>
    <row r="22" spans="1:13" x14ac:dyDescent="0.25">
      <c r="A22">
        <f>IF('ITL-PIVOT'!A20=0,NA(),'ITL-PIVOT'!A20)</f>
        <v>5.5009625606987904E-2</v>
      </c>
      <c r="B22" t="e">
        <f>IF(GETPIVOTDATA("ITL",'ITL-PIVOT'!$A$3,"KV%",$A22,"Experiment",B$5,"date",B$6)=0,NA(),GETPIVOTDATA("ITL",'ITL-PIVOT'!$A$3,"KV%",$A22,"Experiment",B$5,"date",B$6))</f>
        <v>#N/A</v>
      </c>
      <c r="C22" t="e">
        <f>IF(GETPIVOTDATA("ITL",'ITL-PIVOT'!$A$3,"KV%",$A22,"Experiment",C$5,"date",C$6)=0,NA(),GETPIVOTDATA("ITL",'ITL-PIVOT'!$A$3,"KV%",$A22,"Experiment",C$5,"date",C$6))</f>
        <v>#N/A</v>
      </c>
      <c r="D22" t="e">
        <f>IF(GETPIVOTDATA("ITL",'ITL-PIVOT'!$A$3,"KV%",$A22,"Experiment",D$5,"date",D$6)=0,NA(),GETPIVOTDATA("ITL",'ITL-PIVOT'!$A$3,"KV%",$A22,"Experiment",D$5,"date",D$6))</f>
        <v>#N/A</v>
      </c>
      <c r="E22" t="e">
        <f>IF(GETPIVOTDATA("ITL",'ITL-PIVOT'!$A$3,"KV%",$A22,"Experiment",E$5,"date",E$6)=0,NA(),GETPIVOTDATA("ITL",'ITL-PIVOT'!$A$3,"KV%",$A22,"Experiment",E$5,"date",E$6))</f>
        <v>#N/A</v>
      </c>
      <c r="F22" t="e">
        <f>IF(GETPIVOTDATA("ITL",'ITL-PIVOT'!$A$3,"KV%",$A22,"Experiment",F$5,"date",F$6)=0,NA(),GETPIVOTDATA("ITL",'ITL-PIVOT'!$A$3,"KV%",$A22,"Experiment",F$5,"date",F$6))</f>
        <v>#N/A</v>
      </c>
      <c r="G22" t="e">
        <f>IF(GETPIVOTDATA("ITL",'ITL-PIVOT'!$A$3,"KV%",$A22,"Experiment",G$5,"date",G$6)=0,NA(),GETPIVOTDATA("ITL",'ITL-PIVOT'!$A$3,"KV%",$A22,"Experiment",G$5,"date",G$6))</f>
        <v>#N/A</v>
      </c>
      <c r="H22" t="e">
        <f>IF(GETPIVOTDATA("ITL",'ITL-PIVOT'!$A$3,"KV%",$A22,"Experiment",H$5,"date",H$6)=0,NA(),GETPIVOTDATA("ITL",'ITL-PIVOT'!$A$3,"KV%",$A22,"Experiment",H$5,"date",H$6))</f>
        <v>#N/A</v>
      </c>
      <c r="I22" t="e">
        <f>IF(GETPIVOTDATA("ITL",'ITL-PIVOT'!$A$3,"KV%",$A22,"Experiment",I$5,"date",I$6)=0,NA(),GETPIVOTDATA("ITL",'ITL-PIVOT'!$A$3,"KV%",$A22,"Experiment",I$5,"date",I$6))</f>
        <v>#N/A</v>
      </c>
      <c r="J22" t="e">
        <f>IF(GETPIVOTDATA("ITL",'ITL-PIVOT'!$A$3,"KV%",$A22,"Experiment",J$5,"date",J$6)=0,NA(),GETPIVOTDATA("ITL",'ITL-PIVOT'!$A$3,"KV%",$A22,"Experiment",J$5,"date",J$6))</f>
        <v>#N/A</v>
      </c>
      <c r="K22" t="e">
        <f>IF(GETPIVOTDATA("ITL",'ITL-PIVOT'!$A$3,"KV%",$A22,"Experiment",K$5,"date",K$6)=0,NA(),GETPIVOTDATA("ITL",'ITL-PIVOT'!$A$3,"KV%",$A22,"Experiment",K$5,"date",K$6))</f>
        <v>#N/A</v>
      </c>
      <c r="L22" t="e">
        <f>IF(GETPIVOTDATA("ITL",'ITL-PIVOT'!$A$3,"KV%",$A22,"Experiment",L$5,"date",L$6)=0,NA(),GETPIVOTDATA("ITL",'ITL-PIVOT'!$A$3,"KV%",$A22,"Experiment",L$5,"date",L$6))</f>
        <v>#N/A</v>
      </c>
      <c r="M22">
        <f>IF(GETPIVOTDATA("ITL",'ITL-PIVOT'!$A$3,"KV%",$A22,"Experiment",M$5,"date",M$6)=0,NA(),GETPIVOTDATA("ITL",'ITL-PIVOT'!$A$3,"KV%",$A22,"Experiment",M$5,"date",M$6))</f>
        <v>1.8346191558481693E-2</v>
      </c>
    </row>
    <row r="23" spans="1:13" x14ac:dyDescent="0.25">
      <c r="A23">
        <f>IF('ITL-PIVOT'!A21=0,NA(),'ITL-PIVOT'!A21)</f>
        <v>5.5108173991085967E-2</v>
      </c>
      <c r="B23" t="e">
        <f>IF(GETPIVOTDATA("ITL",'ITL-PIVOT'!$A$3,"KV%",$A23,"Experiment",B$5,"date",B$6)=0,NA(),GETPIVOTDATA("ITL",'ITL-PIVOT'!$A$3,"KV%",$A23,"Experiment",B$5,"date",B$6))</f>
        <v>#N/A</v>
      </c>
      <c r="C23">
        <f>IF(GETPIVOTDATA("ITL",'ITL-PIVOT'!$A$3,"KV%",$A23,"Experiment",C$5,"date",C$6)=0,NA(),GETPIVOTDATA("ITL",'ITL-PIVOT'!$A$3,"KV%",$A23,"Experiment",C$5,"date",C$6))</f>
        <v>9.0297684207135426E-3</v>
      </c>
      <c r="D23" t="e">
        <f>IF(GETPIVOTDATA("ITL",'ITL-PIVOT'!$A$3,"KV%",$A23,"Experiment",D$5,"date",D$6)=0,NA(),GETPIVOTDATA("ITL",'ITL-PIVOT'!$A$3,"KV%",$A23,"Experiment",D$5,"date",D$6))</f>
        <v>#N/A</v>
      </c>
      <c r="E23" t="e">
        <f>IF(GETPIVOTDATA("ITL",'ITL-PIVOT'!$A$3,"KV%",$A23,"Experiment",E$5,"date",E$6)=0,NA(),GETPIVOTDATA("ITL",'ITL-PIVOT'!$A$3,"KV%",$A23,"Experiment",E$5,"date",E$6))</f>
        <v>#N/A</v>
      </c>
      <c r="F23" t="e">
        <f>IF(GETPIVOTDATA("ITL",'ITL-PIVOT'!$A$3,"KV%",$A23,"Experiment",F$5,"date",F$6)=0,NA(),GETPIVOTDATA("ITL",'ITL-PIVOT'!$A$3,"KV%",$A23,"Experiment",F$5,"date",F$6))</f>
        <v>#N/A</v>
      </c>
      <c r="G23" t="e">
        <f>IF(GETPIVOTDATA("ITL",'ITL-PIVOT'!$A$3,"KV%",$A23,"Experiment",G$5,"date",G$6)=0,NA(),GETPIVOTDATA("ITL",'ITL-PIVOT'!$A$3,"KV%",$A23,"Experiment",G$5,"date",G$6))</f>
        <v>#N/A</v>
      </c>
      <c r="H23" t="e">
        <f>IF(GETPIVOTDATA("ITL",'ITL-PIVOT'!$A$3,"KV%",$A23,"Experiment",H$5,"date",H$6)=0,NA(),GETPIVOTDATA("ITL",'ITL-PIVOT'!$A$3,"KV%",$A23,"Experiment",H$5,"date",H$6))</f>
        <v>#N/A</v>
      </c>
      <c r="I23" t="e">
        <f>IF(GETPIVOTDATA("ITL",'ITL-PIVOT'!$A$3,"KV%",$A23,"Experiment",I$5,"date",I$6)=0,NA(),GETPIVOTDATA("ITL",'ITL-PIVOT'!$A$3,"KV%",$A23,"Experiment",I$5,"date",I$6))</f>
        <v>#N/A</v>
      </c>
      <c r="J23" t="e">
        <f>IF(GETPIVOTDATA("ITL",'ITL-PIVOT'!$A$3,"KV%",$A23,"Experiment",J$5,"date",J$6)=0,NA(),GETPIVOTDATA("ITL",'ITL-PIVOT'!$A$3,"KV%",$A23,"Experiment",J$5,"date",J$6))</f>
        <v>#N/A</v>
      </c>
      <c r="K23" t="e">
        <f>IF(GETPIVOTDATA("ITL",'ITL-PIVOT'!$A$3,"KV%",$A23,"Experiment",K$5,"date",K$6)=0,NA(),GETPIVOTDATA("ITL",'ITL-PIVOT'!$A$3,"KV%",$A23,"Experiment",K$5,"date",K$6))</f>
        <v>#N/A</v>
      </c>
      <c r="L23" t="e">
        <f>IF(GETPIVOTDATA("ITL",'ITL-PIVOT'!$A$3,"KV%",$A23,"Experiment",L$5,"date",L$6)=0,NA(),GETPIVOTDATA("ITL",'ITL-PIVOT'!$A$3,"KV%",$A23,"Experiment",L$5,"date",L$6))</f>
        <v>#N/A</v>
      </c>
      <c r="M23" t="e">
        <f>IF(GETPIVOTDATA("ITL",'ITL-PIVOT'!$A$3,"KV%",$A23,"Experiment",M$5,"date",M$6)=0,NA(),GETPIVOTDATA("ITL",'ITL-PIVOT'!$A$3,"KV%",$A23,"Experiment",M$5,"date",M$6))</f>
        <v>#N/A</v>
      </c>
    </row>
    <row r="24" spans="1:13" x14ac:dyDescent="0.25">
      <c r="A24">
        <f>IF('ITL-PIVOT'!A22=0,NA(),'ITL-PIVOT'!A22)</f>
        <v>5.7327385570209471E-2</v>
      </c>
      <c r="B24" t="e">
        <f>IF(GETPIVOTDATA("ITL",'ITL-PIVOT'!$A$3,"KV%",$A24,"Experiment",B$5,"date",B$6)=0,NA(),GETPIVOTDATA("ITL",'ITL-PIVOT'!$A$3,"KV%",$A24,"Experiment",B$5,"date",B$6))</f>
        <v>#N/A</v>
      </c>
      <c r="C24" t="e">
        <f>IF(GETPIVOTDATA("ITL",'ITL-PIVOT'!$A$3,"KV%",$A24,"Experiment",C$5,"date",C$6)=0,NA(),GETPIVOTDATA("ITL",'ITL-PIVOT'!$A$3,"KV%",$A24,"Experiment",C$5,"date",C$6))</f>
        <v>#N/A</v>
      </c>
      <c r="D24" t="e">
        <f>IF(GETPIVOTDATA("ITL",'ITL-PIVOT'!$A$3,"KV%",$A24,"Experiment",D$5,"date",D$6)=0,NA(),GETPIVOTDATA("ITL",'ITL-PIVOT'!$A$3,"KV%",$A24,"Experiment",D$5,"date",D$6))</f>
        <v>#N/A</v>
      </c>
      <c r="E24">
        <f>IF(GETPIVOTDATA("ITL",'ITL-PIVOT'!$A$3,"KV%",$A24,"Experiment",E$5,"date",E$6)=0,NA(),GETPIVOTDATA("ITL",'ITL-PIVOT'!$A$3,"KV%",$A24,"Experiment",E$5,"date",E$6))</f>
        <v>9.9585361931964558E-3</v>
      </c>
      <c r="F24" t="e">
        <f>IF(GETPIVOTDATA("ITL",'ITL-PIVOT'!$A$3,"KV%",$A24,"Experiment",F$5,"date",F$6)=0,NA(),GETPIVOTDATA("ITL",'ITL-PIVOT'!$A$3,"KV%",$A24,"Experiment",F$5,"date",F$6))</f>
        <v>#N/A</v>
      </c>
      <c r="G24" t="e">
        <f>IF(GETPIVOTDATA("ITL",'ITL-PIVOT'!$A$3,"KV%",$A24,"Experiment",G$5,"date",G$6)=0,NA(),GETPIVOTDATA("ITL",'ITL-PIVOT'!$A$3,"KV%",$A24,"Experiment",G$5,"date",G$6))</f>
        <v>#N/A</v>
      </c>
      <c r="H24" t="e">
        <f>IF(GETPIVOTDATA("ITL",'ITL-PIVOT'!$A$3,"KV%",$A24,"Experiment",H$5,"date",H$6)=0,NA(),GETPIVOTDATA("ITL",'ITL-PIVOT'!$A$3,"KV%",$A24,"Experiment",H$5,"date",H$6))</f>
        <v>#N/A</v>
      </c>
      <c r="I24" t="e">
        <f>IF(GETPIVOTDATA("ITL",'ITL-PIVOT'!$A$3,"KV%",$A24,"Experiment",I$5,"date",I$6)=0,NA(),GETPIVOTDATA("ITL",'ITL-PIVOT'!$A$3,"KV%",$A24,"Experiment",I$5,"date",I$6))</f>
        <v>#N/A</v>
      </c>
      <c r="J24" t="e">
        <f>IF(GETPIVOTDATA("ITL",'ITL-PIVOT'!$A$3,"KV%",$A24,"Experiment",J$5,"date",J$6)=0,NA(),GETPIVOTDATA("ITL",'ITL-PIVOT'!$A$3,"KV%",$A24,"Experiment",J$5,"date",J$6))</f>
        <v>#N/A</v>
      </c>
      <c r="K24" t="e">
        <f>IF(GETPIVOTDATA("ITL",'ITL-PIVOT'!$A$3,"KV%",$A24,"Experiment",K$5,"date",K$6)=0,NA(),GETPIVOTDATA("ITL",'ITL-PIVOT'!$A$3,"KV%",$A24,"Experiment",K$5,"date",K$6))</f>
        <v>#N/A</v>
      </c>
      <c r="L24" t="e">
        <f>IF(GETPIVOTDATA("ITL",'ITL-PIVOT'!$A$3,"KV%",$A24,"Experiment",L$5,"date",L$6)=0,NA(),GETPIVOTDATA("ITL",'ITL-PIVOT'!$A$3,"KV%",$A24,"Experiment",L$5,"date",L$6))</f>
        <v>#N/A</v>
      </c>
      <c r="M24" t="e">
        <f>IF(GETPIVOTDATA("ITL",'ITL-PIVOT'!$A$3,"KV%",$A24,"Experiment",M$5,"date",M$6)=0,NA(),GETPIVOTDATA("ITL",'ITL-PIVOT'!$A$3,"KV%",$A24,"Experiment",M$5,"date",M$6))</f>
        <v>#N/A</v>
      </c>
    </row>
    <row r="25" spans="1:13" x14ac:dyDescent="0.25">
      <c r="A25">
        <f>IF('ITL-PIVOT'!A23=0,NA(),'ITL-PIVOT'!A23)</f>
        <v>5.7532058595354346E-2</v>
      </c>
      <c r="B25" t="e">
        <f>IF(GETPIVOTDATA("ITL",'ITL-PIVOT'!$A$3,"KV%",$A25,"Experiment",B$5,"date",B$6)=0,NA(),GETPIVOTDATA("ITL",'ITL-PIVOT'!$A$3,"KV%",$A25,"Experiment",B$5,"date",B$6))</f>
        <v>#N/A</v>
      </c>
      <c r="C25">
        <f>IF(GETPIVOTDATA("ITL",'ITL-PIVOT'!$A$3,"KV%",$A25,"Experiment",C$5,"date",C$6)=0,NA(),GETPIVOTDATA("ITL",'ITL-PIVOT'!$A$3,"KV%",$A25,"Experiment",C$5,"date",C$6))</f>
        <v>9.3669171539898718E-3</v>
      </c>
      <c r="D25" t="e">
        <f>IF(GETPIVOTDATA("ITL",'ITL-PIVOT'!$A$3,"KV%",$A25,"Experiment",D$5,"date",D$6)=0,NA(),GETPIVOTDATA("ITL",'ITL-PIVOT'!$A$3,"KV%",$A25,"Experiment",D$5,"date",D$6))</f>
        <v>#N/A</v>
      </c>
      <c r="E25" t="e">
        <f>IF(GETPIVOTDATA("ITL",'ITL-PIVOT'!$A$3,"KV%",$A25,"Experiment",E$5,"date",E$6)=0,NA(),GETPIVOTDATA("ITL",'ITL-PIVOT'!$A$3,"KV%",$A25,"Experiment",E$5,"date",E$6))</f>
        <v>#N/A</v>
      </c>
      <c r="F25" t="e">
        <f>IF(GETPIVOTDATA("ITL",'ITL-PIVOT'!$A$3,"KV%",$A25,"Experiment",F$5,"date",F$6)=0,NA(),GETPIVOTDATA("ITL",'ITL-PIVOT'!$A$3,"KV%",$A25,"Experiment",F$5,"date",F$6))</f>
        <v>#N/A</v>
      </c>
      <c r="G25" t="e">
        <f>IF(GETPIVOTDATA("ITL",'ITL-PIVOT'!$A$3,"KV%",$A25,"Experiment",G$5,"date",G$6)=0,NA(),GETPIVOTDATA("ITL",'ITL-PIVOT'!$A$3,"KV%",$A25,"Experiment",G$5,"date",G$6))</f>
        <v>#N/A</v>
      </c>
      <c r="H25" t="e">
        <f>IF(GETPIVOTDATA("ITL",'ITL-PIVOT'!$A$3,"KV%",$A25,"Experiment",H$5,"date",H$6)=0,NA(),GETPIVOTDATA("ITL",'ITL-PIVOT'!$A$3,"KV%",$A25,"Experiment",H$5,"date",H$6))</f>
        <v>#N/A</v>
      </c>
      <c r="I25" t="e">
        <f>IF(GETPIVOTDATA("ITL",'ITL-PIVOT'!$A$3,"KV%",$A25,"Experiment",I$5,"date",I$6)=0,NA(),GETPIVOTDATA("ITL",'ITL-PIVOT'!$A$3,"KV%",$A25,"Experiment",I$5,"date",I$6))</f>
        <v>#N/A</v>
      </c>
      <c r="J25" t="e">
        <f>IF(GETPIVOTDATA("ITL",'ITL-PIVOT'!$A$3,"KV%",$A25,"Experiment",J$5,"date",J$6)=0,NA(),GETPIVOTDATA("ITL",'ITL-PIVOT'!$A$3,"KV%",$A25,"Experiment",J$5,"date",J$6))</f>
        <v>#N/A</v>
      </c>
      <c r="K25" t="e">
        <f>IF(GETPIVOTDATA("ITL",'ITL-PIVOT'!$A$3,"KV%",$A25,"Experiment",K$5,"date",K$6)=0,NA(),GETPIVOTDATA("ITL",'ITL-PIVOT'!$A$3,"KV%",$A25,"Experiment",K$5,"date",K$6))</f>
        <v>#N/A</v>
      </c>
      <c r="L25" t="e">
        <f>IF(GETPIVOTDATA("ITL",'ITL-PIVOT'!$A$3,"KV%",$A25,"Experiment",L$5,"date",L$6)=0,NA(),GETPIVOTDATA("ITL",'ITL-PIVOT'!$A$3,"KV%",$A25,"Experiment",L$5,"date",L$6))</f>
        <v>#N/A</v>
      </c>
      <c r="M25" t="e">
        <f>IF(GETPIVOTDATA("ITL",'ITL-PIVOT'!$A$3,"KV%",$A25,"Experiment",M$5,"date",M$6)=0,NA(),GETPIVOTDATA("ITL",'ITL-PIVOT'!$A$3,"KV%",$A25,"Experiment",M$5,"date",M$6))</f>
        <v>#N/A</v>
      </c>
    </row>
    <row r="26" spans="1:13" x14ac:dyDescent="0.25">
      <c r="A26">
        <f>IF('ITL-PIVOT'!A24=0,NA(),'ITL-PIVOT'!A24)</f>
        <v>5.8219550038789744E-2</v>
      </c>
      <c r="B26">
        <f>IF(GETPIVOTDATA("ITL",'ITL-PIVOT'!$A$3,"KV%",$A26,"Experiment",B$5,"date",B$6)=0,NA(),GETPIVOTDATA("ITL",'ITL-PIVOT'!$A$3,"KV%",$A26,"Experiment",B$5,"date",B$6))</f>
        <v>9.0222427353906856E-3</v>
      </c>
      <c r="C26" t="e">
        <f>IF(GETPIVOTDATA("ITL",'ITL-PIVOT'!$A$3,"KV%",$A26,"Experiment",C$5,"date",C$6)=0,NA(),GETPIVOTDATA("ITL",'ITL-PIVOT'!$A$3,"KV%",$A26,"Experiment",C$5,"date",C$6))</f>
        <v>#N/A</v>
      </c>
      <c r="D26" t="e">
        <f>IF(GETPIVOTDATA("ITL",'ITL-PIVOT'!$A$3,"KV%",$A26,"Experiment",D$5,"date",D$6)=0,NA(),GETPIVOTDATA("ITL",'ITL-PIVOT'!$A$3,"KV%",$A26,"Experiment",D$5,"date",D$6))</f>
        <v>#N/A</v>
      </c>
      <c r="E26" t="e">
        <f>IF(GETPIVOTDATA("ITL",'ITL-PIVOT'!$A$3,"KV%",$A26,"Experiment",E$5,"date",E$6)=0,NA(),GETPIVOTDATA("ITL",'ITL-PIVOT'!$A$3,"KV%",$A26,"Experiment",E$5,"date",E$6))</f>
        <v>#N/A</v>
      </c>
      <c r="F26" t="e">
        <f>IF(GETPIVOTDATA("ITL",'ITL-PIVOT'!$A$3,"KV%",$A26,"Experiment",F$5,"date",F$6)=0,NA(),GETPIVOTDATA("ITL",'ITL-PIVOT'!$A$3,"KV%",$A26,"Experiment",F$5,"date",F$6))</f>
        <v>#N/A</v>
      </c>
      <c r="G26" t="e">
        <f>IF(GETPIVOTDATA("ITL",'ITL-PIVOT'!$A$3,"KV%",$A26,"Experiment",G$5,"date",G$6)=0,NA(),GETPIVOTDATA("ITL",'ITL-PIVOT'!$A$3,"KV%",$A26,"Experiment",G$5,"date",G$6))</f>
        <v>#N/A</v>
      </c>
      <c r="H26" t="e">
        <f>IF(GETPIVOTDATA("ITL",'ITL-PIVOT'!$A$3,"KV%",$A26,"Experiment",H$5,"date",H$6)=0,NA(),GETPIVOTDATA("ITL",'ITL-PIVOT'!$A$3,"KV%",$A26,"Experiment",H$5,"date",H$6))</f>
        <v>#N/A</v>
      </c>
      <c r="I26" t="e">
        <f>IF(GETPIVOTDATA("ITL",'ITL-PIVOT'!$A$3,"KV%",$A26,"Experiment",I$5,"date",I$6)=0,NA(),GETPIVOTDATA("ITL",'ITL-PIVOT'!$A$3,"KV%",$A26,"Experiment",I$5,"date",I$6))</f>
        <v>#N/A</v>
      </c>
      <c r="J26" t="e">
        <f>IF(GETPIVOTDATA("ITL",'ITL-PIVOT'!$A$3,"KV%",$A26,"Experiment",J$5,"date",J$6)=0,NA(),GETPIVOTDATA("ITL",'ITL-PIVOT'!$A$3,"KV%",$A26,"Experiment",J$5,"date",J$6))</f>
        <v>#N/A</v>
      </c>
      <c r="K26" t="e">
        <f>IF(GETPIVOTDATA("ITL",'ITL-PIVOT'!$A$3,"KV%",$A26,"Experiment",K$5,"date",K$6)=0,NA(),GETPIVOTDATA("ITL",'ITL-PIVOT'!$A$3,"KV%",$A26,"Experiment",K$5,"date",K$6))</f>
        <v>#N/A</v>
      </c>
      <c r="L26" t="e">
        <f>IF(GETPIVOTDATA("ITL",'ITL-PIVOT'!$A$3,"KV%",$A26,"Experiment",L$5,"date",L$6)=0,NA(),GETPIVOTDATA("ITL",'ITL-PIVOT'!$A$3,"KV%",$A26,"Experiment",L$5,"date",L$6))</f>
        <v>#N/A</v>
      </c>
      <c r="M26" t="e">
        <f>IF(GETPIVOTDATA("ITL",'ITL-PIVOT'!$A$3,"KV%",$A26,"Experiment",M$5,"date",M$6)=0,NA(),GETPIVOTDATA("ITL",'ITL-PIVOT'!$A$3,"KV%",$A26,"Experiment",M$5,"date",M$6))</f>
        <v>#N/A</v>
      </c>
    </row>
    <row r="27" spans="1:13" x14ac:dyDescent="0.25">
      <c r="A27">
        <f>IF('ITL-PIVOT'!A25=0,NA(),'ITL-PIVOT'!A25)</f>
        <v>5.8994914231531768E-2</v>
      </c>
      <c r="B27" t="e">
        <f>IF(GETPIVOTDATA("ITL",'ITL-PIVOT'!$A$3,"KV%",$A27,"Experiment",B$5,"date",B$6)=0,NA(),GETPIVOTDATA("ITL",'ITL-PIVOT'!$A$3,"KV%",$A27,"Experiment",B$5,"date",B$6))</f>
        <v>#N/A</v>
      </c>
      <c r="C27" t="e">
        <f>IF(GETPIVOTDATA("ITL",'ITL-PIVOT'!$A$3,"KV%",$A27,"Experiment",C$5,"date",C$6)=0,NA(),GETPIVOTDATA("ITL",'ITL-PIVOT'!$A$3,"KV%",$A27,"Experiment",C$5,"date",C$6))</f>
        <v>#N/A</v>
      </c>
      <c r="D27" t="e">
        <f>IF(GETPIVOTDATA("ITL",'ITL-PIVOT'!$A$3,"KV%",$A27,"Experiment",D$5,"date",D$6)=0,NA(),GETPIVOTDATA("ITL",'ITL-PIVOT'!$A$3,"KV%",$A27,"Experiment",D$5,"date",D$6))</f>
        <v>#N/A</v>
      </c>
      <c r="E27" t="e">
        <f>IF(GETPIVOTDATA("ITL",'ITL-PIVOT'!$A$3,"KV%",$A27,"Experiment",E$5,"date",E$6)=0,NA(),GETPIVOTDATA("ITL",'ITL-PIVOT'!$A$3,"KV%",$A27,"Experiment",E$5,"date",E$6))</f>
        <v>#N/A</v>
      </c>
      <c r="F27" t="e">
        <f>IF(GETPIVOTDATA("ITL",'ITL-PIVOT'!$A$3,"KV%",$A27,"Experiment",F$5,"date",F$6)=0,NA(),GETPIVOTDATA("ITL",'ITL-PIVOT'!$A$3,"KV%",$A27,"Experiment",F$5,"date",F$6))</f>
        <v>#N/A</v>
      </c>
      <c r="G27" t="e">
        <f>IF(GETPIVOTDATA("ITL",'ITL-PIVOT'!$A$3,"KV%",$A27,"Experiment",G$5,"date",G$6)=0,NA(),GETPIVOTDATA("ITL",'ITL-PIVOT'!$A$3,"KV%",$A27,"Experiment",G$5,"date",G$6))</f>
        <v>#N/A</v>
      </c>
      <c r="H27" t="e">
        <f>IF(GETPIVOTDATA("ITL",'ITL-PIVOT'!$A$3,"KV%",$A27,"Experiment",H$5,"date",H$6)=0,NA(),GETPIVOTDATA("ITL",'ITL-PIVOT'!$A$3,"KV%",$A27,"Experiment",H$5,"date",H$6))</f>
        <v>#N/A</v>
      </c>
      <c r="I27">
        <f>IF(GETPIVOTDATA("ITL",'ITL-PIVOT'!$A$3,"KV%",$A27,"Experiment",I$5,"date",I$6)=0,NA(),GETPIVOTDATA("ITL",'ITL-PIVOT'!$A$3,"KV%",$A27,"Experiment",I$5,"date",I$6))</f>
        <v>1.0721021489823184E-2</v>
      </c>
      <c r="J27" t="e">
        <f>IF(GETPIVOTDATA("ITL",'ITL-PIVOT'!$A$3,"KV%",$A27,"Experiment",J$5,"date",J$6)=0,NA(),GETPIVOTDATA("ITL",'ITL-PIVOT'!$A$3,"KV%",$A27,"Experiment",J$5,"date",J$6))</f>
        <v>#N/A</v>
      </c>
      <c r="K27" t="e">
        <f>IF(GETPIVOTDATA("ITL",'ITL-PIVOT'!$A$3,"KV%",$A27,"Experiment",K$5,"date",K$6)=0,NA(),GETPIVOTDATA("ITL",'ITL-PIVOT'!$A$3,"KV%",$A27,"Experiment",K$5,"date",K$6))</f>
        <v>#N/A</v>
      </c>
      <c r="L27" t="e">
        <f>IF(GETPIVOTDATA("ITL",'ITL-PIVOT'!$A$3,"KV%",$A27,"Experiment",L$5,"date",L$6)=0,NA(),GETPIVOTDATA("ITL",'ITL-PIVOT'!$A$3,"KV%",$A27,"Experiment",L$5,"date",L$6))</f>
        <v>#N/A</v>
      </c>
      <c r="M27" t="e">
        <f>IF(GETPIVOTDATA("ITL",'ITL-PIVOT'!$A$3,"KV%",$A27,"Experiment",M$5,"date",M$6)=0,NA(),GETPIVOTDATA("ITL",'ITL-PIVOT'!$A$3,"KV%",$A27,"Experiment",M$5,"date",M$6))</f>
        <v>#N/A</v>
      </c>
    </row>
    <row r="28" spans="1:13" x14ac:dyDescent="0.25">
      <c r="A28">
        <f>IF('ITL-PIVOT'!A26=0,NA(),'ITL-PIVOT'!A26)</f>
        <v>5.9106973536764078E-2</v>
      </c>
      <c r="B28" t="e">
        <f>IF(GETPIVOTDATA("ITL",'ITL-PIVOT'!$A$3,"KV%",$A28,"Experiment",B$5,"date",B$6)=0,NA(),GETPIVOTDATA("ITL",'ITL-PIVOT'!$A$3,"KV%",$A28,"Experiment",B$5,"date",B$6))</f>
        <v>#N/A</v>
      </c>
      <c r="C28" t="e">
        <f>IF(GETPIVOTDATA("ITL",'ITL-PIVOT'!$A$3,"KV%",$A28,"Experiment",C$5,"date",C$6)=0,NA(),GETPIVOTDATA("ITL",'ITL-PIVOT'!$A$3,"KV%",$A28,"Experiment",C$5,"date",C$6))</f>
        <v>#N/A</v>
      </c>
      <c r="D28" t="e">
        <f>IF(GETPIVOTDATA("ITL",'ITL-PIVOT'!$A$3,"KV%",$A28,"Experiment",D$5,"date",D$6)=0,NA(),GETPIVOTDATA("ITL",'ITL-PIVOT'!$A$3,"KV%",$A28,"Experiment",D$5,"date",D$6))</f>
        <v>#N/A</v>
      </c>
      <c r="E28" t="e">
        <f>IF(GETPIVOTDATA("ITL",'ITL-PIVOT'!$A$3,"KV%",$A28,"Experiment",E$5,"date",E$6)=0,NA(),GETPIVOTDATA("ITL",'ITL-PIVOT'!$A$3,"KV%",$A28,"Experiment",E$5,"date",E$6))</f>
        <v>#N/A</v>
      </c>
      <c r="F28" t="e">
        <f>IF(GETPIVOTDATA("ITL",'ITL-PIVOT'!$A$3,"KV%",$A28,"Experiment",F$5,"date",F$6)=0,NA(),GETPIVOTDATA("ITL",'ITL-PIVOT'!$A$3,"KV%",$A28,"Experiment",F$5,"date",F$6))</f>
        <v>#N/A</v>
      </c>
      <c r="G28" t="e">
        <f>IF(GETPIVOTDATA("ITL",'ITL-PIVOT'!$A$3,"KV%",$A28,"Experiment",G$5,"date",G$6)=0,NA(),GETPIVOTDATA("ITL",'ITL-PIVOT'!$A$3,"KV%",$A28,"Experiment",G$5,"date",G$6))</f>
        <v>#N/A</v>
      </c>
      <c r="H28" t="e">
        <f>IF(GETPIVOTDATA("ITL",'ITL-PIVOT'!$A$3,"KV%",$A28,"Experiment",H$5,"date",H$6)=0,NA(),GETPIVOTDATA("ITL",'ITL-PIVOT'!$A$3,"KV%",$A28,"Experiment",H$5,"date",H$6))</f>
        <v>#N/A</v>
      </c>
      <c r="I28" t="e">
        <f>IF(GETPIVOTDATA("ITL",'ITL-PIVOT'!$A$3,"KV%",$A28,"Experiment",I$5,"date",I$6)=0,NA(),GETPIVOTDATA("ITL",'ITL-PIVOT'!$A$3,"KV%",$A28,"Experiment",I$5,"date",I$6))</f>
        <v>#N/A</v>
      </c>
      <c r="J28" t="e">
        <f>IF(GETPIVOTDATA("ITL",'ITL-PIVOT'!$A$3,"KV%",$A28,"Experiment",J$5,"date",J$6)=0,NA(),GETPIVOTDATA("ITL",'ITL-PIVOT'!$A$3,"KV%",$A28,"Experiment",J$5,"date",J$6))</f>
        <v>#N/A</v>
      </c>
      <c r="K28" t="e">
        <f>IF(GETPIVOTDATA("ITL",'ITL-PIVOT'!$A$3,"KV%",$A28,"Experiment",K$5,"date",K$6)=0,NA(),GETPIVOTDATA("ITL",'ITL-PIVOT'!$A$3,"KV%",$A28,"Experiment",K$5,"date",K$6))</f>
        <v>#N/A</v>
      </c>
      <c r="L28" t="e">
        <f>IF(GETPIVOTDATA("ITL",'ITL-PIVOT'!$A$3,"KV%",$A28,"Experiment",L$5,"date",L$6)=0,NA(),GETPIVOTDATA("ITL",'ITL-PIVOT'!$A$3,"KV%",$A28,"Experiment",L$5,"date",L$6))</f>
        <v>#N/A</v>
      </c>
      <c r="M28">
        <f>IF(GETPIVOTDATA("ITL",'ITL-PIVOT'!$A$3,"KV%",$A28,"Experiment",M$5,"date",M$6)=0,NA(),GETPIVOTDATA("ITL",'ITL-PIVOT'!$A$3,"KV%",$A28,"Experiment",M$5,"date",M$6))</f>
        <v>1.3275207717987576E-2</v>
      </c>
    </row>
    <row r="29" spans="1:13" x14ac:dyDescent="0.25">
      <c r="A29">
        <f>IF('ITL-PIVOT'!A27=0,NA(),'ITL-PIVOT'!A27)</f>
        <v>5.9313421256788207E-2</v>
      </c>
      <c r="B29" t="e">
        <f>IF(GETPIVOTDATA("ITL",'ITL-PIVOT'!$A$3,"KV%",$A29,"Experiment",B$5,"date",B$6)=0,NA(),GETPIVOTDATA("ITL",'ITL-PIVOT'!$A$3,"KV%",$A29,"Experiment",B$5,"date",B$6))</f>
        <v>#N/A</v>
      </c>
      <c r="C29" t="e">
        <f>IF(GETPIVOTDATA("ITL",'ITL-PIVOT'!$A$3,"KV%",$A29,"Experiment",C$5,"date",C$6)=0,NA(),GETPIVOTDATA("ITL",'ITL-PIVOT'!$A$3,"KV%",$A29,"Experiment",C$5,"date",C$6))</f>
        <v>#N/A</v>
      </c>
      <c r="D29" t="e">
        <f>IF(GETPIVOTDATA("ITL",'ITL-PIVOT'!$A$3,"KV%",$A29,"Experiment",D$5,"date",D$6)=0,NA(),GETPIVOTDATA("ITL",'ITL-PIVOT'!$A$3,"KV%",$A29,"Experiment",D$5,"date",D$6))</f>
        <v>#N/A</v>
      </c>
      <c r="E29" t="e">
        <f>IF(GETPIVOTDATA("ITL",'ITL-PIVOT'!$A$3,"KV%",$A29,"Experiment",E$5,"date",E$6)=0,NA(),GETPIVOTDATA("ITL",'ITL-PIVOT'!$A$3,"KV%",$A29,"Experiment",E$5,"date",E$6))</f>
        <v>#N/A</v>
      </c>
      <c r="F29" t="e">
        <f>IF(GETPIVOTDATA("ITL",'ITL-PIVOT'!$A$3,"KV%",$A29,"Experiment",F$5,"date",F$6)=0,NA(),GETPIVOTDATA("ITL",'ITL-PIVOT'!$A$3,"KV%",$A29,"Experiment",F$5,"date",F$6))</f>
        <v>#N/A</v>
      </c>
      <c r="G29" t="e">
        <f>IF(GETPIVOTDATA("ITL",'ITL-PIVOT'!$A$3,"KV%",$A29,"Experiment",G$5,"date",G$6)=0,NA(),GETPIVOTDATA("ITL",'ITL-PIVOT'!$A$3,"KV%",$A29,"Experiment",G$5,"date",G$6))</f>
        <v>#N/A</v>
      </c>
      <c r="H29">
        <f>IF(GETPIVOTDATA("ITL",'ITL-PIVOT'!$A$3,"KV%",$A29,"Experiment",H$5,"date",H$6)=0,NA(),GETPIVOTDATA("ITL",'ITL-PIVOT'!$A$3,"KV%",$A29,"Experiment",H$5,"date",H$6))</f>
        <v>9.6212234184526301E-3</v>
      </c>
      <c r="I29" t="e">
        <f>IF(GETPIVOTDATA("ITL",'ITL-PIVOT'!$A$3,"KV%",$A29,"Experiment",I$5,"date",I$6)=0,NA(),GETPIVOTDATA("ITL",'ITL-PIVOT'!$A$3,"KV%",$A29,"Experiment",I$5,"date",I$6))</f>
        <v>#N/A</v>
      </c>
      <c r="J29" t="e">
        <f>IF(GETPIVOTDATA("ITL",'ITL-PIVOT'!$A$3,"KV%",$A29,"Experiment",J$5,"date",J$6)=0,NA(),GETPIVOTDATA("ITL",'ITL-PIVOT'!$A$3,"KV%",$A29,"Experiment",J$5,"date",J$6))</f>
        <v>#N/A</v>
      </c>
      <c r="K29" t="e">
        <f>IF(GETPIVOTDATA("ITL",'ITL-PIVOT'!$A$3,"KV%",$A29,"Experiment",K$5,"date",K$6)=0,NA(),GETPIVOTDATA("ITL",'ITL-PIVOT'!$A$3,"KV%",$A29,"Experiment",K$5,"date",K$6))</f>
        <v>#N/A</v>
      </c>
      <c r="L29" t="e">
        <f>IF(GETPIVOTDATA("ITL",'ITL-PIVOT'!$A$3,"KV%",$A29,"Experiment",L$5,"date",L$6)=0,NA(),GETPIVOTDATA("ITL",'ITL-PIVOT'!$A$3,"KV%",$A29,"Experiment",L$5,"date",L$6))</f>
        <v>#N/A</v>
      </c>
      <c r="M29" t="e">
        <f>IF(GETPIVOTDATA("ITL",'ITL-PIVOT'!$A$3,"KV%",$A29,"Experiment",M$5,"date",M$6)=0,NA(),GETPIVOTDATA("ITL",'ITL-PIVOT'!$A$3,"KV%",$A29,"Experiment",M$5,"date",M$6))</f>
        <v>#N/A</v>
      </c>
    </row>
    <row r="30" spans="1:13" x14ac:dyDescent="0.25">
      <c r="A30">
        <f>IF('ITL-PIVOT'!A28=0,NA(),'ITL-PIVOT'!A28)</f>
        <v>6.0624515128006207E-2</v>
      </c>
      <c r="B30" t="e">
        <f>IF(GETPIVOTDATA("ITL",'ITL-PIVOT'!$A$3,"KV%",$A30,"Experiment",B$5,"date",B$6)=0,NA(),GETPIVOTDATA("ITL",'ITL-PIVOT'!$A$3,"KV%",$A30,"Experiment",B$5,"date",B$6))</f>
        <v>#N/A</v>
      </c>
      <c r="C30" t="e">
        <f>IF(GETPIVOTDATA("ITL",'ITL-PIVOT'!$A$3,"KV%",$A30,"Experiment",C$5,"date",C$6)=0,NA(),GETPIVOTDATA("ITL",'ITL-PIVOT'!$A$3,"KV%",$A30,"Experiment",C$5,"date",C$6))</f>
        <v>#N/A</v>
      </c>
      <c r="D30" t="e">
        <f>IF(GETPIVOTDATA("ITL",'ITL-PIVOT'!$A$3,"KV%",$A30,"Experiment",D$5,"date",D$6)=0,NA(),GETPIVOTDATA("ITL",'ITL-PIVOT'!$A$3,"KV%",$A30,"Experiment",D$5,"date",D$6))</f>
        <v>#N/A</v>
      </c>
      <c r="E30" t="e">
        <f>IF(GETPIVOTDATA("ITL",'ITL-PIVOT'!$A$3,"KV%",$A30,"Experiment",E$5,"date",E$6)=0,NA(),GETPIVOTDATA("ITL",'ITL-PIVOT'!$A$3,"KV%",$A30,"Experiment",E$5,"date",E$6))</f>
        <v>#N/A</v>
      </c>
      <c r="F30" t="e">
        <f>IF(GETPIVOTDATA("ITL",'ITL-PIVOT'!$A$3,"KV%",$A30,"Experiment",F$5,"date",F$6)=0,NA(),GETPIVOTDATA("ITL",'ITL-PIVOT'!$A$3,"KV%",$A30,"Experiment",F$5,"date",F$6))</f>
        <v>#N/A</v>
      </c>
      <c r="G30" t="e">
        <f>IF(GETPIVOTDATA("ITL",'ITL-PIVOT'!$A$3,"KV%",$A30,"Experiment",G$5,"date",G$6)=0,NA(),GETPIVOTDATA("ITL",'ITL-PIVOT'!$A$3,"KV%",$A30,"Experiment",G$5,"date",G$6))</f>
        <v>#N/A</v>
      </c>
      <c r="H30">
        <f>IF(GETPIVOTDATA("ITL",'ITL-PIVOT'!$A$3,"KV%",$A30,"Experiment",H$5,"date",H$6)=0,NA(),GETPIVOTDATA("ITL",'ITL-PIVOT'!$A$3,"KV%",$A30,"Experiment",H$5,"date",H$6))</f>
        <v>1.1228162871936714E-2</v>
      </c>
      <c r="I30" t="e">
        <f>IF(GETPIVOTDATA("ITL",'ITL-PIVOT'!$A$3,"KV%",$A30,"Experiment",I$5,"date",I$6)=0,NA(),GETPIVOTDATA("ITL",'ITL-PIVOT'!$A$3,"KV%",$A30,"Experiment",I$5,"date",I$6))</f>
        <v>#N/A</v>
      </c>
      <c r="J30" t="e">
        <f>IF(GETPIVOTDATA("ITL",'ITL-PIVOT'!$A$3,"KV%",$A30,"Experiment",J$5,"date",J$6)=0,NA(),GETPIVOTDATA("ITL",'ITL-PIVOT'!$A$3,"KV%",$A30,"Experiment",J$5,"date",J$6))</f>
        <v>#N/A</v>
      </c>
      <c r="K30" t="e">
        <f>IF(GETPIVOTDATA("ITL",'ITL-PIVOT'!$A$3,"KV%",$A30,"Experiment",K$5,"date",K$6)=0,NA(),GETPIVOTDATA("ITL",'ITL-PIVOT'!$A$3,"KV%",$A30,"Experiment",K$5,"date",K$6))</f>
        <v>#N/A</v>
      </c>
      <c r="L30" t="e">
        <f>IF(GETPIVOTDATA("ITL",'ITL-PIVOT'!$A$3,"KV%",$A30,"Experiment",L$5,"date",L$6)=0,NA(),GETPIVOTDATA("ITL",'ITL-PIVOT'!$A$3,"KV%",$A30,"Experiment",L$5,"date",L$6))</f>
        <v>#N/A</v>
      </c>
      <c r="M30" t="e">
        <f>IF(GETPIVOTDATA("ITL",'ITL-PIVOT'!$A$3,"KV%",$A30,"Experiment",M$5,"date",M$6)=0,NA(),GETPIVOTDATA("ITL",'ITL-PIVOT'!$A$3,"KV%",$A30,"Experiment",M$5,"date",M$6))</f>
        <v>#N/A</v>
      </c>
    </row>
    <row r="31" spans="1:13" x14ac:dyDescent="0.25">
      <c r="A31">
        <f>IF('ITL-PIVOT'!A29=0,NA(),'ITL-PIVOT'!A29)</f>
        <v>6.230122149713261E-2</v>
      </c>
      <c r="B31" t="e">
        <f>IF(GETPIVOTDATA("ITL",'ITL-PIVOT'!$A$3,"KV%",$A31,"Experiment",B$5,"date",B$6)=0,NA(),GETPIVOTDATA("ITL",'ITL-PIVOT'!$A$3,"KV%",$A31,"Experiment",B$5,"date",B$6))</f>
        <v>#N/A</v>
      </c>
      <c r="C31" t="e">
        <f>IF(GETPIVOTDATA("ITL",'ITL-PIVOT'!$A$3,"KV%",$A31,"Experiment",C$5,"date",C$6)=0,NA(),GETPIVOTDATA("ITL",'ITL-PIVOT'!$A$3,"KV%",$A31,"Experiment",C$5,"date",C$6))</f>
        <v>#N/A</v>
      </c>
      <c r="D31" t="e">
        <f>IF(GETPIVOTDATA("ITL",'ITL-PIVOT'!$A$3,"KV%",$A31,"Experiment",D$5,"date",D$6)=0,NA(),GETPIVOTDATA("ITL",'ITL-PIVOT'!$A$3,"KV%",$A31,"Experiment",D$5,"date",D$6))</f>
        <v>#N/A</v>
      </c>
      <c r="E31" t="e">
        <f>IF(GETPIVOTDATA("ITL",'ITL-PIVOT'!$A$3,"KV%",$A31,"Experiment",E$5,"date",E$6)=0,NA(),GETPIVOTDATA("ITL",'ITL-PIVOT'!$A$3,"KV%",$A31,"Experiment",E$5,"date",E$6))</f>
        <v>#N/A</v>
      </c>
      <c r="F31">
        <f>IF(GETPIVOTDATA("ITL",'ITL-PIVOT'!$A$3,"KV%",$A31,"Experiment",F$5,"date",F$6)=0,NA(),GETPIVOTDATA("ITL",'ITL-PIVOT'!$A$3,"KV%",$A31,"Experiment",F$5,"date",F$6))</f>
        <v>1.0460084484178884E-2</v>
      </c>
      <c r="G31" t="e">
        <f>IF(GETPIVOTDATA("ITL",'ITL-PIVOT'!$A$3,"KV%",$A31,"Experiment",G$5,"date",G$6)=0,NA(),GETPIVOTDATA("ITL",'ITL-PIVOT'!$A$3,"KV%",$A31,"Experiment",G$5,"date",G$6))</f>
        <v>#N/A</v>
      </c>
      <c r="H31" t="e">
        <f>IF(GETPIVOTDATA("ITL",'ITL-PIVOT'!$A$3,"KV%",$A31,"Experiment",H$5,"date",H$6)=0,NA(),GETPIVOTDATA("ITL",'ITL-PIVOT'!$A$3,"KV%",$A31,"Experiment",H$5,"date",H$6))</f>
        <v>#N/A</v>
      </c>
      <c r="I31" t="e">
        <f>IF(GETPIVOTDATA("ITL",'ITL-PIVOT'!$A$3,"KV%",$A31,"Experiment",I$5,"date",I$6)=0,NA(),GETPIVOTDATA("ITL",'ITL-PIVOT'!$A$3,"KV%",$A31,"Experiment",I$5,"date",I$6))</f>
        <v>#N/A</v>
      </c>
      <c r="J31" t="e">
        <f>IF(GETPIVOTDATA("ITL",'ITL-PIVOT'!$A$3,"KV%",$A31,"Experiment",J$5,"date",J$6)=0,NA(),GETPIVOTDATA("ITL",'ITL-PIVOT'!$A$3,"KV%",$A31,"Experiment",J$5,"date",J$6))</f>
        <v>#N/A</v>
      </c>
      <c r="K31" t="e">
        <f>IF(GETPIVOTDATA("ITL",'ITL-PIVOT'!$A$3,"KV%",$A31,"Experiment",K$5,"date",K$6)=0,NA(),GETPIVOTDATA("ITL",'ITL-PIVOT'!$A$3,"KV%",$A31,"Experiment",K$5,"date",K$6))</f>
        <v>#N/A</v>
      </c>
      <c r="L31" t="e">
        <f>IF(GETPIVOTDATA("ITL",'ITL-PIVOT'!$A$3,"KV%",$A31,"Experiment",L$5,"date",L$6)=0,NA(),GETPIVOTDATA("ITL",'ITL-PIVOT'!$A$3,"KV%",$A31,"Experiment",L$5,"date",L$6))</f>
        <v>#N/A</v>
      </c>
      <c r="M31" t="e">
        <f>IF(GETPIVOTDATA("ITL",'ITL-PIVOT'!$A$3,"KV%",$A31,"Experiment",M$5,"date",M$6)=0,NA(),GETPIVOTDATA("ITL",'ITL-PIVOT'!$A$3,"KV%",$A31,"Experiment",M$5,"date",M$6))</f>
        <v>#N/A</v>
      </c>
    </row>
    <row r="32" spans="1:13" x14ac:dyDescent="0.25">
      <c r="A32">
        <f>IF('ITL-PIVOT'!A30=0,NA(),'ITL-PIVOT'!A30)</f>
        <v>6.355486595983105E-2</v>
      </c>
      <c r="B32" t="e">
        <f>IF(GETPIVOTDATA("ITL",'ITL-PIVOT'!$A$3,"KV%",$A32,"Experiment",B$5,"date",B$6)=0,NA(),GETPIVOTDATA("ITL",'ITL-PIVOT'!$A$3,"KV%",$A32,"Experiment",B$5,"date",B$6))</f>
        <v>#N/A</v>
      </c>
      <c r="C32" t="e">
        <f>IF(GETPIVOTDATA("ITL",'ITL-PIVOT'!$A$3,"KV%",$A32,"Experiment",C$5,"date",C$6)=0,NA(),GETPIVOTDATA("ITL",'ITL-PIVOT'!$A$3,"KV%",$A32,"Experiment",C$5,"date",C$6))</f>
        <v>#N/A</v>
      </c>
      <c r="D32" t="e">
        <f>IF(GETPIVOTDATA("ITL",'ITL-PIVOT'!$A$3,"KV%",$A32,"Experiment",D$5,"date",D$6)=0,NA(),GETPIVOTDATA("ITL",'ITL-PIVOT'!$A$3,"KV%",$A32,"Experiment",D$5,"date",D$6))</f>
        <v>#N/A</v>
      </c>
      <c r="E32" t="e">
        <f>IF(GETPIVOTDATA("ITL",'ITL-PIVOT'!$A$3,"KV%",$A32,"Experiment",E$5,"date",E$6)=0,NA(),GETPIVOTDATA("ITL",'ITL-PIVOT'!$A$3,"KV%",$A32,"Experiment",E$5,"date",E$6))</f>
        <v>#N/A</v>
      </c>
      <c r="F32" t="e">
        <f>IF(GETPIVOTDATA("ITL",'ITL-PIVOT'!$A$3,"KV%",$A32,"Experiment",F$5,"date",F$6)=0,NA(),GETPIVOTDATA("ITL",'ITL-PIVOT'!$A$3,"KV%",$A32,"Experiment",F$5,"date",F$6))</f>
        <v>#N/A</v>
      </c>
      <c r="G32" t="e">
        <f>IF(GETPIVOTDATA("ITL",'ITL-PIVOT'!$A$3,"KV%",$A32,"Experiment",G$5,"date",G$6)=0,NA(),GETPIVOTDATA("ITL",'ITL-PIVOT'!$A$3,"KV%",$A32,"Experiment",G$5,"date",G$6))</f>
        <v>#N/A</v>
      </c>
      <c r="H32">
        <f>IF(GETPIVOTDATA("ITL",'ITL-PIVOT'!$A$3,"KV%",$A32,"Experiment",H$5,"date",H$6)=0,NA(),GETPIVOTDATA("ITL",'ITL-PIVOT'!$A$3,"KV%",$A32,"Experiment",H$5,"date",H$6))</f>
        <v>1.086438303311912E-2</v>
      </c>
      <c r="I32" t="e">
        <f>IF(GETPIVOTDATA("ITL",'ITL-PIVOT'!$A$3,"KV%",$A32,"Experiment",I$5,"date",I$6)=0,NA(),GETPIVOTDATA("ITL",'ITL-PIVOT'!$A$3,"KV%",$A32,"Experiment",I$5,"date",I$6))</f>
        <v>#N/A</v>
      </c>
      <c r="J32" t="e">
        <f>IF(GETPIVOTDATA("ITL",'ITL-PIVOT'!$A$3,"KV%",$A32,"Experiment",J$5,"date",J$6)=0,NA(),GETPIVOTDATA("ITL",'ITL-PIVOT'!$A$3,"KV%",$A32,"Experiment",J$5,"date",J$6))</f>
        <v>#N/A</v>
      </c>
      <c r="K32" t="e">
        <f>IF(GETPIVOTDATA("ITL",'ITL-PIVOT'!$A$3,"KV%",$A32,"Experiment",K$5,"date",K$6)=0,NA(),GETPIVOTDATA("ITL",'ITL-PIVOT'!$A$3,"KV%",$A32,"Experiment",K$5,"date",K$6))</f>
        <v>#N/A</v>
      </c>
      <c r="L32" t="e">
        <f>IF(GETPIVOTDATA("ITL",'ITL-PIVOT'!$A$3,"KV%",$A32,"Experiment",L$5,"date",L$6)=0,NA(),GETPIVOTDATA("ITL",'ITL-PIVOT'!$A$3,"KV%",$A32,"Experiment",L$5,"date",L$6))</f>
        <v>#N/A</v>
      </c>
      <c r="M32" t="e">
        <f>IF(GETPIVOTDATA("ITL",'ITL-PIVOT'!$A$3,"KV%",$A32,"Experiment",M$5,"date",M$6)=0,NA(),GETPIVOTDATA("ITL",'ITL-PIVOT'!$A$3,"KV%",$A32,"Experiment",M$5,"date",M$6))</f>
        <v>#N/A</v>
      </c>
    </row>
    <row r="33" spans="1:13" x14ac:dyDescent="0.25">
      <c r="A33">
        <f>IF('ITL-PIVOT'!A31=0,NA(),'ITL-PIVOT'!A31)</f>
        <v>6.3885297244490422E-2</v>
      </c>
      <c r="B33" t="e">
        <f>IF(GETPIVOTDATA("ITL",'ITL-PIVOT'!$A$3,"KV%",$A33,"Experiment",B$5,"date",B$6)=0,NA(),GETPIVOTDATA("ITL",'ITL-PIVOT'!$A$3,"KV%",$A33,"Experiment",B$5,"date",B$6))</f>
        <v>#N/A</v>
      </c>
      <c r="C33" t="e">
        <f>IF(GETPIVOTDATA("ITL",'ITL-PIVOT'!$A$3,"KV%",$A33,"Experiment",C$5,"date",C$6)=0,NA(),GETPIVOTDATA("ITL",'ITL-PIVOT'!$A$3,"KV%",$A33,"Experiment",C$5,"date",C$6))</f>
        <v>#N/A</v>
      </c>
      <c r="D33" t="e">
        <f>IF(GETPIVOTDATA("ITL",'ITL-PIVOT'!$A$3,"KV%",$A33,"Experiment",D$5,"date",D$6)=0,NA(),GETPIVOTDATA("ITL",'ITL-PIVOT'!$A$3,"KV%",$A33,"Experiment",D$5,"date",D$6))</f>
        <v>#N/A</v>
      </c>
      <c r="E33" t="e">
        <f>IF(GETPIVOTDATA("ITL",'ITL-PIVOT'!$A$3,"KV%",$A33,"Experiment",E$5,"date",E$6)=0,NA(),GETPIVOTDATA("ITL",'ITL-PIVOT'!$A$3,"KV%",$A33,"Experiment",E$5,"date",E$6))</f>
        <v>#N/A</v>
      </c>
      <c r="F33" t="e">
        <f>IF(GETPIVOTDATA("ITL",'ITL-PIVOT'!$A$3,"KV%",$A33,"Experiment",F$5,"date",F$6)=0,NA(),GETPIVOTDATA("ITL",'ITL-PIVOT'!$A$3,"KV%",$A33,"Experiment",F$5,"date",F$6))</f>
        <v>#N/A</v>
      </c>
      <c r="G33" t="e">
        <f>IF(GETPIVOTDATA("ITL",'ITL-PIVOT'!$A$3,"KV%",$A33,"Experiment",G$5,"date",G$6)=0,NA(),GETPIVOTDATA("ITL",'ITL-PIVOT'!$A$3,"KV%",$A33,"Experiment",G$5,"date",G$6))</f>
        <v>#N/A</v>
      </c>
      <c r="H33" t="e">
        <f>IF(GETPIVOTDATA("ITL",'ITL-PIVOT'!$A$3,"KV%",$A33,"Experiment",H$5,"date",H$6)=0,NA(),GETPIVOTDATA("ITL",'ITL-PIVOT'!$A$3,"KV%",$A33,"Experiment",H$5,"date",H$6))</f>
        <v>#N/A</v>
      </c>
      <c r="I33">
        <f>IF(GETPIVOTDATA("ITL",'ITL-PIVOT'!$A$3,"KV%",$A33,"Experiment",I$5,"date",I$6)=0,NA(),GETPIVOTDATA("ITL",'ITL-PIVOT'!$A$3,"KV%",$A33,"Experiment",I$5,"date",I$6))</f>
        <v>1.128819261719761E-2</v>
      </c>
      <c r="J33" t="e">
        <f>IF(GETPIVOTDATA("ITL",'ITL-PIVOT'!$A$3,"KV%",$A33,"Experiment",J$5,"date",J$6)=0,NA(),GETPIVOTDATA("ITL",'ITL-PIVOT'!$A$3,"KV%",$A33,"Experiment",J$5,"date",J$6))</f>
        <v>#N/A</v>
      </c>
      <c r="K33" t="e">
        <f>IF(GETPIVOTDATA("ITL",'ITL-PIVOT'!$A$3,"KV%",$A33,"Experiment",K$5,"date",K$6)=0,NA(),GETPIVOTDATA("ITL",'ITL-PIVOT'!$A$3,"KV%",$A33,"Experiment",K$5,"date",K$6))</f>
        <v>#N/A</v>
      </c>
      <c r="L33" t="e">
        <f>IF(GETPIVOTDATA("ITL",'ITL-PIVOT'!$A$3,"KV%",$A33,"Experiment",L$5,"date",L$6)=0,NA(),GETPIVOTDATA("ITL",'ITL-PIVOT'!$A$3,"KV%",$A33,"Experiment",L$5,"date",L$6))</f>
        <v>#N/A</v>
      </c>
      <c r="M33" t="e">
        <f>IF(GETPIVOTDATA("ITL",'ITL-PIVOT'!$A$3,"KV%",$A33,"Experiment",M$5,"date",M$6)=0,NA(),GETPIVOTDATA("ITL",'ITL-PIVOT'!$A$3,"KV%",$A33,"Experiment",M$5,"date",M$6))</f>
        <v>#N/A</v>
      </c>
    </row>
    <row r="34" spans="1:13" x14ac:dyDescent="0.25">
      <c r="A34">
        <f>IF('ITL-PIVOT'!A32=0,NA(),'ITL-PIVOT'!A32)</f>
        <v>6.8267103410625515E-2</v>
      </c>
      <c r="B34" t="e">
        <f>IF(GETPIVOTDATA("ITL",'ITL-PIVOT'!$A$3,"KV%",$A34,"Experiment",B$5,"date",B$6)=0,NA(),GETPIVOTDATA("ITL",'ITL-PIVOT'!$A$3,"KV%",$A34,"Experiment",B$5,"date",B$6))</f>
        <v>#N/A</v>
      </c>
      <c r="C34" t="e">
        <f>IF(GETPIVOTDATA("ITL",'ITL-PIVOT'!$A$3,"KV%",$A34,"Experiment",C$5,"date",C$6)=0,NA(),GETPIVOTDATA("ITL",'ITL-PIVOT'!$A$3,"KV%",$A34,"Experiment",C$5,"date",C$6))</f>
        <v>#N/A</v>
      </c>
      <c r="D34" t="e">
        <f>IF(GETPIVOTDATA("ITL",'ITL-PIVOT'!$A$3,"KV%",$A34,"Experiment",D$5,"date",D$6)=0,NA(),GETPIVOTDATA("ITL",'ITL-PIVOT'!$A$3,"KV%",$A34,"Experiment",D$5,"date",D$6))</f>
        <v>#N/A</v>
      </c>
      <c r="E34" t="e">
        <f>IF(GETPIVOTDATA("ITL",'ITL-PIVOT'!$A$3,"KV%",$A34,"Experiment",E$5,"date",E$6)=0,NA(),GETPIVOTDATA("ITL",'ITL-PIVOT'!$A$3,"KV%",$A34,"Experiment",E$5,"date",E$6))</f>
        <v>#N/A</v>
      </c>
      <c r="F34" t="e">
        <f>IF(GETPIVOTDATA("ITL",'ITL-PIVOT'!$A$3,"KV%",$A34,"Experiment",F$5,"date",F$6)=0,NA(),GETPIVOTDATA("ITL",'ITL-PIVOT'!$A$3,"KV%",$A34,"Experiment",F$5,"date",F$6))</f>
        <v>#N/A</v>
      </c>
      <c r="G34" t="e">
        <f>IF(GETPIVOTDATA("ITL",'ITL-PIVOT'!$A$3,"KV%",$A34,"Experiment",G$5,"date",G$6)=0,NA(),GETPIVOTDATA("ITL",'ITL-PIVOT'!$A$3,"KV%",$A34,"Experiment",G$5,"date",G$6))</f>
        <v>#N/A</v>
      </c>
      <c r="H34" t="e">
        <f>IF(GETPIVOTDATA("ITL",'ITL-PIVOT'!$A$3,"KV%",$A34,"Experiment",H$5,"date",H$6)=0,NA(),GETPIVOTDATA("ITL",'ITL-PIVOT'!$A$3,"KV%",$A34,"Experiment",H$5,"date",H$6))</f>
        <v>#N/A</v>
      </c>
      <c r="I34" t="e">
        <f>IF(GETPIVOTDATA("ITL",'ITL-PIVOT'!$A$3,"KV%",$A34,"Experiment",I$5,"date",I$6)=0,NA(),GETPIVOTDATA("ITL",'ITL-PIVOT'!$A$3,"KV%",$A34,"Experiment",I$5,"date",I$6))</f>
        <v>#N/A</v>
      </c>
      <c r="J34" t="e">
        <f>IF(GETPIVOTDATA("ITL",'ITL-PIVOT'!$A$3,"KV%",$A34,"Experiment",J$5,"date",J$6)=0,NA(),GETPIVOTDATA("ITL",'ITL-PIVOT'!$A$3,"KV%",$A34,"Experiment",J$5,"date",J$6))</f>
        <v>#N/A</v>
      </c>
      <c r="K34" t="e">
        <f>IF(GETPIVOTDATA("ITL",'ITL-PIVOT'!$A$3,"KV%",$A34,"Experiment",K$5,"date",K$6)=0,NA(),GETPIVOTDATA("ITL",'ITL-PIVOT'!$A$3,"KV%",$A34,"Experiment",K$5,"date",K$6))</f>
        <v>#N/A</v>
      </c>
      <c r="L34" t="e">
        <f>IF(GETPIVOTDATA("ITL",'ITL-PIVOT'!$A$3,"KV%",$A34,"Experiment",L$5,"date",L$6)=0,NA(),GETPIVOTDATA("ITL",'ITL-PIVOT'!$A$3,"KV%",$A34,"Experiment",L$5,"date",L$6))</f>
        <v>#N/A</v>
      </c>
      <c r="M34">
        <f>IF(GETPIVOTDATA("ITL",'ITL-PIVOT'!$A$3,"KV%",$A34,"Experiment",M$5,"date",M$6)=0,NA(),GETPIVOTDATA("ITL",'ITL-PIVOT'!$A$3,"KV%",$A34,"Experiment",M$5,"date",M$6))</f>
        <v>1.4768636010278974E-2</v>
      </c>
    </row>
    <row r="35" spans="1:13" x14ac:dyDescent="0.25">
      <c r="A35">
        <f>IF('ITL-PIVOT'!A33=0,NA(),'ITL-PIVOT'!A33)</f>
        <v>6.8285948980057493E-2</v>
      </c>
      <c r="B35" t="e">
        <f>IF(GETPIVOTDATA("ITL",'ITL-PIVOT'!$A$3,"KV%",$A35,"Experiment",B$5,"date",B$6)=0,NA(),GETPIVOTDATA("ITL",'ITL-PIVOT'!$A$3,"KV%",$A35,"Experiment",B$5,"date",B$6))</f>
        <v>#N/A</v>
      </c>
      <c r="C35" t="e">
        <f>IF(GETPIVOTDATA("ITL",'ITL-PIVOT'!$A$3,"KV%",$A35,"Experiment",C$5,"date",C$6)=0,NA(),GETPIVOTDATA("ITL",'ITL-PIVOT'!$A$3,"KV%",$A35,"Experiment",C$5,"date",C$6))</f>
        <v>#N/A</v>
      </c>
      <c r="D35">
        <f>IF(GETPIVOTDATA("ITL",'ITL-PIVOT'!$A$3,"KV%",$A35,"Experiment",D$5,"date",D$6)=0,NA(),GETPIVOTDATA("ITL",'ITL-PIVOT'!$A$3,"KV%",$A35,"Experiment",D$5,"date",D$6))</f>
        <v>9.7737484105561365E-3</v>
      </c>
      <c r="E35" t="e">
        <f>IF(GETPIVOTDATA("ITL",'ITL-PIVOT'!$A$3,"KV%",$A35,"Experiment",E$5,"date",E$6)=0,NA(),GETPIVOTDATA("ITL",'ITL-PIVOT'!$A$3,"KV%",$A35,"Experiment",E$5,"date",E$6))</f>
        <v>#N/A</v>
      </c>
      <c r="F35" t="e">
        <f>IF(GETPIVOTDATA("ITL",'ITL-PIVOT'!$A$3,"KV%",$A35,"Experiment",F$5,"date",F$6)=0,NA(),GETPIVOTDATA("ITL",'ITL-PIVOT'!$A$3,"KV%",$A35,"Experiment",F$5,"date",F$6))</f>
        <v>#N/A</v>
      </c>
      <c r="G35" t="e">
        <f>IF(GETPIVOTDATA("ITL",'ITL-PIVOT'!$A$3,"KV%",$A35,"Experiment",G$5,"date",G$6)=0,NA(),GETPIVOTDATA("ITL",'ITL-PIVOT'!$A$3,"KV%",$A35,"Experiment",G$5,"date",G$6))</f>
        <v>#N/A</v>
      </c>
      <c r="H35" t="e">
        <f>IF(GETPIVOTDATA("ITL",'ITL-PIVOT'!$A$3,"KV%",$A35,"Experiment",H$5,"date",H$6)=0,NA(),GETPIVOTDATA("ITL",'ITL-PIVOT'!$A$3,"KV%",$A35,"Experiment",H$5,"date",H$6))</f>
        <v>#N/A</v>
      </c>
      <c r="I35" t="e">
        <f>IF(GETPIVOTDATA("ITL",'ITL-PIVOT'!$A$3,"KV%",$A35,"Experiment",I$5,"date",I$6)=0,NA(),GETPIVOTDATA("ITL",'ITL-PIVOT'!$A$3,"KV%",$A35,"Experiment",I$5,"date",I$6))</f>
        <v>#N/A</v>
      </c>
      <c r="J35" t="e">
        <f>IF(GETPIVOTDATA("ITL",'ITL-PIVOT'!$A$3,"KV%",$A35,"Experiment",J$5,"date",J$6)=0,NA(),GETPIVOTDATA("ITL",'ITL-PIVOT'!$A$3,"KV%",$A35,"Experiment",J$5,"date",J$6))</f>
        <v>#N/A</v>
      </c>
      <c r="K35" t="e">
        <f>IF(GETPIVOTDATA("ITL",'ITL-PIVOT'!$A$3,"KV%",$A35,"Experiment",K$5,"date",K$6)=0,NA(),GETPIVOTDATA("ITL",'ITL-PIVOT'!$A$3,"KV%",$A35,"Experiment",K$5,"date",K$6))</f>
        <v>#N/A</v>
      </c>
      <c r="L35" t="e">
        <f>IF(GETPIVOTDATA("ITL",'ITL-PIVOT'!$A$3,"KV%",$A35,"Experiment",L$5,"date",L$6)=0,NA(),GETPIVOTDATA("ITL",'ITL-PIVOT'!$A$3,"KV%",$A35,"Experiment",L$5,"date",L$6))</f>
        <v>#N/A</v>
      </c>
      <c r="M35" t="e">
        <f>IF(GETPIVOTDATA("ITL",'ITL-PIVOT'!$A$3,"KV%",$A35,"Experiment",M$5,"date",M$6)=0,NA(),GETPIVOTDATA("ITL",'ITL-PIVOT'!$A$3,"KV%",$A35,"Experiment",M$5,"date",M$6))</f>
        <v>#N/A</v>
      </c>
    </row>
    <row r="36" spans="1:13" x14ac:dyDescent="0.25">
      <c r="A36">
        <f>IF('ITL-PIVOT'!A34=0,NA(),'ITL-PIVOT'!A34)</f>
        <v>6.9947992989110142E-2</v>
      </c>
      <c r="B36" t="e">
        <f>IF(GETPIVOTDATA("ITL",'ITL-PIVOT'!$A$3,"KV%",$A36,"Experiment",B$5,"date",B$6)=0,NA(),GETPIVOTDATA("ITL",'ITL-PIVOT'!$A$3,"KV%",$A36,"Experiment",B$5,"date",B$6))</f>
        <v>#N/A</v>
      </c>
      <c r="C36" t="e">
        <f>IF(GETPIVOTDATA("ITL",'ITL-PIVOT'!$A$3,"KV%",$A36,"Experiment",C$5,"date",C$6)=0,NA(),GETPIVOTDATA("ITL",'ITL-PIVOT'!$A$3,"KV%",$A36,"Experiment",C$5,"date",C$6))</f>
        <v>#N/A</v>
      </c>
      <c r="D36" t="e">
        <f>IF(GETPIVOTDATA("ITL",'ITL-PIVOT'!$A$3,"KV%",$A36,"Experiment",D$5,"date",D$6)=0,NA(),GETPIVOTDATA("ITL",'ITL-PIVOT'!$A$3,"KV%",$A36,"Experiment",D$5,"date",D$6))</f>
        <v>#N/A</v>
      </c>
      <c r="E36" t="e">
        <f>IF(GETPIVOTDATA("ITL",'ITL-PIVOT'!$A$3,"KV%",$A36,"Experiment",E$5,"date",E$6)=0,NA(),GETPIVOTDATA("ITL",'ITL-PIVOT'!$A$3,"KV%",$A36,"Experiment",E$5,"date",E$6))</f>
        <v>#N/A</v>
      </c>
      <c r="F36" t="e">
        <f>IF(GETPIVOTDATA("ITL",'ITL-PIVOT'!$A$3,"KV%",$A36,"Experiment",F$5,"date",F$6)=0,NA(),GETPIVOTDATA("ITL",'ITL-PIVOT'!$A$3,"KV%",$A36,"Experiment",F$5,"date",F$6))</f>
        <v>#N/A</v>
      </c>
      <c r="G36" t="e">
        <f>IF(GETPIVOTDATA("ITL",'ITL-PIVOT'!$A$3,"KV%",$A36,"Experiment",G$5,"date",G$6)=0,NA(),GETPIVOTDATA("ITL",'ITL-PIVOT'!$A$3,"KV%",$A36,"Experiment",G$5,"date",G$6))</f>
        <v>#N/A</v>
      </c>
      <c r="H36" t="e">
        <f>IF(GETPIVOTDATA("ITL",'ITL-PIVOT'!$A$3,"KV%",$A36,"Experiment",H$5,"date",H$6)=0,NA(),GETPIVOTDATA("ITL",'ITL-PIVOT'!$A$3,"KV%",$A36,"Experiment",H$5,"date",H$6))</f>
        <v>#N/A</v>
      </c>
      <c r="I36">
        <f>IF(GETPIVOTDATA("ITL",'ITL-PIVOT'!$A$3,"KV%",$A36,"Experiment",I$5,"date",I$6)=0,NA(),GETPIVOTDATA("ITL",'ITL-PIVOT'!$A$3,"KV%",$A36,"Experiment",I$5,"date",I$6))</f>
        <v>1.0464462487309993E-2</v>
      </c>
      <c r="J36" t="e">
        <f>IF(GETPIVOTDATA("ITL",'ITL-PIVOT'!$A$3,"KV%",$A36,"Experiment",J$5,"date",J$6)=0,NA(),GETPIVOTDATA("ITL",'ITL-PIVOT'!$A$3,"KV%",$A36,"Experiment",J$5,"date",J$6))</f>
        <v>#N/A</v>
      </c>
      <c r="K36" t="e">
        <f>IF(GETPIVOTDATA("ITL",'ITL-PIVOT'!$A$3,"KV%",$A36,"Experiment",K$5,"date",K$6)=0,NA(),GETPIVOTDATA("ITL",'ITL-PIVOT'!$A$3,"KV%",$A36,"Experiment",K$5,"date",K$6))</f>
        <v>#N/A</v>
      </c>
      <c r="L36" t="e">
        <f>IF(GETPIVOTDATA("ITL",'ITL-PIVOT'!$A$3,"KV%",$A36,"Experiment",L$5,"date",L$6)=0,NA(),GETPIVOTDATA("ITL",'ITL-PIVOT'!$A$3,"KV%",$A36,"Experiment",L$5,"date",L$6))</f>
        <v>#N/A</v>
      </c>
      <c r="M36" t="e">
        <f>IF(GETPIVOTDATA("ITL",'ITL-PIVOT'!$A$3,"KV%",$A36,"Experiment",M$5,"date",M$6)=0,NA(),GETPIVOTDATA("ITL",'ITL-PIVOT'!$A$3,"KV%",$A36,"Experiment",M$5,"date",M$6))</f>
        <v>#N/A</v>
      </c>
    </row>
    <row r="37" spans="1:13" x14ac:dyDescent="0.25">
      <c r="A37">
        <f>IF('ITL-PIVOT'!A35=0,NA(),'ITL-PIVOT'!A35)</f>
        <v>7.1823118696664079E-2</v>
      </c>
      <c r="B37" t="e">
        <f>IF(GETPIVOTDATA("ITL",'ITL-PIVOT'!$A$3,"KV%",$A37,"Experiment",B$5,"date",B$6)=0,NA(),GETPIVOTDATA("ITL",'ITL-PIVOT'!$A$3,"KV%",$A37,"Experiment",B$5,"date",B$6))</f>
        <v>#N/A</v>
      </c>
      <c r="C37" t="e">
        <f>IF(GETPIVOTDATA("ITL",'ITL-PIVOT'!$A$3,"KV%",$A37,"Experiment",C$5,"date",C$6)=0,NA(),GETPIVOTDATA("ITL",'ITL-PIVOT'!$A$3,"KV%",$A37,"Experiment",C$5,"date",C$6))</f>
        <v>#N/A</v>
      </c>
      <c r="D37" t="e">
        <f>IF(GETPIVOTDATA("ITL",'ITL-PIVOT'!$A$3,"KV%",$A37,"Experiment",D$5,"date",D$6)=0,NA(),GETPIVOTDATA("ITL",'ITL-PIVOT'!$A$3,"KV%",$A37,"Experiment",D$5,"date",D$6))</f>
        <v>#N/A</v>
      </c>
      <c r="E37" t="e">
        <f>IF(GETPIVOTDATA("ITL",'ITL-PIVOT'!$A$3,"KV%",$A37,"Experiment",E$5,"date",E$6)=0,NA(),GETPIVOTDATA("ITL",'ITL-PIVOT'!$A$3,"KV%",$A37,"Experiment",E$5,"date",E$6))</f>
        <v>#N/A</v>
      </c>
      <c r="F37" t="e">
        <f>IF(GETPIVOTDATA("ITL",'ITL-PIVOT'!$A$3,"KV%",$A37,"Experiment",F$5,"date",F$6)=0,NA(),GETPIVOTDATA("ITL",'ITL-PIVOT'!$A$3,"KV%",$A37,"Experiment",F$5,"date",F$6))</f>
        <v>#N/A</v>
      </c>
      <c r="G37" t="e">
        <f>IF(GETPIVOTDATA("ITL",'ITL-PIVOT'!$A$3,"KV%",$A37,"Experiment",G$5,"date",G$6)=0,NA(),GETPIVOTDATA("ITL",'ITL-PIVOT'!$A$3,"KV%",$A37,"Experiment",G$5,"date",G$6))</f>
        <v>#N/A</v>
      </c>
      <c r="H37">
        <f>IF(GETPIVOTDATA("ITL",'ITL-PIVOT'!$A$3,"KV%",$A37,"Experiment",H$5,"date",H$6)=0,NA(),GETPIVOTDATA("ITL",'ITL-PIVOT'!$A$3,"KV%",$A37,"Experiment",H$5,"date",H$6))</f>
        <v>1.1404410581020489E-2</v>
      </c>
      <c r="I37" t="e">
        <f>IF(GETPIVOTDATA("ITL",'ITL-PIVOT'!$A$3,"KV%",$A37,"Experiment",I$5,"date",I$6)=0,NA(),GETPIVOTDATA("ITL",'ITL-PIVOT'!$A$3,"KV%",$A37,"Experiment",I$5,"date",I$6))</f>
        <v>#N/A</v>
      </c>
      <c r="J37" t="e">
        <f>IF(GETPIVOTDATA("ITL",'ITL-PIVOT'!$A$3,"KV%",$A37,"Experiment",J$5,"date",J$6)=0,NA(),GETPIVOTDATA("ITL",'ITL-PIVOT'!$A$3,"KV%",$A37,"Experiment",J$5,"date",J$6))</f>
        <v>#N/A</v>
      </c>
      <c r="K37" t="e">
        <f>IF(GETPIVOTDATA("ITL",'ITL-PIVOT'!$A$3,"KV%",$A37,"Experiment",K$5,"date",K$6)=0,NA(),GETPIVOTDATA("ITL",'ITL-PIVOT'!$A$3,"KV%",$A37,"Experiment",K$5,"date",K$6))</f>
        <v>#N/A</v>
      </c>
      <c r="L37" t="e">
        <f>IF(GETPIVOTDATA("ITL",'ITL-PIVOT'!$A$3,"KV%",$A37,"Experiment",L$5,"date",L$6)=0,NA(),GETPIVOTDATA("ITL",'ITL-PIVOT'!$A$3,"KV%",$A37,"Experiment",L$5,"date",L$6))</f>
        <v>#N/A</v>
      </c>
      <c r="M37" t="e">
        <f>IF(GETPIVOTDATA("ITL",'ITL-PIVOT'!$A$3,"KV%",$A37,"Experiment",M$5,"date",M$6)=0,NA(),GETPIVOTDATA("ITL",'ITL-PIVOT'!$A$3,"KV%",$A37,"Experiment",M$5,"date",M$6))</f>
        <v>#N/A</v>
      </c>
    </row>
    <row r="38" spans="1:13" x14ac:dyDescent="0.25">
      <c r="A38">
        <f>IF('ITL-PIVOT'!A36=0,NA(),'ITL-PIVOT'!A36)</f>
        <v>7.817315444408951E-2</v>
      </c>
      <c r="B38" t="e">
        <f>IF(GETPIVOTDATA("ITL",'ITL-PIVOT'!$A$3,"KV%",$A38,"Experiment",B$5,"date",B$6)=0,NA(),GETPIVOTDATA("ITL",'ITL-PIVOT'!$A$3,"KV%",$A38,"Experiment",B$5,"date",B$6))</f>
        <v>#N/A</v>
      </c>
      <c r="C38">
        <f>IF(GETPIVOTDATA("ITL",'ITL-PIVOT'!$A$3,"KV%",$A38,"Experiment",C$5,"date",C$6)=0,NA(),GETPIVOTDATA("ITL",'ITL-PIVOT'!$A$3,"KV%",$A38,"Experiment",C$5,"date",C$6))</f>
        <v>1.0746412006416907E-2</v>
      </c>
      <c r="D38" t="e">
        <f>IF(GETPIVOTDATA("ITL",'ITL-PIVOT'!$A$3,"KV%",$A38,"Experiment",D$5,"date",D$6)=0,NA(),GETPIVOTDATA("ITL",'ITL-PIVOT'!$A$3,"KV%",$A38,"Experiment",D$5,"date",D$6))</f>
        <v>#N/A</v>
      </c>
      <c r="E38" t="e">
        <f>IF(GETPIVOTDATA("ITL",'ITL-PIVOT'!$A$3,"KV%",$A38,"Experiment",E$5,"date",E$6)=0,NA(),GETPIVOTDATA("ITL",'ITL-PIVOT'!$A$3,"KV%",$A38,"Experiment",E$5,"date",E$6))</f>
        <v>#N/A</v>
      </c>
      <c r="F38" t="e">
        <f>IF(GETPIVOTDATA("ITL",'ITL-PIVOT'!$A$3,"KV%",$A38,"Experiment",F$5,"date",F$6)=0,NA(),GETPIVOTDATA("ITL",'ITL-PIVOT'!$A$3,"KV%",$A38,"Experiment",F$5,"date",F$6))</f>
        <v>#N/A</v>
      </c>
      <c r="G38" t="e">
        <f>IF(GETPIVOTDATA("ITL",'ITL-PIVOT'!$A$3,"KV%",$A38,"Experiment",G$5,"date",G$6)=0,NA(),GETPIVOTDATA("ITL",'ITL-PIVOT'!$A$3,"KV%",$A38,"Experiment",G$5,"date",G$6))</f>
        <v>#N/A</v>
      </c>
      <c r="H38" t="e">
        <f>IF(GETPIVOTDATA("ITL",'ITL-PIVOT'!$A$3,"KV%",$A38,"Experiment",H$5,"date",H$6)=0,NA(),GETPIVOTDATA("ITL",'ITL-PIVOT'!$A$3,"KV%",$A38,"Experiment",H$5,"date",H$6))</f>
        <v>#N/A</v>
      </c>
      <c r="I38" t="e">
        <f>IF(GETPIVOTDATA("ITL",'ITL-PIVOT'!$A$3,"KV%",$A38,"Experiment",I$5,"date",I$6)=0,NA(),GETPIVOTDATA("ITL",'ITL-PIVOT'!$A$3,"KV%",$A38,"Experiment",I$5,"date",I$6))</f>
        <v>#N/A</v>
      </c>
      <c r="J38" t="e">
        <f>IF(GETPIVOTDATA("ITL",'ITL-PIVOT'!$A$3,"KV%",$A38,"Experiment",J$5,"date",J$6)=0,NA(),GETPIVOTDATA("ITL",'ITL-PIVOT'!$A$3,"KV%",$A38,"Experiment",J$5,"date",J$6))</f>
        <v>#N/A</v>
      </c>
      <c r="K38" t="e">
        <f>IF(GETPIVOTDATA("ITL",'ITL-PIVOT'!$A$3,"KV%",$A38,"Experiment",K$5,"date",K$6)=0,NA(),GETPIVOTDATA("ITL",'ITL-PIVOT'!$A$3,"KV%",$A38,"Experiment",K$5,"date",K$6))</f>
        <v>#N/A</v>
      </c>
      <c r="L38" t="e">
        <f>IF(GETPIVOTDATA("ITL",'ITL-PIVOT'!$A$3,"KV%",$A38,"Experiment",L$5,"date",L$6)=0,NA(),GETPIVOTDATA("ITL",'ITL-PIVOT'!$A$3,"KV%",$A38,"Experiment",L$5,"date",L$6))</f>
        <v>#N/A</v>
      </c>
      <c r="M38" t="e">
        <f>IF(GETPIVOTDATA("ITL",'ITL-PIVOT'!$A$3,"KV%",$A38,"Experiment",M$5,"date",M$6)=0,NA(),GETPIVOTDATA("ITL",'ITL-PIVOT'!$A$3,"KV%",$A38,"Experiment",M$5,"date",M$6))</f>
        <v>#N/A</v>
      </c>
    </row>
    <row r="39" spans="1:13" x14ac:dyDescent="0.25">
      <c r="A39">
        <f>IF('ITL-PIVOT'!A37=0,NA(),'ITL-PIVOT'!A37)</f>
        <v>7.9329368157917426E-2</v>
      </c>
      <c r="B39" t="e">
        <f>IF(GETPIVOTDATA("ITL",'ITL-PIVOT'!$A$3,"KV%",$A39,"Experiment",B$5,"date",B$6)=0,NA(),GETPIVOTDATA("ITL",'ITL-PIVOT'!$A$3,"KV%",$A39,"Experiment",B$5,"date",B$6))</f>
        <v>#N/A</v>
      </c>
      <c r="C39" t="e">
        <f>IF(GETPIVOTDATA("ITL",'ITL-PIVOT'!$A$3,"KV%",$A39,"Experiment",C$5,"date",C$6)=0,NA(),GETPIVOTDATA("ITL",'ITL-PIVOT'!$A$3,"KV%",$A39,"Experiment",C$5,"date",C$6))</f>
        <v>#N/A</v>
      </c>
      <c r="D39" t="e">
        <f>IF(GETPIVOTDATA("ITL",'ITL-PIVOT'!$A$3,"KV%",$A39,"Experiment",D$5,"date",D$6)=0,NA(),GETPIVOTDATA("ITL",'ITL-PIVOT'!$A$3,"KV%",$A39,"Experiment",D$5,"date",D$6))</f>
        <v>#N/A</v>
      </c>
      <c r="E39" t="e">
        <f>IF(GETPIVOTDATA("ITL",'ITL-PIVOT'!$A$3,"KV%",$A39,"Experiment",E$5,"date",E$6)=0,NA(),GETPIVOTDATA("ITL",'ITL-PIVOT'!$A$3,"KV%",$A39,"Experiment",E$5,"date",E$6))</f>
        <v>#N/A</v>
      </c>
      <c r="F39" t="e">
        <f>IF(GETPIVOTDATA("ITL",'ITL-PIVOT'!$A$3,"KV%",$A39,"Experiment",F$5,"date",F$6)=0,NA(),GETPIVOTDATA("ITL",'ITL-PIVOT'!$A$3,"KV%",$A39,"Experiment",F$5,"date",F$6))</f>
        <v>#N/A</v>
      </c>
      <c r="G39" t="e">
        <f>IF(GETPIVOTDATA("ITL",'ITL-PIVOT'!$A$3,"KV%",$A39,"Experiment",G$5,"date",G$6)=0,NA(),GETPIVOTDATA("ITL",'ITL-PIVOT'!$A$3,"KV%",$A39,"Experiment",G$5,"date",G$6))</f>
        <v>#N/A</v>
      </c>
      <c r="H39" t="e">
        <f>IF(GETPIVOTDATA("ITL",'ITL-PIVOT'!$A$3,"KV%",$A39,"Experiment",H$5,"date",H$6)=0,NA(),GETPIVOTDATA("ITL",'ITL-PIVOT'!$A$3,"KV%",$A39,"Experiment",H$5,"date",H$6))</f>
        <v>#N/A</v>
      </c>
      <c r="I39" t="e">
        <f>IF(GETPIVOTDATA("ITL",'ITL-PIVOT'!$A$3,"KV%",$A39,"Experiment",I$5,"date",I$6)=0,NA(),GETPIVOTDATA("ITL",'ITL-PIVOT'!$A$3,"KV%",$A39,"Experiment",I$5,"date",I$6))</f>
        <v>#N/A</v>
      </c>
      <c r="J39" t="e">
        <f>IF(GETPIVOTDATA("ITL",'ITL-PIVOT'!$A$3,"KV%",$A39,"Experiment",J$5,"date",J$6)=0,NA(),GETPIVOTDATA("ITL",'ITL-PIVOT'!$A$3,"KV%",$A39,"Experiment",J$5,"date",J$6))</f>
        <v>#N/A</v>
      </c>
      <c r="K39" t="e">
        <f>IF(GETPIVOTDATA("ITL",'ITL-PIVOT'!$A$3,"KV%",$A39,"Experiment",K$5,"date",K$6)=0,NA(),GETPIVOTDATA("ITL",'ITL-PIVOT'!$A$3,"KV%",$A39,"Experiment",K$5,"date",K$6))</f>
        <v>#N/A</v>
      </c>
      <c r="L39" t="e">
        <f>IF(GETPIVOTDATA("ITL",'ITL-PIVOT'!$A$3,"KV%",$A39,"Experiment",L$5,"date",L$6)=0,NA(),GETPIVOTDATA("ITL",'ITL-PIVOT'!$A$3,"KV%",$A39,"Experiment",L$5,"date",L$6))</f>
        <v>#N/A</v>
      </c>
      <c r="M39">
        <f>IF(GETPIVOTDATA("ITL",'ITL-PIVOT'!$A$3,"KV%",$A39,"Experiment",M$5,"date",M$6)=0,NA(),GETPIVOTDATA("ITL",'ITL-PIVOT'!$A$3,"KV%",$A39,"Experiment",M$5,"date",M$6))</f>
        <v>1.5918493463828256E-2</v>
      </c>
    </row>
    <row r="40" spans="1:13" x14ac:dyDescent="0.25">
      <c r="A40">
        <f>IF('ITL-PIVOT'!A38=0,NA(),'ITL-PIVOT'!A38)</f>
        <v>8.0174122920437893E-2</v>
      </c>
      <c r="B40" t="e">
        <f>IF(GETPIVOTDATA("ITL",'ITL-PIVOT'!$A$3,"KV%",$A40,"Experiment",B$5,"date",B$6)=0,NA(),GETPIVOTDATA("ITL",'ITL-PIVOT'!$A$3,"KV%",$A40,"Experiment",B$5,"date",B$6))</f>
        <v>#N/A</v>
      </c>
      <c r="C40" t="e">
        <f>IF(GETPIVOTDATA("ITL",'ITL-PIVOT'!$A$3,"KV%",$A40,"Experiment",C$5,"date",C$6)=0,NA(),GETPIVOTDATA("ITL",'ITL-PIVOT'!$A$3,"KV%",$A40,"Experiment",C$5,"date",C$6))</f>
        <v>#N/A</v>
      </c>
      <c r="D40" t="e">
        <f>IF(GETPIVOTDATA("ITL",'ITL-PIVOT'!$A$3,"KV%",$A40,"Experiment",D$5,"date",D$6)=0,NA(),GETPIVOTDATA("ITL",'ITL-PIVOT'!$A$3,"KV%",$A40,"Experiment",D$5,"date",D$6))</f>
        <v>#N/A</v>
      </c>
      <c r="E40" t="e">
        <f>IF(GETPIVOTDATA("ITL",'ITL-PIVOT'!$A$3,"KV%",$A40,"Experiment",E$5,"date",E$6)=0,NA(),GETPIVOTDATA("ITL",'ITL-PIVOT'!$A$3,"KV%",$A40,"Experiment",E$5,"date",E$6))</f>
        <v>#N/A</v>
      </c>
      <c r="F40" t="e">
        <f>IF(GETPIVOTDATA("ITL",'ITL-PIVOT'!$A$3,"KV%",$A40,"Experiment",F$5,"date",F$6)=0,NA(),GETPIVOTDATA("ITL",'ITL-PIVOT'!$A$3,"KV%",$A40,"Experiment",F$5,"date",F$6))</f>
        <v>#N/A</v>
      </c>
      <c r="G40" t="e">
        <f>IF(GETPIVOTDATA("ITL",'ITL-PIVOT'!$A$3,"KV%",$A40,"Experiment",G$5,"date",G$6)=0,NA(),GETPIVOTDATA("ITL",'ITL-PIVOT'!$A$3,"KV%",$A40,"Experiment",G$5,"date",G$6))</f>
        <v>#N/A</v>
      </c>
      <c r="H40" t="e">
        <f>IF(GETPIVOTDATA("ITL",'ITL-PIVOT'!$A$3,"KV%",$A40,"Experiment",H$5,"date",H$6)=0,NA(),GETPIVOTDATA("ITL",'ITL-PIVOT'!$A$3,"KV%",$A40,"Experiment",H$5,"date",H$6))</f>
        <v>#N/A</v>
      </c>
      <c r="I40">
        <f>IF(GETPIVOTDATA("ITL",'ITL-PIVOT'!$A$3,"KV%",$A40,"Experiment",I$5,"date",I$6)=0,NA(),GETPIVOTDATA("ITL",'ITL-PIVOT'!$A$3,"KV%",$A40,"Experiment",I$5,"date",I$6))</f>
        <v>1.1873789179147687E-2</v>
      </c>
      <c r="J40" t="e">
        <f>IF(GETPIVOTDATA("ITL",'ITL-PIVOT'!$A$3,"KV%",$A40,"Experiment",J$5,"date",J$6)=0,NA(),GETPIVOTDATA("ITL",'ITL-PIVOT'!$A$3,"KV%",$A40,"Experiment",J$5,"date",J$6))</f>
        <v>#N/A</v>
      </c>
      <c r="K40" t="e">
        <f>IF(GETPIVOTDATA("ITL",'ITL-PIVOT'!$A$3,"KV%",$A40,"Experiment",K$5,"date",K$6)=0,NA(),GETPIVOTDATA("ITL",'ITL-PIVOT'!$A$3,"KV%",$A40,"Experiment",K$5,"date",K$6))</f>
        <v>#N/A</v>
      </c>
      <c r="L40" t="e">
        <f>IF(GETPIVOTDATA("ITL",'ITL-PIVOT'!$A$3,"KV%",$A40,"Experiment",L$5,"date",L$6)=0,NA(),GETPIVOTDATA("ITL",'ITL-PIVOT'!$A$3,"KV%",$A40,"Experiment",L$5,"date",L$6))</f>
        <v>#N/A</v>
      </c>
      <c r="M40" t="e">
        <f>IF(GETPIVOTDATA("ITL",'ITL-PIVOT'!$A$3,"KV%",$A40,"Experiment",M$5,"date",M$6)=0,NA(),GETPIVOTDATA("ITL",'ITL-PIVOT'!$A$3,"KV%",$A40,"Experiment",M$5,"date",M$6))</f>
        <v>#N/A</v>
      </c>
    </row>
    <row r="41" spans="1:13" x14ac:dyDescent="0.25">
      <c r="A41">
        <f>IF('ITL-PIVOT'!A39=0,NA(),'ITL-PIVOT'!A39)</f>
        <v>8.0536160675803811E-2</v>
      </c>
      <c r="B41" t="e">
        <f>IF(GETPIVOTDATA("ITL",'ITL-PIVOT'!$A$3,"KV%",$A41,"Experiment",B$5,"date",B$6)=0,NA(),GETPIVOTDATA("ITL",'ITL-PIVOT'!$A$3,"KV%",$A41,"Experiment",B$5,"date",B$6))</f>
        <v>#N/A</v>
      </c>
      <c r="C41" t="e">
        <f>IF(GETPIVOTDATA("ITL",'ITL-PIVOT'!$A$3,"KV%",$A41,"Experiment",C$5,"date",C$6)=0,NA(),GETPIVOTDATA("ITL",'ITL-PIVOT'!$A$3,"KV%",$A41,"Experiment",C$5,"date",C$6))</f>
        <v>#N/A</v>
      </c>
      <c r="D41" t="e">
        <f>IF(GETPIVOTDATA("ITL",'ITL-PIVOT'!$A$3,"KV%",$A41,"Experiment",D$5,"date",D$6)=0,NA(),GETPIVOTDATA("ITL",'ITL-PIVOT'!$A$3,"KV%",$A41,"Experiment",D$5,"date",D$6))</f>
        <v>#N/A</v>
      </c>
      <c r="E41" t="e">
        <f>IF(GETPIVOTDATA("ITL",'ITL-PIVOT'!$A$3,"KV%",$A41,"Experiment",E$5,"date",E$6)=0,NA(),GETPIVOTDATA("ITL",'ITL-PIVOT'!$A$3,"KV%",$A41,"Experiment",E$5,"date",E$6))</f>
        <v>#N/A</v>
      </c>
      <c r="F41" t="e">
        <f>IF(GETPIVOTDATA("ITL",'ITL-PIVOT'!$A$3,"KV%",$A41,"Experiment",F$5,"date",F$6)=0,NA(),GETPIVOTDATA("ITL",'ITL-PIVOT'!$A$3,"KV%",$A41,"Experiment",F$5,"date",F$6))</f>
        <v>#N/A</v>
      </c>
      <c r="G41" t="e">
        <f>IF(GETPIVOTDATA("ITL",'ITL-PIVOT'!$A$3,"KV%",$A41,"Experiment",G$5,"date",G$6)=0,NA(),GETPIVOTDATA("ITL",'ITL-PIVOT'!$A$3,"KV%",$A41,"Experiment",G$5,"date",G$6))</f>
        <v>#N/A</v>
      </c>
      <c r="H41" t="e">
        <f>IF(GETPIVOTDATA("ITL",'ITL-PIVOT'!$A$3,"KV%",$A41,"Experiment",H$5,"date",H$6)=0,NA(),GETPIVOTDATA("ITL",'ITL-PIVOT'!$A$3,"KV%",$A41,"Experiment",H$5,"date",H$6))</f>
        <v>#N/A</v>
      </c>
      <c r="I41" t="e">
        <f>IF(GETPIVOTDATA("ITL",'ITL-PIVOT'!$A$3,"KV%",$A41,"Experiment",I$5,"date",I$6)=0,NA(),GETPIVOTDATA("ITL",'ITL-PIVOT'!$A$3,"KV%",$A41,"Experiment",I$5,"date",I$6))</f>
        <v>#N/A</v>
      </c>
      <c r="J41" t="e">
        <f>IF(GETPIVOTDATA("ITL",'ITL-PIVOT'!$A$3,"KV%",$A41,"Experiment",J$5,"date",J$6)=0,NA(),GETPIVOTDATA("ITL",'ITL-PIVOT'!$A$3,"KV%",$A41,"Experiment",J$5,"date",J$6))</f>
        <v>#N/A</v>
      </c>
      <c r="K41" t="e">
        <f>IF(GETPIVOTDATA("ITL",'ITL-PIVOT'!$A$3,"KV%",$A41,"Experiment",K$5,"date",K$6)=0,NA(),GETPIVOTDATA("ITL",'ITL-PIVOT'!$A$3,"KV%",$A41,"Experiment",K$5,"date",K$6))</f>
        <v>#N/A</v>
      </c>
      <c r="L41" t="e">
        <f>IF(GETPIVOTDATA("ITL",'ITL-PIVOT'!$A$3,"KV%",$A41,"Experiment",L$5,"date",L$6)=0,NA(),GETPIVOTDATA("ITL",'ITL-PIVOT'!$A$3,"KV%",$A41,"Experiment",L$5,"date",L$6))</f>
        <v>#N/A</v>
      </c>
      <c r="M41">
        <f>IF(GETPIVOTDATA("ITL",'ITL-PIVOT'!$A$3,"KV%",$A41,"Experiment",M$5,"date",M$6)=0,NA(),GETPIVOTDATA("ITL",'ITL-PIVOT'!$A$3,"KV%",$A41,"Experiment",M$5,"date",M$6))</f>
        <v>1.5086350243453263E-2</v>
      </c>
    </row>
    <row r="42" spans="1:13" x14ac:dyDescent="0.25">
      <c r="A42">
        <f>IF('ITL-PIVOT'!A40=0,NA(),'ITL-PIVOT'!A40)</f>
        <v>8.0896043444530635E-2</v>
      </c>
      <c r="B42">
        <f>IF(GETPIVOTDATA("ITL",'ITL-PIVOT'!$A$3,"KV%",$A42,"Experiment",B$5,"date",B$6)=0,NA(),GETPIVOTDATA("ITL",'ITL-PIVOT'!$A$3,"KV%",$A42,"Experiment",B$5,"date",B$6))</f>
        <v>1.1071213533300241E-2</v>
      </c>
      <c r="C42" t="e">
        <f>IF(GETPIVOTDATA("ITL",'ITL-PIVOT'!$A$3,"KV%",$A42,"Experiment",C$5,"date",C$6)=0,NA(),GETPIVOTDATA("ITL",'ITL-PIVOT'!$A$3,"KV%",$A42,"Experiment",C$5,"date",C$6))</f>
        <v>#N/A</v>
      </c>
      <c r="D42" t="e">
        <f>IF(GETPIVOTDATA("ITL",'ITL-PIVOT'!$A$3,"KV%",$A42,"Experiment",D$5,"date",D$6)=0,NA(),GETPIVOTDATA("ITL",'ITL-PIVOT'!$A$3,"KV%",$A42,"Experiment",D$5,"date",D$6))</f>
        <v>#N/A</v>
      </c>
      <c r="E42" t="e">
        <f>IF(GETPIVOTDATA("ITL",'ITL-PIVOT'!$A$3,"KV%",$A42,"Experiment",E$5,"date",E$6)=0,NA(),GETPIVOTDATA("ITL",'ITL-PIVOT'!$A$3,"KV%",$A42,"Experiment",E$5,"date",E$6))</f>
        <v>#N/A</v>
      </c>
      <c r="F42" t="e">
        <f>IF(GETPIVOTDATA("ITL",'ITL-PIVOT'!$A$3,"KV%",$A42,"Experiment",F$5,"date",F$6)=0,NA(),GETPIVOTDATA("ITL",'ITL-PIVOT'!$A$3,"KV%",$A42,"Experiment",F$5,"date",F$6))</f>
        <v>#N/A</v>
      </c>
      <c r="G42" t="e">
        <f>IF(GETPIVOTDATA("ITL",'ITL-PIVOT'!$A$3,"KV%",$A42,"Experiment",G$5,"date",G$6)=0,NA(),GETPIVOTDATA("ITL",'ITL-PIVOT'!$A$3,"KV%",$A42,"Experiment",G$5,"date",G$6))</f>
        <v>#N/A</v>
      </c>
      <c r="H42" t="e">
        <f>IF(GETPIVOTDATA("ITL",'ITL-PIVOT'!$A$3,"KV%",$A42,"Experiment",H$5,"date",H$6)=0,NA(),GETPIVOTDATA("ITL",'ITL-PIVOT'!$A$3,"KV%",$A42,"Experiment",H$5,"date",H$6))</f>
        <v>#N/A</v>
      </c>
      <c r="I42" t="e">
        <f>IF(GETPIVOTDATA("ITL",'ITL-PIVOT'!$A$3,"KV%",$A42,"Experiment",I$5,"date",I$6)=0,NA(),GETPIVOTDATA("ITL",'ITL-PIVOT'!$A$3,"KV%",$A42,"Experiment",I$5,"date",I$6))</f>
        <v>#N/A</v>
      </c>
      <c r="J42" t="e">
        <f>IF(GETPIVOTDATA("ITL",'ITL-PIVOT'!$A$3,"KV%",$A42,"Experiment",J$5,"date",J$6)=0,NA(),GETPIVOTDATA("ITL",'ITL-PIVOT'!$A$3,"KV%",$A42,"Experiment",J$5,"date",J$6))</f>
        <v>#N/A</v>
      </c>
      <c r="K42" t="e">
        <f>IF(GETPIVOTDATA("ITL",'ITL-PIVOT'!$A$3,"KV%",$A42,"Experiment",K$5,"date",K$6)=0,NA(),GETPIVOTDATA("ITL",'ITL-PIVOT'!$A$3,"KV%",$A42,"Experiment",K$5,"date",K$6))</f>
        <v>#N/A</v>
      </c>
      <c r="L42" t="e">
        <f>IF(GETPIVOTDATA("ITL",'ITL-PIVOT'!$A$3,"KV%",$A42,"Experiment",L$5,"date",L$6)=0,NA(),GETPIVOTDATA("ITL",'ITL-PIVOT'!$A$3,"KV%",$A42,"Experiment",L$5,"date",L$6))</f>
        <v>#N/A</v>
      </c>
      <c r="M42" t="e">
        <f>IF(GETPIVOTDATA("ITL",'ITL-PIVOT'!$A$3,"KV%",$A42,"Experiment",M$5,"date",M$6)=0,NA(),GETPIVOTDATA("ITL",'ITL-PIVOT'!$A$3,"KV%",$A42,"Experiment",M$5,"date",M$6))</f>
        <v>#N/A</v>
      </c>
    </row>
    <row r="43" spans="1:13" x14ac:dyDescent="0.25">
      <c r="A43">
        <f>IF('ITL-PIVOT'!A41=0,NA(),'ITL-PIVOT'!A41)</f>
        <v>8.4433992759244889E-2</v>
      </c>
      <c r="B43" t="e">
        <f>IF(GETPIVOTDATA("ITL",'ITL-PIVOT'!$A$3,"KV%",$A43,"Experiment",B$5,"date",B$6)=0,NA(),GETPIVOTDATA("ITL",'ITL-PIVOT'!$A$3,"KV%",$A43,"Experiment",B$5,"date",B$6))</f>
        <v>#N/A</v>
      </c>
      <c r="C43" t="e">
        <f>IF(GETPIVOTDATA("ITL",'ITL-PIVOT'!$A$3,"KV%",$A43,"Experiment",C$5,"date",C$6)=0,NA(),GETPIVOTDATA("ITL",'ITL-PIVOT'!$A$3,"KV%",$A43,"Experiment",C$5,"date",C$6))</f>
        <v>#N/A</v>
      </c>
      <c r="D43" t="e">
        <f>IF(GETPIVOTDATA("ITL",'ITL-PIVOT'!$A$3,"KV%",$A43,"Experiment",D$5,"date",D$6)=0,NA(),GETPIVOTDATA("ITL",'ITL-PIVOT'!$A$3,"KV%",$A43,"Experiment",D$5,"date",D$6))</f>
        <v>#N/A</v>
      </c>
      <c r="E43" t="e">
        <f>IF(GETPIVOTDATA("ITL",'ITL-PIVOT'!$A$3,"KV%",$A43,"Experiment",E$5,"date",E$6)=0,NA(),GETPIVOTDATA("ITL",'ITL-PIVOT'!$A$3,"KV%",$A43,"Experiment",E$5,"date",E$6))</f>
        <v>#N/A</v>
      </c>
      <c r="F43" t="e">
        <f>IF(GETPIVOTDATA("ITL",'ITL-PIVOT'!$A$3,"KV%",$A43,"Experiment",F$5,"date",F$6)=0,NA(),GETPIVOTDATA("ITL",'ITL-PIVOT'!$A$3,"KV%",$A43,"Experiment",F$5,"date",F$6))</f>
        <v>#N/A</v>
      </c>
      <c r="G43" t="e">
        <f>IF(GETPIVOTDATA("ITL",'ITL-PIVOT'!$A$3,"KV%",$A43,"Experiment",G$5,"date",G$6)=0,NA(),GETPIVOTDATA("ITL",'ITL-PIVOT'!$A$3,"KV%",$A43,"Experiment",G$5,"date",G$6))</f>
        <v>#N/A</v>
      </c>
      <c r="H43" t="e">
        <f>IF(GETPIVOTDATA("ITL",'ITL-PIVOT'!$A$3,"KV%",$A43,"Experiment",H$5,"date",H$6)=0,NA(),GETPIVOTDATA("ITL",'ITL-PIVOT'!$A$3,"KV%",$A43,"Experiment",H$5,"date",H$6))</f>
        <v>#N/A</v>
      </c>
      <c r="I43" t="e">
        <f>IF(GETPIVOTDATA("ITL",'ITL-PIVOT'!$A$3,"KV%",$A43,"Experiment",I$5,"date",I$6)=0,NA(),GETPIVOTDATA("ITL",'ITL-PIVOT'!$A$3,"KV%",$A43,"Experiment",I$5,"date",I$6))</f>
        <v>#N/A</v>
      </c>
      <c r="J43">
        <f>IF(GETPIVOTDATA("ITL",'ITL-PIVOT'!$A$3,"KV%",$A43,"Experiment",J$5,"date",J$6)=0,NA(),GETPIVOTDATA("ITL",'ITL-PIVOT'!$A$3,"KV%",$A43,"Experiment",J$5,"date",J$6))</f>
        <v>1.1154069304209259E-2</v>
      </c>
      <c r="K43" t="e">
        <f>IF(GETPIVOTDATA("ITL",'ITL-PIVOT'!$A$3,"KV%",$A43,"Experiment",K$5,"date",K$6)=0,NA(),GETPIVOTDATA("ITL",'ITL-PIVOT'!$A$3,"KV%",$A43,"Experiment",K$5,"date",K$6))</f>
        <v>#N/A</v>
      </c>
      <c r="L43" t="e">
        <f>IF(GETPIVOTDATA("ITL",'ITL-PIVOT'!$A$3,"KV%",$A43,"Experiment",L$5,"date",L$6)=0,NA(),GETPIVOTDATA("ITL",'ITL-PIVOT'!$A$3,"KV%",$A43,"Experiment",L$5,"date",L$6))</f>
        <v>#N/A</v>
      </c>
      <c r="M43" t="e">
        <f>IF(GETPIVOTDATA("ITL",'ITL-PIVOT'!$A$3,"KV%",$A43,"Experiment",M$5,"date",M$6)=0,NA(),GETPIVOTDATA("ITL",'ITL-PIVOT'!$A$3,"KV%",$A43,"Experiment",M$5,"date",M$6))</f>
        <v>#N/A</v>
      </c>
    </row>
    <row r="44" spans="1:13" x14ac:dyDescent="0.25">
      <c r="A44">
        <f>IF('ITL-PIVOT'!A42=0,NA(),'ITL-PIVOT'!A42)</f>
        <v>8.5151280062063614E-2</v>
      </c>
      <c r="B44" t="e">
        <f>IF(GETPIVOTDATA("ITL",'ITL-PIVOT'!$A$3,"KV%",$A44,"Experiment",B$5,"date",B$6)=0,NA(),GETPIVOTDATA("ITL",'ITL-PIVOT'!$A$3,"KV%",$A44,"Experiment",B$5,"date",B$6))</f>
        <v>#N/A</v>
      </c>
      <c r="C44" t="e">
        <f>IF(GETPIVOTDATA("ITL",'ITL-PIVOT'!$A$3,"KV%",$A44,"Experiment",C$5,"date",C$6)=0,NA(),GETPIVOTDATA("ITL",'ITL-PIVOT'!$A$3,"KV%",$A44,"Experiment",C$5,"date",C$6))</f>
        <v>#N/A</v>
      </c>
      <c r="D44" t="e">
        <f>IF(GETPIVOTDATA("ITL",'ITL-PIVOT'!$A$3,"KV%",$A44,"Experiment",D$5,"date",D$6)=0,NA(),GETPIVOTDATA("ITL",'ITL-PIVOT'!$A$3,"KV%",$A44,"Experiment",D$5,"date",D$6))</f>
        <v>#N/A</v>
      </c>
      <c r="E44">
        <f>IF(GETPIVOTDATA("ITL",'ITL-PIVOT'!$A$3,"KV%",$A44,"Experiment",E$5,"date",E$6)=0,NA(),GETPIVOTDATA("ITL",'ITL-PIVOT'!$A$3,"KV%",$A44,"Experiment",E$5,"date",E$6))</f>
        <v>1.1780866166576431E-2</v>
      </c>
      <c r="F44" t="e">
        <f>IF(GETPIVOTDATA("ITL",'ITL-PIVOT'!$A$3,"KV%",$A44,"Experiment",F$5,"date",F$6)=0,NA(),GETPIVOTDATA("ITL",'ITL-PIVOT'!$A$3,"KV%",$A44,"Experiment",F$5,"date",F$6))</f>
        <v>#N/A</v>
      </c>
      <c r="G44" t="e">
        <f>IF(GETPIVOTDATA("ITL",'ITL-PIVOT'!$A$3,"KV%",$A44,"Experiment",G$5,"date",G$6)=0,NA(),GETPIVOTDATA("ITL",'ITL-PIVOT'!$A$3,"KV%",$A44,"Experiment",G$5,"date",G$6))</f>
        <v>#N/A</v>
      </c>
      <c r="H44" t="e">
        <f>IF(GETPIVOTDATA("ITL",'ITL-PIVOT'!$A$3,"KV%",$A44,"Experiment",H$5,"date",H$6)=0,NA(),GETPIVOTDATA("ITL",'ITL-PIVOT'!$A$3,"KV%",$A44,"Experiment",H$5,"date",H$6))</f>
        <v>#N/A</v>
      </c>
      <c r="I44" t="e">
        <f>IF(GETPIVOTDATA("ITL",'ITL-PIVOT'!$A$3,"KV%",$A44,"Experiment",I$5,"date",I$6)=0,NA(),GETPIVOTDATA("ITL",'ITL-PIVOT'!$A$3,"KV%",$A44,"Experiment",I$5,"date",I$6))</f>
        <v>#N/A</v>
      </c>
      <c r="J44" t="e">
        <f>IF(GETPIVOTDATA("ITL",'ITL-PIVOT'!$A$3,"KV%",$A44,"Experiment",J$5,"date",J$6)=0,NA(),GETPIVOTDATA("ITL",'ITL-PIVOT'!$A$3,"KV%",$A44,"Experiment",J$5,"date",J$6))</f>
        <v>#N/A</v>
      </c>
      <c r="K44" t="e">
        <f>IF(GETPIVOTDATA("ITL",'ITL-PIVOT'!$A$3,"KV%",$A44,"Experiment",K$5,"date",K$6)=0,NA(),GETPIVOTDATA("ITL",'ITL-PIVOT'!$A$3,"KV%",$A44,"Experiment",K$5,"date",K$6))</f>
        <v>#N/A</v>
      </c>
      <c r="L44" t="e">
        <f>IF(GETPIVOTDATA("ITL",'ITL-PIVOT'!$A$3,"KV%",$A44,"Experiment",L$5,"date",L$6)=0,NA(),GETPIVOTDATA("ITL",'ITL-PIVOT'!$A$3,"KV%",$A44,"Experiment",L$5,"date",L$6))</f>
        <v>#N/A</v>
      </c>
      <c r="M44" t="e">
        <f>IF(GETPIVOTDATA("ITL",'ITL-PIVOT'!$A$3,"KV%",$A44,"Experiment",M$5,"date",M$6)=0,NA(),GETPIVOTDATA("ITL",'ITL-PIVOT'!$A$3,"KV%",$A44,"Experiment",M$5,"date",M$6))</f>
        <v>#N/A</v>
      </c>
    </row>
    <row r="45" spans="1:13" x14ac:dyDescent="0.25">
      <c r="A45">
        <f>IF('ITL-PIVOT'!A43=0,NA(),'ITL-PIVOT'!A43)</f>
        <v>8.9103956555469377E-2</v>
      </c>
      <c r="B45" t="e">
        <f>IF(GETPIVOTDATA("ITL",'ITL-PIVOT'!$A$3,"KV%",$A45,"Experiment",B$5,"date",B$6)=0,NA(),GETPIVOTDATA("ITL",'ITL-PIVOT'!$A$3,"KV%",$A45,"Experiment",B$5,"date",B$6))</f>
        <v>#N/A</v>
      </c>
      <c r="C45" t="e">
        <f>IF(GETPIVOTDATA("ITL",'ITL-PIVOT'!$A$3,"KV%",$A45,"Experiment",C$5,"date",C$6)=0,NA(),GETPIVOTDATA("ITL",'ITL-PIVOT'!$A$3,"KV%",$A45,"Experiment",C$5,"date",C$6))</f>
        <v>#N/A</v>
      </c>
      <c r="D45" t="e">
        <f>IF(GETPIVOTDATA("ITL",'ITL-PIVOT'!$A$3,"KV%",$A45,"Experiment",D$5,"date",D$6)=0,NA(),GETPIVOTDATA("ITL",'ITL-PIVOT'!$A$3,"KV%",$A45,"Experiment",D$5,"date",D$6))</f>
        <v>#N/A</v>
      </c>
      <c r="E45" t="e">
        <f>IF(GETPIVOTDATA("ITL",'ITL-PIVOT'!$A$3,"KV%",$A45,"Experiment",E$5,"date",E$6)=0,NA(),GETPIVOTDATA("ITL",'ITL-PIVOT'!$A$3,"KV%",$A45,"Experiment",E$5,"date",E$6))</f>
        <v>#N/A</v>
      </c>
      <c r="F45" t="e">
        <f>IF(GETPIVOTDATA("ITL",'ITL-PIVOT'!$A$3,"KV%",$A45,"Experiment",F$5,"date",F$6)=0,NA(),GETPIVOTDATA("ITL",'ITL-PIVOT'!$A$3,"KV%",$A45,"Experiment",F$5,"date",F$6))</f>
        <v>#N/A</v>
      </c>
      <c r="G45" t="e">
        <f>IF(GETPIVOTDATA("ITL",'ITL-PIVOT'!$A$3,"KV%",$A45,"Experiment",G$5,"date",G$6)=0,NA(),GETPIVOTDATA("ITL",'ITL-PIVOT'!$A$3,"KV%",$A45,"Experiment",G$5,"date",G$6))</f>
        <v>#N/A</v>
      </c>
      <c r="H45">
        <f>IF(GETPIVOTDATA("ITL",'ITL-PIVOT'!$A$3,"KV%",$A45,"Experiment",H$5,"date",H$6)=0,NA(),GETPIVOTDATA("ITL",'ITL-PIVOT'!$A$3,"KV%",$A45,"Experiment",H$5,"date",H$6))</f>
        <v>1.3399499060221923E-2</v>
      </c>
      <c r="I45" t="e">
        <f>IF(GETPIVOTDATA("ITL",'ITL-PIVOT'!$A$3,"KV%",$A45,"Experiment",I$5,"date",I$6)=0,NA(),GETPIVOTDATA("ITL",'ITL-PIVOT'!$A$3,"KV%",$A45,"Experiment",I$5,"date",I$6))</f>
        <v>#N/A</v>
      </c>
      <c r="J45" t="e">
        <f>IF(GETPIVOTDATA("ITL",'ITL-PIVOT'!$A$3,"KV%",$A45,"Experiment",J$5,"date",J$6)=0,NA(),GETPIVOTDATA("ITL",'ITL-PIVOT'!$A$3,"KV%",$A45,"Experiment",J$5,"date",J$6))</f>
        <v>#N/A</v>
      </c>
      <c r="K45" t="e">
        <f>IF(GETPIVOTDATA("ITL",'ITL-PIVOT'!$A$3,"KV%",$A45,"Experiment",K$5,"date",K$6)=0,NA(),GETPIVOTDATA("ITL",'ITL-PIVOT'!$A$3,"KV%",$A45,"Experiment",K$5,"date",K$6))</f>
        <v>#N/A</v>
      </c>
      <c r="L45" t="e">
        <f>IF(GETPIVOTDATA("ITL",'ITL-PIVOT'!$A$3,"KV%",$A45,"Experiment",L$5,"date",L$6)=0,NA(),GETPIVOTDATA("ITL",'ITL-PIVOT'!$A$3,"KV%",$A45,"Experiment",L$5,"date",L$6))</f>
        <v>#N/A</v>
      </c>
      <c r="M45" t="e">
        <f>IF(GETPIVOTDATA("ITL",'ITL-PIVOT'!$A$3,"KV%",$A45,"Experiment",M$5,"date",M$6)=0,NA(),GETPIVOTDATA("ITL",'ITL-PIVOT'!$A$3,"KV%",$A45,"Experiment",M$5,"date",M$6))</f>
        <v>#N/A</v>
      </c>
    </row>
    <row r="46" spans="1:13" x14ac:dyDescent="0.25">
      <c r="A46">
        <f>IF('ITL-PIVOT'!A44=0,NA(),'ITL-PIVOT'!A44)</f>
        <v>9.3204608798092115E-2</v>
      </c>
      <c r="B46" t="e">
        <f>IF(GETPIVOTDATA("ITL",'ITL-PIVOT'!$A$3,"KV%",$A46,"Experiment",B$5,"date",B$6)=0,NA(),GETPIVOTDATA("ITL",'ITL-PIVOT'!$A$3,"KV%",$A46,"Experiment",B$5,"date",B$6))</f>
        <v>#N/A</v>
      </c>
      <c r="C46" t="e">
        <f>IF(GETPIVOTDATA("ITL",'ITL-PIVOT'!$A$3,"KV%",$A46,"Experiment",C$5,"date",C$6)=0,NA(),GETPIVOTDATA("ITL",'ITL-PIVOT'!$A$3,"KV%",$A46,"Experiment",C$5,"date",C$6))</f>
        <v>#N/A</v>
      </c>
      <c r="D46" t="e">
        <f>IF(GETPIVOTDATA("ITL",'ITL-PIVOT'!$A$3,"KV%",$A46,"Experiment",D$5,"date",D$6)=0,NA(),GETPIVOTDATA("ITL",'ITL-PIVOT'!$A$3,"KV%",$A46,"Experiment",D$5,"date",D$6))</f>
        <v>#N/A</v>
      </c>
      <c r="E46" t="e">
        <f>IF(GETPIVOTDATA("ITL",'ITL-PIVOT'!$A$3,"KV%",$A46,"Experiment",E$5,"date",E$6)=0,NA(),GETPIVOTDATA("ITL",'ITL-PIVOT'!$A$3,"KV%",$A46,"Experiment",E$5,"date",E$6))</f>
        <v>#N/A</v>
      </c>
      <c r="F46" t="e">
        <f>IF(GETPIVOTDATA("ITL",'ITL-PIVOT'!$A$3,"KV%",$A46,"Experiment",F$5,"date",F$6)=0,NA(),GETPIVOTDATA("ITL",'ITL-PIVOT'!$A$3,"KV%",$A46,"Experiment",F$5,"date",F$6))</f>
        <v>#N/A</v>
      </c>
      <c r="G46" t="e">
        <f>IF(GETPIVOTDATA("ITL",'ITL-PIVOT'!$A$3,"KV%",$A46,"Experiment",G$5,"date",G$6)=0,NA(),GETPIVOTDATA("ITL",'ITL-PIVOT'!$A$3,"KV%",$A46,"Experiment",G$5,"date",G$6))</f>
        <v>#N/A</v>
      </c>
      <c r="H46" t="e">
        <f>IF(GETPIVOTDATA("ITL",'ITL-PIVOT'!$A$3,"KV%",$A46,"Experiment",H$5,"date",H$6)=0,NA(),GETPIVOTDATA("ITL",'ITL-PIVOT'!$A$3,"KV%",$A46,"Experiment",H$5,"date",H$6))</f>
        <v>#N/A</v>
      </c>
      <c r="I46">
        <f>IF(GETPIVOTDATA("ITL",'ITL-PIVOT'!$A$3,"KV%",$A46,"Experiment",I$5,"date",I$6)=0,NA(),GETPIVOTDATA("ITL",'ITL-PIVOT'!$A$3,"KV%",$A46,"Experiment",I$5,"date",I$6))</f>
        <v>1.42198915768788E-2</v>
      </c>
      <c r="J46" t="e">
        <f>IF(GETPIVOTDATA("ITL",'ITL-PIVOT'!$A$3,"KV%",$A46,"Experiment",J$5,"date",J$6)=0,NA(),GETPIVOTDATA("ITL",'ITL-PIVOT'!$A$3,"KV%",$A46,"Experiment",J$5,"date",J$6))</f>
        <v>#N/A</v>
      </c>
      <c r="K46" t="e">
        <f>IF(GETPIVOTDATA("ITL",'ITL-PIVOT'!$A$3,"KV%",$A46,"Experiment",K$5,"date",K$6)=0,NA(),GETPIVOTDATA("ITL",'ITL-PIVOT'!$A$3,"KV%",$A46,"Experiment",K$5,"date",K$6))</f>
        <v>#N/A</v>
      </c>
      <c r="L46" t="e">
        <f>IF(GETPIVOTDATA("ITL",'ITL-PIVOT'!$A$3,"KV%",$A46,"Experiment",L$5,"date",L$6)=0,NA(),GETPIVOTDATA("ITL",'ITL-PIVOT'!$A$3,"KV%",$A46,"Experiment",L$5,"date",L$6))</f>
        <v>#N/A</v>
      </c>
      <c r="M46" t="e">
        <f>IF(GETPIVOTDATA("ITL",'ITL-PIVOT'!$A$3,"KV%",$A46,"Experiment",M$5,"date",M$6)=0,NA(),GETPIVOTDATA("ITL",'ITL-PIVOT'!$A$3,"KV%",$A46,"Experiment",M$5,"date",M$6))</f>
        <v>#N/A</v>
      </c>
    </row>
    <row r="47" spans="1:13" x14ac:dyDescent="0.25">
      <c r="A47">
        <f>IF('ITL-PIVOT'!A45=0,NA(),'ITL-PIVOT'!A45)</f>
        <v>9.50714187924976E-2</v>
      </c>
      <c r="B47" t="e">
        <f>IF(GETPIVOTDATA("ITL",'ITL-PIVOT'!$A$3,"KV%",$A47,"Experiment",B$5,"date",B$6)=0,NA(),GETPIVOTDATA("ITL",'ITL-PIVOT'!$A$3,"KV%",$A47,"Experiment",B$5,"date",B$6))</f>
        <v>#N/A</v>
      </c>
      <c r="C47" t="e">
        <f>IF(GETPIVOTDATA("ITL",'ITL-PIVOT'!$A$3,"KV%",$A47,"Experiment",C$5,"date",C$6)=0,NA(),GETPIVOTDATA("ITL",'ITL-PIVOT'!$A$3,"KV%",$A47,"Experiment",C$5,"date",C$6))</f>
        <v>#N/A</v>
      </c>
      <c r="D47" t="e">
        <f>IF(GETPIVOTDATA("ITL",'ITL-PIVOT'!$A$3,"KV%",$A47,"Experiment",D$5,"date",D$6)=0,NA(),GETPIVOTDATA("ITL",'ITL-PIVOT'!$A$3,"KV%",$A47,"Experiment",D$5,"date",D$6))</f>
        <v>#N/A</v>
      </c>
      <c r="E47" t="e">
        <f>IF(GETPIVOTDATA("ITL",'ITL-PIVOT'!$A$3,"KV%",$A47,"Experiment",E$5,"date",E$6)=0,NA(),GETPIVOTDATA("ITL",'ITL-PIVOT'!$A$3,"KV%",$A47,"Experiment",E$5,"date",E$6))</f>
        <v>#N/A</v>
      </c>
      <c r="F47">
        <f>IF(GETPIVOTDATA("ITL",'ITL-PIVOT'!$A$3,"KV%",$A47,"Experiment",F$5,"date",F$6)=0,NA(),GETPIVOTDATA("ITL",'ITL-PIVOT'!$A$3,"KV%",$A47,"Experiment",F$5,"date",F$6))</f>
        <v>1.1342318018871873E-2</v>
      </c>
      <c r="G47" t="e">
        <f>IF(GETPIVOTDATA("ITL",'ITL-PIVOT'!$A$3,"KV%",$A47,"Experiment",G$5,"date",G$6)=0,NA(),GETPIVOTDATA("ITL",'ITL-PIVOT'!$A$3,"KV%",$A47,"Experiment",G$5,"date",G$6))</f>
        <v>#N/A</v>
      </c>
      <c r="H47" t="e">
        <f>IF(GETPIVOTDATA("ITL",'ITL-PIVOT'!$A$3,"KV%",$A47,"Experiment",H$5,"date",H$6)=0,NA(),GETPIVOTDATA("ITL",'ITL-PIVOT'!$A$3,"KV%",$A47,"Experiment",H$5,"date",H$6))</f>
        <v>#N/A</v>
      </c>
      <c r="I47" t="e">
        <f>IF(GETPIVOTDATA("ITL",'ITL-PIVOT'!$A$3,"KV%",$A47,"Experiment",I$5,"date",I$6)=0,NA(),GETPIVOTDATA("ITL",'ITL-PIVOT'!$A$3,"KV%",$A47,"Experiment",I$5,"date",I$6))</f>
        <v>#N/A</v>
      </c>
      <c r="J47" t="e">
        <f>IF(GETPIVOTDATA("ITL",'ITL-PIVOT'!$A$3,"KV%",$A47,"Experiment",J$5,"date",J$6)=0,NA(),GETPIVOTDATA("ITL",'ITL-PIVOT'!$A$3,"KV%",$A47,"Experiment",J$5,"date",J$6))</f>
        <v>#N/A</v>
      </c>
      <c r="K47" t="e">
        <f>IF(GETPIVOTDATA("ITL",'ITL-PIVOT'!$A$3,"KV%",$A47,"Experiment",K$5,"date",K$6)=0,NA(),GETPIVOTDATA("ITL",'ITL-PIVOT'!$A$3,"KV%",$A47,"Experiment",K$5,"date",K$6))</f>
        <v>#N/A</v>
      </c>
      <c r="L47" t="e">
        <f>IF(GETPIVOTDATA("ITL",'ITL-PIVOT'!$A$3,"KV%",$A47,"Experiment",L$5,"date",L$6)=0,NA(),GETPIVOTDATA("ITL",'ITL-PIVOT'!$A$3,"KV%",$A47,"Experiment",L$5,"date",L$6))</f>
        <v>#N/A</v>
      </c>
      <c r="M47" t="e">
        <f>IF(GETPIVOTDATA("ITL",'ITL-PIVOT'!$A$3,"KV%",$A47,"Experiment",M$5,"date",M$6)=0,NA(),GETPIVOTDATA("ITL",'ITL-PIVOT'!$A$3,"KV%",$A47,"Experiment",M$5,"date",M$6))</f>
        <v>#N/A</v>
      </c>
    </row>
    <row r="48" spans="1:13" x14ac:dyDescent="0.25">
      <c r="A48">
        <f>IF('ITL-PIVOT'!A46=0,NA(),'ITL-PIVOT'!A46)</f>
        <v>9.5996896819239702E-2</v>
      </c>
      <c r="B48" t="e">
        <f>IF(GETPIVOTDATA("ITL",'ITL-PIVOT'!$A$3,"KV%",$A48,"Experiment",B$5,"date",B$6)=0,NA(),GETPIVOTDATA("ITL",'ITL-PIVOT'!$A$3,"KV%",$A48,"Experiment",B$5,"date",B$6))</f>
        <v>#N/A</v>
      </c>
      <c r="C48" t="e">
        <f>IF(GETPIVOTDATA("ITL",'ITL-PIVOT'!$A$3,"KV%",$A48,"Experiment",C$5,"date",C$6)=0,NA(),GETPIVOTDATA("ITL",'ITL-PIVOT'!$A$3,"KV%",$A48,"Experiment",C$5,"date",C$6))</f>
        <v>#N/A</v>
      </c>
      <c r="D48" t="e">
        <f>IF(GETPIVOTDATA("ITL",'ITL-PIVOT'!$A$3,"KV%",$A48,"Experiment",D$5,"date",D$6)=0,NA(),GETPIVOTDATA("ITL",'ITL-PIVOT'!$A$3,"KV%",$A48,"Experiment",D$5,"date",D$6))</f>
        <v>#N/A</v>
      </c>
      <c r="E48">
        <f>IF(GETPIVOTDATA("ITL",'ITL-PIVOT'!$A$3,"KV%",$A48,"Experiment",E$5,"date",E$6)=0,NA(),GETPIVOTDATA("ITL",'ITL-PIVOT'!$A$3,"KV%",$A48,"Experiment",E$5,"date",E$6))</f>
        <v>1.1676885233167225E-2</v>
      </c>
      <c r="F48" t="e">
        <f>IF(GETPIVOTDATA("ITL",'ITL-PIVOT'!$A$3,"KV%",$A48,"Experiment",F$5,"date",F$6)=0,NA(),GETPIVOTDATA("ITL",'ITL-PIVOT'!$A$3,"KV%",$A48,"Experiment",F$5,"date",F$6))</f>
        <v>#N/A</v>
      </c>
      <c r="G48" t="e">
        <f>IF(GETPIVOTDATA("ITL",'ITL-PIVOT'!$A$3,"KV%",$A48,"Experiment",G$5,"date",G$6)=0,NA(),GETPIVOTDATA("ITL",'ITL-PIVOT'!$A$3,"KV%",$A48,"Experiment",G$5,"date",G$6))</f>
        <v>#N/A</v>
      </c>
      <c r="H48" t="e">
        <f>IF(GETPIVOTDATA("ITL",'ITL-PIVOT'!$A$3,"KV%",$A48,"Experiment",H$5,"date",H$6)=0,NA(),GETPIVOTDATA("ITL",'ITL-PIVOT'!$A$3,"KV%",$A48,"Experiment",H$5,"date",H$6))</f>
        <v>#N/A</v>
      </c>
      <c r="I48" t="e">
        <f>IF(GETPIVOTDATA("ITL",'ITL-PIVOT'!$A$3,"KV%",$A48,"Experiment",I$5,"date",I$6)=0,NA(),GETPIVOTDATA("ITL",'ITL-PIVOT'!$A$3,"KV%",$A48,"Experiment",I$5,"date",I$6))</f>
        <v>#N/A</v>
      </c>
      <c r="J48" t="e">
        <f>IF(GETPIVOTDATA("ITL",'ITL-PIVOT'!$A$3,"KV%",$A48,"Experiment",J$5,"date",J$6)=0,NA(),GETPIVOTDATA("ITL",'ITL-PIVOT'!$A$3,"KV%",$A48,"Experiment",J$5,"date",J$6))</f>
        <v>#N/A</v>
      </c>
      <c r="K48" t="e">
        <f>IF(GETPIVOTDATA("ITL",'ITL-PIVOT'!$A$3,"KV%",$A48,"Experiment",K$5,"date",K$6)=0,NA(),GETPIVOTDATA("ITL",'ITL-PIVOT'!$A$3,"KV%",$A48,"Experiment",K$5,"date",K$6))</f>
        <v>#N/A</v>
      </c>
      <c r="L48" t="e">
        <f>IF(GETPIVOTDATA("ITL",'ITL-PIVOT'!$A$3,"KV%",$A48,"Experiment",L$5,"date",L$6)=0,NA(),GETPIVOTDATA("ITL",'ITL-PIVOT'!$A$3,"KV%",$A48,"Experiment",L$5,"date",L$6))</f>
        <v>#N/A</v>
      </c>
      <c r="M48" t="e">
        <f>IF(GETPIVOTDATA("ITL",'ITL-PIVOT'!$A$3,"KV%",$A48,"Experiment",M$5,"date",M$6)=0,NA(),GETPIVOTDATA("ITL",'ITL-PIVOT'!$A$3,"KV%",$A48,"Experiment",M$5,"date",M$6))</f>
        <v>#N/A</v>
      </c>
    </row>
    <row r="49" spans="1:13" x14ac:dyDescent="0.25">
      <c r="A49">
        <f>IF('ITL-PIVOT'!A47=0,NA(),'ITL-PIVOT'!A47)</f>
        <v>9.6761055081458491E-2</v>
      </c>
      <c r="B49" t="e">
        <f>IF(GETPIVOTDATA("ITL",'ITL-PIVOT'!$A$3,"KV%",$A49,"Experiment",B$5,"date",B$6)=0,NA(),GETPIVOTDATA("ITL",'ITL-PIVOT'!$A$3,"KV%",$A49,"Experiment",B$5,"date",B$6))</f>
        <v>#N/A</v>
      </c>
      <c r="C49" t="e">
        <f>IF(GETPIVOTDATA("ITL",'ITL-PIVOT'!$A$3,"KV%",$A49,"Experiment",C$5,"date",C$6)=0,NA(),GETPIVOTDATA("ITL",'ITL-PIVOT'!$A$3,"KV%",$A49,"Experiment",C$5,"date",C$6))</f>
        <v>#N/A</v>
      </c>
      <c r="D49" t="e">
        <f>IF(GETPIVOTDATA("ITL",'ITL-PIVOT'!$A$3,"KV%",$A49,"Experiment",D$5,"date",D$6)=0,NA(),GETPIVOTDATA("ITL",'ITL-PIVOT'!$A$3,"KV%",$A49,"Experiment",D$5,"date",D$6))</f>
        <v>#N/A</v>
      </c>
      <c r="E49" t="e">
        <f>IF(GETPIVOTDATA("ITL",'ITL-PIVOT'!$A$3,"KV%",$A49,"Experiment",E$5,"date",E$6)=0,NA(),GETPIVOTDATA("ITL",'ITL-PIVOT'!$A$3,"KV%",$A49,"Experiment",E$5,"date",E$6))</f>
        <v>#N/A</v>
      </c>
      <c r="F49" t="e">
        <f>IF(GETPIVOTDATA("ITL",'ITL-PIVOT'!$A$3,"KV%",$A49,"Experiment",F$5,"date",F$6)=0,NA(),GETPIVOTDATA("ITL",'ITL-PIVOT'!$A$3,"KV%",$A49,"Experiment",F$5,"date",F$6))</f>
        <v>#N/A</v>
      </c>
      <c r="G49" t="e">
        <f>IF(GETPIVOTDATA("ITL",'ITL-PIVOT'!$A$3,"KV%",$A49,"Experiment",G$5,"date",G$6)=0,NA(),GETPIVOTDATA("ITL",'ITL-PIVOT'!$A$3,"KV%",$A49,"Experiment",G$5,"date",G$6))</f>
        <v>#N/A</v>
      </c>
      <c r="H49">
        <f>IF(GETPIVOTDATA("ITL",'ITL-PIVOT'!$A$3,"KV%",$A49,"Experiment",H$5,"date",H$6)=0,NA(),GETPIVOTDATA("ITL",'ITL-PIVOT'!$A$3,"KV%",$A49,"Experiment",H$5,"date",H$6))</f>
        <v>1.3324501686882279E-2</v>
      </c>
      <c r="I49" t="e">
        <f>IF(GETPIVOTDATA("ITL",'ITL-PIVOT'!$A$3,"KV%",$A49,"Experiment",I$5,"date",I$6)=0,NA(),GETPIVOTDATA("ITL",'ITL-PIVOT'!$A$3,"KV%",$A49,"Experiment",I$5,"date",I$6))</f>
        <v>#N/A</v>
      </c>
      <c r="J49" t="e">
        <f>IF(GETPIVOTDATA("ITL",'ITL-PIVOT'!$A$3,"KV%",$A49,"Experiment",J$5,"date",J$6)=0,NA(),GETPIVOTDATA("ITL",'ITL-PIVOT'!$A$3,"KV%",$A49,"Experiment",J$5,"date",J$6))</f>
        <v>#N/A</v>
      </c>
      <c r="K49" t="e">
        <f>IF(GETPIVOTDATA("ITL",'ITL-PIVOT'!$A$3,"KV%",$A49,"Experiment",K$5,"date",K$6)=0,NA(),GETPIVOTDATA("ITL",'ITL-PIVOT'!$A$3,"KV%",$A49,"Experiment",K$5,"date",K$6))</f>
        <v>#N/A</v>
      </c>
      <c r="L49" t="e">
        <f>IF(GETPIVOTDATA("ITL",'ITL-PIVOT'!$A$3,"KV%",$A49,"Experiment",L$5,"date",L$6)=0,NA(),GETPIVOTDATA("ITL",'ITL-PIVOT'!$A$3,"KV%",$A49,"Experiment",L$5,"date",L$6))</f>
        <v>#N/A</v>
      </c>
      <c r="M49" t="e">
        <f>IF(GETPIVOTDATA("ITL",'ITL-PIVOT'!$A$3,"KV%",$A49,"Experiment",M$5,"date",M$6)=0,NA(),GETPIVOTDATA("ITL",'ITL-PIVOT'!$A$3,"KV%",$A49,"Experiment",M$5,"date",M$6))</f>
        <v>#N/A</v>
      </c>
    </row>
    <row r="50" spans="1:13" x14ac:dyDescent="0.25">
      <c r="A50">
        <f>IF('ITL-PIVOT'!A48=0,NA(),'ITL-PIVOT'!A48)</f>
        <v>9.8829461963218179E-2</v>
      </c>
      <c r="B50" t="e">
        <f>IF(GETPIVOTDATA("ITL",'ITL-PIVOT'!$A$3,"KV%",$A50,"Experiment",B$5,"date",B$6)=0,NA(),GETPIVOTDATA("ITL",'ITL-PIVOT'!$A$3,"KV%",$A50,"Experiment",B$5,"date",B$6))</f>
        <v>#N/A</v>
      </c>
      <c r="C50" t="e">
        <f>IF(GETPIVOTDATA("ITL",'ITL-PIVOT'!$A$3,"KV%",$A50,"Experiment",C$5,"date",C$6)=0,NA(),GETPIVOTDATA("ITL",'ITL-PIVOT'!$A$3,"KV%",$A50,"Experiment",C$5,"date",C$6))</f>
        <v>#N/A</v>
      </c>
      <c r="D50">
        <f>IF(GETPIVOTDATA("ITL",'ITL-PIVOT'!$A$3,"KV%",$A50,"Experiment",D$5,"date",D$6)=0,NA(),GETPIVOTDATA("ITL",'ITL-PIVOT'!$A$3,"KV%",$A50,"Experiment",D$5,"date",D$6))</f>
        <v>1.0705457534636925E-2</v>
      </c>
      <c r="E50" t="e">
        <f>IF(GETPIVOTDATA("ITL",'ITL-PIVOT'!$A$3,"KV%",$A50,"Experiment",E$5,"date",E$6)=0,NA(),GETPIVOTDATA("ITL",'ITL-PIVOT'!$A$3,"KV%",$A50,"Experiment",E$5,"date",E$6))</f>
        <v>#N/A</v>
      </c>
      <c r="F50" t="e">
        <f>IF(GETPIVOTDATA("ITL",'ITL-PIVOT'!$A$3,"KV%",$A50,"Experiment",F$5,"date",F$6)=0,NA(),GETPIVOTDATA("ITL",'ITL-PIVOT'!$A$3,"KV%",$A50,"Experiment",F$5,"date",F$6))</f>
        <v>#N/A</v>
      </c>
      <c r="G50" t="e">
        <f>IF(GETPIVOTDATA("ITL",'ITL-PIVOT'!$A$3,"KV%",$A50,"Experiment",G$5,"date",G$6)=0,NA(),GETPIVOTDATA("ITL",'ITL-PIVOT'!$A$3,"KV%",$A50,"Experiment",G$5,"date",G$6))</f>
        <v>#N/A</v>
      </c>
      <c r="H50" t="e">
        <f>IF(GETPIVOTDATA("ITL",'ITL-PIVOT'!$A$3,"KV%",$A50,"Experiment",H$5,"date",H$6)=0,NA(),GETPIVOTDATA("ITL",'ITL-PIVOT'!$A$3,"KV%",$A50,"Experiment",H$5,"date",H$6))</f>
        <v>#N/A</v>
      </c>
      <c r="I50" t="e">
        <f>IF(GETPIVOTDATA("ITL",'ITL-PIVOT'!$A$3,"KV%",$A50,"Experiment",I$5,"date",I$6)=0,NA(),GETPIVOTDATA("ITL",'ITL-PIVOT'!$A$3,"KV%",$A50,"Experiment",I$5,"date",I$6))</f>
        <v>#N/A</v>
      </c>
      <c r="J50" t="e">
        <f>IF(GETPIVOTDATA("ITL",'ITL-PIVOT'!$A$3,"KV%",$A50,"Experiment",J$5,"date",J$6)=0,NA(),GETPIVOTDATA("ITL",'ITL-PIVOT'!$A$3,"KV%",$A50,"Experiment",J$5,"date",J$6))</f>
        <v>#N/A</v>
      </c>
      <c r="K50" t="e">
        <f>IF(GETPIVOTDATA("ITL",'ITL-PIVOT'!$A$3,"KV%",$A50,"Experiment",K$5,"date",K$6)=0,NA(),GETPIVOTDATA("ITL",'ITL-PIVOT'!$A$3,"KV%",$A50,"Experiment",K$5,"date",K$6))</f>
        <v>#N/A</v>
      </c>
      <c r="L50" t="e">
        <f>IF(GETPIVOTDATA("ITL",'ITL-PIVOT'!$A$3,"KV%",$A50,"Experiment",L$5,"date",L$6)=0,NA(),GETPIVOTDATA("ITL",'ITL-PIVOT'!$A$3,"KV%",$A50,"Experiment",L$5,"date",L$6))</f>
        <v>#N/A</v>
      </c>
      <c r="M50" t="e">
        <f>IF(GETPIVOTDATA("ITL",'ITL-PIVOT'!$A$3,"KV%",$A50,"Experiment",M$5,"date",M$6)=0,NA(),GETPIVOTDATA("ITL",'ITL-PIVOT'!$A$3,"KV%",$A50,"Experiment",M$5,"date",M$6))</f>
        <v>#N/A</v>
      </c>
    </row>
    <row r="51" spans="1:13" x14ac:dyDescent="0.25">
      <c r="A51">
        <f>IF('ITL-PIVOT'!A49=0,NA(),'ITL-PIVOT'!A49)</f>
        <v>0.1015458437491021</v>
      </c>
      <c r="B51" t="e">
        <f>IF(GETPIVOTDATA("ITL",'ITL-PIVOT'!$A$3,"KV%",$A51,"Experiment",B$5,"date",B$6)=0,NA(),GETPIVOTDATA("ITL",'ITL-PIVOT'!$A$3,"KV%",$A51,"Experiment",B$5,"date",B$6))</f>
        <v>#N/A</v>
      </c>
      <c r="C51" t="e">
        <f>IF(GETPIVOTDATA("ITL",'ITL-PIVOT'!$A$3,"KV%",$A51,"Experiment",C$5,"date",C$6)=0,NA(),GETPIVOTDATA("ITL",'ITL-PIVOT'!$A$3,"KV%",$A51,"Experiment",C$5,"date",C$6))</f>
        <v>#N/A</v>
      </c>
      <c r="D51" t="e">
        <f>IF(GETPIVOTDATA("ITL",'ITL-PIVOT'!$A$3,"KV%",$A51,"Experiment",D$5,"date",D$6)=0,NA(),GETPIVOTDATA("ITL",'ITL-PIVOT'!$A$3,"KV%",$A51,"Experiment",D$5,"date",D$6))</f>
        <v>#N/A</v>
      </c>
      <c r="E51" t="e">
        <f>IF(GETPIVOTDATA("ITL",'ITL-PIVOT'!$A$3,"KV%",$A51,"Experiment",E$5,"date",E$6)=0,NA(),GETPIVOTDATA("ITL",'ITL-PIVOT'!$A$3,"KV%",$A51,"Experiment",E$5,"date",E$6))</f>
        <v>#N/A</v>
      </c>
      <c r="F51" t="e">
        <f>IF(GETPIVOTDATA("ITL",'ITL-PIVOT'!$A$3,"KV%",$A51,"Experiment",F$5,"date",F$6)=0,NA(),GETPIVOTDATA("ITL",'ITL-PIVOT'!$A$3,"KV%",$A51,"Experiment",F$5,"date",F$6))</f>
        <v>#N/A</v>
      </c>
      <c r="G51" t="e">
        <f>IF(GETPIVOTDATA("ITL",'ITL-PIVOT'!$A$3,"KV%",$A51,"Experiment",G$5,"date",G$6)=0,NA(),GETPIVOTDATA("ITL",'ITL-PIVOT'!$A$3,"KV%",$A51,"Experiment",G$5,"date",G$6))</f>
        <v>#N/A</v>
      </c>
      <c r="H51" t="e">
        <f>IF(GETPIVOTDATA("ITL",'ITL-PIVOT'!$A$3,"KV%",$A51,"Experiment",H$5,"date",H$6)=0,NA(),GETPIVOTDATA("ITL",'ITL-PIVOT'!$A$3,"KV%",$A51,"Experiment",H$5,"date",H$6))</f>
        <v>#N/A</v>
      </c>
      <c r="I51">
        <f>IF(GETPIVOTDATA("ITL",'ITL-PIVOT'!$A$3,"KV%",$A51,"Experiment",I$5,"date",I$6)=0,NA(),GETPIVOTDATA("ITL",'ITL-PIVOT'!$A$3,"KV%",$A51,"Experiment",I$5,"date",I$6))</f>
        <v>1.3731578108277158E-2</v>
      </c>
      <c r="J51" t="e">
        <f>IF(GETPIVOTDATA("ITL",'ITL-PIVOT'!$A$3,"KV%",$A51,"Experiment",J$5,"date",J$6)=0,NA(),GETPIVOTDATA("ITL",'ITL-PIVOT'!$A$3,"KV%",$A51,"Experiment",J$5,"date",J$6))</f>
        <v>#N/A</v>
      </c>
      <c r="K51" t="e">
        <f>IF(GETPIVOTDATA("ITL",'ITL-PIVOT'!$A$3,"KV%",$A51,"Experiment",K$5,"date",K$6)=0,NA(),GETPIVOTDATA("ITL",'ITL-PIVOT'!$A$3,"KV%",$A51,"Experiment",K$5,"date",K$6))</f>
        <v>#N/A</v>
      </c>
      <c r="L51" t="e">
        <f>IF(GETPIVOTDATA("ITL",'ITL-PIVOT'!$A$3,"KV%",$A51,"Experiment",L$5,"date",L$6)=0,NA(),GETPIVOTDATA("ITL",'ITL-PIVOT'!$A$3,"KV%",$A51,"Experiment",L$5,"date",L$6))</f>
        <v>#N/A</v>
      </c>
      <c r="M51" t="e">
        <f>IF(GETPIVOTDATA("ITL",'ITL-PIVOT'!$A$3,"KV%",$A51,"Experiment",M$5,"date",M$6)=0,NA(),GETPIVOTDATA("ITL",'ITL-PIVOT'!$A$3,"KV%",$A51,"Experiment",M$5,"date",M$6))</f>
        <v>#N/A</v>
      </c>
    </row>
    <row r="52" spans="1:13" x14ac:dyDescent="0.25">
      <c r="A52">
        <f>IF('ITL-PIVOT'!A50=0,NA(),'ITL-PIVOT'!A50)</f>
        <v>0.10698367787766773</v>
      </c>
      <c r="B52" t="e">
        <f>IF(GETPIVOTDATA("ITL",'ITL-PIVOT'!$A$3,"KV%",$A52,"Experiment",B$5,"date",B$6)=0,NA(),GETPIVOTDATA("ITL",'ITL-PIVOT'!$A$3,"KV%",$A52,"Experiment",B$5,"date",B$6))</f>
        <v>#N/A</v>
      </c>
      <c r="C52" t="e">
        <f>IF(GETPIVOTDATA("ITL",'ITL-PIVOT'!$A$3,"KV%",$A52,"Experiment",C$5,"date",C$6)=0,NA(),GETPIVOTDATA("ITL",'ITL-PIVOT'!$A$3,"KV%",$A52,"Experiment",C$5,"date",C$6))</f>
        <v>#N/A</v>
      </c>
      <c r="D52" t="e">
        <f>IF(GETPIVOTDATA("ITL",'ITL-PIVOT'!$A$3,"KV%",$A52,"Experiment",D$5,"date",D$6)=0,NA(),GETPIVOTDATA("ITL",'ITL-PIVOT'!$A$3,"KV%",$A52,"Experiment",D$5,"date",D$6))</f>
        <v>#N/A</v>
      </c>
      <c r="E52" t="e">
        <f>IF(GETPIVOTDATA("ITL",'ITL-PIVOT'!$A$3,"KV%",$A52,"Experiment",E$5,"date",E$6)=0,NA(),GETPIVOTDATA("ITL",'ITL-PIVOT'!$A$3,"KV%",$A52,"Experiment",E$5,"date",E$6))</f>
        <v>#N/A</v>
      </c>
      <c r="F52">
        <f>IF(GETPIVOTDATA("ITL",'ITL-PIVOT'!$A$3,"KV%",$A52,"Experiment",F$5,"date",F$6)=0,NA(),GETPIVOTDATA("ITL",'ITL-PIVOT'!$A$3,"KV%",$A52,"Experiment",F$5,"date",F$6))</f>
        <v>1.1075833659466924E-2</v>
      </c>
      <c r="G52" t="e">
        <f>IF(GETPIVOTDATA("ITL",'ITL-PIVOT'!$A$3,"KV%",$A52,"Experiment",G$5,"date",G$6)=0,NA(),GETPIVOTDATA("ITL",'ITL-PIVOT'!$A$3,"KV%",$A52,"Experiment",G$5,"date",G$6))</f>
        <v>#N/A</v>
      </c>
      <c r="H52" t="e">
        <f>IF(GETPIVOTDATA("ITL",'ITL-PIVOT'!$A$3,"KV%",$A52,"Experiment",H$5,"date",H$6)=0,NA(),GETPIVOTDATA("ITL",'ITL-PIVOT'!$A$3,"KV%",$A52,"Experiment",H$5,"date",H$6))</f>
        <v>#N/A</v>
      </c>
      <c r="I52" t="e">
        <f>IF(GETPIVOTDATA("ITL",'ITL-PIVOT'!$A$3,"KV%",$A52,"Experiment",I$5,"date",I$6)=0,NA(),GETPIVOTDATA("ITL",'ITL-PIVOT'!$A$3,"KV%",$A52,"Experiment",I$5,"date",I$6))</f>
        <v>#N/A</v>
      </c>
      <c r="J52" t="e">
        <f>IF(GETPIVOTDATA("ITL",'ITL-PIVOT'!$A$3,"KV%",$A52,"Experiment",J$5,"date",J$6)=0,NA(),GETPIVOTDATA("ITL",'ITL-PIVOT'!$A$3,"KV%",$A52,"Experiment",J$5,"date",J$6))</f>
        <v>#N/A</v>
      </c>
      <c r="K52" t="e">
        <f>IF(GETPIVOTDATA("ITL",'ITL-PIVOT'!$A$3,"KV%",$A52,"Experiment",K$5,"date",K$6)=0,NA(),GETPIVOTDATA("ITL",'ITL-PIVOT'!$A$3,"KV%",$A52,"Experiment",K$5,"date",K$6))</f>
        <v>#N/A</v>
      </c>
      <c r="L52" t="e">
        <f>IF(GETPIVOTDATA("ITL",'ITL-PIVOT'!$A$3,"KV%",$A52,"Experiment",L$5,"date",L$6)=0,NA(),GETPIVOTDATA("ITL",'ITL-PIVOT'!$A$3,"KV%",$A52,"Experiment",L$5,"date",L$6))</f>
        <v>#N/A</v>
      </c>
      <c r="M52" t="e">
        <f>IF(GETPIVOTDATA("ITL",'ITL-PIVOT'!$A$3,"KV%",$A52,"Experiment",M$5,"date",M$6)=0,NA(),GETPIVOTDATA("ITL",'ITL-PIVOT'!$A$3,"KV%",$A52,"Experiment",M$5,"date",M$6))</f>
        <v>#N/A</v>
      </c>
    </row>
    <row r="53" spans="1:13" x14ac:dyDescent="0.25">
      <c r="A53">
        <f>IF('ITL-PIVOT'!A51=0,NA(),'ITL-PIVOT'!A51)</f>
        <v>0.1145187788071008</v>
      </c>
      <c r="B53" t="e">
        <f>IF(GETPIVOTDATA("ITL",'ITL-PIVOT'!$A$3,"KV%",$A53,"Experiment",B$5,"date",B$6)=0,NA(),GETPIVOTDATA("ITL",'ITL-PIVOT'!$A$3,"KV%",$A53,"Experiment",B$5,"date",B$6))</f>
        <v>#N/A</v>
      </c>
      <c r="C53" t="e">
        <f>IF(GETPIVOTDATA("ITL",'ITL-PIVOT'!$A$3,"KV%",$A53,"Experiment",C$5,"date",C$6)=0,NA(),GETPIVOTDATA("ITL",'ITL-PIVOT'!$A$3,"KV%",$A53,"Experiment",C$5,"date",C$6))</f>
        <v>#N/A</v>
      </c>
      <c r="D53">
        <f>IF(GETPIVOTDATA("ITL",'ITL-PIVOT'!$A$3,"KV%",$A53,"Experiment",D$5,"date",D$6)=0,NA(),GETPIVOTDATA("ITL",'ITL-PIVOT'!$A$3,"KV%",$A53,"Experiment",D$5,"date",D$6))</f>
        <v>1.0615078085420126E-2</v>
      </c>
      <c r="E53" t="e">
        <f>IF(GETPIVOTDATA("ITL",'ITL-PIVOT'!$A$3,"KV%",$A53,"Experiment",E$5,"date",E$6)=0,NA(),GETPIVOTDATA("ITL",'ITL-PIVOT'!$A$3,"KV%",$A53,"Experiment",E$5,"date",E$6))</f>
        <v>#N/A</v>
      </c>
      <c r="F53" t="e">
        <f>IF(GETPIVOTDATA("ITL",'ITL-PIVOT'!$A$3,"KV%",$A53,"Experiment",F$5,"date",F$6)=0,NA(),GETPIVOTDATA("ITL",'ITL-PIVOT'!$A$3,"KV%",$A53,"Experiment",F$5,"date",F$6))</f>
        <v>#N/A</v>
      </c>
      <c r="G53" t="e">
        <f>IF(GETPIVOTDATA("ITL",'ITL-PIVOT'!$A$3,"KV%",$A53,"Experiment",G$5,"date",G$6)=0,NA(),GETPIVOTDATA("ITL",'ITL-PIVOT'!$A$3,"KV%",$A53,"Experiment",G$5,"date",G$6))</f>
        <v>#N/A</v>
      </c>
      <c r="H53" t="e">
        <f>IF(GETPIVOTDATA("ITL",'ITL-PIVOT'!$A$3,"KV%",$A53,"Experiment",H$5,"date",H$6)=0,NA(),GETPIVOTDATA("ITL",'ITL-PIVOT'!$A$3,"KV%",$A53,"Experiment",H$5,"date",H$6))</f>
        <v>#N/A</v>
      </c>
      <c r="I53" t="e">
        <f>IF(GETPIVOTDATA("ITL",'ITL-PIVOT'!$A$3,"KV%",$A53,"Experiment",I$5,"date",I$6)=0,NA(),GETPIVOTDATA("ITL",'ITL-PIVOT'!$A$3,"KV%",$A53,"Experiment",I$5,"date",I$6))</f>
        <v>#N/A</v>
      </c>
      <c r="J53" t="e">
        <f>IF(GETPIVOTDATA("ITL",'ITL-PIVOT'!$A$3,"KV%",$A53,"Experiment",J$5,"date",J$6)=0,NA(),GETPIVOTDATA("ITL",'ITL-PIVOT'!$A$3,"KV%",$A53,"Experiment",J$5,"date",J$6))</f>
        <v>#N/A</v>
      </c>
      <c r="K53" t="e">
        <f>IF(GETPIVOTDATA("ITL",'ITL-PIVOT'!$A$3,"KV%",$A53,"Experiment",K$5,"date",K$6)=0,NA(),GETPIVOTDATA("ITL",'ITL-PIVOT'!$A$3,"KV%",$A53,"Experiment",K$5,"date",K$6))</f>
        <v>#N/A</v>
      </c>
      <c r="L53" t="e">
        <f>IF(GETPIVOTDATA("ITL",'ITL-PIVOT'!$A$3,"KV%",$A53,"Experiment",L$5,"date",L$6)=0,NA(),GETPIVOTDATA("ITL",'ITL-PIVOT'!$A$3,"KV%",$A53,"Experiment",L$5,"date",L$6))</f>
        <v>#N/A</v>
      </c>
      <c r="M53" t="e">
        <f>IF(GETPIVOTDATA("ITL",'ITL-PIVOT'!$A$3,"KV%",$A53,"Experiment",M$5,"date",M$6)=0,NA(),GETPIVOTDATA("ITL",'ITL-PIVOT'!$A$3,"KV%",$A53,"Experiment",M$5,"date",M$6))</f>
        <v>#N/A</v>
      </c>
    </row>
    <row r="54" spans="1:13" x14ac:dyDescent="0.25">
      <c r="A54">
        <f>IF('ITL-PIVOT'!A52=0,NA(),'ITL-PIVOT'!A52)</f>
        <v>0.11821179208688905</v>
      </c>
      <c r="B54">
        <f>IF(GETPIVOTDATA("ITL",'ITL-PIVOT'!$A$3,"KV%",$A54,"Experiment",B$5,"date",B$6)=0,NA(),GETPIVOTDATA("ITL",'ITL-PIVOT'!$A$3,"KV%",$A54,"Experiment",B$5,"date",B$6))</f>
        <v>1.2433206767652884E-2</v>
      </c>
      <c r="C54" t="e">
        <f>IF(GETPIVOTDATA("ITL",'ITL-PIVOT'!$A$3,"KV%",$A54,"Experiment",C$5,"date",C$6)=0,NA(),GETPIVOTDATA("ITL",'ITL-PIVOT'!$A$3,"KV%",$A54,"Experiment",C$5,"date",C$6))</f>
        <v>#N/A</v>
      </c>
      <c r="D54" t="e">
        <f>IF(GETPIVOTDATA("ITL",'ITL-PIVOT'!$A$3,"KV%",$A54,"Experiment",D$5,"date",D$6)=0,NA(),GETPIVOTDATA("ITL",'ITL-PIVOT'!$A$3,"KV%",$A54,"Experiment",D$5,"date",D$6))</f>
        <v>#N/A</v>
      </c>
      <c r="E54" t="e">
        <f>IF(GETPIVOTDATA("ITL",'ITL-PIVOT'!$A$3,"KV%",$A54,"Experiment",E$5,"date",E$6)=0,NA(),GETPIVOTDATA("ITL",'ITL-PIVOT'!$A$3,"KV%",$A54,"Experiment",E$5,"date",E$6))</f>
        <v>#N/A</v>
      </c>
      <c r="F54" t="e">
        <f>IF(GETPIVOTDATA("ITL",'ITL-PIVOT'!$A$3,"KV%",$A54,"Experiment",F$5,"date",F$6)=0,NA(),GETPIVOTDATA("ITL",'ITL-PIVOT'!$A$3,"KV%",$A54,"Experiment",F$5,"date",F$6))</f>
        <v>#N/A</v>
      </c>
      <c r="G54" t="e">
        <f>IF(GETPIVOTDATA("ITL",'ITL-PIVOT'!$A$3,"KV%",$A54,"Experiment",G$5,"date",G$6)=0,NA(),GETPIVOTDATA("ITL",'ITL-PIVOT'!$A$3,"KV%",$A54,"Experiment",G$5,"date",G$6))</f>
        <v>#N/A</v>
      </c>
      <c r="H54" t="e">
        <f>IF(GETPIVOTDATA("ITL",'ITL-PIVOT'!$A$3,"KV%",$A54,"Experiment",H$5,"date",H$6)=0,NA(),GETPIVOTDATA("ITL",'ITL-PIVOT'!$A$3,"KV%",$A54,"Experiment",H$5,"date",H$6))</f>
        <v>#N/A</v>
      </c>
      <c r="I54" t="e">
        <f>IF(GETPIVOTDATA("ITL",'ITL-PIVOT'!$A$3,"KV%",$A54,"Experiment",I$5,"date",I$6)=0,NA(),GETPIVOTDATA("ITL",'ITL-PIVOT'!$A$3,"KV%",$A54,"Experiment",I$5,"date",I$6))</f>
        <v>#N/A</v>
      </c>
      <c r="J54" t="e">
        <f>IF(GETPIVOTDATA("ITL",'ITL-PIVOT'!$A$3,"KV%",$A54,"Experiment",J$5,"date",J$6)=0,NA(),GETPIVOTDATA("ITL",'ITL-PIVOT'!$A$3,"KV%",$A54,"Experiment",J$5,"date",J$6))</f>
        <v>#N/A</v>
      </c>
      <c r="K54" t="e">
        <f>IF(GETPIVOTDATA("ITL",'ITL-PIVOT'!$A$3,"KV%",$A54,"Experiment",K$5,"date",K$6)=0,NA(),GETPIVOTDATA("ITL",'ITL-PIVOT'!$A$3,"KV%",$A54,"Experiment",K$5,"date",K$6))</f>
        <v>#N/A</v>
      </c>
      <c r="L54" t="e">
        <f>IF(GETPIVOTDATA("ITL",'ITL-PIVOT'!$A$3,"KV%",$A54,"Experiment",L$5,"date",L$6)=0,NA(),GETPIVOTDATA("ITL",'ITL-PIVOT'!$A$3,"KV%",$A54,"Experiment",L$5,"date",L$6))</f>
        <v>#N/A</v>
      </c>
      <c r="M54" t="e">
        <f>IF(GETPIVOTDATA("ITL",'ITL-PIVOT'!$A$3,"KV%",$A54,"Experiment",M$5,"date",M$6)=0,NA(),GETPIVOTDATA("ITL",'ITL-PIVOT'!$A$3,"KV%",$A54,"Experiment",M$5,"date",M$6))</f>
        <v>#N/A</v>
      </c>
    </row>
    <row r="55" spans="1:13" x14ac:dyDescent="0.25">
      <c r="A55">
        <f>IF('ITL-PIVOT'!A53=0,NA(),'ITL-PIVOT'!A53)</f>
        <v>0.12825331149613536</v>
      </c>
      <c r="B55" t="e">
        <f>IF(GETPIVOTDATA("ITL",'ITL-PIVOT'!$A$3,"KV%",$A55,"Experiment",B$5,"date",B$6)=0,NA(),GETPIVOTDATA("ITL",'ITL-PIVOT'!$A$3,"KV%",$A55,"Experiment",B$5,"date",B$6))</f>
        <v>#N/A</v>
      </c>
      <c r="C55" t="e">
        <f>IF(GETPIVOTDATA("ITL",'ITL-PIVOT'!$A$3,"KV%",$A55,"Experiment",C$5,"date",C$6)=0,NA(),GETPIVOTDATA("ITL",'ITL-PIVOT'!$A$3,"KV%",$A55,"Experiment",C$5,"date",C$6))</f>
        <v>#N/A</v>
      </c>
      <c r="D55" t="e">
        <f>IF(GETPIVOTDATA("ITL",'ITL-PIVOT'!$A$3,"KV%",$A55,"Experiment",D$5,"date",D$6)=0,NA(),GETPIVOTDATA("ITL",'ITL-PIVOT'!$A$3,"KV%",$A55,"Experiment",D$5,"date",D$6))</f>
        <v>#N/A</v>
      </c>
      <c r="E55" t="e">
        <f>IF(GETPIVOTDATA("ITL",'ITL-PIVOT'!$A$3,"KV%",$A55,"Experiment",E$5,"date",E$6)=0,NA(),GETPIVOTDATA("ITL",'ITL-PIVOT'!$A$3,"KV%",$A55,"Experiment",E$5,"date",E$6))</f>
        <v>#N/A</v>
      </c>
      <c r="F55" t="e">
        <f>IF(GETPIVOTDATA("ITL",'ITL-PIVOT'!$A$3,"KV%",$A55,"Experiment",F$5,"date",F$6)=0,NA(),GETPIVOTDATA("ITL",'ITL-PIVOT'!$A$3,"KV%",$A55,"Experiment",F$5,"date",F$6))</f>
        <v>#N/A</v>
      </c>
      <c r="G55" t="e">
        <f>IF(GETPIVOTDATA("ITL",'ITL-PIVOT'!$A$3,"KV%",$A55,"Experiment",G$5,"date",G$6)=0,NA(),GETPIVOTDATA("ITL",'ITL-PIVOT'!$A$3,"KV%",$A55,"Experiment",G$5,"date",G$6))</f>
        <v>#N/A</v>
      </c>
      <c r="H55" t="e">
        <f>IF(GETPIVOTDATA("ITL",'ITL-PIVOT'!$A$3,"KV%",$A55,"Experiment",H$5,"date",H$6)=0,NA(),GETPIVOTDATA("ITL",'ITL-PIVOT'!$A$3,"KV%",$A55,"Experiment",H$5,"date",H$6))</f>
        <v>#N/A</v>
      </c>
      <c r="I55">
        <f>IF(GETPIVOTDATA("ITL",'ITL-PIVOT'!$A$3,"KV%",$A55,"Experiment",I$5,"date",I$6)=0,NA(),GETPIVOTDATA("ITL",'ITL-PIVOT'!$A$3,"KV%",$A55,"Experiment",I$5,"date",I$6))</f>
        <v>1.6155172768504214E-2</v>
      </c>
      <c r="J55" t="e">
        <f>IF(GETPIVOTDATA("ITL",'ITL-PIVOT'!$A$3,"KV%",$A55,"Experiment",J$5,"date",J$6)=0,NA(),GETPIVOTDATA("ITL",'ITL-PIVOT'!$A$3,"KV%",$A55,"Experiment",J$5,"date",J$6))</f>
        <v>#N/A</v>
      </c>
      <c r="K55" t="e">
        <f>IF(GETPIVOTDATA("ITL",'ITL-PIVOT'!$A$3,"KV%",$A55,"Experiment",K$5,"date",K$6)=0,NA(),GETPIVOTDATA("ITL",'ITL-PIVOT'!$A$3,"KV%",$A55,"Experiment",K$5,"date",K$6))</f>
        <v>#N/A</v>
      </c>
      <c r="L55" t="e">
        <f>IF(GETPIVOTDATA("ITL",'ITL-PIVOT'!$A$3,"KV%",$A55,"Experiment",L$5,"date",L$6)=0,NA(),GETPIVOTDATA("ITL",'ITL-PIVOT'!$A$3,"KV%",$A55,"Experiment",L$5,"date",L$6))</f>
        <v>#N/A</v>
      </c>
      <c r="M55" t="e">
        <f>IF(GETPIVOTDATA("ITL",'ITL-PIVOT'!$A$3,"KV%",$A55,"Experiment",M$5,"date",M$6)=0,NA(),GETPIVOTDATA("ITL",'ITL-PIVOT'!$A$3,"KV%",$A55,"Experiment",M$5,"date",M$6))</f>
        <v>#N/A</v>
      </c>
    </row>
    <row r="56" spans="1:13" x14ac:dyDescent="0.25">
      <c r="A56">
        <f>IF('ITL-PIVOT'!A54=0,NA(),'ITL-PIVOT'!A54)</f>
        <v>0.13169209550900782</v>
      </c>
      <c r="B56" t="e">
        <f>IF(GETPIVOTDATA("ITL",'ITL-PIVOT'!$A$3,"KV%",$A56,"Experiment",B$5,"date",B$6)=0,NA(),GETPIVOTDATA("ITL",'ITL-PIVOT'!$A$3,"KV%",$A56,"Experiment",B$5,"date",B$6))</f>
        <v>#N/A</v>
      </c>
      <c r="C56" t="e">
        <f>IF(GETPIVOTDATA("ITL",'ITL-PIVOT'!$A$3,"KV%",$A56,"Experiment",C$5,"date",C$6)=0,NA(),GETPIVOTDATA("ITL",'ITL-PIVOT'!$A$3,"KV%",$A56,"Experiment",C$5,"date",C$6))</f>
        <v>#N/A</v>
      </c>
      <c r="D56" t="e">
        <f>IF(GETPIVOTDATA("ITL",'ITL-PIVOT'!$A$3,"KV%",$A56,"Experiment",D$5,"date",D$6)=0,NA(),GETPIVOTDATA("ITL",'ITL-PIVOT'!$A$3,"KV%",$A56,"Experiment",D$5,"date",D$6))</f>
        <v>#N/A</v>
      </c>
      <c r="E56" t="e">
        <f>IF(GETPIVOTDATA("ITL",'ITL-PIVOT'!$A$3,"KV%",$A56,"Experiment",E$5,"date",E$6)=0,NA(),GETPIVOTDATA("ITL",'ITL-PIVOT'!$A$3,"KV%",$A56,"Experiment",E$5,"date",E$6))</f>
        <v>#N/A</v>
      </c>
      <c r="F56" t="e">
        <f>IF(GETPIVOTDATA("ITL",'ITL-PIVOT'!$A$3,"KV%",$A56,"Experiment",F$5,"date",F$6)=0,NA(),GETPIVOTDATA("ITL",'ITL-PIVOT'!$A$3,"KV%",$A56,"Experiment",F$5,"date",F$6))</f>
        <v>#N/A</v>
      </c>
      <c r="G56" t="e">
        <f>IF(GETPIVOTDATA("ITL",'ITL-PIVOT'!$A$3,"KV%",$A56,"Experiment",G$5,"date",G$6)=0,NA(),GETPIVOTDATA("ITL",'ITL-PIVOT'!$A$3,"KV%",$A56,"Experiment",G$5,"date",G$6))</f>
        <v>#N/A</v>
      </c>
      <c r="H56">
        <f>IF(GETPIVOTDATA("ITL",'ITL-PIVOT'!$A$3,"KV%",$A56,"Experiment",H$5,"date",H$6)=0,NA(),GETPIVOTDATA("ITL",'ITL-PIVOT'!$A$3,"KV%",$A56,"Experiment",H$5,"date",H$6))</f>
        <v>1.5942548324487743E-2</v>
      </c>
      <c r="I56" t="e">
        <f>IF(GETPIVOTDATA("ITL",'ITL-PIVOT'!$A$3,"KV%",$A56,"Experiment",I$5,"date",I$6)=0,NA(),GETPIVOTDATA("ITL",'ITL-PIVOT'!$A$3,"KV%",$A56,"Experiment",I$5,"date",I$6))</f>
        <v>#N/A</v>
      </c>
      <c r="J56" t="e">
        <f>IF(GETPIVOTDATA("ITL",'ITL-PIVOT'!$A$3,"KV%",$A56,"Experiment",J$5,"date",J$6)=0,NA(),GETPIVOTDATA("ITL",'ITL-PIVOT'!$A$3,"KV%",$A56,"Experiment",J$5,"date",J$6))</f>
        <v>#N/A</v>
      </c>
      <c r="K56" t="e">
        <f>IF(GETPIVOTDATA("ITL",'ITL-PIVOT'!$A$3,"KV%",$A56,"Experiment",K$5,"date",K$6)=0,NA(),GETPIVOTDATA("ITL",'ITL-PIVOT'!$A$3,"KV%",$A56,"Experiment",K$5,"date",K$6))</f>
        <v>#N/A</v>
      </c>
      <c r="L56" t="e">
        <f>IF(GETPIVOTDATA("ITL",'ITL-PIVOT'!$A$3,"KV%",$A56,"Experiment",L$5,"date",L$6)=0,NA(),GETPIVOTDATA("ITL",'ITL-PIVOT'!$A$3,"KV%",$A56,"Experiment",L$5,"date",L$6))</f>
        <v>#N/A</v>
      </c>
      <c r="M56" t="e">
        <f>IF(GETPIVOTDATA("ITL",'ITL-PIVOT'!$A$3,"KV%",$A56,"Experiment",M$5,"date",M$6)=0,NA(),GETPIVOTDATA("ITL",'ITL-PIVOT'!$A$3,"KV%",$A56,"Experiment",M$5,"date",M$6))</f>
        <v>#N/A</v>
      </c>
    </row>
    <row r="57" spans="1:13" x14ac:dyDescent="0.25">
      <c r="A57">
        <f>IF('ITL-PIVOT'!A55=0,NA(),'ITL-PIVOT'!A55)</f>
        <v>0.13567259668284176</v>
      </c>
      <c r="B57" t="e">
        <f>IF(GETPIVOTDATA("ITL",'ITL-PIVOT'!$A$3,"KV%",$A57,"Experiment",B$5,"date",B$6)=0,NA(),GETPIVOTDATA("ITL",'ITL-PIVOT'!$A$3,"KV%",$A57,"Experiment",B$5,"date",B$6))</f>
        <v>#N/A</v>
      </c>
      <c r="C57">
        <f>IF(GETPIVOTDATA("ITL",'ITL-PIVOT'!$A$3,"KV%",$A57,"Experiment",C$5,"date",C$6)=0,NA(),GETPIVOTDATA("ITL",'ITL-PIVOT'!$A$3,"KV%",$A57,"Experiment",C$5,"date",C$6))</f>
        <v>1.3768167139153839E-2</v>
      </c>
      <c r="D57" t="e">
        <f>IF(GETPIVOTDATA("ITL",'ITL-PIVOT'!$A$3,"KV%",$A57,"Experiment",D$5,"date",D$6)=0,NA(),GETPIVOTDATA("ITL",'ITL-PIVOT'!$A$3,"KV%",$A57,"Experiment",D$5,"date",D$6))</f>
        <v>#N/A</v>
      </c>
      <c r="E57" t="e">
        <f>IF(GETPIVOTDATA("ITL",'ITL-PIVOT'!$A$3,"KV%",$A57,"Experiment",E$5,"date",E$6)=0,NA(),GETPIVOTDATA("ITL",'ITL-PIVOT'!$A$3,"KV%",$A57,"Experiment",E$5,"date",E$6))</f>
        <v>#N/A</v>
      </c>
      <c r="F57" t="e">
        <f>IF(GETPIVOTDATA("ITL",'ITL-PIVOT'!$A$3,"KV%",$A57,"Experiment",F$5,"date",F$6)=0,NA(),GETPIVOTDATA("ITL",'ITL-PIVOT'!$A$3,"KV%",$A57,"Experiment",F$5,"date",F$6))</f>
        <v>#N/A</v>
      </c>
      <c r="G57" t="e">
        <f>IF(GETPIVOTDATA("ITL",'ITL-PIVOT'!$A$3,"KV%",$A57,"Experiment",G$5,"date",G$6)=0,NA(),GETPIVOTDATA("ITL",'ITL-PIVOT'!$A$3,"KV%",$A57,"Experiment",G$5,"date",G$6))</f>
        <v>#N/A</v>
      </c>
      <c r="H57" t="e">
        <f>IF(GETPIVOTDATA("ITL",'ITL-PIVOT'!$A$3,"KV%",$A57,"Experiment",H$5,"date",H$6)=0,NA(),GETPIVOTDATA("ITL",'ITL-PIVOT'!$A$3,"KV%",$A57,"Experiment",H$5,"date",H$6))</f>
        <v>#N/A</v>
      </c>
      <c r="I57" t="e">
        <f>IF(GETPIVOTDATA("ITL",'ITL-PIVOT'!$A$3,"KV%",$A57,"Experiment",I$5,"date",I$6)=0,NA(),GETPIVOTDATA("ITL",'ITL-PIVOT'!$A$3,"KV%",$A57,"Experiment",I$5,"date",I$6))</f>
        <v>#N/A</v>
      </c>
      <c r="J57" t="e">
        <f>IF(GETPIVOTDATA("ITL",'ITL-PIVOT'!$A$3,"KV%",$A57,"Experiment",J$5,"date",J$6)=0,NA(),GETPIVOTDATA("ITL",'ITL-PIVOT'!$A$3,"KV%",$A57,"Experiment",J$5,"date",J$6))</f>
        <v>#N/A</v>
      </c>
      <c r="K57" t="e">
        <f>IF(GETPIVOTDATA("ITL",'ITL-PIVOT'!$A$3,"KV%",$A57,"Experiment",K$5,"date",K$6)=0,NA(),GETPIVOTDATA("ITL",'ITL-PIVOT'!$A$3,"KV%",$A57,"Experiment",K$5,"date",K$6))</f>
        <v>#N/A</v>
      </c>
      <c r="L57" t="e">
        <f>IF(GETPIVOTDATA("ITL",'ITL-PIVOT'!$A$3,"KV%",$A57,"Experiment",L$5,"date",L$6)=0,NA(),GETPIVOTDATA("ITL",'ITL-PIVOT'!$A$3,"KV%",$A57,"Experiment",L$5,"date",L$6))</f>
        <v>#N/A</v>
      </c>
      <c r="M57" t="e">
        <f>IF(GETPIVOTDATA("ITL",'ITL-PIVOT'!$A$3,"KV%",$A57,"Experiment",M$5,"date",M$6)=0,NA(),GETPIVOTDATA("ITL",'ITL-PIVOT'!$A$3,"KV%",$A57,"Experiment",M$5,"date",M$6))</f>
        <v>#N/A</v>
      </c>
    </row>
    <row r="58" spans="1:13" x14ac:dyDescent="0.25">
      <c r="A58">
        <f>IF('ITL-PIVOT'!A56=0,NA(),'ITL-PIVOT'!A56)</f>
        <v>0.13641673892210099</v>
      </c>
      <c r="B58" t="e">
        <f>IF(GETPIVOTDATA("ITL",'ITL-PIVOT'!$A$3,"KV%",$A58,"Experiment",B$5,"date",B$6)=0,NA(),GETPIVOTDATA("ITL",'ITL-PIVOT'!$A$3,"KV%",$A58,"Experiment",B$5,"date",B$6))</f>
        <v>#N/A</v>
      </c>
      <c r="C58">
        <f>IF(GETPIVOTDATA("ITL",'ITL-PIVOT'!$A$3,"KV%",$A58,"Experiment",C$5,"date",C$6)=0,NA(),GETPIVOTDATA("ITL",'ITL-PIVOT'!$A$3,"KV%",$A58,"Experiment",C$5,"date",C$6))</f>
        <v>1.3314866237425725E-2</v>
      </c>
      <c r="D58" t="e">
        <f>IF(GETPIVOTDATA("ITL",'ITL-PIVOT'!$A$3,"KV%",$A58,"Experiment",D$5,"date",D$6)=0,NA(),GETPIVOTDATA("ITL",'ITL-PIVOT'!$A$3,"KV%",$A58,"Experiment",D$5,"date",D$6))</f>
        <v>#N/A</v>
      </c>
      <c r="E58" t="e">
        <f>IF(GETPIVOTDATA("ITL",'ITL-PIVOT'!$A$3,"KV%",$A58,"Experiment",E$5,"date",E$6)=0,NA(),GETPIVOTDATA("ITL",'ITL-PIVOT'!$A$3,"KV%",$A58,"Experiment",E$5,"date",E$6))</f>
        <v>#N/A</v>
      </c>
      <c r="F58" t="e">
        <f>IF(GETPIVOTDATA("ITL",'ITL-PIVOT'!$A$3,"KV%",$A58,"Experiment",F$5,"date",F$6)=0,NA(),GETPIVOTDATA("ITL",'ITL-PIVOT'!$A$3,"KV%",$A58,"Experiment",F$5,"date",F$6))</f>
        <v>#N/A</v>
      </c>
      <c r="G58" t="e">
        <f>IF(GETPIVOTDATA("ITL",'ITL-PIVOT'!$A$3,"KV%",$A58,"Experiment",G$5,"date",G$6)=0,NA(),GETPIVOTDATA("ITL",'ITL-PIVOT'!$A$3,"KV%",$A58,"Experiment",G$5,"date",G$6))</f>
        <v>#N/A</v>
      </c>
      <c r="H58" t="e">
        <f>IF(GETPIVOTDATA("ITL",'ITL-PIVOT'!$A$3,"KV%",$A58,"Experiment",H$5,"date",H$6)=0,NA(),GETPIVOTDATA("ITL",'ITL-PIVOT'!$A$3,"KV%",$A58,"Experiment",H$5,"date",H$6))</f>
        <v>#N/A</v>
      </c>
      <c r="I58" t="e">
        <f>IF(GETPIVOTDATA("ITL",'ITL-PIVOT'!$A$3,"KV%",$A58,"Experiment",I$5,"date",I$6)=0,NA(),GETPIVOTDATA("ITL",'ITL-PIVOT'!$A$3,"KV%",$A58,"Experiment",I$5,"date",I$6))</f>
        <v>#N/A</v>
      </c>
      <c r="J58" t="e">
        <f>IF(GETPIVOTDATA("ITL",'ITL-PIVOT'!$A$3,"KV%",$A58,"Experiment",J$5,"date",J$6)=0,NA(),GETPIVOTDATA("ITL",'ITL-PIVOT'!$A$3,"KV%",$A58,"Experiment",J$5,"date",J$6))</f>
        <v>#N/A</v>
      </c>
      <c r="K58" t="e">
        <f>IF(GETPIVOTDATA("ITL",'ITL-PIVOT'!$A$3,"KV%",$A58,"Experiment",K$5,"date",K$6)=0,NA(),GETPIVOTDATA("ITL",'ITL-PIVOT'!$A$3,"KV%",$A58,"Experiment",K$5,"date",K$6))</f>
        <v>#N/A</v>
      </c>
      <c r="L58" t="e">
        <f>IF(GETPIVOTDATA("ITL",'ITL-PIVOT'!$A$3,"KV%",$A58,"Experiment",L$5,"date",L$6)=0,NA(),GETPIVOTDATA("ITL",'ITL-PIVOT'!$A$3,"KV%",$A58,"Experiment",L$5,"date",L$6))</f>
        <v>#N/A</v>
      </c>
      <c r="M58" t="e">
        <f>IF(GETPIVOTDATA("ITL",'ITL-PIVOT'!$A$3,"KV%",$A58,"Experiment",M$5,"date",M$6)=0,NA(),GETPIVOTDATA("ITL",'ITL-PIVOT'!$A$3,"KV%",$A58,"Experiment",M$5,"date",M$6))</f>
        <v>#N/A</v>
      </c>
    </row>
    <row r="59" spans="1:13" x14ac:dyDescent="0.25">
      <c r="A59">
        <f>IF('ITL-PIVOT'!A57=0,NA(),'ITL-PIVOT'!A57)</f>
        <v>0.13848806137401951</v>
      </c>
      <c r="B59" t="e">
        <f>IF(GETPIVOTDATA("ITL",'ITL-PIVOT'!$A$3,"KV%",$A59,"Experiment",B$5,"date",B$6)=0,NA(),GETPIVOTDATA("ITL",'ITL-PIVOT'!$A$3,"KV%",$A59,"Experiment",B$5,"date",B$6))</f>
        <v>#N/A</v>
      </c>
      <c r="C59" t="e">
        <f>IF(GETPIVOTDATA("ITL",'ITL-PIVOT'!$A$3,"KV%",$A59,"Experiment",C$5,"date",C$6)=0,NA(),GETPIVOTDATA("ITL",'ITL-PIVOT'!$A$3,"KV%",$A59,"Experiment",C$5,"date",C$6))</f>
        <v>#N/A</v>
      </c>
      <c r="D59" t="e">
        <f>IF(GETPIVOTDATA("ITL",'ITL-PIVOT'!$A$3,"KV%",$A59,"Experiment",D$5,"date",D$6)=0,NA(),GETPIVOTDATA("ITL",'ITL-PIVOT'!$A$3,"KV%",$A59,"Experiment",D$5,"date",D$6))</f>
        <v>#N/A</v>
      </c>
      <c r="E59" t="e">
        <f>IF(GETPIVOTDATA("ITL",'ITL-PIVOT'!$A$3,"KV%",$A59,"Experiment",E$5,"date",E$6)=0,NA(),GETPIVOTDATA("ITL",'ITL-PIVOT'!$A$3,"KV%",$A59,"Experiment",E$5,"date",E$6))</f>
        <v>#N/A</v>
      </c>
      <c r="F59" t="e">
        <f>IF(GETPIVOTDATA("ITL",'ITL-PIVOT'!$A$3,"KV%",$A59,"Experiment",F$5,"date",F$6)=0,NA(),GETPIVOTDATA("ITL",'ITL-PIVOT'!$A$3,"KV%",$A59,"Experiment",F$5,"date",F$6))</f>
        <v>#N/A</v>
      </c>
      <c r="G59" t="e">
        <f>IF(GETPIVOTDATA("ITL",'ITL-PIVOT'!$A$3,"KV%",$A59,"Experiment",G$5,"date",G$6)=0,NA(),GETPIVOTDATA("ITL",'ITL-PIVOT'!$A$3,"KV%",$A59,"Experiment",G$5,"date",G$6))</f>
        <v>#N/A</v>
      </c>
      <c r="H59" t="e">
        <f>IF(GETPIVOTDATA("ITL",'ITL-PIVOT'!$A$3,"KV%",$A59,"Experiment",H$5,"date",H$6)=0,NA(),GETPIVOTDATA("ITL",'ITL-PIVOT'!$A$3,"KV%",$A59,"Experiment",H$5,"date",H$6))</f>
        <v>#N/A</v>
      </c>
      <c r="I59" t="e">
        <f>IF(GETPIVOTDATA("ITL",'ITL-PIVOT'!$A$3,"KV%",$A59,"Experiment",I$5,"date",I$6)=0,NA(),GETPIVOTDATA("ITL",'ITL-PIVOT'!$A$3,"KV%",$A59,"Experiment",I$5,"date",I$6))</f>
        <v>#N/A</v>
      </c>
      <c r="J59" t="e">
        <f>IF(GETPIVOTDATA("ITL",'ITL-PIVOT'!$A$3,"KV%",$A59,"Experiment",J$5,"date",J$6)=0,NA(),GETPIVOTDATA("ITL",'ITL-PIVOT'!$A$3,"KV%",$A59,"Experiment",J$5,"date",J$6))</f>
        <v>#N/A</v>
      </c>
      <c r="K59" t="e">
        <f>IF(GETPIVOTDATA("ITL",'ITL-PIVOT'!$A$3,"KV%",$A59,"Experiment",K$5,"date",K$6)=0,NA(),GETPIVOTDATA("ITL",'ITL-PIVOT'!$A$3,"KV%",$A59,"Experiment",K$5,"date",K$6))</f>
        <v>#N/A</v>
      </c>
      <c r="L59" t="e">
        <f>IF(GETPIVOTDATA("ITL",'ITL-PIVOT'!$A$3,"KV%",$A59,"Experiment",L$5,"date",L$6)=0,NA(),GETPIVOTDATA("ITL",'ITL-PIVOT'!$A$3,"KV%",$A59,"Experiment",L$5,"date",L$6))</f>
        <v>#N/A</v>
      </c>
      <c r="M59">
        <f>IF(GETPIVOTDATA("ITL",'ITL-PIVOT'!$A$3,"KV%",$A59,"Experiment",M$5,"date",M$6)=0,NA(),GETPIVOTDATA("ITL",'ITL-PIVOT'!$A$3,"KV%",$A59,"Experiment",M$5,"date",M$6))</f>
        <v>2.2143876234593563E-2</v>
      </c>
    </row>
    <row r="60" spans="1:13" x14ac:dyDescent="0.25">
      <c r="A60">
        <f>IF('ITL-PIVOT'!A58=0,NA(),'ITL-PIVOT'!A58)</f>
        <v>0.14127517742723331</v>
      </c>
      <c r="B60" t="e">
        <f>IF(GETPIVOTDATA("ITL",'ITL-PIVOT'!$A$3,"KV%",$A60,"Experiment",B$5,"date",B$6)=0,NA(),GETPIVOTDATA("ITL",'ITL-PIVOT'!$A$3,"KV%",$A60,"Experiment",B$5,"date",B$6))</f>
        <v>#N/A</v>
      </c>
      <c r="C60" t="e">
        <f>IF(GETPIVOTDATA("ITL",'ITL-PIVOT'!$A$3,"KV%",$A60,"Experiment",C$5,"date",C$6)=0,NA(),GETPIVOTDATA("ITL",'ITL-PIVOT'!$A$3,"KV%",$A60,"Experiment",C$5,"date",C$6))</f>
        <v>#N/A</v>
      </c>
      <c r="D60" t="e">
        <f>IF(GETPIVOTDATA("ITL",'ITL-PIVOT'!$A$3,"KV%",$A60,"Experiment",D$5,"date",D$6)=0,NA(),GETPIVOTDATA("ITL",'ITL-PIVOT'!$A$3,"KV%",$A60,"Experiment",D$5,"date",D$6))</f>
        <v>#N/A</v>
      </c>
      <c r="E60" t="e">
        <f>IF(GETPIVOTDATA("ITL",'ITL-PIVOT'!$A$3,"KV%",$A60,"Experiment",E$5,"date",E$6)=0,NA(),GETPIVOTDATA("ITL",'ITL-PIVOT'!$A$3,"KV%",$A60,"Experiment",E$5,"date",E$6))</f>
        <v>#N/A</v>
      </c>
      <c r="F60" t="e">
        <f>IF(GETPIVOTDATA("ITL",'ITL-PIVOT'!$A$3,"KV%",$A60,"Experiment",F$5,"date",F$6)=0,NA(),GETPIVOTDATA("ITL",'ITL-PIVOT'!$A$3,"KV%",$A60,"Experiment",F$5,"date",F$6))</f>
        <v>#N/A</v>
      </c>
      <c r="G60" t="e">
        <f>IF(GETPIVOTDATA("ITL",'ITL-PIVOT'!$A$3,"KV%",$A60,"Experiment",G$5,"date",G$6)=0,NA(),GETPIVOTDATA("ITL",'ITL-PIVOT'!$A$3,"KV%",$A60,"Experiment",G$5,"date",G$6))</f>
        <v>#N/A</v>
      </c>
      <c r="H60" t="e">
        <f>IF(GETPIVOTDATA("ITL",'ITL-PIVOT'!$A$3,"KV%",$A60,"Experiment",H$5,"date",H$6)=0,NA(),GETPIVOTDATA("ITL",'ITL-PIVOT'!$A$3,"KV%",$A60,"Experiment",H$5,"date",H$6))</f>
        <v>#N/A</v>
      </c>
      <c r="I60">
        <f>IF(GETPIVOTDATA("ITL",'ITL-PIVOT'!$A$3,"KV%",$A60,"Experiment",I$5,"date",I$6)=0,NA(),GETPIVOTDATA("ITL",'ITL-PIVOT'!$A$3,"KV%",$A60,"Experiment",I$5,"date",I$6))</f>
        <v>1.8282164253900317E-2</v>
      </c>
      <c r="J60" t="e">
        <f>IF(GETPIVOTDATA("ITL",'ITL-PIVOT'!$A$3,"KV%",$A60,"Experiment",J$5,"date",J$6)=0,NA(),GETPIVOTDATA("ITL",'ITL-PIVOT'!$A$3,"KV%",$A60,"Experiment",J$5,"date",J$6))</f>
        <v>#N/A</v>
      </c>
      <c r="K60" t="e">
        <f>IF(GETPIVOTDATA("ITL",'ITL-PIVOT'!$A$3,"KV%",$A60,"Experiment",K$5,"date",K$6)=0,NA(),GETPIVOTDATA("ITL",'ITL-PIVOT'!$A$3,"KV%",$A60,"Experiment",K$5,"date",K$6))</f>
        <v>#N/A</v>
      </c>
      <c r="L60" t="e">
        <f>IF(GETPIVOTDATA("ITL",'ITL-PIVOT'!$A$3,"KV%",$A60,"Experiment",L$5,"date",L$6)=0,NA(),GETPIVOTDATA("ITL",'ITL-PIVOT'!$A$3,"KV%",$A60,"Experiment",L$5,"date",L$6))</f>
        <v>#N/A</v>
      </c>
      <c r="M60" t="e">
        <f>IF(GETPIVOTDATA("ITL",'ITL-PIVOT'!$A$3,"KV%",$A60,"Experiment",M$5,"date",M$6)=0,NA(),GETPIVOTDATA("ITL",'ITL-PIVOT'!$A$3,"KV%",$A60,"Experiment",M$5,"date",M$6))</f>
        <v>#N/A</v>
      </c>
    </row>
    <row r="61" spans="1:13" x14ac:dyDescent="0.25">
      <c r="A61">
        <f>IF('ITL-PIVOT'!A59=0,NA(),'ITL-PIVOT'!A59)</f>
        <v>0.14444789242306691</v>
      </c>
      <c r="B61" t="e">
        <f>IF(GETPIVOTDATA("ITL",'ITL-PIVOT'!$A$3,"KV%",$A61,"Experiment",B$5,"date",B$6)=0,NA(),GETPIVOTDATA("ITL",'ITL-PIVOT'!$A$3,"KV%",$A61,"Experiment",B$5,"date",B$6))</f>
        <v>#N/A</v>
      </c>
      <c r="C61" t="e">
        <f>IF(GETPIVOTDATA("ITL",'ITL-PIVOT'!$A$3,"KV%",$A61,"Experiment",C$5,"date",C$6)=0,NA(),GETPIVOTDATA("ITL",'ITL-PIVOT'!$A$3,"KV%",$A61,"Experiment",C$5,"date",C$6))</f>
        <v>#N/A</v>
      </c>
      <c r="D61" t="e">
        <f>IF(GETPIVOTDATA("ITL",'ITL-PIVOT'!$A$3,"KV%",$A61,"Experiment",D$5,"date",D$6)=0,NA(),GETPIVOTDATA("ITL",'ITL-PIVOT'!$A$3,"KV%",$A61,"Experiment",D$5,"date",D$6))</f>
        <v>#N/A</v>
      </c>
      <c r="E61" t="e">
        <f>IF(GETPIVOTDATA("ITL",'ITL-PIVOT'!$A$3,"KV%",$A61,"Experiment",E$5,"date",E$6)=0,NA(),GETPIVOTDATA("ITL",'ITL-PIVOT'!$A$3,"KV%",$A61,"Experiment",E$5,"date",E$6))</f>
        <v>#N/A</v>
      </c>
      <c r="F61" t="e">
        <f>IF(GETPIVOTDATA("ITL",'ITL-PIVOT'!$A$3,"KV%",$A61,"Experiment",F$5,"date",F$6)=0,NA(),GETPIVOTDATA("ITL",'ITL-PIVOT'!$A$3,"KV%",$A61,"Experiment",F$5,"date",F$6))</f>
        <v>#N/A</v>
      </c>
      <c r="G61" t="e">
        <f>IF(GETPIVOTDATA("ITL",'ITL-PIVOT'!$A$3,"KV%",$A61,"Experiment",G$5,"date",G$6)=0,NA(),GETPIVOTDATA("ITL",'ITL-PIVOT'!$A$3,"KV%",$A61,"Experiment",G$5,"date",G$6))</f>
        <v>#N/A</v>
      </c>
      <c r="H61" t="e">
        <f>IF(GETPIVOTDATA("ITL",'ITL-PIVOT'!$A$3,"KV%",$A61,"Experiment",H$5,"date",H$6)=0,NA(),GETPIVOTDATA("ITL",'ITL-PIVOT'!$A$3,"KV%",$A61,"Experiment",H$5,"date",H$6))</f>
        <v>#N/A</v>
      </c>
      <c r="I61" t="e">
        <f>IF(GETPIVOTDATA("ITL",'ITL-PIVOT'!$A$3,"KV%",$A61,"Experiment",I$5,"date",I$6)=0,NA(),GETPIVOTDATA("ITL",'ITL-PIVOT'!$A$3,"KV%",$A61,"Experiment",I$5,"date",I$6))</f>
        <v>#N/A</v>
      </c>
      <c r="J61" t="e">
        <f>IF(GETPIVOTDATA("ITL",'ITL-PIVOT'!$A$3,"KV%",$A61,"Experiment",J$5,"date",J$6)=0,NA(),GETPIVOTDATA("ITL",'ITL-PIVOT'!$A$3,"KV%",$A61,"Experiment",J$5,"date",J$6))</f>
        <v>#N/A</v>
      </c>
      <c r="K61">
        <f>IF(GETPIVOTDATA("ITL",'ITL-PIVOT'!$A$3,"KV%",$A61,"Experiment",K$5,"date",K$6)=0,NA(),GETPIVOTDATA("ITL",'ITL-PIVOT'!$A$3,"KV%",$A61,"Experiment",K$5,"date",K$6))</f>
        <v>1.2235912914705667E-2</v>
      </c>
      <c r="L61" t="e">
        <f>IF(GETPIVOTDATA("ITL",'ITL-PIVOT'!$A$3,"KV%",$A61,"Experiment",L$5,"date",L$6)=0,NA(),GETPIVOTDATA("ITL",'ITL-PIVOT'!$A$3,"KV%",$A61,"Experiment",L$5,"date",L$6))</f>
        <v>#N/A</v>
      </c>
      <c r="M61" t="e">
        <f>IF(GETPIVOTDATA("ITL",'ITL-PIVOT'!$A$3,"KV%",$A61,"Experiment",M$5,"date",M$6)=0,NA(),GETPIVOTDATA("ITL",'ITL-PIVOT'!$A$3,"KV%",$A61,"Experiment",M$5,"date",M$6))</f>
        <v>#N/A</v>
      </c>
    </row>
    <row r="62" spans="1:13" x14ac:dyDescent="0.25">
      <c r="A62">
        <f>IF('ITL-PIVOT'!A60=0,NA(),'ITL-PIVOT'!A60)</f>
        <v>0.15360972938438372</v>
      </c>
      <c r="B62" t="e">
        <f>IF(GETPIVOTDATA("ITL",'ITL-PIVOT'!$A$3,"KV%",$A62,"Experiment",B$5,"date",B$6)=0,NA(),GETPIVOTDATA("ITL",'ITL-PIVOT'!$A$3,"KV%",$A62,"Experiment",B$5,"date",B$6))</f>
        <v>#N/A</v>
      </c>
      <c r="C62" t="e">
        <f>IF(GETPIVOTDATA("ITL",'ITL-PIVOT'!$A$3,"KV%",$A62,"Experiment",C$5,"date",C$6)=0,NA(),GETPIVOTDATA("ITL",'ITL-PIVOT'!$A$3,"KV%",$A62,"Experiment",C$5,"date",C$6))</f>
        <v>#N/A</v>
      </c>
      <c r="D62">
        <f>IF(GETPIVOTDATA("ITL",'ITL-PIVOT'!$A$3,"KV%",$A62,"Experiment",D$5,"date",D$6)=0,NA(),GETPIVOTDATA("ITL",'ITL-PIVOT'!$A$3,"KV%",$A62,"Experiment",D$5,"date",D$6))</f>
        <v>1.1505180267543465E-2</v>
      </c>
      <c r="E62" t="e">
        <f>IF(GETPIVOTDATA("ITL",'ITL-PIVOT'!$A$3,"KV%",$A62,"Experiment",E$5,"date",E$6)=0,NA(),GETPIVOTDATA("ITL",'ITL-PIVOT'!$A$3,"KV%",$A62,"Experiment",E$5,"date",E$6))</f>
        <v>#N/A</v>
      </c>
      <c r="F62" t="e">
        <f>IF(GETPIVOTDATA("ITL",'ITL-PIVOT'!$A$3,"KV%",$A62,"Experiment",F$5,"date",F$6)=0,NA(),GETPIVOTDATA("ITL",'ITL-PIVOT'!$A$3,"KV%",$A62,"Experiment",F$5,"date",F$6))</f>
        <v>#N/A</v>
      </c>
      <c r="G62" t="e">
        <f>IF(GETPIVOTDATA("ITL",'ITL-PIVOT'!$A$3,"KV%",$A62,"Experiment",G$5,"date",G$6)=0,NA(),GETPIVOTDATA("ITL",'ITL-PIVOT'!$A$3,"KV%",$A62,"Experiment",G$5,"date",G$6))</f>
        <v>#N/A</v>
      </c>
      <c r="H62" t="e">
        <f>IF(GETPIVOTDATA("ITL",'ITL-PIVOT'!$A$3,"KV%",$A62,"Experiment",H$5,"date",H$6)=0,NA(),GETPIVOTDATA("ITL",'ITL-PIVOT'!$A$3,"KV%",$A62,"Experiment",H$5,"date",H$6))</f>
        <v>#N/A</v>
      </c>
      <c r="I62" t="e">
        <f>IF(GETPIVOTDATA("ITL",'ITL-PIVOT'!$A$3,"KV%",$A62,"Experiment",I$5,"date",I$6)=0,NA(),GETPIVOTDATA("ITL",'ITL-PIVOT'!$A$3,"KV%",$A62,"Experiment",I$5,"date",I$6))</f>
        <v>#N/A</v>
      </c>
      <c r="J62" t="e">
        <f>IF(GETPIVOTDATA("ITL",'ITL-PIVOT'!$A$3,"KV%",$A62,"Experiment",J$5,"date",J$6)=0,NA(),GETPIVOTDATA("ITL",'ITL-PIVOT'!$A$3,"KV%",$A62,"Experiment",J$5,"date",J$6))</f>
        <v>#N/A</v>
      </c>
      <c r="K62" t="e">
        <f>IF(GETPIVOTDATA("ITL",'ITL-PIVOT'!$A$3,"KV%",$A62,"Experiment",K$5,"date",K$6)=0,NA(),GETPIVOTDATA("ITL",'ITL-PIVOT'!$A$3,"KV%",$A62,"Experiment",K$5,"date",K$6))</f>
        <v>#N/A</v>
      </c>
      <c r="L62" t="e">
        <f>IF(GETPIVOTDATA("ITL",'ITL-PIVOT'!$A$3,"KV%",$A62,"Experiment",L$5,"date",L$6)=0,NA(),GETPIVOTDATA("ITL",'ITL-PIVOT'!$A$3,"KV%",$A62,"Experiment",L$5,"date",L$6))</f>
        <v>#N/A</v>
      </c>
      <c r="M62" t="e">
        <f>IF(GETPIVOTDATA("ITL",'ITL-PIVOT'!$A$3,"KV%",$A62,"Experiment",M$5,"date",M$6)=0,NA(),GETPIVOTDATA("ITL",'ITL-PIVOT'!$A$3,"KV%",$A62,"Experiment",M$5,"date",M$6))</f>
        <v>#N/A</v>
      </c>
    </row>
    <row r="63" spans="1:13" x14ac:dyDescent="0.25">
      <c r="A63">
        <f>IF('ITL-PIVOT'!A61=0,NA(),'ITL-PIVOT'!A61)</f>
        <v>0.15521075769330225</v>
      </c>
      <c r="B63" t="e">
        <f>IF(GETPIVOTDATA("ITL",'ITL-PIVOT'!$A$3,"KV%",$A63,"Experiment",B$5,"date",B$6)=0,NA(),GETPIVOTDATA("ITL",'ITL-PIVOT'!$A$3,"KV%",$A63,"Experiment",B$5,"date",B$6))</f>
        <v>#N/A</v>
      </c>
      <c r="C63" t="e">
        <f>IF(GETPIVOTDATA("ITL",'ITL-PIVOT'!$A$3,"KV%",$A63,"Experiment",C$5,"date",C$6)=0,NA(),GETPIVOTDATA("ITL",'ITL-PIVOT'!$A$3,"KV%",$A63,"Experiment",C$5,"date",C$6))</f>
        <v>#N/A</v>
      </c>
      <c r="D63" t="e">
        <f>IF(GETPIVOTDATA("ITL",'ITL-PIVOT'!$A$3,"KV%",$A63,"Experiment",D$5,"date",D$6)=0,NA(),GETPIVOTDATA("ITL",'ITL-PIVOT'!$A$3,"KV%",$A63,"Experiment",D$5,"date",D$6))</f>
        <v>#N/A</v>
      </c>
      <c r="E63" t="e">
        <f>IF(GETPIVOTDATA("ITL",'ITL-PIVOT'!$A$3,"KV%",$A63,"Experiment",E$5,"date",E$6)=0,NA(),GETPIVOTDATA("ITL",'ITL-PIVOT'!$A$3,"KV%",$A63,"Experiment",E$5,"date",E$6))</f>
        <v>#N/A</v>
      </c>
      <c r="F63" t="e">
        <f>IF(GETPIVOTDATA("ITL",'ITL-PIVOT'!$A$3,"KV%",$A63,"Experiment",F$5,"date",F$6)=0,NA(),GETPIVOTDATA("ITL",'ITL-PIVOT'!$A$3,"KV%",$A63,"Experiment",F$5,"date",F$6))</f>
        <v>#N/A</v>
      </c>
      <c r="G63" t="e">
        <f>IF(GETPIVOTDATA("ITL",'ITL-PIVOT'!$A$3,"KV%",$A63,"Experiment",G$5,"date",G$6)=0,NA(),GETPIVOTDATA("ITL",'ITL-PIVOT'!$A$3,"KV%",$A63,"Experiment",G$5,"date",G$6))</f>
        <v>#N/A</v>
      </c>
      <c r="H63" t="e">
        <f>IF(GETPIVOTDATA("ITL",'ITL-PIVOT'!$A$3,"KV%",$A63,"Experiment",H$5,"date",H$6)=0,NA(),GETPIVOTDATA("ITL",'ITL-PIVOT'!$A$3,"KV%",$A63,"Experiment",H$5,"date",H$6))</f>
        <v>#N/A</v>
      </c>
      <c r="I63" t="e">
        <f>IF(GETPIVOTDATA("ITL",'ITL-PIVOT'!$A$3,"KV%",$A63,"Experiment",I$5,"date",I$6)=0,NA(),GETPIVOTDATA("ITL",'ITL-PIVOT'!$A$3,"KV%",$A63,"Experiment",I$5,"date",I$6))</f>
        <v>#N/A</v>
      </c>
      <c r="J63" t="e">
        <f>IF(GETPIVOTDATA("ITL",'ITL-PIVOT'!$A$3,"KV%",$A63,"Experiment",J$5,"date",J$6)=0,NA(),GETPIVOTDATA("ITL",'ITL-PIVOT'!$A$3,"KV%",$A63,"Experiment",J$5,"date",J$6))</f>
        <v>#N/A</v>
      </c>
      <c r="K63" t="e">
        <f>IF(GETPIVOTDATA("ITL",'ITL-PIVOT'!$A$3,"KV%",$A63,"Experiment",K$5,"date",K$6)=0,NA(),GETPIVOTDATA("ITL",'ITL-PIVOT'!$A$3,"KV%",$A63,"Experiment",K$5,"date",K$6))</f>
        <v>#N/A</v>
      </c>
      <c r="L63" t="e">
        <f>IF(GETPIVOTDATA("ITL",'ITL-PIVOT'!$A$3,"KV%",$A63,"Experiment",L$5,"date",L$6)=0,NA(),GETPIVOTDATA("ITL",'ITL-PIVOT'!$A$3,"KV%",$A63,"Experiment",L$5,"date",L$6))</f>
        <v>#N/A</v>
      </c>
      <c r="M63">
        <f>IF(GETPIVOTDATA("ITL",'ITL-PIVOT'!$A$3,"KV%",$A63,"Experiment",M$5,"date",M$6)=0,NA(),GETPIVOTDATA("ITL",'ITL-PIVOT'!$A$3,"KV%",$A63,"Experiment",M$5,"date",M$6))</f>
        <v>2.4129971595228988E-2</v>
      </c>
    </row>
    <row r="64" spans="1:13" x14ac:dyDescent="0.25">
      <c r="A64">
        <f>IF('ITL-PIVOT'!A62=0,NA(),'ITL-PIVOT'!A62)</f>
        <v>0.15773467804499613</v>
      </c>
      <c r="B64" t="e">
        <f>IF(GETPIVOTDATA("ITL",'ITL-PIVOT'!$A$3,"KV%",$A64,"Experiment",B$5,"date",B$6)=0,NA(),GETPIVOTDATA("ITL",'ITL-PIVOT'!$A$3,"KV%",$A64,"Experiment",B$5,"date",B$6))</f>
        <v>#N/A</v>
      </c>
      <c r="C64" t="e">
        <f>IF(GETPIVOTDATA("ITL",'ITL-PIVOT'!$A$3,"KV%",$A64,"Experiment",C$5,"date",C$6)=0,NA(),GETPIVOTDATA("ITL",'ITL-PIVOT'!$A$3,"KV%",$A64,"Experiment",C$5,"date",C$6))</f>
        <v>#N/A</v>
      </c>
      <c r="D64" t="e">
        <f>IF(GETPIVOTDATA("ITL",'ITL-PIVOT'!$A$3,"KV%",$A64,"Experiment",D$5,"date",D$6)=0,NA(),GETPIVOTDATA("ITL",'ITL-PIVOT'!$A$3,"KV%",$A64,"Experiment",D$5,"date",D$6))</f>
        <v>#N/A</v>
      </c>
      <c r="E64">
        <f>IF(GETPIVOTDATA("ITL",'ITL-PIVOT'!$A$3,"KV%",$A64,"Experiment",E$5,"date",E$6)=0,NA(),GETPIVOTDATA("ITL",'ITL-PIVOT'!$A$3,"KV%",$A64,"Experiment",E$5,"date",E$6))</f>
        <v>1.2692933260667404E-2</v>
      </c>
      <c r="F64" t="e">
        <f>IF(GETPIVOTDATA("ITL",'ITL-PIVOT'!$A$3,"KV%",$A64,"Experiment",F$5,"date",F$6)=0,NA(),GETPIVOTDATA("ITL",'ITL-PIVOT'!$A$3,"KV%",$A64,"Experiment",F$5,"date",F$6))</f>
        <v>#N/A</v>
      </c>
      <c r="G64" t="e">
        <f>IF(GETPIVOTDATA("ITL",'ITL-PIVOT'!$A$3,"KV%",$A64,"Experiment",G$5,"date",G$6)=0,NA(),GETPIVOTDATA("ITL",'ITL-PIVOT'!$A$3,"KV%",$A64,"Experiment",G$5,"date",G$6))</f>
        <v>#N/A</v>
      </c>
      <c r="H64" t="e">
        <f>IF(GETPIVOTDATA("ITL",'ITL-PIVOT'!$A$3,"KV%",$A64,"Experiment",H$5,"date",H$6)=0,NA(),GETPIVOTDATA("ITL",'ITL-PIVOT'!$A$3,"KV%",$A64,"Experiment",H$5,"date",H$6))</f>
        <v>#N/A</v>
      </c>
      <c r="I64" t="e">
        <f>IF(GETPIVOTDATA("ITL",'ITL-PIVOT'!$A$3,"KV%",$A64,"Experiment",I$5,"date",I$6)=0,NA(),GETPIVOTDATA("ITL",'ITL-PIVOT'!$A$3,"KV%",$A64,"Experiment",I$5,"date",I$6))</f>
        <v>#N/A</v>
      </c>
      <c r="J64" t="e">
        <f>IF(GETPIVOTDATA("ITL",'ITL-PIVOT'!$A$3,"KV%",$A64,"Experiment",J$5,"date",J$6)=0,NA(),GETPIVOTDATA("ITL",'ITL-PIVOT'!$A$3,"KV%",$A64,"Experiment",J$5,"date",J$6))</f>
        <v>#N/A</v>
      </c>
      <c r="K64" t="e">
        <f>IF(GETPIVOTDATA("ITL",'ITL-PIVOT'!$A$3,"KV%",$A64,"Experiment",K$5,"date",K$6)=0,NA(),GETPIVOTDATA("ITL",'ITL-PIVOT'!$A$3,"KV%",$A64,"Experiment",K$5,"date",K$6))</f>
        <v>#N/A</v>
      </c>
      <c r="L64" t="e">
        <f>IF(GETPIVOTDATA("ITL",'ITL-PIVOT'!$A$3,"KV%",$A64,"Experiment",L$5,"date",L$6)=0,NA(),GETPIVOTDATA("ITL",'ITL-PIVOT'!$A$3,"KV%",$A64,"Experiment",L$5,"date",L$6))</f>
        <v>#N/A</v>
      </c>
      <c r="M64" t="e">
        <f>IF(GETPIVOTDATA("ITL",'ITL-PIVOT'!$A$3,"KV%",$A64,"Experiment",M$5,"date",M$6)=0,NA(),GETPIVOTDATA("ITL",'ITL-PIVOT'!$A$3,"KV%",$A64,"Experiment",M$5,"date",M$6))</f>
        <v>#N/A</v>
      </c>
    </row>
    <row r="65" spans="1:13" x14ac:dyDescent="0.25">
      <c r="A65">
        <f>IF('ITL-PIVOT'!A63=0,NA(),'ITL-PIVOT'!A63)</f>
        <v>0.15862684251357639</v>
      </c>
      <c r="B65" t="e">
        <f>IF(GETPIVOTDATA("ITL",'ITL-PIVOT'!$A$3,"KV%",$A65,"Experiment",B$5,"date",B$6)=0,NA(),GETPIVOTDATA("ITL",'ITL-PIVOT'!$A$3,"KV%",$A65,"Experiment",B$5,"date",B$6))</f>
        <v>#N/A</v>
      </c>
      <c r="C65" t="e">
        <f>IF(GETPIVOTDATA("ITL",'ITL-PIVOT'!$A$3,"KV%",$A65,"Experiment",C$5,"date",C$6)=0,NA(),GETPIVOTDATA("ITL",'ITL-PIVOT'!$A$3,"KV%",$A65,"Experiment",C$5,"date",C$6))</f>
        <v>#N/A</v>
      </c>
      <c r="D65" t="e">
        <f>IF(GETPIVOTDATA("ITL",'ITL-PIVOT'!$A$3,"KV%",$A65,"Experiment",D$5,"date",D$6)=0,NA(),GETPIVOTDATA("ITL",'ITL-PIVOT'!$A$3,"KV%",$A65,"Experiment",D$5,"date",D$6))</f>
        <v>#N/A</v>
      </c>
      <c r="E65" t="e">
        <f>IF(GETPIVOTDATA("ITL",'ITL-PIVOT'!$A$3,"KV%",$A65,"Experiment",E$5,"date",E$6)=0,NA(),GETPIVOTDATA("ITL",'ITL-PIVOT'!$A$3,"KV%",$A65,"Experiment",E$5,"date",E$6))</f>
        <v>#N/A</v>
      </c>
      <c r="F65" t="e">
        <f>IF(GETPIVOTDATA("ITL",'ITL-PIVOT'!$A$3,"KV%",$A65,"Experiment",F$5,"date",F$6)=0,NA(),GETPIVOTDATA("ITL",'ITL-PIVOT'!$A$3,"KV%",$A65,"Experiment",F$5,"date",F$6))</f>
        <v>#N/A</v>
      </c>
      <c r="G65" t="e">
        <f>IF(GETPIVOTDATA("ITL",'ITL-PIVOT'!$A$3,"KV%",$A65,"Experiment",G$5,"date",G$6)=0,NA(),GETPIVOTDATA("ITL",'ITL-PIVOT'!$A$3,"KV%",$A65,"Experiment",G$5,"date",G$6))</f>
        <v>#N/A</v>
      </c>
      <c r="H65">
        <f>IF(GETPIVOTDATA("ITL",'ITL-PIVOT'!$A$3,"KV%",$A65,"Experiment",H$5,"date",H$6)=0,NA(),GETPIVOTDATA("ITL",'ITL-PIVOT'!$A$3,"KV%",$A65,"Experiment",H$5,"date",H$6))</f>
        <v>1.6929177718728747E-2</v>
      </c>
      <c r="I65" t="e">
        <f>IF(GETPIVOTDATA("ITL",'ITL-PIVOT'!$A$3,"KV%",$A65,"Experiment",I$5,"date",I$6)=0,NA(),GETPIVOTDATA("ITL",'ITL-PIVOT'!$A$3,"KV%",$A65,"Experiment",I$5,"date",I$6))</f>
        <v>#N/A</v>
      </c>
      <c r="J65" t="e">
        <f>IF(GETPIVOTDATA("ITL",'ITL-PIVOT'!$A$3,"KV%",$A65,"Experiment",J$5,"date",J$6)=0,NA(),GETPIVOTDATA("ITL",'ITL-PIVOT'!$A$3,"KV%",$A65,"Experiment",J$5,"date",J$6))</f>
        <v>#N/A</v>
      </c>
      <c r="K65" t="e">
        <f>IF(GETPIVOTDATA("ITL",'ITL-PIVOT'!$A$3,"KV%",$A65,"Experiment",K$5,"date",K$6)=0,NA(),GETPIVOTDATA("ITL",'ITL-PIVOT'!$A$3,"KV%",$A65,"Experiment",K$5,"date",K$6))</f>
        <v>#N/A</v>
      </c>
      <c r="L65" t="e">
        <f>IF(GETPIVOTDATA("ITL",'ITL-PIVOT'!$A$3,"KV%",$A65,"Experiment",L$5,"date",L$6)=0,NA(),GETPIVOTDATA("ITL",'ITL-PIVOT'!$A$3,"KV%",$A65,"Experiment",L$5,"date",L$6))</f>
        <v>#N/A</v>
      </c>
      <c r="M65" t="e">
        <f>IF(GETPIVOTDATA("ITL",'ITL-PIVOT'!$A$3,"KV%",$A65,"Experiment",M$5,"date",M$6)=0,NA(),GETPIVOTDATA("ITL",'ITL-PIVOT'!$A$3,"KV%",$A65,"Experiment",M$5,"date",M$6))</f>
        <v>#N/A</v>
      </c>
    </row>
    <row r="66" spans="1:13" x14ac:dyDescent="0.25">
      <c r="A66">
        <f>IF('ITL-PIVOT'!A64=0,NA(),'ITL-PIVOT'!A64)</f>
        <v>0.15977501939487976</v>
      </c>
      <c r="B66">
        <f>IF(GETPIVOTDATA("ITL",'ITL-PIVOT'!$A$3,"KV%",$A66,"Experiment",B$5,"date",B$6)=0,NA(),GETPIVOTDATA("ITL",'ITL-PIVOT'!$A$3,"KV%",$A66,"Experiment",B$5,"date",B$6))</f>
        <v>1.584888159105512E-2</v>
      </c>
      <c r="C66" t="e">
        <f>IF(GETPIVOTDATA("ITL",'ITL-PIVOT'!$A$3,"KV%",$A66,"Experiment",C$5,"date",C$6)=0,NA(),GETPIVOTDATA("ITL",'ITL-PIVOT'!$A$3,"KV%",$A66,"Experiment",C$5,"date",C$6))</f>
        <v>#N/A</v>
      </c>
      <c r="D66" t="e">
        <f>IF(GETPIVOTDATA("ITL",'ITL-PIVOT'!$A$3,"KV%",$A66,"Experiment",D$5,"date",D$6)=0,NA(),GETPIVOTDATA("ITL",'ITL-PIVOT'!$A$3,"KV%",$A66,"Experiment",D$5,"date",D$6))</f>
        <v>#N/A</v>
      </c>
      <c r="E66" t="e">
        <f>IF(GETPIVOTDATA("ITL",'ITL-PIVOT'!$A$3,"KV%",$A66,"Experiment",E$5,"date",E$6)=0,NA(),GETPIVOTDATA("ITL",'ITL-PIVOT'!$A$3,"KV%",$A66,"Experiment",E$5,"date",E$6))</f>
        <v>#N/A</v>
      </c>
      <c r="F66" t="e">
        <f>IF(GETPIVOTDATA("ITL",'ITL-PIVOT'!$A$3,"KV%",$A66,"Experiment",F$5,"date",F$6)=0,NA(),GETPIVOTDATA("ITL",'ITL-PIVOT'!$A$3,"KV%",$A66,"Experiment",F$5,"date",F$6))</f>
        <v>#N/A</v>
      </c>
      <c r="G66" t="e">
        <f>IF(GETPIVOTDATA("ITL",'ITL-PIVOT'!$A$3,"KV%",$A66,"Experiment",G$5,"date",G$6)=0,NA(),GETPIVOTDATA("ITL",'ITL-PIVOT'!$A$3,"KV%",$A66,"Experiment",G$5,"date",G$6))</f>
        <v>#N/A</v>
      </c>
      <c r="H66" t="e">
        <f>IF(GETPIVOTDATA("ITL",'ITL-PIVOT'!$A$3,"KV%",$A66,"Experiment",H$5,"date",H$6)=0,NA(),GETPIVOTDATA("ITL",'ITL-PIVOT'!$A$3,"KV%",$A66,"Experiment",H$5,"date",H$6))</f>
        <v>#N/A</v>
      </c>
      <c r="I66" t="e">
        <f>IF(GETPIVOTDATA("ITL",'ITL-PIVOT'!$A$3,"KV%",$A66,"Experiment",I$5,"date",I$6)=0,NA(),GETPIVOTDATA("ITL",'ITL-PIVOT'!$A$3,"KV%",$A66,"Experiment",I$5,"date",I$6))</f>
        <v>#N/A</v>
      </c>
      <c r="J66" t="e">
        <f>IF(GETPIVOTDATA("ITL",'ITL-PIVOT'!$A$3,"KV%",$A66,"Experiment",J$5,"date",J$6)=0,NA(),GETPIVOTDATA("ITL",'ITL-PIVOT'!$A$3,"KV%",$A66,"Experiment",J$5,"date",J$6))</f>
        <v>#N/A</v>
      </c>
      <c r="K66" t="e">
        <f>IF(GETPIVOTDATA("ITL",'ITL-PIVOT'!$A$3,"KV%",$A66,"Experiment",K$5,"date",K$6)=0,NA(),GETPIVOTDATA("ITL",'ITL-PIVOT'!$A$3,"KV%",$A66,"Experiment",K$5,"date",K$6))</f>
        <v>#N/A</v>
      </c>
      <c r="L66" t="e">
        <f>IF(GETPIVOTDATA("ITL",'ITL-PIVOT'!$A$3,"KV%",$A66,"Experiment",L$5,"date",L$6)=0,NA(),GETPIVOTDATA("ITL",'ITL-PIVOT'!$A$3,"KV%",$A66,"Experiment",L$5,"date",L$6))</f>
        <v>#N/A</v>
      </c>
      <c r="M66" t="e">
        <f>IF(GETPIVOTDATA("ITL",'ITL-PIVOT'!$A$3,"KV%",$A66,"Experiment",M$5,"date",M$6)=0,NA(),GETPIVOTDATA("ITL",'ITL-PIVOT'!$A$3,"KV%",$A66,"Experiment",M$5,"date",M$6))</f>
        <v>#N/A</v>
      </c>
    </row>
    <row r="67" spans="1:13" x14ac:dyDescent="0.25">
      <c r="A67">
        <f>IF('ITL-PIVOT'!A65=0,NA(),'ITL-PIVOT'!A65)</f>
        <v>0.166508465294574</v>
      </c>
      <c r="B67" t="e">
        <f>IF(GETPIVOTDATA("ITL",'ITL-PIVOT'!$A$3,"KV%",$A67,"Experiment",B$5,"date",B$6)=0,NA(),GETPIVOTDATA("ITL",'ITL-PIVOT'!$A$3,"KV%",$A67,"Experiment",B$5,"date",B$6))</f>
        <v>#N/A</v>
      </c>
      <c r="C67" t="e">
        <f>IF(GETPIVOTDATA("ITL",'ITL-PIVOT'!$A$3,"KV%",$A67,"Experiment",C$5,"date",C$6)=0,NA(),GETPIVOTDATA("ITL",'ITL-PIVOT'!$A$3,"KV%",$A67,"Experiment",C$5,"date",C$6))</f>
        <v>#N/A</v>
      </c>
      <c r="D67">
        <f>IF(GETPIVOTDATA("ITL",'ITL-PIVOT'!$A$3,"KV%",$A67,"Experiment",D$5,"date",D$6)=0,NA(),GETPIVOTDATA("ITL",'ITL-PIVOT'!$A$3,"KV%",$A67,"Experiment",D$5,"date",D$6))</f>
        <v>1.1636336481284381E-2</v>
      </c>
      <c r="E67" t="e">
        <f>IF(GETPIVOTDATA("ITL",'ITL-PIVOT'!$A$3,"KV%",$A67,"Experiment",E$5,"date",E$6)=0,NA(),GETPIVOTDATA("ITL",'ITL-PIVOT'!$A$3,"KV%",$A67,"Experiment",E$5,"date",E$6))</f>
        <v>#N/A</v>
      </c>
      <c r="F67" t="e">
        <f>IF(GETPIVOTDATA("ITL",'ITL-PIVOT'!$A$3,"KV%",$A67,"Experiment",F$5,"date",F$6)=0,NA(),GETPIVOTDATA("ITL",'ITL-PIVOT'!$A$3,"KV%",$A67,"Experiment",F$5,"date",F$6))</f>
        <v>#N/A</v>
      </c>
      <c r="G67" t="e">
        <f>IF(GETPIVOTDATA("ITL",'ITL-PIVOT'!$A$3,"KV%",$A67,"Experiment",G$5,"date",G$6)=0,NA(),GETPIVOTDATA("ITL",'ITL-PIVOT'!$A$3,"KV%",$A67,"Experiment",G$5,"date",G$6))</f>
        <v>#N/A</v>
      </c>
      <c r="H67" t="e">
        <f>IF(GETPIVOTDATA("ITL",'ITL-PIVOT'!$A$3,"KV%",$A67,"Experiment",H$5,"date",H$6)=0,NA(),GETPIVOTDATA("ITL",'ITL-PIVOT'!$A$3,"KV%",$A67,"Experiment",H$5,"date",H$6))</f>
        <v>#N/A</v>
      </c>
      <c r="I67" t="e">
        <f>IF(GETPIVOTDATA("ITL",'ITL-PIVOT'!$A$3,"KV%",$A67,"Experiment",I$5,"date",I$6)=0,NA(),GETPIVOTDATA("ITL",'ITL-PIVOT'!$A$3,"KV%",$A67,"Experiment",I$5,"date",I$6))</f>
        <v>#N/A</v>
      </c>
      <c r="J67" t="e">
        <f>IF(GETPIVOTDATA("ITL",'ITL-PIVOT'!$A$3,"KV%",$A67,"Experiment",J$5,"date",J$6)=0,NA(),GETPIVOTDATA("ITL",'ITL-PIVOT'!$A$3,"KV%",$A67,"Experiment",J$5,"date",J$6))</f>
        <v>#N/A</v>
      </c>
      <c r="K67" t="e">
        <f>IF(GETPIVOTDATA("ITL",'ITL-PIVOT'!$A$3,"KV%",$A67,"Experiment",K$5,"date",K$6)=0,NA(),GETPIVOTDATA("ITL",'ITL-PIVOT'!$A$3,"KV%",$A67,"Experiment",K$5,"date",K$6))</f>
        <v>#N/A</v>
      </c>
      <c r="L67" t="e">
        <f>IF(GETPIVOTDATA("ITL",'ITL-PIVOT'!$A$3,"KV%",$A67,"Experiment",L$5,"date",L$6)=0,NA(),GETPIVOTDATA("ITL",'ITL-PIVOT'!$A$3,"KV%",$A67,"Experiment",L$5,"date",L$6))</f>
        <v>#N/A</v>
      </c>
      <c r="M67" t="e">
        <f>IF(GETPIVOTDATA("ITL",'ITL-PIVOT'!$A$3,"KV%",$A67,"Experiment",M$5,"date",M$6)=0,NA(),GETPIVOTDATA("ITL",'ITL-PIVOT'!$A$3,"KV%",$A67,"Experiment",M$5,"date",M$6))</f>
        <v>#N/A</v>
      </c>
    </row>
    <row r="68" spans="1:13" x14ac:dyDescent="0.25">
      <c r="A68">
        <f>IF('ITL-PIVOT'!A66=0,NA(),'ITL-PIVOT'!A66)</f>
        <v>0.17103859581070602</v>
      </c>
      <c r="B68" t="e">
        <f>IF(GETPIVOTDATA("ITL",'ITL-PIVOT'!$A$3,"KV%",$A68,"Experiment",B$5,"date",B$6)=0,NA(),GETPIVOTDATA("ITL",'ITL-PIVOT'!$A$3,"KV%",$A68,"Experiment",B$5,"date",B$6))</f>
        <v>#N/A</v>
      </c>
      <c r="C68">
        <f>IF(GETPIVOTDATA("ITL",'ITL-PIVOT'!$A$3,"KV%",$A68,"Experiment",C$5,"date",C$6)=0,NA(),GETPIVOTDATA("ITL",'ITL-PIVOT'!$A$3,"KV%",$A68,"Experiment",C$5,"date",C$6))</f>
        <v>1.555310791801642E-2</v>
      </c>
      <c r="D68" t="e">
        <f>IF(GETPIVOTDATA("ITL",'ITL-PIVOT'!$A$3,"KV%",$A68,"Experiment",D$5,"date",D$6)=0,NA(),GETPIVOTDATA("ITL",'ITL-PIVOT'!$A$3,"KV%",$A68,"Experiment",D$5,"date",D$6))</f>
        <v>#N/A</v>
      </c>
      <c r="E68" t="e">
        <f>IF(GETPIVOTDATA("ITL",'ITL-PIVOT'!$A$3,"KV%",$A68,"Experiment",E$5,"date",E$6)=0,NA(),GETPIVOTDATA("ITL",'ITL-PIVOT'!$A$3,"KV%",$A68,"Experiment",E$5,"date",E$6))</f>
        <v>#N/A</v>
      </c>
      <c r="F68" t="e">
        <f>IF(GETPIVOTDATA("ITL",'ITL-PIVOT'!$A$3,"KV%",$A68,"Experiment",F$5,"date",F$6)=0,NA(),GETPIVOTDATA("ITL",'ITL-PIVOT'!$A$3,"KV%",$A68,"Experiment",F$5,"date",F$6))</f>
        <v>#N/A</v>
      </c>
      <c r="G68" t="e">
        <f>IF(GETPIVOTDATA("ITL",'ITL-PIVOT'!$A$3,"KV%",$A68,"Experiment",G$5,"date",G$6)=0,NA(),GETPIVOTDATA("ITL",'ITL-PIVOT'!$A$3,"KV%",$A68,"Experiment",G$5,"date",G$6))</f>
        <v>#N/A</v>
      </c>
      <c r="H68" t="e">
        <f>IF(GETPIVOTDATA("ITL",'ITL-PIVOT'!$A$3,"KV%",$A68,"Experiment",H$5,"date",H$6)=0,NA(),GETPIVOTDATA("ITL",'ITL-PIVOT'!$A$3,"KV%",$A68,"Experiment",H$5,"date",H$6))</f>
        <v>#N/A</v>
      </c>
      <c r="I68" t="e">
        <f>IF(GETPIVOTDATA("ITL",'ITL-PIVOT'!$A$3,"KV%",$A68,"Experiment",I$5,"date",I$6)=0,NA(),GETPIVOTDATA("ITL",'ITL-PIVOT'!$A$3,"KV%",$A68,"Experiment",I$5,"date",I$6))</f>
        <v>#N/A</v>
      </c>
      <c r="J68" t="e">
        <f>IF(GETPIVOTDATA("ITL",'ITL-PIVOT'!$A$3,"KV%",$A68,"Experiment",J$5,"date",J$6)=0,NA(),GETPIVOTDATA("ITL",'ITL-PIVOT'!$A$3,"KV%",$A68,"Experiment",J$5,"date",J$6))</f>
        <v>#N/A</v>
      </c>
      <c r="K68" t="e">
        <f>IF(GETPIVOTDATA("ITL",'ITL-PIVOT'!$A$3,"KV%",$A68,"Experiment",K$5,"date",K$6)=0,NA(),GETPIVOTDATA("ITL",'ITL-PIVOT'!$A$3,"KV%",$A68,"Experiment",K$5,"date",K$6))</f>
        <v>#N/A</v>
      </c>
      <c r="L68" t="e">
        <f>IF(GETPIVOTDATA("ITL",'ITL-PIVOT'!$A$3,"KV%",$A68,"Experiment",L$5,"date",L$6)=0,NA(),GETPIVOTDATA("ITL",'ITL-PIVOT'!$A$3,"KV%",$A68,"Experiment",L$5,"date",L$6))</f>
        <v>#N/A</v>
      </c>
      <c r="M68" t="e">
        <f>IF(GETPIVOTDATA("ITL",'ITL-PIVOT'!$A$3,"KV%",$A68,"Experiment",M$5,"date",M$6)=0,NA(),GETPIVOTDATA("ITL",'ITL-PIVOT'!$A$3,"KV%",$A68,"Experiment",M$5,"date",M$6))</f>
        <v>#N/A</v>
      </c>
    </row>
    <row r="69" spans="1:13" x14ac:dyDescent="0.25">
      <c r="A69">
        <f>IF('ITL-PIVOT'!A67=0,NA(),'ITL-PIVOT'!A67)</f>
        <v>0.17125822486567252</v>
      </c>
      <c r="B69" t="e">
        <f>IF(GETPIVOTDATA("ITL",'ITL-PIVOT'!$A$3,"KV%",$A69,"Experiment",B$5,"date",B$6)=0,NA(),GETPIVOTDATA("ITL",'ITL-PIVOT'!$A$3,"KV%",$A69,"Experiment",B$5,"date",B$6))</f>
        <v>#N/A</v>
      </c>
      <c r="C69" t="e">
        <f>IF(GETPIVOTDATA("ITL",'ITL-PIVOT'!$A$3,"KV%",$A69,"Experiment",C$5,"date",C$6)=0,NA(),GETPIVOTDATA("ITL",'ITL-PIVOT'!$A$3,"KV%",$A69,"Experiment",C$5,"date",C$6))</f>
        <v>#N/A</v>
      </c>
      <c r="D69" t="e">
        <f>IF(GETPIVOTDATA("ITL",'ITL-PIVOT'!$A$3,"KV%",$A69,"Experiment",D$5,"date",D$6)=0,NA(),GETPIVOTDATA("ITL",'ITL-PIVOT'!$A$3,"KV%",$A69,"Experiment",D$5,"date",D$6))</f>
        <v>#N/A</v>
      </c>
      <c r="E69" t="e">
        <f>IF(GETPIVOTDATA("ITL",'ITL-PIVOT'!$A$3,"KV%",$A69,"Experiment",E$5,"date",E$6)=0,NA(),GETPIVOTDATA("ITL",'ITL-PIVOT'!$A$3,"KV%",$A69,"Experiment",E$5,"date",E$6))</f>
        <v>#N/A</v>
      </c>
      <c r="F69" t="e">
        <f>IF(GETPIVOTDATA("ITL",'ITL-PIVOT'!$A$3,"KV%",$A69,"Experiment",F$5,"date",F$6)=0,NA(),GETPIVOTDATA("ITL",'ITL-PIVOT'!$A$3,"KV%",$A69,"Experiment",F$5,"date",F$6))</f>
        <v>#N/A</v>
      </c>
      <c r="G69" t="e">
        <f>IF(GETPIVOTDATA("ITL",'ITL-PIVOT'!$A$3,"KV%",$A69,"Experiment",G$5,"date",G$6)=0,NA(),GETPIVOTDATA("ITL",'ITL-PIVOT'!$A$3,"KV%",$A69,"Experiment",G$5,"date",G$6))</f>
        <v>#N/A</v>
      </c>
      <c r="H69" t="e">
        <f>IF(GETPIVOTDATA("ITL",'ITL-PIVOT'!$A$3,"KV%",$A69,"Experiment",H$5,"date",H$6)=0,NA(),GETPIVOTDATA("ITL",'ITL-PIVOT'!$A$3,"KV%",$A69,"Experiment",H$5,"date",H$6))</f>
        <v>#N/A</v>
      </c>
      <c r="I69">
        <f>IF(GETPIVOTDATA("ITL",'ITL-PIVOT'!$A$3,"KV%",$A69,"Experiment",I$5,"date",I$6)=0,NA(),GETPIVOTDATA("ITL",'ITL-PIVOT'!$A$3,"KV%",$A69,"Experiment",I$5,"date",I$6))</f>
        <v>1.8460602292626395E-2</v>
      </c>
      <c r="J69" t="e">
        <f>IF(GETPIVOTDATA("ITL",'ITL-PIVOT'!$A$3,"KV%",$A69,"Experiment",J$5,"date",J$6)=0,NA(),GETPIVOTDATA("ITL",'ITL-PIVOT'!$A$3,"KV%",$A69,"Experiment",J$5,"date",J$6))</f>
        <v>#N/A</v>
      </c>
      <c r="K69" t="e">
        <f>IF(GETPIVOTDATA("ITL",'ITL-PIVOT'!$A$3,"KV%",$A69,"Experiment",K$5,"date",K$6)=0,NA(),GETPIVOTDATA("ITL",'ITL-PIVOT'!$A$3,"KV%",$A69,"Experiment",K$5,"date",K$6))</f>
        <v>#N/A</v>
      </c>
      <c r="L69" t="e">
        <f>IF(GETPIVOTDATA("ITL",'ITL-PIVOT'!$A$3,"KV%",$A69,"Experiment",L$5,"date",L$6)=0,NA(),GETPIVOTDATA("ITL",'ITL-PIVOT'!$A$3,"KV%",$A69,"Experiment",L$5,"date",L$6))</f>
        <v>#N/A</v>
      </c>
      <c r="M69" t="e">
        <f>IF(GETPIVOTDATA("ITL",'ITL-PIVOT'!$A$3,"KV%",$A69,"Experiment",M$5,"date",M$6)=0,NA(),GETPIVOTDATA("ITL",'ITL-PIVOT'!$A$3,"KV%",$A69,"Experiment",M$5,"date",M$6))</f>
        <v>#N/A</v>
      </c>
    </row>
    <row r="70" spans="1:13" x14ac:dyDescent="0.25">
      <c r="A70">
        <f>IF('ITL-PIVOT'!A68=0,NA(),'ITL-PIVOT'!A68)</f>
        <v>0.17211700816866699</v>
      </c>
      <c r="B70" t="e">
        <f>IF(GETPIVOTDATA("ITL",'ITL-PIVOT'!$A$3,"KV%",$A70,"Experiment",B$5,"date",B$6)=0,NA(),GETPIVOTDATA("ITL",'ITL-PIVOT'!$A$3,"KV%",$A70,"Experiment",B$5,"date",B$6))</f>
        <v>#N/A</v>
      </c>
      <c r="C70" t="e">
        <f>IF(GETPIVOTDATA("ITL",'ITL-PIVOT'!$A$3,"KV%",$A70,"Experiment",C$5,"date",C$6)=0,NA(),GETPIVOTDATA("ITL",'ITL-PIVOT'!$A$3,"KV%",$A70,"Experiment",C$5,"date",C$6))</f>
        <v>#N/A</v>
      </c>
      <c r="D70" t="e">
        <f>IF(GETPIVOTDATA("ITL",'ITL-PIVOT'!$A$3,"KV%",$A70,"Experiment",D$5,"date",D$6)=0,NA(),GETPIVOTDATA("ITL",'ITL-PIVOT'!$A$3,"KV%",$A70,"Experiment",D$5,"date",D$6))</f>
        <v>#N/A</v>
      </c>
      <c r="E70" t="e">
        <f>IF(GETPIVOTDATA("ITL",'ITL-PIVOT'!$A$3,"KV%",$A70,"Experiment",E$5,"date",E$6)=0,NA(),GETPIVOTDATA("ITL",'ITL-PIVOT'!$A$3,"KV%",$A70,"Experiment",E$5,"date",E$6))</f>
        <v>#N/A</v>
      </c>
      <c r="F70" t="e">
        <f>IF(GETPIVOTDATA("ITL",'ITL-PIVOT'!$A$3,"KV%",$A70,"Experiment",F$5,"date",F$6)=0,NA(),GETPIVOTDATA("ITL",'ITL-PIVOT'!$A$3,"KV%",$A70,"Experiment",F$5,"date",F$6))</f>
        <v>#N/A</v>
      </c>
      <c r="G70" t="e">
        <f>IF(GETPIVOTDATA("ITL",'ITL-PIVOT'!$A$3,"KV%",$A70,"Experiment",G$5,"date",G$6)=0,NA(),GETPIVOTDATA("ITL",'ITL-PIVOT'!$A$3,"KV%",$A70,"Experiment",G$5,"date",G$6))</f>
        <v>#N/A</v>
      </c>
      <c r="H70" t="e">
        <f>IF(GETPIVOTDATA("ITL",'ITL-PIVOT'!$A$3,"KV%",$A70,"Experiment",H$5,"date",H$6)=0,NA(),GETPIVOTDATA("ITL",'ITL-PIVOT'!$A$3,"KV%",$A70,"Experiment",H$5,"date",H$6))</f>
        <v>#N/A</v>
      </c>
      <c r="I70" t="e">
        <f>IF(GETPIVOTDATA("ITL",'ITL-PIVOT'!$A$3,"KV%",$A70,"Experiment",I$5,"date",I$6)=0,NA(),GETPIVOTDATA("ITL",'ITL-PIVOT'!$A$3,"KV%",$A70,"Experiment",I$5,"date",I$6))</f>
        <v>#N/A</v>
      </c>
      <c r="J70" t="e">
        <f>IF(GETPIVOTDATA("ITL",'ITL-PIVOT'!$A$3,"KV%",$A70,"Experiment",J$5,"date",J$6)=0,NA(),GETPIVOTDATA("ITL",'ITL-PIVOT'!$A$3,"KV%",$A70,"Experiment",J$5,"date",J$6))</f>
        <v>#N/A</v>
      </c>
      <c r="K70" t="e">
        <f>IF(GETPIVOTDATA("ITL",'ITL-PIVOT'!$A$3,"KV%",$A70,"Experiment",K$5,"date",K$6)=0,NA(),GETPIVOTDATA("ITL",'ITL-PIVOT'!$A$3,"KV%",$A70,"Experiment",K$5,"date",K$6))</f>
        <v>#N/A</v>
      </c>
      <c r="L70">
        <f>IF(GETPIVOTDATA("ITL",'ITL-PIVOT'!$A$3,"KV%",$A70,"Experiment",L$5,"date",L$6)=0,NA(),GETPIVOTDATA("ITL",'ITL-PIVOT'!$A$3,"KV%",$A70,"Experiment",L$5,"date",L$6))</f>
        <v>1.3253454096760171E-2</v>
      </c>
      <c r="M70" t="e">
        <f>IF(GETPIVOTDATA("ITL",'ITL-PIVOT'!$A$3,"KV%",$A70,"Experiment",M$5,"date",M$6)=0,NA(),GETPIVOTDATA("ITL",'ITL-PIVOT'!$A$3,"KV%",$A70,"Experiment",M$5,"date",M$6))</f>
        <v>#N/A</v>
      </c>
    </row>
    <row r="71" spans="1:13" x14ac:dyDescent="0.25">
      <c r="A71">
        <f>IF('ITL-PIVOT'!A69=0,NA(),'ITL-PIVOT'!A69)</f>
        <v>0.17859033450463196</v>
      </c>
      <c r="B71" t="e">
        <f>IF(GETPIVOTDATA("ITL",'ITL-PIVOT'!$A$3,"KV%",$A71,"Experiment",B$5,"date",B$6)=0,NA(),GETPIVOTDATA("ITL",'ITL-PIVOT'!$A$3,"KV%",$A71,"Experiment",B$5,"date",B$6))</f>
        <v>#N/A</v>
      </c>
      <c r="C71" t="e">
        <f>IF(GETPIVOTDATA("ITL",'ITL-PIVOT'!$A$3,"KV%",$A71,"Experiment",C$5,"date",C$6)=0,NA(),GETPIVOTDATA("ITL",'ITL-PIVOT'!$A$3,"KV%",$A71,"Experiment",C$5,"date",C$6))</f>
        <v>#N/A</v>
      </c>
      <c r="D71" t="e">
        <f>IF(GETPIVOTDATA("ITL",'ITL-PIVOT'!$A$3,"KV%",$A71,"Experiment",D$5,"date",D$6)=0,NA(),GETPIVOTDATA("ITL",'ITL-PIVOT'!$A$3,"KV%",$A71,"Experiment",D$5,"date",D$6))</f>
        <v>#N/A</v>
      </c>
      <c r="E71" t="e">
        <f>IF(GETPIVOTDATA("ITL",'ITL-PIVOT'!$A$3,"KV%",$A71,"Experiment",E$5,"date",E$6)=0,NA(),GETPIVOTDATA("ITL",'ITL-PIVOT'!$A$3,"KV%",$A71,"Experiment",E$5,"date",E$6))</f>
        <v>#N/A</v>
      </c>
      <c r="F71" t="e">
        <f>IF(GETPIVOTDATA("ITL",'ITL-PIVOT'!$A$3,"KV%",$A71,"Experiment",F$5,"date",F$6)=0,NA(),GETPIVOTDATA("ITL",'ITL-PIVOT'!$A$3,"KV%",$A71,"Experiment",F$5,"date",F$6))</f>
        <v>#N/A</v>
      </c>
      <c r="G71" t="e">
        <f>IF(GETPIVOTDATA("ITL",'ITL-PIVOT'!$A$3,"KV%",$A71,"Experiment",G$5,"date",G$6)=0,NA(),GETPIVOTDATA("ITL",'ITL-PIVOT'!$A$3,"KV%",$A71,"Experiment",G$5,"date",G$6))</f>
        <v>#N/A</v>
      </c>
      <c r="H71" t="e">
        <f>IF(GETPIVOTDATA("ITL",'ITL-PIVOT'!$A$3,"KV%",$A71,"Experiment",H$5,"date",H$6)=0,NA(),GETPIVOTDATA("ITL",'ITL-PIVOT'!$A$3,"KV%",$A71,"Experiment",H$5,"date",H$6))</f>
        <v>#N/A</v>
      </c>
      <c r="I71" t="e">
        <f>IF(GETPIVOTDATA("ITL",'ITL-PIVOT'!$A$3,"KV%",$A71,"Experiment",I$5,"date",I$6)=0,NA(),GETPIVOTDATA("ITL",'ITL-PIVOT'!$A$3,"KV%",$A71,"Experiment",I$5,"date",I$6))</f>
        <v>#N/A</v>
      </c>
      <c r="J71" t="e">
        <f>IF(GETPIVOTDATA("ITL",'ITL-PIVOT'!$A$3,"KV%",$A71,"Experiment",J$5,"date",J$6)=0,NA(),GETPIVOTDATA("ITL",'ITL-PIVOT'!$A$3,"KV%",$A71,"Experiment",J$5,"date",J$6))</f>
        <v>#N/A</v>
      </c>
      <c r="K71" t="e">
        <f>IF(GETPIVOTDATA("ITL",'ITL-PIVOT'!$A$3,"KV%",$A71,"Experiment",K$5,"date",K$6)=0,NA(),GETPIVOTDATA("ITL",'ITL-PIVOT'!$A$3,"KV%",$A71,"Experiment",K$5,"date",K$6))</f>
        <v>#N/A</v>
      </c>
      <c r="L71">
        <f>IF(GETPIVOTDATA("ITL",'ITL-PIVOT'!$A$3,"KV%",$A71,"Experiment",L$5,"date",L$6)=0,NA(),GETPIVOTDATA("ITL",'ITL-PIVOT'!$A$3,"KV%",$A71,"Experiment",L$5,"date",L$6))</f>
        <v>1.3675466659039886E-2</v>
      </c>
      <c r="M71" t="e">
        <f>IF(GETPIVOTDATA("ITL",'ITL-PIVOT'!$A$3,"KV%",$A71,"Experiment",M$5,"date",M$6)=0,NA(),GETPIVOTDATA("ITL",'ITL-PIVOT'!$A$3,"KV%",$A71,"Experiment",M$5,"date",M$6))</f>
        <v>#N/A</v>
      </c>
    </row>
    <row r="72" spans="1:13" x14ac:dyDescent="0.25">
      <c r="A72">
        <f>IF('ITL-PIVOT'!A70=0,NA(),'ITL-PIVOT'!A70)</f>
        <v>0.17876260667183863</v>
      </c>
      <c r="B72" t="e">
        <f>IF(GETPIVOTDATA("ITL",'ITL-PIVOT'!$A$3,"KV%",$A72,"Experiment",B$5,"date",B$6)=0,NA(),GETPIVOTDATA("ITL",'ITL-PIVOT'!$A$3,"KV%",$A72,"Experiment",B$5,"date",B$6))</f>
        <v>#N/A</v>
      </c>
      <c r="C72" t="e">
        <f>IF(GETPIVOTDATA("ITL",'ITL-PIVOT'!$A$3,"KV%",$A72,"Experiment",C$5,"date",C$6)=0,NA(),GETPIVOTDATA("ITL",'ITL-PIVOT'!$A$3,"KV%",$A72,"Experiment",C$5,"date",C$6))</f>
        <v>#N/A</v>
      </c>
      <c r="D72" t="e">
        <f>IF(GETPIVOTDATA("ITL",'ITL-PIVOT'!$A$3,"KV%",$A72,"Experiment",D$5,"date",D$6)=0,NA(),GETPIVOTDATA("ITL",'ITL-PIVOT'!$A$3,"KV%",$A72,"Experiment",D$5,"date",D$6))</f>
        <v>#N/A</v>
      </c>
      <c r="E72">
        <f>IF(GETPIVOTDATA("ITL",'ITL-PIVOT'!$A$3,"KV%",$A72,"Experiment",E$5,"date",E$6)=0,NA(),GETPIVOTDATA("ITL",'ITL-PIVOT'!$A$3,"KV%",$A72,"Experiment",E$5,"date",E$6))</f>
        <v>1.2816159787474895E-2</v>
      </c>
      <c r="F72" t="e">
        <f>IF(GETPIVOTDATA("ITL",'ITL-PIVOT'!$A$3,"KV%",$A72,"Experiment",F$5,"date",F$6)=0,NA(),GETPIVOTDATA("ITL",'ITL-PIVOT'!$A$3,"KV%",$A72,"Experiment",F$5,"date",F$6))</f>
        <v>#N/A</v>
      </c>
      <c r="G72" t="e">
        <f>IF(GETPIVOTDATA("ITL",'ITL-PIVOT'!$A$3,"KV%",$A72,"Experiment",G$5,"date",G$6)=0,NA(),GETPIVOTDATA("ITL",'ITL-PIVOT'!$A$3,"KV%",$A72,"Experiment",G$5,"date",G$6))</f>
        <v>#N/A</v>
      </c>
      <c r="H72" t="e">
        <f>IF(GETPIVOTDATA("ITL",'ITL-PIVOT'!$A$3,"KV%",$A72,"Experiment",H$5,"date",H$6)=0,NA(),GETPIVOTDATA("ITL",'ITL-PIVOT'!$A$3,"KV%",$A72,"Experiment",H$5,"date",H$6))</f>
        <v>#N/A</v>
      </c>
      <c r="I72" t="e">
        <f>IF(GETPIVOTDATA("ITL",'ITL-PIVOT'!$A$3,"KV%",$A72,"Experiment",I$5,"date",I$6)=0,NA(),GETPIVOTDATA("ITL",'ITL-PIVOT'!$A$3,"KV%",$A72,"Experiment",I$5,"date",I$6))</f>
        <v>#N/A</v>
      </c>
      <c r="J72" t="e">
        <f>IF(GETPIVOTDATA("ITL",'ITL-PIVOT'!$A$3,"KV%",$A72,"Experiment",J$5,"date",J$6)=0,NA(),GETPIVOTDATA("ITL",'ITL-PIVOT'!$A$3,"KV%",$A72,"Experiment",J$5,"date",J$6))</f>
        <v>#N/A</v>
      </c>
      <c r="K72" t="e">
        <f>IF(GETPIVOTDATA("ITL",'ITL-PIVOT'!$A$3,"KV%",$A72,"Experiment",K$5,"date",K$6)=0,NA(),GETPIVOTDATA("ITL",'ITL-PIVOT'!$A$3,"KV%",$A72,"Experiment",K$5,"date",K$6))</f>
        <v>#N/A</v>
      </c>
      <c r="L72" t="e">
        <f>IF(GETPIVOTDATA("ITL",'ITL-PIVOT'!$A$3,"KV%",$A72,"Experiment",L$5,"date",L$6)=0,NA(),GETPIVOTDATA("ITL",'ITL-PIVOT'!$A$3,"KV%",$A72,"Experiment",L$5,"date",L$6))</f>
        <v>#N/A</v>
      </c>
      <c r="M72" t="e">
        <f>IF(GETPIVOTDATA("ITL",'ITL-PIVOT'!$A$3,"KV%",$A72,"Experiment",M$5,"date",M$6)=0,NA(),GETPIVOTDATA("ITL",'ITL-PIVOT'!$A$3,"KV%",$A72,"Experiment",M$5,"date",M$6))</f>
        <v>#N/A</v>
      </c>
    </row>
    <row r="73" spans="1:13" x14ac:dyDescent="0.25">
      <c r="A73">
        <f>IF('ITL-PIVOT'!A71=0,NA(),'ITL-PIVOT'!A71)</f>
        <v>0.18175717610550809</v>
      </c>
      <c r="B73" t="e">
        <f>IF(GETPIVOTDATA("ITL",'ITL-PIVOT'!$A$3,"KV%",$A73,"Experiment",B$5,"date",B$6)=0,NA(),GETPIVOTDATA("ITL",'ITL-PIVOT'!$A$3,"KV%",$A73,"Experiment",B$5,"date",B$6))</f>
        <v>#N/A</v>
      </c>
      <c r="C73" t="e">
        <f>IF(GETPIVOTDATA("ITL",'ITL-PIVOT'!$A$3,"KV%",$A73,"Experiment",C$5,"date",C$6)=0,NA(),GETPIVOTDATA("ITL",'ITL-PIVOT'!$A$3,"KV%",$A73,"Experiment",C$5,"date",C$6))</f>
        <v>#N/A</v>
      </c>
      <c r="D73" t="e">
        <f>IF(GETPIVOTDATA("ITL",'ITL-PIVOT'!$A$3,"KV%",$A73,"Experiment",D$5,"date",D$6)=0,NA(),GETPIVOTDATA("ITL",'ITL-PIVOT'!$A$3,"KV%",$A73,"Experiment",D$5,"date",D$6))</f>
        <v>#N/A</v>
      </c>
      <c r="E73" t="e">
        <f>IF(GETPIVOTDATA("ITL",'ITL-PIVOT'!$A$3,"KV%",$A73,"Experiment",E$5,"date",E$6)=0,NA(),GETPIVOTDATA("ITL",'ITL-PIVOT'!$A$3,"KV%",$A73,"Experiment",E$5,"date",E$6))</f>
        <v>#N/A</v>
      </c>
      <c r="F73" t="e">
        <f>IF(GETPIVOTDATA("ITL",'ITL-PIVOT'!$A$3,"KV%",$A73,"Experiment",F$5,"date",F$6)=0,NA(),GETPIVOTDATA("ITL",'ITL-PIVOT'!$A$3,"KV%",$A73,"Experiment",F$5,"date",F$6))</f>
        <v>#N/A</v>
      </c>
      <c r="G73" t="e">
        <f>IF(GETPIVOTDATA("ITL",'ITL-PIVOT'!$A$3,"KV%",$A73,"Experiment",G$5,"date",G$6)=0,NA(),GETPIVOTDATA("ITL",'ITL-PIVOT'!$A$3,"KV%",$A73,"Experiment",G$5,"date",G$6))</f>
        <v>#N/A</v>
      </c>
      <c r="H73">
        <f>IF(GETPIVOTDATA("ITL",'ITL-PIVOT'!$A$3,"KV%",$A73,"Experiment",H$5,"date",H$6)=0,NA(),GETPIVOTDATA("ITL",'ITL-PIVOT'!$A$3,"KV%",$A73,"Experiment",H$5,"date",H$6))</f>
        <v>1.8620865082390158E-2</v>
      </c>
      <c r="I73" t="e">
        <f>IF(GETPIVOTDATA("ITL",'ITL-PIVOT'!$A$3,"KV%",$A73,"Experiment",I$5,"date",I$6)=0,NA(),GETPIVOTDATA("ITL",'ITL-PIVOT'!$A$3,"KV%",$A73,"Experiment",I$5,"date",I$6))</f>
        <v>#N/A</v>
      </c>
      <c r="J73" t="e">
        <f>IF(GETPIVOTDATA("ITL",'ITL-PIVOT'!$A$3,"KV%",$A73,"Experiment",J$5,"date",J$6)=0,NA(),GETPIVOTDATA("ITL",'ITL-PIVOT'!$A$3,"KV%",$A73,"Experiment",J$5,"date",J$6))</f>
        <v>#N/A</v>
      </c>
      <c r="K73" t="e">
        <f>IF(GETPIVOTDATA("ITL",'ITL-PIVOT'!$A$3,"KV%",$A73,"Experiment",K$5,"date",K$6)=0,NA(),GETPIVOTDATA("ITL",'ITL-PIVOT'!$A$3,"KV%",$A73,"Experiment",K$5,"date",K$6))</f>
        <v>#N/A</v>
      </c>
      <c r="L73" t="e">
        <f>IF(GETPIVOTDATA("ITL",'ITL-PIVOT'!$A$3,"KV%",$A73,"Experiment",L$5,"date",L$6)=0,NA(),GETPIVOTDATA("ITL",'ITL-PIVOT'!$A$3,"KV%",$A73,"Experiment",L$5,"date",L$6))</f>
        <v>#N/A</v>
      </c>
      <c r="M73" t="e">
        <f>IF(GETPIVOTDATA("ITL",'ITL-PIVOT'!$A$3,"KV%",$A73,"Experiment",M$5,"date",M$6)=0,NA(),GETPIVOTDATA("ITL",'ITL-PIVOT'!$A$3,"KV%",$A73,"Experiment",M$5,"date",M$6))</f>
        <v>#N/A</v>
      </c>
    </row>
    <row r="74" spans="1:13" x14ac:dyDescent="0.25">
      <c r="A74">
        <f>IF('ITL-PIVOT'!A72=0,NA(),'ITL-PIVOT'!A72)</f>
        <v>0.18389449185415049</v>
      </c>
      <c r="B74" t="e">
        <f>IF(GETPIVOTDATA("ITL",'ITL-PIVOT'!$A$3,"KV%",$A74,"Experiment",B$5,"date",B$6)=0,NA(),GETPIVOTDATA("ITL",'ITL-PIVOT'!$A$3,"KV%",$A74,"Experiment",B$5,"date",B$6))</f>
        <v>#N/A</v>
      </c>
      <c r="C74" t="e">
        <f>IF(GETPIVOTDATA("ITL",'ITL-PIVOT'!$A$3,"KV%",$A74,"Experiment",C$5,"date",C$6)=0,NA(),GETPIVOTDATA("ITL",'ITL-PIVOT'!$A$3,"KV%",$A74,"Experiment",C$5,"date",C$6))</f>
        <v>#N/A</v>
      </c>
      <c r="D74" t="e">
        <f>IF(GETPIVOTDATA("ITL",'ITL-PIVOT'!$A$3,"KV%",$A74,"Experiment",D$5,"date",D$6)=0,NA(),GETPIVOTDATA("ITL",'ITL-PIVOT'!$A$3,"KV%",$A74,"Experiment",D$5,"date",D$6))</f>
        <v>#N/A</v>
      </c>
      <c r="E74" t="e">
        <f>IF(GETPIVOTDATA("ITL",'ITL-PIVOT'!$A$3,"KV%",$A74,"Experiment",E$5,"date",E$6)=0,NA(),GETPIVOTDATA("ITL",'ITL-PIVOT'!$A$3,"KV%",$A74,"Experiment",E$5,"date",E$6))</f>
        <v>#N/A</v>
      </c>
      <c r="F74" t="e">
        <f>IF(GETPIVOTDATA("ITL",'ITL-PIVOT'!$A$3,"KV%",$A74,"Experiment",F$5,"date",F$6)=0,NA(),GETPIVOTDATA("ITL",'ITL-PIVOT'!$A$3,"KV%",$A74,"Experiment",F$5,"date",F$6))</f>
        <v>#N/A</v>
      </c>
      <c r="G74" t="e">
        <f>IF(GETPIVOTDATA("ITL",'ITL-PIVOT'!$A$3,"KV%",$A74,"Experiment",G$5,"date",G$6)=0,NA(),GETPIVOTDATA("ITL",'ITL-PIVOT'!$A$3,"KV%",$A74,"Experiment",G$5,"date",G$6))</f>
        <v>#N/A</v>
      </c>
      <c r="H74">
        <f>IF(GETPIVOTDATA("ITL",'ITL-PIVOT'!$A$3,"KV%",$A74,"Experiment",H$5,"date",H$6)=0,NA(),GETPIVOTDATA("ITL",'ITL-PIVOT'!$A$3,"KV%",$A74,"Experiment",H$5,"date",H$6))</f>
        <v>1.9950350457762972E-2</v>
      </c>
      <c r="I74" t="e">
        <f>IF(GETPIVOTDATA("ITL",'ITL-PIVOT'!$A$3,"KV%",$A74,"Experiment",I$5,"date",I$6)=0,NA(),GETPIVOTDATA("ITL",'ITL-PIVOT'!$A$3,"KV%",$A74,"Experiment",I$5,"date",I$6))</f>
        <v>#N/A</v>
      </c>
      <c r="J74" t="e">
        <f>IF(GETPIVOTDATA("ITL",'ITL-PIVOT'!$A$3,"KV%",$A74,"Experiment",J$5,"date",J$6)=0,NA(),GETPIVOTDATA("ITL",'ITL-PIVOT'!$A$3,"KV%",$A74,"Experiment",J$5,"date",J$6))</f>
        <v>#N/A</v>
      </c>
      <c r="K74" t="e">
        <f>IF(GETPIVOTDATA("ITL",'ITL-PIVOT'!$A$3,"KV%",$A74,"Experiment",K$5,"date",K$6)=0,NA(),GETPIVOTDATA("ITL",'ITL-PIVOT'!$A$3,"KV%",$A74,"Experiment",K$5,"date",K$6))</f>
        <v>#N/A</v>
      </c>
      <c r="L74" t="e">
        <f>IF(GETPIVOTDATA("ITL",'ITL-PIVOT'!$A$3,"KV%",$A74,"Experiment",L$5,"date",L$6)=0,NA(),GETPIVOTDATA("ITL",'ITL-PIVOT'!$A$3,"KV%",$A74,"Experiment",L$5,"date",L$6))</f>
        <v>#N/A</v>
      </c>
      <c r="M74" t="e">
        <f>IF(GETPIVOTDATA("ITL",'ITL-PIVOT'!$A$3,"KV%",$A74,"Experiment",M$5,"date",M$6)=0,NA(),GETPIVOTDATA("ITL",'ITL-PIVOT'!$A$3,"KV%",$A74,"Experiment",M$5,"date",M$6))</f>
        <v>#N/A</v>
      </c>
    </row>
    <row r="75" spans="1:13" x14ac:dyDescent="0.25">
      <c r="A75">
        <f>IF('ITL-PIVOT'!A73=0,NA(),'ITL-PIVOT'!A73)</f>
        <v>0.18465843461770537</v>
      </c>
      <c r="B75" t="e">
        <f>IF(GETPIVOTDATA("ITL",'ITL-PIVOT'!$A$3,"KV%",$A75,"Experiment",B$5,"date",B$6)=0,NA(),GETPIVOTDATA("ITL",'ITL-PIVOT'!$A$3,"KV%",$A75,"Experiment",B$5,"date",B$6))</f>
        <v>#N/A</v>
      </c>
      <c r="C75">
        <f>IF(GETPIVOTDATA("ITL",'ITL-PIVOT'!$A$3,"KV%",$A75,"Experiment",C$5,"date",C$6)=0,NA(),GETPIVOTDATA("ITL",'ITL-PIVOT'!$A$3,"KV%",$A75,"Experiment",C$5,"date",C$6))</f>
        <v>1.6170001649484025E-2</v>
      </c>
      <c r="D75" t="e">
        <f>IF(GETPIVOTDATA("ITL",'ITL-PIVOT'!$A$3,"KV%",$A75,"Experiment",D$5,"date",D$6)=0,NA(),GETPIVOTDATA("ITL",'ITL-PIVOT'!$A$3,"KV%",$A75,"Experiment",D$5,"date",D$6))</f>
        <v>#N/A</v>
      </c>
      <c r="E75" t="e">
        <f>IF(GETPIVOTDATA("ITL",'ITL-PIVOT'!$A$3,"KV%",$A75,"Experiment",E$5,"date",E$6)=0,NA(),GETPIVOTDATA("ITL",'ITL-PIVOT'!$A$3,"KV%",$A75,"Experiment",E$5,"date",E$6))</f>
        <v>#N/A</v>
      </c>
      <c r="F75" t="e">
        <f>IF(GETPIVOTDATA("ITL",'ITL-PIVOT'!$A$3,"KV%",$A75,"Experiment",F$5,"date",F$6)=0,NA(),GETPIVOTDATA("ITL",'ITL-PIVOT'!$A$3,"KV%",$A75,"Experiment",F$5,"date",F$6))</f>
        <v>#N/A</v>
      </c>
      <c r="G75" t="e">
        <f>IF(GETPIVOTDATA("ITL",'ITL-PIVOT'!$A$3,"KV%",$A75,"Experiment",G$5,"date",G$6)=0,NA(),GETPIVOTDATA("ITL",'ITL-PIVOT'!$A$3,"KV%",$A75,"Experiment",G$5,"date",G$6))</f>
        <v>#N/A</v>
      </c>
      <c r="H75" t="e">
        <f>IF(GETPIVOTDATA("ITL",'ITL-PIVOT'!$A$3,"KV%",$A75,"Experiment",H$5,"date",H$6)=0,NA(),GETPIVOTDATA("ITL",'ITL-PIVOT'!$A$3,"KV%",$A75,"Experiment",H$5,"date",H$6))</f>
        <v>#N/A</v>
      </c>
      <c r="I75" t="e">
        <f>IF(GETPIVOTDATA("ITL",'ITL-PIVOT'!$A$3,"KV%",$A75,"Experiment",I$5,"date",I$6)=0,NA(),GETPIVOTDATA("ITL",'ITL-PIVOT'!$A$3,"KV%",$A75,"Experiment",I$5,"date",I$6))</f>
        <v>#N/A</v>
      </c>
      <c r="J75" t="e">
        <f>IF(GETPIVOTDATA("ITL",'ITL-PIVOT'!$A$3,"KV%",$A75,"Experiment",J$5,"date",J$6)=0,NA(),GETPIVOTDATA("ITL",'ITL-PIVOT'!$A$3,"KV%",$A75,"Experiment",J$5,"date",J$6))</f>
        <v>#N/A</v>
      </c>
      <c r="K75" t="e">
        <f>IF(GETPIVOTDATA("ITL",'ITL-PIVOT'!$A$3,"KV%",$A75,"Experiment",K$5,"date",K$6)=0,NA(),GETPIVOTDATA("ITL",'ITL-PIVOT'!$A$3,"KV%",$A75,"Experiment",K$5,"date",K$6))</f>
        <v>#N/A</v>
      </c>
      <c r="L75" t="e">
        <f>IF(GETPIVOTDATA("ITL",'ITL-PIVOT'!$A$3,"KV%",$A75,"Experiment",L$5,"date",L$6)=0,NA(),GETPIVOTDATA("ITL",'ITL-PIVOT'!$A$3,"KV%",$A75,"Experiment",L$5,"date",L$6))</f>
        <v>#N/A</v>
      </c>
      <c r="M75" t="e">
        <f>IF(GETPIVOTDATA("ITL",'ITL-PIVOT'!$A$3,"KV%",$A75,"Experiment",M$5,"date",M$6)=0,NA(),GETPIVOTDATA("ITL",'ITL-PIVOT'!$A$3,"KV%",$A75,"Experiment",M$5,"date",M$6))</f>
        <v>#N/A</v>
      </c>
    </row>
    <row r="76" spans="1:13" x14ac:dyDescent="0.25">
      <c r="A76">
        <f>IF('ITL-PIVOT'!A74=0,NA(),'ITL-PIVOT'!A74)</f>
        <v>0.20157098525989142</v>
      </c>
      <c r="B76" t="e">
        <f>IF(GETPIVOTDATA("ITL",'ITL-PIVOT'!$A$3,"KV%",$A76,"Experiment",B$5,"date",B$6)=0,NA(),GETPIVOTDATA("ITL",'ITL-PIVOT'!$A$3,"KV%",$A76,"Experiment",B$5,"date",B$6))</f>
        <v>#N/A</v>
      </c>
      <c r="C76" t="e">
        <f>IF(GETPIVOTDATA("ITL",'ITL-PIVOT'!$A$3,"KV%",$A76,"Experiment",C$5,"date",C$6)=0,NA(),GETPIVOTDATA("ITL",'ITL-PIVOT'!$A$3,"KV%",$A76,"Experiment",C$5,"date",C$6))</f>
        <v>#N/A</v>
      </c>
      <c r="D76" t="e">
        <f>IF(GETPIVOTDATA("ITL",'ITL-PIVOT'!$A$3,"KV%",$A76,"Experiment",D$5,"date",D$6)=0,NA(),GETPIVOTDATA("ITL",'ITL-PIVOT'!$A$3,"KV%",$A76,"Experiment",D$5,"date",D$6))</f>
        <v>#N/A</v>
      </c>
      <c r="E76" t="e">
        <f>IF(GETPIVOTDATA("ITL",'ITL-PIVOT'!$A$3,"KV%",$A76,"Experiment",E$5,"date",E$6)=0,NA(),GETPIVOTDATA("ITL",'ITL-PIVOT'!$A$3,"KV%",$A76,"Experiment",E$5,"date",E$6))</f>
        <v>#N/A</v>
      </c>
      <c r="F76" t="e">
        <f>IF(GETPIVOTDATA("ITL",'ITL-PIVOT'!$A$3,"KV%",$A76,"Experiment",F$5,"date",F$6)=0,NA(),GETPIVOTDATA("ITL",'ITL-PIVOT'!$A$3,"KV%",$A76,"Experiment",F$5,"date",F$6))</f>
        <v>#N/A</v>
      </c>
      <c r="G76" t="e">
        <f>IF(GETPIVOTDATA("ITL",'ITL-PIVOT'!$A$3,"KV%",$A76,"Experiment",G$5,"date",G$6)=0,NA(),GETPIVOTDATA("ITL",'ITL-PIVOT'!$A$3,"KV%",$A76,"Experiment",G$5,"date",G$6))</f>
        <v>#N/A</v>
      </c>
      <c r="H76">
        <f>IF(GETPIVOTDATA("ITL",'ITL-PIVOT'!$A$3,"KV%",$A76,"Experiment",H$5,"date",H$6)=0,NA(),GETPIVOTDATA("ITL",'ITL-PIVOT'!$A$3,"KV%",$A76,"Experiment",H$5,"date",H$6))</f>
        <v>2.3321659898174307E-2</v>
      </c>
      <c r="I76" t="e">
        <f>IF(GETPIVOTDATA("ITL",'ITL-PIVOT'!$A$3,"KV%",$A76,"Experiment",I$5,"date",I$6)=0,NA(),GETPIVOTDATA("ITL",'ITL-PIVOT'!$A$3,"KV%",$A76,"Experiment",I$5,"date",I$6))</f>
        <v>#N/A</v>
      </c>
      <c r="J76" t="e">
        <f>IF(GETPIVOTDATA("ITL",'ITL-PIVOT'!$A$3,"KV%",$A76,"Experiment",J$5,"date",J$6)=0,NA(),GETPIVOTDATA("ITL",'ITL-PIVOT'!$A$3,"KV%",$A76,"Experiment",J$5,"date",J$6))</f>
        <v>#N/A</v>
      </c>
      <c r="K76" t="e">
        <f>IF(GETPIVOTDATA("ITL",'ITL-PIVOT'!$A$3,"KV%",$A76,"Experiment",K$5,"date",K$6)=0,NA(),GETPIVOTDATA("ITL",'ITL-PIVOT'!$A$3,"KV%",$A76,"Experiment",K$5,"date",K$6))</f>
        <v>#N/A</v>
      </c>
      <c r="L76" t="e">
        <f>IF(GETPIVOTDATA("ITL",'ITL-PIVOT'!$A$3,"KV%",$A76,"Experiment",L$5,"date",L$6)=0,NA(),GETPIVOTDATA("ITL",'ITL-PIVOT'!$A$3,"KV%",$A76,"Experiment",L$5,"date",L$6))</f>
        <v>#N/A</v>
      </c>
      <c r="M76" t="e">
        <f>IF(GETPIVOTDATA("ITL",'ITL-PIVOT'!$A$3,"KV%",$A76,"Experiment",M$5,"date",M$6)=0,NA(),GETPIVOTDATA("ITL",'ITL-PIVOT'!$A$3,"KV%",$A76,"Experiment",M$5,"date",M$6))</f>
        <v>#N/A</v>
      </c>
    </row>
    <row r="77" spans="1:13" x14ac:dyDescent="0.25">
      <c r="A77">
        <f>IF('ITL-PIVOT'!A75=0,NA(),'ITL-PIVOT'!A75)</f>
        <v>0.2027382696893946</v>
      </c>
      <c r="B77" t="e">
        <f>IF(GETPIVOTDATA("ITL",'ITL-PIVOT'!$A$3,"KV%",$A77,"Experiment",B$5,"date",B$6)=0,NA(),GETPIVOTDATA("ITL",'ITL-PIVOT'!$A$3,"KV%",$A77,"Experiment",B$5,"date",B$6))</f>
        <v>#N/A</v>
      </c>
      <c r="C77" t="e">
        <f>IF(GETPIVOTDATA("ITL",'ITL-PIVOT'!$A$3,"KV%",$A77,"Experiment",C$5,"date",C$6)=0,NA(),GETPIVOTDATA("ITL",'ITL-PIVOT'!$A$3,"KV%",$A77,"Experiment",C$5,"date",C$6))</f>
        <v>#N/A</v>
      </c>
      <c r="D77" t="e">
        <f>IF(GETPIVOTDATA("ITL",'ITL-PIVOT'!$A$3,"KV%",$A77,"Experiment",D$5,"date",D$6)=0,NA(),GETPIVOTDATA("ITL",'ITL-PIVOT'!$A$3,"KV%",$A77,"Experiment",D$5,"date",D$6))</f>
        <v>#N/A</v>
      </c>
      <c r="E77" t="e">
        <f>IF(GETPIVOTDATA("ITL",'ITL-PIVOT'!$A$3,"KV%",$A77,"Experiment",E$5,"date",E$6)=0,NA(),GETPIVOTDATA("ITL",'ITL-PIVOT'!$A$3,"KV%",$A77,"Experiment",E$5,"date",E$6))</f>
        <v>#N/A</v>
      </c>
      <c r="F77" t="e">
        <f>IF(GETPIVOTDATA("ITL",'ITL-PIVOT'!$A$3,"KV%",$A77,"Experiment",F$5,"date",F$6)=0,NA(),GETPIVOTDATA("ITL",'ITL-PIVOT'!$A$3,"KV%",$A77,"Experiment",F$5,"date",F$6))</f>
        <v>#N/A</v>
      </c>
      <c r="G77" t="e">
        <f>IF(GETPIVOTDATA("ITL",'ITL-PIVOT'!$A$3,"KV%",$A77,"Experiment",G$5,"date",G$6)=0,NA(),GETPIVOTDATA("ITL",'ITL-PIVOT'!$A$3,"KV%",$A77,"Experiment",G$5,"date",G$6))</f>
        <v>#N/A</v>
      </c>
      <c r="H77" t="e">
        <f>IF(GETPIVOTDATA("ITL",'ITL-PIVOT'!$A$3,"KV%",$A77,"Experiment",H$5,"date",H$6)=0,NA(),GETPIVOTDATA("ITL",'ITL-PIVOT'!$A$3,"KV%",$A77,"Experiment",H$5,"date",H$6))</f>
        <v>#N/A</v>
      </c>
      <c r="I77" t="e">
        <f>IF(GETPIVOTDATA("ITL",'ITL-PIVOT'!$A$3,"KV%",$A77,"Experiment",I$5,"date",I$6)=0,NA(),GETPIVOTDATA("ITL",'ITL-PIVOT'!$A$3,"KV%",$A77,"Experiment",I$5,"date",I$6))</f>
        <v>#N/A</v>
      </c>
      <c r="J77" t="e">
        <f>IF(GETPIVOTDATA("ITL",'ITL-PIVOT'!$A$3,"KV%",$A77,"Experiment",J$5,"date",J$6)=0,NA(),GETPIVOTDATA("ITL",'ITL-PIVOT'!$A$3,"KV%",$A77,"Experiment",J$5,"date",J$6))</f>
        <v>#N/A</v>
      </c>
      <c r="K77" t="e">
        <f>IF(GETPIVOTDATA("ITL",'ITL-PIVOT'!$A$3,"KV%",$A77,"Experiment",K$5,"date",K$6)=0,NA(),GETPIVOTDATA("ITL",'ITL-PIVOT'!$A$3,"KV%",$A77,"Experiment",K$5,"date",K$6))</f>
        <v>#N/A</v>
      </c>
      <c r="L77" t="e">
        <f>IF(GETPIVOTDATA("ITL",'ITL-PIVOT'!$A$3,"KV%",$A77,"Experiment",L$5,"date",L$6)=0,NA(),GETPIVOTDATA("ITL",'ITL-PIVOT'!$A$3,"KV%",$A77,"Experiment",L$5,"date",L$6))</f>
        <v>#N/A</v>
      </c>
      <c r="M77">
        <f>IF(GETPIVOTDATA("ITL",'ITL-PIVOT'!$A$3,"KV%",$A77,"Experiment",M$5,"date",M$6)=0,NA(),GETPIVOTDATA("ITL",'ITL-PIVOT'!$A$3,"KV%",$A77,"Experiment",M$5,"date",M$6))</f>
        <v>3.164305115443973E-2</v>
      </c>
    </row>
    <row r="78" spans="1:13" x14ac:dyDescent="0.25">
      <c r="A78">
        <f>IF('ITL-PIVOT'!A76=0,NA(),'ITL-PIVOT'!A76)</f>
        <v>0.21169130957270418</v>
      </c>
      <c r="B78" t="e">
        <f>IF(GETPIVOTDATA("ITL",'ITL-PIVOT'!$A$3,"KV%",$A78,"Experiment",B$5,"date",B$6)=0,NA(),GETPIVOTDATA("ITL",'ITL-PIVOT'!$A$3,"KV%",$A78,"Experiment",B$5,"date",B$6))</f>
        <v>#N/A</v>
      </c>
      <c r="C78" t="e">
        <f>IF(GETPIVOTDATA("ITL",'ITL-PIVOT'!$A$3,"KV%",$A78,"Experiment",C$5,"date",C$6)=0,NA(),GETPIVOTDATA("ITL",'ITL-PIVOT'!$A$3,"KV%",$A78,"Experiment",C$5,"date",C$6))</f>
        <v>#N/A</v>
      </c>
      <c r="D78" t="e">
        <f>IF(GETPIVOTDATA("ITL",'ITL-PIVOT'!$A$3,"KV%",$A78,"Experiment",D$5,"date",D$6)=0,NA(),GETPIVOTDATA("ITL",'ITL-PIVOT'!$A$3,"KV%",$A78,"Experiment",D$5,"date",D$6))</f>
        <v>#N/A</v>
      </c>
      <c r="E78" t="e">
        <f>IF(GETPIVOTDATA("ITL",'ITL-PIVOT'!$A$3,"KV%",$A78,"Experiment",E$5,"date",E$6)=0,NA(),GETPIVOTDATA("ITL",'ITL-PIVOT'!$A$3,"KV%",$A78,"Experiment",E$5,"date",E$6))</f>
        <v>#N/A</v>
      </c>
      <c r="F78">
        <f>IF(GETPIVOTDATA("ITL",'ITL-PIVOT'!$A$3,"KV%",$A78,"Experiment",F$5,"date",F$6)=0,NA(),GETPIVOTDATA("ITL",'ITL-PIVOT'!$A$3,"KV%",$A78,"Experiment",F$5,"date",F$6))</f>
        <v>1.5406034269445123E-2</v>
      </c>
      <c r="G78" t="e">
        <f>IF(GETPIVOTDATA("ITL",'ITL-PIVOT'!$A$3,"KV%",$A78,"Experiment",G$5,"date",G$6)=0,NA(),GETPIVOTDATA("ITL",'ITL-PIVOT'!$A$3,"KV%",$A78,"Experiment",G$5,"date",G$6))</f>
        <v>#N/A</v>
      </c>
      <c r="H78" t="e">
        <f>IF(GETPIVOTDATA("ITL",'ITL-PIVOT'!$A$3,"KV%",$A78,"Experiment",H$5,"date",H$6)=0,NA(),GETPIVOTDATA("ITL",'ITL-PIVOT'!$A$3,"KV%",$A78,"Experiment",H$5,"date",H$6))</f>
        <v>#N/A</v>
      </c>
      <c r="I78" t="e">
        <f>IF(GETPIVOTDATA("ITL",'ITL-PIVOT'!$A$3,"KV%",$A78,"Experiment",I$5,"date",I$6)=0,NA(),GETPIVOTDATA("ITL",'ITL-PIVOT'!$A$3,"KV%",$A78,"Experiment",I$5,"date",I$6))</f>
        <v>#N/A</v>
      </c>
      <c r="J78" t="e">
        <f>IF(GETPIVOTDATA("ITL",'ITL-PIVOT'!$A$3,"KV%",$A78,"Experiment",J$5,"date",J$6)=0,NA(),GETPIVOTDATA("ITL",'ITL-PIVOT'!$A$3,"KV%",$A78,"Experiment",J$5,"date",J$6))</f>
        <v>#N/A</v>
      </c>
      <c r="K78" t="e">
        <f>IF(GETPIVOTDATA("ITL",'ITL-PIVOT'!$A$3,"KV%",$A78,"Experiment",K$5,"date",K$6)=0,NA(),GETPIVOTDATA("ITL",'ITL-PIVOT'!$A$3,"KV%",$A78,"Experiment",K$5,"date",K$6))</f>
        <v>#N/A</v>
      </c>
      <c r="L78" t="e">
        <f>IF(GETPIVOTDATA("ITL",'ITL-PIVOT'!$A$3,"KV%",$A78,"Experiment",L$5,"date",L$6)=0,NA(),GETPIVOTDATA("ITL",'ITL-PIVOT'!$A$3,"KV%",$A78,"Experiment",L$5,"date",L$6))</f>
        <v>#N/A</v>
      </c>
      <c r="M78" t="e">
        <f>IF(GETPIVOTDATA("ITL",'ITL-PIVOT'!$A$3,"KV%",$A78,"Experiment",M$5,"date",M$6)=0,NA(),GETPIVOTDATA("ITL",'ITL-PIVOT'!$A$3,"KV%",$A78,"Experiment",M$5,"date",M$6))</f>
        <v>#N/A</v>
      </c>
    </row>
    <row r="79" spans="1:13" x14ac:dyDescent="0.25">
      <c r="A79">
        <f>IF('ITL-PIVOT'!A77=0,NA(),'ITL-PIVOT'!A77)</f>
        <v>0.21213113812027698</v>
      </c>
      <c r="B79" t="e">
        <f>IF(GETPIVOTDATA("ITL",'ITL-PIVOT'!$A$3,"KV%",$A79,"Experiment",B$5,"date",B$6)=0,NA(),GETPIVOTDATA("ITL",'ITL-PIVOT'!$A$3,"KV%",$A79,"Experiment",B$5,"date",B$6))</f>
        <v>#N/A</v>
      </c>
      <c r="C79" t="e">
        <f>IF(GETPIVOTDATA("ITL",'ITL-PIVOT'!$A$3,"KV%",$A79,"Experiment",C$5,"date",C$6)=0,NA(),GETPIVOTDATA("ITL",'ITL-PIVOT'!$A$3,"KV%",$A79,"Experiment",C$5,"date",C$6))</f>
        <v>#N/A</v>
      </c>
      <c r="D79" t="e">
        <f>IF(GETPIVOTDATA("ITL",'ITL-PIVOT'!$A$3,"KV%",$A79,"Experiment",D$5,"date",D$6)=0,NA(),GETPIVOTDATA("ITL",'ITL-PIVOT'!$A$3,"KV%",$A79,"Experiment",D$5,"date",D$6))</f>
        <v>#N/A</v>
      </c>
      <c r="E79" t="e">
        <f>IF(GETPIVOTDATA("ITL",'ITL-PIVOT'!$A$3,"KV%",$A79,"Experiment",E$5,"date",E$6)=0,NA(),GETPIVOTDATA("ITL",'ITL-PIVOT'!$A$3,"KV%",$A79,"Experiment",E$5,"date",E$6))</f>
        <v>#N/A</v>
      </c>
      <c r="F79" t="e">
        <f>IF(GETPIVOTDATA("ITL",'ITL-PIVOT'!$A$3,"KV%",$A79,"Experiment",F$5,"date",F$6)=0,NA(),GETPIVOTDATA("ITL",'ITL-PIVOT'!$A$3,"KV%",$A79,"Experiment",F$5,"date",F$6))</f>
        <v>#N/A</v>
      </c>
      <c r="G79" t="e">
        <f>IF(GETPIVOTDATA("ITL",'ITL-PIVOT'!$A$3,"KV%",$A79,"Experiment",G$5,"date",G$6)=0,NA(),GETPIVOTDATA("ITL",'ITL-PIVOT'!$A$3,"KV%",$A79,"Experiment",G$5,"date",G$6))</f>
        <v>#N/A</v>
      </c>
      <c r="H79" t="e">
        <f>IF(GETPIVOTDATA("ITL",'ITL-PIVOT'!$A$3,"KV%",$A79,"Experiment",H$5,"date",H$6)=0,NA(),GETPIVOTDATA("ITL",'ITL-PIVOT'!$A$3,"KV%",$A79,"Experiment",H$5,"date",H$6))</f>
        <v>#N/A</v>
      </c>
      <c r="I79" t="e">
        <f>IF(GETPIVOTDATA("ITL",'ITL-PIVOT'!$A$3,"KV%",$A79,"Experiment",I$5,"date",I$6)=0,NA(),GETPIVOTDATA("ITL",'ITL-PIVOT'!$A$3,"KV%",$A79,"Experiment",I$5,"date",I$6))</f>
        <v>#N/A</v>
      </c>
      <c r="J79" t="e">
        <f>IF(GETPIVOTDATA("ITL",'ITL-PIVOT'!$A$3,"KV%",$A79,"Experiment",J$5,"date",J$6)=0,NA(),GETPIVOTDATA("ITL",'ITL-PIVOT'!$A$3,"KV%",$A79,"Experiment",J$5,"date",J$6))</f>
        <v>#N/A</v>
      </c>
      <c r="K79" t="e">
        <f>IF(GETPIVOTDATA("ITL",'ITL-PIVOT'!$A$3,"KV%",$A79,"Experiment",K$5,"date",K$6)=0,NA(),GETPIVOTDATA("ITL",'ITL-PIVOT'!$A$3,"KV%",$A79,"Experiment",K$5,"date",K$6))</f>
        <v>#N/A</v>
      </c>
      <c r="L79" t="e">
        <f>IF(GETPIVOTDATA("ITL",'ITL-PIVOT'!$A$3,"KV%",$A79,"Experiment",L$5,"date",L$6)=0,NA(),GETPIVOTDATA("ITL",'ITL-PIVOT'!$A$3,"KV%",$A79,"Experiment",L$5,"date",L$6))</f>
        <v>#N/A</v>
      </c>
      <c r="M79">
        <f>IF(GETPIVOTDATA("ITL",'ITL-PIVOT'!$A$3,"KV%",$A79,"Experiment",M$5,"date",M$6)=0,NA(),GETPIVOTDATA("ITL",'ITL-PIVOT'!$A$3,"KV%",$A79,"Experiment",M$5,"date",M$6))</f>
        <v>3.5378277627620171E-2</v>
      </c>
    </row>
    <row r="80" spans="1:13" x14ac:dyDescent="0.25">
      <c r="A80">
        <f>IF('ITL-PIVOT'!A78=0,NA(),'ITL-PIVOT'!A78)</f>
        <v>0.2133619312736732</v>
      </c>
      <c r="B80" t="e">
        <f>IF(GETPIVOTDATA("ITL",'ITL-PIVOT'!$A$3,"KV%",$A80,"Experiment",B$5,"date",B$6)=0,NA(),GETPIVOTDATA("ITL",'ITL-PIVOT'!$A$3,"KV%",$A80,"Experiment",B$5,"date",B$6))</f>
        <v>#N/A</v>
      </c>
      <c r="C80" t="e">
        <f>IF(GETPIVOTDATA("ITL",'ITL-PIVOT'!$A$3,"KV%",$A80,"Experiment",C$5,"date",C$6)=0,NA(),GETPIVOTDATA("ITL",'ITL-PIVOT'!$A$3,"KV%",$A80,"Experiment",C$5,"date",C$6))</f>
        <v>#N/A</v>
      </c>
      <c r="D80" t="e">
        <f>IF(GETPIVOTDATA("ITL",'ITL-PIVOT'!$A$3,"KV%",$A80,"Experiment",D$5,"date",D$6)=0,NA(),GETPIVOTDATA("ITL",'ITL-PIVOT'!$A$3,"KV%",$A80,"Experiment",D$5,"date",D$6))</f>
        <v>#N/A</v>
      </c>
      <c r="E80" t="e">
        <f>IF(GETPIVOTDATA("ITL",'ITL-PIVOT'!$A$3,"KV%",$A80,"Experiment",E$5,"date",E$6)=0,NA(),GETPIVOTDATA("ITL",'ITL-PIVOT'!$A$3,"KV%",$A80,"Experiment",E$5,"date",E$6))</f>
        <v>#N/A</v>
      </c>
      <c r="F80" t="e">
        <f>IF(GETPIVOTDATA("ITL",'ITL-PIVOT'!$A$3,"KV%",$A80,"Experiment",F$5,"date",F$6)=0,NA(),GETPIVOTDATA("ITL",'ITL-PIVOT'!$A$3,"KV%",$A80,"Experiment",F$5,"date",F$6))</f>
        <v>#N/A</v>
      </c>
      <c r="G80" t="e">
        <f>IF(GETPIVOTDATA("ITL",'ITL-PIVOT'!$A$3,"KV%",$A80,"Experiment",G$5,"date",G$6)=0,NA(),GETPIVOTDATA("ITL",'ITL-PIVOT'!$A$3,"KV%",$A80,"Experiment",G$5,"date",G$6))</f>
        <v>#N/A</v>
      </c>
      <c r="H80" t="e">
        <f>IF(GETPIVOTDATA("ITL",'ITL-PIVOT'!$A$3,"KV%",$A80,"Experiment",H$5,"date",H$6)=0,NA(),GETPIVOTDATA("ITL",'ITL-PIVOT'!$A$3,"KV%",$A80,"Experiment",H$5,"date",H$6))</f>
        <v>#N/A</v>
      </c>
      <c r="I80" t="e">
        <f>IF(GETPIVOTDATA("ITL",'ITL-PIVOT'!$A$3,"KV%",$A80,"Experiment",I$5,"date",I$6)=0,NA(),GETPIVOTDATA("ITL",'ITL-PIVOT'!$A$3,"KV%",$A80,"Experiment",I$5,"date",I$6))</f>
        <v>#N/A</v>
      </c>
      <c r="J80" t="e">
        <f>IF(GETPIVOTDATA("ITL",'ITL-PIVOT'!$A$3,"KV%",$A80,"Experiment",J$5,"date",J$6)=0,NA(),GETPIVOTDATA("ITL",'ITL-PIVOT'!$A$3,"KV%",$A80,"Experiment",J$5,"date",J$6))</f>
        <v>#N/A</v>
      </c>
      <c r="K80" t="e">
        <f>IF(GETPIVOTDATA("ITL",'ITL-PIVOT'!$A$3,"KV%",$A80,"Experiment",K$5,"date",K$6)=0,NA(),GETPIVOTDATA("ITL",'ITL-PIVOT'!$A$3,"KV%",$A80,"Experiment",K$5,"date",K$6))</f>
        <v>#N/A</v>
      </c>
      <c r="L80">
        <f>IF(GETPIVOTDATA("ITL",'ITL-PIVOT'!$A$3,"KV%",$A80,"Experiment",L$5,"date",L$6)=0,NA(),GETPIVOTDATA("ITL",'ITL-PIVOT'!$A$3,"KV%",$A80,"Experiment",L$5,"date",L$6))</f>
        <v>1.4772788022741266E-2</v>
      </c>
      <c r="M80" t="e">
        <f>IF(GETPIVOTDATA("ITL",'ITL-PIVOT'!$A$3,"KV%",$A80,"Experiment",M$5,"date",M$6)=0,NA(),GETPIVOTDATA("ITL",'ITL-PIVOT'!$A$3,"KV%",$A80,"Experiment",M$5,"date",M$6))</f>
        <v>#N/A</v>
      </c>
    </row>
    <row r="81" spans="1:13" x14ac:dyDescent="0.25">
      <c r="A81">
        <f>IF('ITL-PIVOT'!A79=0,NA(),'ITL-PIVOT'!A79)</f>
        <v>0.21848719937936381</v>
      </c>
      <c r="B81" t="e">
        <f>IF(GETPIVOTDATA("ITL",'ITL-PIVOT'!$A$3,"KV%",$A81,"Experiment",B$5,"date",B$6)=0,NA(),GETPIVOTDATA("ITL",'ITL-PIVOT'!$A$3,"KV%",$A81,"Experiment",B$5,"date",B$6))</f>
        <v>#N/A</v>
      </c>
      <c r="C81" t="e">
        <f>IF(GETPIVOTDATA("ITL",'ITL-PIVOT'!$A$3,"KV%",$A81,"Experiment",C$5,"date",C$6)=0,NA(),GETPIVOTDATA("ITL",'ITL-PIVOT'!$A$3,"KV%",$A81,"Experiment",C$5,"date",C$6))</f>
        <v>#N/A</v>
      </c>
      <c r="D81" t="e">
        <f>IF(GETPIVOTDATA("ITL",'ITL-PIVOT'!$A$3,"KV%",$A81,"Experiment",D$5,"date",D$6)=0,NA(),GETPIVOTDATA("ITL",'ITL-PIVOT'!$A$3,"KV%",$A81,"Experiment",D$5,"date",D$6))</f>
        <v>#N/A</v>
      </c>
      <c r="E81" t="e">
        <f>IF(GETPIVOTDATA("ITL",'ITL-PIVOT'!$A$3,"KV%",$A81,"Experiment",E$5,"date",E$6)=0,NA(),GETPIVOTDATA("ITL",'ITL-PIVOT'!$A$3,"KV%",$A81,"Experiment",E$5,"date",E$6))</f>
        <v>#N/A</v>
      </c>
      <c r="F81" t="e">
        <f>IF(GETPIVOTDATA("ITL",'ITL-PIVOT'!$A$3,"KV%",$A81,"Experiment",F$5,"date",F$6)=0,NA(),GETPIVOTDATA("ITL",'ITL-PIVOT'!$A$3,"KV%",$A81,"Experiment",F$5,"date",F$6))</f>
        <v>#N/A</v>
      </c>
      <c r="G81" t="e">
        <f>IF(GETPIVOTDATA("ITL",'ITL-PIVOT'!$A$3,"KV%",$A81,"Experiment",G$5,"date",G$6)=0,NA(),GETPIVOTDATA("ITL",'ITL-PIVOT'!$A$3,"KV%",$A81,"Experiment",G$5,"date",G$6))</f>
        <v>#N/A</v>
      </c>
      <c r="H81" t="e">
        <f>IF(GETPIVOTDATA("ITL",'ITL-PIVOT'!$A$3,"KV%",$A81,"Experiment",H$5,"date",H$6)=0,NA(),GETPIVOTDATA("ITL",'ITL-PIVOT'!$A$3,"KV%",$A81,"Experiment",H$5,"date",H$6))</f>
        <v>#N/A</v>
      </c>
      <c r="I81" t="e">
        <f>IF(GETPIVOTDATA("ITL",'ITL-PIVOT'!$A$3,"KV%",$A81,"Experiment",I$5,"date",I$6)=0,NA(),GETPIVOTDATA("ITL",'ITL-PIVOT'!$A$3,"KV%",$A81,"Experiment",I$5,"date",I$6))</f>
        <v>#N/A</v>
      </c>
      <c r="J81" t="e">
        <f>IF(GETPIVOTDATA("ITL",'ITL-PIVOT'!$A$3,"KV%",$A81,"Experiment",J$5,"date",J$6)=0,NA(),GETPIVOTDATA("ITL",'ITL-PIVOT'!$A$3,"KV%",$A81,"Experiment",J$5,"date",J$6))</f>
        <v>#N/A</v>
      </c>
      <c r="K81">
        <f>IF(GETPIVOTDATA("ITL",'ITL-PIVOT'!$A$3,"KV%",$A81,"Experiment",K$5,"date",K$6)=0,NA(),GETPIVOTDATA("ITL",'ITL-PIVOT'!$A$3,"KV%",$A81,"Experiment",K$5,"date",K$6))</f>
        <v>1.503680506743626E-2</v>
      </c>
      <c r="L81" t="e">
        <f>IF(GETPIVOTDATA("ITL",'ITL-PIVOT'!$A$3,"KV%",$A81,"Experiment",L$5,"date",L$6)=0,NA(),GETPIVOTDATA("ITL",'ITL-PIVOT'!$A$3,"KV%",$A81,"Experiment",L$5,"date",L$6))</f>
        <v>#N/A</v>
      </c>
      <c r="M81" t="e">
        <f>IF(GETPIVOTDATA("ITL",'ITL-PIVOT'!$A$3,"KV%",$A81,"Experiment",M$5,"date",M$6)=0,NA(),GETPIVOTDATA("ITL",'ITL-PIVOT'!$A$3,"KV%",$A81,"Experiment",M$5,"date",M$6))</f>
        <v>#N/A</v>
      </c>
    </row>
    <row r="82" spans="1:13" x14ac:dyDescent="0.25">
      <c r="A82">
        <f>IF('ITL-PIVOT'!A80=0,NA(),'ITL-PIVOT'!A80)</f>
        <v>0.21891388673390225</v>
      </c>
      <c r="B82" t="e">
        <f>IF(GETPIVOTDATA("ITL",'ITL-PIVOT'!$A$3,"KV%",$A82,"Experiment",B$5,"date",B$6)=0,NA(),GETPIVOTDATA("ITL",'ITL-PIVOT'!$A$3,"KV%",$A82,"Experiment",B$5,"date",B$6))</f>
        <v>#N/A</v>
      </c>
      <c r="C82" t="e">
        <f>IF(GETPIVOTDATA("ITL",'ITL-PIVOT'!$A$3,"KV%",$A82,"Experiment",C$5,"date",C$6)=0,NA(),GETPIVOTDATA("ITL",'ITL-PIVOT'!$A$3,"KV%",$A82,"Experiment",C$5,"date",C$6))</f>
        <v>#N/A</v>
      </c>
      <c r="D82" t="e">
        <f>IF(GETPIVOTDATA("ITL",'ITL-PIVOT'!$A$3,"KV%",$A82,"Experiment",D$5,"date",D$6)=0,NA(),GETPIVOTDATA("ITL",'ITL-PIVOT'!$A$3,"KV%",$A82,"Experiment",D$5,"date",D$6))</f>
        <v>#N/A</v>
      </c>
      <c r="E82" t="e">
        <f>IF(GETPIVOTDATA("ITL",'ITL-PIVOT'!$A$3,"KV%",$A82,"Experiment",E$5,"date",E$6)=0,NA(),GETPIVOTDATA("ITL",'ITL-PIVOT'!$A$3,"KV%",$A82,"Experiment",E$5,"date",E$6))</f>
        <v>#N/A</v>
      </c>
      <c r="F82" t="e">
        <f>IF(GETPIVOTDATA("ITL",'ITL-PIVOT'!$A$3,"KV%",$A82,"Experiment",F$5,"date",F$6)=0,NA(),GETPIVOTDATA("ITL",'ITL-PIVOT'!$A$3,"KV%",$A82,"Experiment",F$5,"date",F$6))</f>
        <v>#N/A</v>
      </c>
      <c r="G82" t="e">
        <f>IF(GETPIVOTDATA("ITL",'ITL-PIVOT'!$A$3,"KV%",$A82,"Experiment",G$5,"date",G$6)=0,NA(),GETPIVOTDATA("ITL",'ITL-PIVOT'!$A$3,"KV%",$A82,"Experiment",G$5,"date",G$6))</f>
        <v>#N/A</v>
      </c>
      <c r="H82" t="e">
        <f>IF(GETPIVOTDATA("ITL",'ITL-PIVOT'!$A$3,"KV%",$A82,"Experiment",H$5,"date",H$6)=0,NA(),GETPIVOTDATA("ITL",'ITL-PIVOT'!$A$3,"KV%",$A82,"Experiment",H$5,"date",H$6))</f>
        <v>#N/A</v>
      </c>
      <c r="I82" t="e">
        <f>IF(GETPIVOTDATA("ITL",'ITL-PIVOT'!$A$3,"KV%",$A82,"Experiment",I$5,"date",I$6)=0,NA(),GETPIVOTDATA("ITL",'ITL-PIVOT'!$A$3,"KV%",$A82,"Experiment",I$5,"date",I$6))</f>
        <v>#N/A</v>
      </c>
      <c r="J82" t="e">
        <f>IF(GETPIVOTDATA("ITL",'ITL-PIVOT'!$A$3,"KV%",$A82,"Experiment",J$5,"date",J$6)=0,NA(),GETPIVOTDATA("ITL",'ITL-PIVOT'!$A$3,"KV%",$A82,"Experiment",J$5,"date",J$6))</f>
        <v>#N/A</v>
      </c>
      <c r="K82">
        <f>IF(GETPIVOTDATA("ITL",'ITL-PIVOT'!$A$3,"KV%",$A82,"Experiment",K$5,"date",K$6)=0,NA(),GETPIVOTDATA("ITL",'ITL-PIVOT'!$A$3,"KV%",$A82,"Experiment",K$5,"date",K$6))</f>
        <v>1.4532837509576783E-2</v>
      </c>
      <c r="L82" t="e">
        <f>IF(GETPIVOTDATA("ITL",'ITL-PIVOT'!$A$3,"KV%",$A82,"Experiment",L$5,"date",L$6)=0,NA(),GETPIVOTDATA("ITL",'ITL-PIVOT'!$A$3,"KV%",$A82,"Experiment",L$5,"date",L$6))</f>
        <v>#N/A</v>
      </c>
      <c r="M82" t="e">
        <f>IF(GETPIVOTDATA("ITL",'ITL-PIVOT'!$A$3,"KV%",$A82,"Experiment",M$5,"date",M$6)=0,NA(),GETPIVOTDATA("ITL",'ITL-PIVOT'!$A$3,"KV%",$A82,"Experiment",M$5,"date",M$6))</f>
        <v>#N/A</v>
      </c>
    </row>
    <row r="83" spans="1:13" x14ac:dyDescent="0.25">
      <c r="A83">
        <f>IF('ITL-PIVOT'!A81=0,NA(),'ITL-PIVOT'!A81)</f>
        <v>0.22876618141438113</v>
      </c>
      <c r="B83" t="e">
        <f>IF(GETPIVOTDATA("ITL",'ITL-PIVOT'!$A$3,"KV%",$A83,"Experiment",B$5,"date",B$6)=0,NA(),GETPIVOTDATA("ITL",'ITL-PIVOT'!$A$3,"KV%",$A83,"Experiment",B$5,"date",B$6))</f>
        <v>#N/A</v>
      </c>
      <c r="C83" t="e">
        <f>IF(GETPIVOTDATA("ITL",'ITL-PIVOT'!$A$3,"KV%",$A83,"Experiment",C$5,"date",C$6)=0,NA(),GETPIVOTDATA("ITL",'ITL-PIVOT'!$A$3,"KV%",$A83,"Experiment",C$5,"date",C$6))</f>
        <v>#N/A</v>
      </c>
      <c r="D83" t="e">
        <f>IF(GETPIVOTDATA("ITL",'ITL-PIVOT'!$A$3,"KV%",$A83,"Experiment",D$5,"date",D$6)=0,NA(),GETPIVOTDATA("ITL",'ITL-PIVOT'!$A$3,"KV%",$A83,"Experiment",D$5,"date",D$6))</f>
        <v>#N/A</v>
      </c>
      <c r="E83" t="e">
        <f>IF(GETPIVOTDATA("ITL",'ITL-PIVOT'!$A$3,"KV%",$A83,"Experiment",E$5,"date",E$6)=0,NA(),GETPIVOTDATA("ITL",'ITL-PIVOT'!$A$3,"KV%",$A83,"Experiment",E$5,"date",E$6))</f>
        <v>#N/A</v>
      </c>
      <c r="F83" t="e">
        <f>IF(GETPIVOTDATA("ITL",'ITL-PIVOT'!$A$3,"KV%",$A83,"Experiment",F$5,"date",F$6)=0,NA(),GETPIVOTDATA("ITL",'ITL-PIVOT'!$A$3,"KV%",$A83,"Experiment",F$5,"date",F$6))</f>
        <v>#N/A</v>
      </c>
      <c r="G83" t="e">
        <f>IF(GETPIVOTDATA("ITL",'ITL-PIVOT'!$A$3,"KV%",$A83,"Experiment",G$5,"date",G$6)=0,NA(),GETPIVOTDATA("ITL",'ITL-PIVOT'!$A$3,"KV%",$A83,"Experiment",G$5,"date",G$6))</f>
        <v>#N/A</v>
      </c>
      <c r="H83" t="e">
        <f>IF(GETPIVOTDATA("ITL",'ITL-PIVOT'!$A$3,"KV%",$A83,"Experiment",H$5,"date",H$6)=0,NA(),GETPIVOTDATA("ITL",'ITL-PIVOT'!$A$3,"KV%",$A83,"Experiment",H$5,"date",H$6))</f>
        <v>#N/A</v>
      </c>
      <c r="I83" t="e">
        <f>IF(GETPIVOTDATA("ITL",'ITL-PIVOT'!$A$3,"KV%",$A83,"Experiment",I$5,"date",I$6)=0,NA(),GETPIVOTDATA("ITL",'ITL-PIVOT'!$A$3,"KV%",$A83,"Experiment",I$5,"date",I$6))</f>
        <v>#N/A</v>
      </c>
      <c r="J83">
        <f>IF(GETPIVOTDATA("ITL",'ITL-PIVOT'!$A$3,"KV%",$A83,"Experiment",J$5,"date",J$6)=0,NA(),GETPIVOTDATA("ITL",'ITL-PIVOT'!$A$3,"KV%",$A83,"Experiment",J$5,"date",J$6))</f>
        <v>1.9149387940522167E-2</v>
      </c>
      <c r="K83" t="e">
        <f>IF(GETPIVOTDATA("ITL",'ITL-PIVOT'!$A$3,"KV%",$A83,"Experiment",K$5,"date",K$6)=0,NA(),GETPIVOTDATA("ITL",'ITL-PIVOT'!$A$3,"KV%",$A83,"Experiment",K$5,"date",K$6))</f>
        <v>#N/A</v>
      </c>
      <c r="L83" t="e">
        <f>IF(GETPIVOTDATA("ITL",'ITL-PIVOT'!$A$3,"KV%",$A83,"Experiment",L$5,"date",L$6)=0,NA(),GETPIVOTDATA("ITL",'ITL-PIVOT'!$A$3,"KV%",$A83,"Experiment",L$5,"date",L$6))</f>
        <v>#N/A</v>
      </c>
      <c r="M83" t="e">
        <f>IF(GETPIVOTDATA("ITL",'ITL-PIVOT'!$A$3,"KV%",$A83,"Experiment",M$5,"date",M$6)=0,NA(),GETPIVOTDATA("ITL",'ITL-PIVOT'!$A$3,"KV%",$A83,"Experiment",M$5,"date",M$6))</f>
        <v>#N/A</v>
      </c>
    </row>
    <row r="84" spans="1:13" x14ac:dyDescent="0.25">
      <c r="A84">
        <f>IF('ITL-PIVOT'!A82=0,NA(),'ITL-PIVOT'!A82)</f>
        <v>0.22976180214349332</v>
      </c>
      <c r="B84" t="e">
        <f>IF(GETPIVOTDATA("ITL",'ITL-PIVOT'!$A$3,"KV%",$A84,"Experiment",B$5,"date",B$6)=0,NA(),GETPIVOTDATA("ITL",'ITL-PIVOT'!$A$3,"KV%",$A84,"Experiment",B$5,"date",B$6))</f>
        <v>#N/A</v>
      </c>
      <c r="C84" t="e">
        <f>IF(GETPIVOTDATA("ITL",'ITL-PIVOT'!$A$3,"KV%",$A84,"Experiment",C$5,"date",C$6)=0,NA(),GETPIVOTDATA("ITL",'ITL-PIVOT'!$A$3,"KV%",$A84,"Experiment",C$5,"date",C$6))</f>
        <v>#N/A</v>
      </c>
      <c r="D84" t="e">
        <f>IF(GETPIVOTDATA("ITL",'ITL-PIVOT'!$A$3,"KV%",$A84,"Experiment",D$5,"date",D$6)=0,NA(),GETPIVOTDATA("ITL",'ITL-PIVOT'!$A$3,"KV%",$A84,"Experiment",D$5,"date",D$6))</f>
        <v>#N/A</v>
      </c>
      <c r="E84" t="e">
        <f>IF(GETPIVOTDATA("ITL",'ITL-PIVOT'!$A$3,"KV%",$A84,"Experiment",E$5,"date",E$6)=0,NA(),GETPIVOTDATA("ITL",'ITL-PIVOT'!$A$3,"KV%",$A84,"Experiment",E$5,"date",E$6))</f>
        <v>#N/A</v>
      </c>
      <c r="F84" t="e">
        <f>IF(GETPIVOTDATA("ITL",'ITL-PIVOT'!$A$3,"KV%",$A84,"Experiment",F$5,"date",F$6)=0,NA(),GETPIVOTDATA("ITL",'ITL-PIVOT'!$A$3,"KV%",$A84,"Experiment",F$5,"date",F$6))</f>
        <v>#N/A</v>
      </c>
      <c r="G84" t="e">
        <f>IF(GETPIVOTDATA("ITL",'ITL-PIVOT'!$A$3,"KV%",$A84,"Experiment",G$5,"date",G$6)=0,NA(),GETPIVOTDATA("ITL",'ITL-PIVOT'!$A$3,"KV%",$A84,"Experiment",G$5,"date",G$6))</f>
        <v>#N/A</v>
      </c>
      <c r="H84" t="e">
        <f>IF(GETPIVOTDATA("ITL",'ITL-PIVOT'!$A$3,"KV%",$A84,"Experiment",H$5,"date",H$6)=0,NA(),GETPIVOTDATA("ITL",'ITL-PIVOT'!$A$3,"KV%",$A84,"Experiment",H$5,"date",H$6))</f>
        <v>#N/A</v>
      </c>
      <c r="I84">
        <f>IF(GETPIVOTDATA("ITL",'ITL-PIVOT'!$A$3,"KV%",$A84,"Experiment",I$5,"date",I$6)=0,NA(),GETPIVOTDATA("ITL",'ITL-PIVOT'!$A$3,"KV%",$A84,"Experiment",I$5,"date",I$6))</f>
        <v>2.2218246486298266E-2</v>
      </c>
      <c r="J84" t="e">
        <f>IF(GETPIVOTDATA("ITL",'ITL-PIVOT'!$A$3,"KV%",$A84,"Experiment",J$5,"date",J$6)=0,NA(),GETPIVOTDATA("ITL",'ITL-PIVOT'!$A$3,"KV%",$A84,"Experiment",J$5,"date",J$6))</f>
        <v>#N/A</v>
      </c>
      <c r="K84" t="e">
        <f>IF(GETPIVOTDATA("ITL",'ITL-PIVOT'!$A$3,"KV%",$A84,"Experiment",K$5,"date",K$6)=0,NA(),GETPIVOTDATA("ITL",'ITL-PIVOT'!$A$3,"KV%",$A84,"Experiment",K$5,"date",K$6))</f>
        <v>#N/A</v>
      </c>
      <c r="L84" t="e">
        <f>IF(GETPIVOTDATA("ITL",'ITL-PIVOT'!$A$3,"KV%",$A84,"Experiment",L$5,"date",L$6)=0,NA(),GETPIVOTDATA("ITL",'ITL-PIVOT'!$A$3,"KV%",$A84,"Experiment",L$5,"date",L$6))</f>
        <v>#N/A</v>
      </c>
      <c r="M84" t="e">
        <f>IF(GETPIVOTDATA("ITL",'ITL-PIVOT'!$A$3,"KV%",$A84,"Experiment",M$5,"date",M$6)=0,NA(),GETPIVOTDATA("ITL",'ITL-PIVOT'!$A$3,"KV%",$A84,"Experiment",M$5,"date",M$6))</f>
        <v>#N/A</v>
      </c>
    </row>
    <row r="85" spans="1:13" x14ac:dyDescent="0.25">
      <c r="A85">
        <f>IF('ITL-PIVOT'!A83=0,NA(),'ITL-PIVOT'!A83)</f>
        <v>0.23186219578771949</v>
      </c>
      <c r="B85" t="e">
        <f>IF(GETPIVOTDATA("ITL",'ITL-PIVOT'!$A$3,"KV%",$A85,"Experiment",B$5,"date",B$6)=0,NA(),GETPIVOTDATA("ITL",'ITL-PIVOT'!$A$3,"KV%",$A85,"Experiment",B$5,"date",B$6))</f>
        <v>#N/A</v>
      </c>
      <c r="C85" t="e">
        <f>IF(GETPIVOTDATA("ITL",'ITL-PIVOT'!$A$3,"KV%",$A85,"Experiment",C$5,"date",C$6)=0,NA(),GETPIVOTDATA("ITL",'ITL-PIVOT'!$A$3,"KV%",$A85,"Experiment",C$5,"date",C$6))</f>
        <v>#N/A</v>
      </c>
      <c r="D85" t="e">
        <f>IF(GETPIVOTDATA("ITL",'ITL-PIVOT'!$A$3,"KV%",$A85,"Experiment",D$5,"date",D$6)=0,NA(),GETPIVOTDATA("ITL",'ITL-PIVOT'!$A$3,"KV%",$A85,"Experiment",D$5,"date",D$6))</f>
        <v>#N/A</v>
      </c>
      <c r="E85" t="e">
        <f>IF(GETPIVOTDATA("ITL",'ITL-PIVOT'!$A$3,"KV%",$A85,"Experiment",E$5,"date",E$6)=0,NA(),GETPIVOTDATA("ITL",'ITL-PIVOT'!$A$3,"KV%",$A85,"Experiment",E$5,"date",E$6))</f>
        <v>#N/A</v>
      </c>
      <c r="F85" t="e">
        <f>IF(GETPIVOTDATA("ITL",'ITL-PIVOT'!$A$3,"KV%",$A85,"Experiment",F$5,"date",F$6)=0,NA(),GETPIVOTDATA("ITL",'ITL-PIVOT'!$A$3,"KV%",$A85,"Experiment",F$5,"date",F$6))</f>
        <v>#N/A</v>
      </c>
      <c r="G85" t="e">
        <f>IF(GETPIVOTDATA("ITL",'ITL-PIVOT'!$A$3,"KV%",$A85,"Experiment",G$5,"date",G$6)=0,NA(),GETPIVOTDATA("ITL",'ITL-PIVOT'!$A$3,"KV%",$A85,"Experiment",G$5,"date",G$6))</f>
        <v>#N/A</v>
      </c>
      <c r="H85" t="e">
        <f>IF(GETPIVOTDATA("ITL",'ITL-PIVOT'!$A$3,"KV%",$A85,"Experiment",H$5,"date",H$6)=0,NA(),GETPIVOTDATA("ITL",'ITL-PIVOT'!$A$3,"KV%",$A85,"Experiment",H$5,"date",H$6))</f>
        <v>#N/A</v>
      </c>
      <c r="I85" t="e">
        <f>IF(GETPIVOTDATA("ITL",'ITL-PIVOT'!$A$3,"KV%",$A85,"Experiment",I$5,"date",I$6)=0,NA(),GETPIVOTDATA("ITL",'ITL-PIVOT'!$A$3,"KV%",$A85,"Experiment",I$5,"date",I$6))</f>
        <v>#N/A</v>
      </c>
      <c r="J85" t="e">
        <f>IF(GETPIVOTDATA("ITL",'ITL-PIVOT'!$A$3,"KV%",$A85,"Experiment",J$5,"date",J$6)=0,NA(),GETPIVOTDATA("ITL",'ITL-PIVOT'!$A$3,"KV%",$A85,"Experiment",J$5,"date",J$6))</f>
        <v>#N/A</v>
      </c>
      <c r="K85" t="e">
        <f>IF(GETPIVOTDATA("ITL",'ITL-PIVOT'!$A$3,"KV%",$A85,"Experiment",K$5,"date",K$6)=0,NA(),GETPIVOTDATA("ITL",'ITL-PIVOT'!$A$3,"KV%",$A85,"Experiment",K$5,"date",K$6))</f>
        <v>#N/A</v>
      </c>
      <c r="L85" t="e">
        <f>IF(GETPIVOTDATA("ITL",'ITL-PIVOT'!$A$3,"KV%",$A85,"Experiment",L$5,"date",L$6)=0,NA(),GETPIVOTDATA("ITL",'ITL-PIVOT'!$A$3,"KV%",$A85,"Experiment",L$5,"date",L$6))</f>
        <v>#N/A</v>
      </c>
      <c r="M85">
        <f>IF(GETPIVOTDATA("ITL",'ITL-PIVOT'!$A$3,"KV%",$A85,"Experiment",M$5,"date",M$6)=0,NA(),GETPIVOTDATA("ITL",'ITL-PIVOT'!$A$3,"KV%",$A85,"Experiment",M$5,"date",M$6))</f>
        <v>3.8194114817827314E-2</v>
      </c>
    </row>
    <row r="86" spans="1:13" x14ac:dyDescent="0.25">
      <c r="A86">
        <f>IF('ITL-PIVOT'!A84=0,NA(),'ITL-PIVOT'!A84)</f>
        <v>0.2370157745021981</v>
      </c>
      <c r="B86" t="e">
        <f>IF(GETPIVOTDATA("ITL",'ITL-PIVOT'!$A$3,"KV%",$A86,"Experiment",B$5,"date",B$6)=0,NA(),GETPIVOTDATA("ITL",'ITL-PIVOT'!$A$3,"KV%",$A86,"Experiment",B$5,"date",B$6))</f>
        <v>#N/A</v>
      </c>
      <c r="C86" t="e">
        <f>IF(GETPIVOTDATA("ITL",'ITL-PIVOT'!$A$3,"KV%",$A86,"Experiment",C$5,"date",C$6)=0,NA(),GETPIVOTDATA("ITL",'ITL-PIVOT'!$A$3,"KV%",$A86,"Experiment",C$5,"date",C$6))</f>
        <v>#N/A</v>
      </c>
      <c r="D86" t="e">
        <f>IF(GETPIVOTDATA("ITL",'ITL-PIVOT'!$A$3,"KV%",$A86,"Experiment",D$5,"date",D$6)=0,NA(),GETPIVOTDATA("ITL",'ITL-PIVOT'!$A$3,"KV%",$A86,"Experiment",D$5,"date",D$6))</f>
        <v>#N/A</v>
      </c>
      <c r="E86" t="e">
        <f>IF(GETPIVOTDATA("ITL",'ITL-PIVOT'!$A$3,"KV%",$A86,"Experiment",E$5,"date",E$6)=0,NA(),GETPIVOTDATA("ITL",'ITL-PIVOT'!$A$3,"KV%",$A86,"Experiment",E$5,"date",E$6))</f>
        <v>#N/A</v>
      </c>
      <c r="F86" t="e">
        <f>IF(GETPIVOTDATA("ITL",'ITL-PIVOT'!$A$3,"KV%",$A86,"Experiment",F$5,"date",F$6)=0,NA(),GETPIVOTDATA("ITL",'ITL-PIVOT'!$A$3,"KV%",$A86,"Experiment",F$5,"date",F$6))</f>
        <v>#N/A</v>
      </c>
      <c r="G86" t="e">
        <f>IF(GETPIVOTDATA("ITL",'ITL-PIVOT'!$A$3,"KV%",$A86,"Experiment",G$5,"date",G$6)=0,NA(),GETPIVOTDATA("ITL",'ITL-PIVOT'!$A$3,"KV%",$A86,"Experiment",G$5,"date",G$6))</f>
        <v>#N/A</v>
      </c>
      <c r="H86" t="e">
        <f>IF(GETPIVOTDATA("ITL",'ITL-PIVOT'!$A$3,"KV%",$A86,"Experiment",H$5,"date",H$6)=0,NA(),GETPIVOTDATA("ITL",'ITL-PIVOT'!$A$3,"KV%",$A86,"Experiment",H$5,"date",H$6))</f>
        <v>#N/A</v>
      </c>
      <c r="I86" t="e">
        <f>IF(GETPIVOTDATA("ITL",'ITL-PIVOT'!$A$3,"KV%",$A86,"Experiment",I$5,"date",I$6)=0,NA(),GETPIVOTDATA("ITL",'ITL-PIVOT'!$A$3,"KV%",$A86,"Experiment",I$5,"date",I$6))</f>
        <v>#N/A</v>
      </c>
      <c r="J86" t="e">
        <f>IF(GETPIVOTDATA("ITL",'ITL-PIVOT'!$A$3,"KV%",$A86,"Experiment",J$5,"date",J$6)=0,NA(),GETPIVOTDATA("ITL",'ITL-PIVOT'!$A$3,"KV%",$A86,"Experiment",J$5,"date",J$6))</f>
        <v>#N/A</v>
      </c>
      <c r="K86">
        <f>IF(GETPIVOTDATA("ITL",'ITL-PIVOT'!$A$3,"KV%",$A86,"Experiment",K$5,"date",K$6)=0,NA(),GETPIVOTDATA("ITL",'ITL-PIVOT'!$A$3,"KV%",$A86,"Experiment",K$5,"date",K$6))</f>
        <v>1.5750199519474317E-2</v>
      </c>
      <c r="L86" t="e">
        <f>IF(GETPIVOTDATA("ITL",'ITL-PIVOT'!$A$3,"KV%",$A86,"Experiment",L$5,"date",L$6)=0,NA(),GETPIVOTDATA("ITL",'ITL-PIVOT'!$A$3,"KV%",$A86,"Experiment",L$5,"date",L$6))</f>
        <v>#N/A</v>
      </c>
      <c r="M86" t="e">
        <f>IF(GETPIVOTDATA("ITL",'ITL-PIVOT'!$A$3,"KV%",$A86,"Experiment",M$5,"date",M$6)=0,NA(),GETPIVOTDATA("ITL",'ITL-PIVOT'!$A$3,"KV%",$A86,"Experiment",M$5,"date",M$6))</f>
        <v>#N/A</v>
      </c>
    </row>
    <row r="87" spans="1:13" x14ac:dyDescent="0.25">
      <c r="A87">
        <f>IF('ITL-PIVOT'!A85=0,NA(),'ITL-PIVOT'!A85)</f>
        <v>0.23920275635467531</v>
      </c>
      <c r="B87" t="e">
        <f>IF(GETPIVOTDATA("ITL",'ITL-PIVOT'!$A$3,"KV%",$A87,"Experiment",B$5,"date",B$6)=0,NA(),GETPIVOTDATA("ITL",'ITL-PIVOT'!$A$3,"KV%",$A87,"Experiment",B$5,"date",B$6))</f>
        <v>#N/A</v>
      </c>
      <c r="C87" t="e">
        <f>IF(GETPIVOTDATA("ITL",'ITL-PIVOT'!$A$3,"KV%",$A87,"Experiment",C$5,"date",C$6)=0,NA(),GETPIVOTDATA("ITL",'ITL-PIVOT'!$A$3,"KV%",$A87,"Experiment",C$5,"date",C$6))</f>
        <v>#N/A</v>
      </c>
      <c r="D87" t="e">
        <f>IF(GETPIVOTDATA("ITL",'ITL-PIVOT'!$A$3,"KV%",$A87,"Experiment",D$5,"date",D$6)=0,NA(),GETPIVOTDATA("ITL",'ITL-PIVOT'!$A$3,"KV%",$A87,"Experiment",D$5,"date",D$6))</f>
        <v>#N/A</v>
      </c>
      <c r="E87" t="e">
        <f>IF(GETPIVOTDATA("ITL",'ITL-PIVOT'!$A$3,"KV%",$A87,"Experiment",E$5,"date",E$6)=0,NA(),GETPIVOTDATA("ITL",'ITL-PIVOT'!$A$3,"KV%",$A87,"Experiment",E$5,"date",E$6))</f>
        <v>#N/A</v>
      </c>
      <c r="F87" t="e">
        <f>IF(GETPIVOTDATA("ITL",'ITL-PIVOT'!$A$3,"KV%",$A87,"Experiment",F$5,"date",F$6)=0,NA(),GETPIVOTDATA("ITL",'ITL-PIVOT'!$A$3,"KV%",$A87,"Experiment",F$5,"date",F$6))</f>
        <v>#N/A</v>
      </c>
      <c r="G87" t="e">
        <f>IF(GETPIVOTDATA("ITL",'ITL-PIVOT'!$A$3,"KV%",$A87,"Experiment",G$5,"date",G$6)=0,NA(),GETPIVOTDATA("ITL",'ITL-PIVOT'!$A$3,"KV%",$A87,"Experiment",G$5,"date",G$6))</f>
        <v>#N/A</v>
      </c>
      <c r="H87" t="e">
        <f>IF(GETPIVOTDATA("ITL",'ITL-PIVOT'!$A$3,"KV%",$A87,"Experiment",H$5,"date",H$6)=0,NA(),GETPIVOTDATA("ITL",'ITL-PIVOT'!$A$3,"KV%",$A87,"Experiment",H$5,"date",H$6))</f>
        <v>#N/A</v>
      </c>
      <c r="I87" t="e">
        <f>IF(GETPIVOTDATA("ITL",'ITL-PIVOT'!$A$3,"KV%",$A87,"Experiment",I$5,"date",I$6)=0,NA(),GETPIVOTDATA("ITL",'ITL-PIVOT'!$A$3,"KV%",$A87,"Experiment",I$5,"date",I$6))</f>
        <v>#N/A</v>
      </c>
      <c r="J87" t="e">
        <f>IF(GETPIVOTDATA("ITL",'ITL-PIVOT'!$A$3,"KV%",$A87,"Experiment",J$5,"date",J$6)=0,NA(),GETPIVOTDATA("ITL",'ITL-PIVOT'!$A$3,"KV%",$A87,"Experiment",J$5,"date",J$6))</f>
        <v>#N/A</v>
      </c>
      <c r="K87" t="e">
        <f>IF(GETPIVOTDATA("ITL",'ITL-PIVOT'!$A$3,"KV%",$A87,"Experiment",K$5,"date",K$6)=0,NA(),GETPIVOTDATA("ITL",'ITL-PIVOT'!$A$3,"KV%",$A87,"Experiment",K$5,"date",K$6))</f>
        <v>#N/A</v>
      </c>
      <c r="L87">
        <f>IF(GETPIVOTDATA("ITL",'ITL-PIVOT'!$A$3,"KV%",$A87,"Experiment",L$5,"date",L$6)=0,NA(),GETPIVOTDATA("ITL",'ITL-PIVOT'!$A$3,"KV%",$A87,"Experiment",L$5,"date",L$6))</f>
        <v>1.5582201915096445E-2</v>
      </c>
      <c r="M87" t="e">
        <f>IF(GETPIVOTDATA("ITL",'ITL-PIVOT'!$A$3,"KV%",$A87,"Experiment",M$5,"date",M$6)=0,NA(),GETPIVOTDATA("ITL",'ITL-PIVOT'!$A$3,"KV%",$A87,"Experiment",M$5,"date",M$6))</f>
        <v>#N/A</v>
      </c>
    </row>
    <row r="88" spans="1:13" x14ac:dyDescent="0.25">
      <c r="A88">
        <f>IF('ITL-PIVOT'!A86=0,NA(),'ITL-PIVOT'!A86)</f>
        <v>0.24133771429440673</v>
      </c>
      <c r="B88" t="e">
        <f>IF(GETPIVOTDATA("ITL",'ITL-PIVOT'!$A$3,"KV%",$A88,"Experiment",B$5,"date",B$6)=0,NA(),GETPIVOTDATA("ITL",'ITL-PIVOT'!$A$3,"KV%",$A88,"Experiment",B$5,"date",B$6))</f>
        <v>#N/A</v>
      </c>
      <c r="C88" t="e">
        <f>IF(GETPIVOTDATA("ITL",'ITL-PIVOT'!$A$3,"KV%",$A88,"Experiment",C$5,"date",C$6)=0,NA(),GETPIVOTDATA("ITL",'ITL-PIVOT'!$A$3,"KV%",$A88,"Experiment",C$5,"date",C$6))</f>
        <v>#N/A</v>
      </c>
      <c r="D88" t="e">
        <f>IF(GETPIVOTDATA("ITL",'ITL-PIVOT'!$A$3,"KV%",$A88,"Experiment",D$5,"date",D$6)=0,NA(),GETPIVOTDATA("ITL",'ITL-PIVOT'!$A$3,"KV%",$A88,"Experiment",D$5,"date",D$6))</f>
        <v>#N/A</v>
      </c>
      <c r="E88" t="e">
        <f>IF(GETPIVOTDATA("ITL",'ITL-PIVOT'!$A$3,"KV%",$A88,"Experiment",E$5,"date",E$6)=0,NA(),GETPIVOTDATA("ITL",'ITL-PIVOT'!$A$3,"KV%",$A88,"Experiment",E$5,"date",E$6))</f>
        <v>#N/A</v>
      </c>
      <c r="F88">
        <f>IF(GETPIVOTDATA("ITL",'ITL-PIVOT'!$A$3,"KV%",$A88,"Experiment",F$5,"date",F$6)=0,NA(),GETPIVOTDATA("ITL",'ITL-PIVOT'!$A$3,"KV%",$A88,"Experiment",F$5,"date",F$6))</f>
        <v>1.4934354230036029E-2</v>
      </c>
      <c r="G88" t="e">
        <f>IF(GETPIVOTDATA("ITL",'ITL-PIVOT'!$A$3,"KV%",$A88,"Experiment",G$5,"date",G$6)=0,NA(),GETPIVOTDATA("ITL",'ITL-PIVOT'!$A$3,"KV%",$A88,"Experiment",G$5,"date",G$6))</f>
        <v>#N/A</v>
      </c>
      <c r="H88" t="e">
        <f>IF(GETPIVOTDATA("ITL",'ITL-PIVOT'!$A$3,"KV%",$A88,"Experiment",H$5,"date",H$6)=0,NA(),GETPIVOTDATA("ITL",'ITL-PIVOT'!$A$3,"KV%",$A88,"Experiment",H$5,"date",H$6))</f>
        <v>#N/A</v>
      </c>
      <c r="I88" t="e">
        <f>IF(GETPIVOTDATA("ITL",'ITL-PIVOT'!$A$3,"KV%",$A88,"Experiment",I$5,"date",I$6)=0,NA(),GETPIVOTDATA("ITL",'ITL-PIVOT'!$A$3,"KV%",$A88,"Experiment",I$5,"date",I$6))</f>
        <v>#N/A</v>
      </c>
      <c r="J88" t="e">
        <f>IF(GETPIVOTDATA("ITL",'ITL-PIVOT'!$A$3,"KV%",$A88,"Experiment",J$5,"date",J$6)=0,NA(),GETPIVOTDATA("ITL",'ITL-PIVOT'!$A$3,"KV%",$A88,"Experiment",J$5,"date",J$6))</f>
        <v>#N/A</v>
      </c>
      <c r="K88" t="e">
        <f>IF(GETPIVOTDATA("ITL",'ITL-PIVOT'!$A$3,"KV%",$A88,"Experiment",K$5,"date",K$6)=0,NA(),GETPIVOTDATA("ITL",'ITL-PIVOT'!$A$3,"KV%",$A88,"Experiment",K$5,"date",K$6))</f>
        <v>#N/A</v>
      </c>
      <c r="L88" t="e">
        <f>IF(GETPIVOTDATA("ITL",'ITL-PIVOT'!$A$3,"KV%",$A88,"Experiment",L$5,"date",L$6)=0,NA(),GETPIVOTDATA("ITL",'ITL-PIVOT'!$A$3,"KV%",$A88,"Experiment",L$5,"date",L$6))</f>
        <v>#N/A</v>
      </c>
      <c r="M88" t="e">
        <f>IF(GETPIVOTDATA("ITL",'ITL-PIVOT'!$A$3,"KV%",$A88,"Experiment",M$5,"date",M$6)=0,NA(),GETPIVOTDATA("ITL",'ITL-PIVOT'!$A$3,"KV%",$A88,"Experiment",M$5,"date",M$6))</f>
        <v>#N/A</v>
      </c>
    </row>
    <row r="89" spans="1:13" x14ac:dyDescent="0.25">
      <c r="A89">
        <f>IF('ITL-PIVOT'!A87=0,NA(),'ITL-PIVOT'!A87)</f>
        <v>0.24204809930178434</v>
      </c>
      <c r="B89" t="e">
        <f>IF(GETPIVOTDATA("ITL",'ITL-PIVOT'!$A$3,"KV%",$A89,"Experiment",B$5,"date",B$6)=0,NA(),GETPIVOTDATA("ITL",'ITL-PIVOT'!$A$3,"KV%",$A89,"Experiment",B$5,"date",B$6))</f>
        <v>#N/A</v>
      </c>
      <c r="C89" t="e">
        <f>IF(GETPIVOTDATA("ITL",'ITL-PIVOT'!$A$3,"KV%",$A89,"Experiment",C$5,"date",C$6)=0,NA(),GETPIVOTDATA("ITL",'ITL-PIVOT'!$A$3,"KV%",$A89,"Experiment",C$5,"date",C$6))</f>
        <v>#N/A</v>
      </c>
      <c r="D89">
        <f>IF(GETPIVOTDATA("ITL",'ITL-PIVOT'!$A$3,"KV%",$A89,"Experiment",D$5,"date",D$6)=0,NA(),GETPIVOTDATA("ITL",'ITL-PIVOT'!$A$3,"KV%",$A89,"Experiment",D$5,"date",D$6))</f>
        <v>1.3493247325563274E-2</v>
      </c>
      <c r="E89" t="e">
        <f>IF(GETPIVOTDATA("ITL",'ITL-PIVOT'!$A$3,"KV%",$A89,"Experiment",E$5,"date",E$6)=0,NA(),GETPIVOTDATA("ITL",'ITL-PIVOT'!$A$3,"KV%",$A89,"Experiment",E$5,"date",E$6))</f>
        <v>#N/A</v>
      </c>
      <c r="F89" t="e">
        <f>IF(GETPIVOTDATA("ITL",'ITL-PIVOT'!$A$3,"KV%",$A89,"Experiment",F$5,"date",F$6)=0,NA(),GETPIVOTDATA("ITL",'ITL-PIVOT'!$A$3,"KV%",$A89,"Experiment",F$5,"date",F$6))</f>
        <v>#N/A</v>
      </c>
      <c r="G89" t="e">
        <f>IF(GETPIVOTDATA("ITL",'ITL-PIVOT'!$A$3,"KV%",$A89,"Experiment",G$5,"date",G$6)=0,NA(),GETPIVOTDATA("ITL",'ITL-PIVOT'!$A$3,"KV%",$A89,"Experiment",G$5,"date",G$6))</f>
        <v>#N/A</v>
      </c>
      <c r="H89" t="e">
        <f>IF(GETPIVOTDATA("ITL",'ITL-PIVOT'!$A$3,"KV%",$A89,"Experiment",H$5,"date",H$6)=0,NA(),GETPIVOTDATA("ITL",'ITL-PIVOT'!$A$3,"KV%",$A89,"Experiment",H$5,"date",H$6))</f>
        <v>#N/A</v>
      </c>
      <c r="I89" t="e">
        <f>IF(GETPIVOTDATA("ITL",'ITL-PIVOT'!$A$3,"KV%",$A89,"Experiment",I$5,"date",I$6)=0,NA(),GETPIVOTDATA("ITL",'ITL-PIVOT'!$A$3,"KV%",$A89,"Experiment",I$5,"date",I$6))</f>
        <v>#N/A</v>
      </c>
      <c r="J89" t="e">
        <f>IF(GETPIVOTDATA("ITL",'ITL-PIVOT'!$A$3,"KV%",$A89,"Experiment",J$5,"date",J$6)=0,NA(),GETPIVOTDATA("ITL",'ITL-PIVOT'!$A$3,"KV%",$A89,"Experiment",J$5,"date",J$6))</f>
        <v>#N/A</v>
      </c>
      <c r="K89" t="e">
        <f>IF(GETPIVOTDATA("ITL",'ITL-PIVOT'!$A$3,"KV%",$A89,"Experiment",K$5,"date",K$6)=0,NA(),GETPIVOTDATA("ITL",'ITL-PIVOT'!$A$3,"KV%",$A89,"Experiment",K$5,"date",K$6))</f>
        <v>#N/A</v>
      </c>
      <c r="L89" t="e">
        <f>IF(GETPIVOTDATA("ITL",'ITL-PIVOT'!$A$3,"KV%",$A89,"Experiment",L$5,"date",L$6)=0,NA(),GETPIVOTDATA("ITL",'ITL-PIVOT'!$A$3,"KV%",$A89,"Experiment",L$5,"date",L$6))</f>
        <v>#N/A</v>
      </c>
      <c r="M89" t="e">
        <f>IF(GETPIVOTDATA("ITL",'ITL-PIVOT'!$A$3,"KV%",$A89,"Experiment",M$5,"date",M$6)=0,NA(),GETPIVOTDATA("ITL",'ITL-PIVOT'!$A$3,"KV%",$A89,"Experiment",M$5,"date",M$6))</f>
        <v>#N/A</v>
      </c>
    </row>
    <row r="90" spans="1:13" x14ac:dyDescent="0.25">
      <c r="A90">
        <f>IF('ITL-PIVOT'!A88=0,NA(),'ITL-PIVOT'!A88)</f>
        <v>0.25347282435084195</v>
      </c>
      <c r="B90" t="e">
        <f>IF(GETPIVOTDATA("ITL",'ITL-PIVOT'!$A$3,"KV%",$A90,"Experiment",B$5,"date",B$6)=0,NA(),GETPIVOTDATA("ITL",'ITL-PIVOT'!$A$3,"KV%",$A90,"Experiment",B$5,"date",B$6))</f>
        <v>#N/A</v>
      </c>
      <c r="C90" t="e">
        <f>IF(GETPIVOTDATA("ITL",'ITL-PIVOT'!$A$3,"KV%",$A90,"Experiment",C$5,"date",C$6)=0,NA(),GETPIVOTDATA("ITL",'ITL-PIVOT'!$A$3,"KV%",$A90,"Experiment",C$5,"date",C$6))</f>
        <v>#N/A</v>
      </c>
      <c r="D90" t="e">
        <f>IF(GETPIVOTDATA("ITL",'ITL-PIVOT'!$A$3,"KV%",$A90,"Experiment",D$5,"date",D$6)=0,NA(),GETPIVOTDATA("ITL",'ITL-PIVOT'!$A$3,"KV%",$A90,"Experiment",D$5,"date",D$6))</f>
        <v>#N/A</v>
      </c>
      <c r="E90" t="e">
        <f>IF(GETPIVOTDATA("ITL",'ITL-PIVOT'!$A$3,"KV%",$A90,"Experiment",E$5,"date",E$6)=0,NA(),GETPIVOTDATA("ITL",'ITL-PIVOT'!$A$3,"KV%",$A90,"Experiment",E$5,"date",E$6))</f>
        <v>#N/A</v>
      </c>
      <c r="F90" t="e">
        <f>IF(GETPIVOTDATA("ITL",'ITL-PIVOT'!$A$3,"KV%",$A90,"Experiment",F$5,"date",F$6)=0,NA(),GETPIVOTDATA("ITL",'ITL-PIVOT'!$A$3,"KV%",$A90,"Experiment",F$5,"date",F$6))</f>
        <v>#N/A</v>
      </c>
      <c r="G90" t="e">
        <f>IF(GETPIVOTDATA("ITL",'ITL-PIVOT'!$A$3,"KV%",$A90,"Experiment",G$5,"date",G$6)=0,NA(),GETPIVOTDATA("ITL",'ITL-PIVOT'!$A$3,"KV%",$A90,"Experiment",G$5,"date",G$6))</f>
        <v>#N/A</v>
      </c>
      <c r="H90" t="e">
        <f>IF(GETPIVOTDATA("ITL",'ITL-PIVOT'!$A$3,"KV%",$A90,"Experiment",H$5,"date",H$6)=0,NA(),GETPIVOTDATA("ITL",'ITL-PIVOT'!$A$3,"KV%",$A90,"Experiment",H$5,"date",H$6))</f>
        <v>#N/A</v>
      </c>
      <c r="I90" t="e">
        <f>IF(GETPIVOTDATA("ITL",'ITL-PIVOT'!$A$3,"KV%",$A90,"Experiment",I$5,"date",I$6)=0,NA(),GETPIVOTDATA("ITL",'ITL-PIVOT'!$A$3,"KV%",$A90,"Experiment",I$5,"date",I$6))</f>
        <v>#N/A</v>
      </c>
      <c r="J90" t="e">
        <f>IF(GETPIVOTDATA("ITL",'ITL-PIVOT'!$A$3,"KV%",$A90,"Experiment",J$5,"date",J$6)=0,NA(),GETPIVOTDATA("ITL",'ITL-PIVOT'!$A$3,"KV%",$A90,"Experiment",J$5,"date",J$6))</f>
        <v>#N/A</v>
      </c>
      <c r="K90" t="e">
        <f>IF(GETPIVOTDATA("ITL",'ITL-PIVOT'!$A$3,"KV%",$A90,"Experiment",K$5,"date",K$6)=0,NA(),GETPIVOTDATA("ITL",'ITL-PIVOT'!$A$3,"KV%",$A90,"Experiment",K$5,"date",K$6))</f>
        <v>#N/A</v>
      </c>
      <c r="L90">
        <f>IF(GETPIVOTDATA("ITL",'ITL-PIVOT'!$A$3,"KV%",$A90,"Experiment",L$5,"date",L$6)=0,NA(),GETPIVOTDATA("ITL",'ITL-PIVOT'!$A$3,"KV%",$A90,"Experiment",L$5,"date",L$6))</f>
        <v>1.6073429748460325E-2</v>
      </c>
      <c r="M90" t="e">
        <f>IF(GETPIVOTDATA("ITL",'ITL-PIVOT'!$A$3,"KV%",$A90,"Experiment",M$5,"date",M$6)=0,NA(),GETPIVOTDATA("ITL",'ITL-PIVOT'!$A$3,"KV%",$A90,"Experiment",M$5,"date",M$6))</f>
        <v>#N/A</v>
      </c>
    </row>
    <row r="91" spans="1:13" x14ac:dyDescent="0.25">
      <c r="A91">
        <f>IF('ITL-PIVOT'!A89=0,NA(),'ITL-PIVOT'!A89)</f>
        <v>0.25623739332816142</v>
      </c>
      <c r="B91" t="e">
        <f>IF(GETPIVOTDATA("ITL",'ITL-PIVOT'!$A$3,"KV%",$A91,"Experiment",B$5,"date",B$6)=0,NA(),GETPIVOTDATA("ITL",'ITL-PIVOT'!$A$3,"KV%",$A91,"Experiment",B$5,"date",B$6))</f>
        <v>#N/A</v>
      </c>
      <c r="C91" t="e">
        <f>IF(GETPIVOTDATA("ITL",'ITL-PIVOT'!$A$3,"KV%",$A91,"Experiment",C$5,"date",C$6)=0,NA(),GETPIVOTDATA("ITL",'ITL-PIVOT'!$A$3,"KV%",$A91,"Experiment",C$5,"date",C$6))</f>
        <v>#N/A</v>
      </c>
      <c r="D91" t="e">
        <f>IF(GETPIVOTDATA("ITL",'ITL-PIVOT'!$A$3,"KV%",$A91,"Experiment",D$5,"date",D$6)=0,NA(),GETPIVOTDATA("ITL",'ITL-PIVOT'!$A$3,"KV%",$A91,"Experiment",D$5,"date",D$6))</f>
        <v>#N/A</v>
      </c>
      <c r="E91" t="e">
        <f>IF(GETPIVOTDATA("ITL",'ITL-PIVOT'!$A$3,"KV%",$A91,"Experiment",E$5,"date",E$6)=0,NA(),GETPIVOTDATA("ITL",'ITL-PIVOT'!$A$3,"KV%",$A91,"Experiment",E$5,"date",E$6))</f>
        <v>#N/A</v>
      </c>
      <c r="F91" t="e">
        <f>IF(GETPIVOTDATA("ITL",'ITL-PIVOT'!$A$3,"KV%",$A91,"Experiment",F$5,"date",F$6)=0,NA(),GETPIVOTDATA("ITL",'ITL-PIVOT'!$A$3,"KV%",$A91,"Experiment",F$5,"date",F$6))</f>
        <v>#N/A</v>
      </c>
      <c r="G91" t="e">
        <f>IF(GETPIVOTDATA("ITL",'ITL-PIVOT'!$A$3,"KV%",$A91,"Experiment",G$5,"date",G$6)=0,NA(),GETPIVOTDATA("ITL",'ITL-PIVOT'!$A$3,"KV%",$A91,"Experiment",G$5,"date",G$6))</f>
        <v>#N/A</v>
      </c>
      <c r="H91">
        <f>IF(GETPIVOTDATA("ITL",'ITL-PIVOT'!$A$3,"KV%",$A91,"Experiment",H$5,"date",H$6)=0,NA(),GETPIVOTDATA("ITL",'ITL-PIVOT'!$A$3,"KV%",$A91,"Experiment",H$5,"date",H$6))</f>
        <v>2.4031371159684622E-2</v>
      </c>
      <c r="I91" t="e">
        <f>IF(GETPIVOTDATA("ITL",'ITL-PIVOT'!$A$3,"KV%",$A91,"Experiment",I$5,"date",I$6)=0,NA(),GETPIVOTDATA("ITL",'ITL-PIVOT'!$A$3,"KV%",$A91,"Experiment",I$5,"date",I$6))</f>
        <v>#N/A</v>
      </c>
      <c r="J91" t="e">
        <f>IF(GETPIVOTDATA("ITL",'ITL-PIVOT'!$A$3,"KV%",$A91,"Experiment",J$5,"date",J$6)=0,NA(),GETPIVOTDATA("ITL",'ITL-PIVOT'!$A$3,"KV%",$A91,"Experiment",J$5,"date",J$6))</f>
        <v>#N/A</v>
      </c>
      <c r="K91" t="e">
        <f>IF(GETPIVOTDATA("ITL",'ITL-PIVOT'!$A$3,"KV%",$A91,"Experiment",K$5,"date",K$6)=0,NA(),GETPIVOTDATA("ITL",'ITL-PIVOT'!$A$3,"KV%",$A91,"Experiment",K$5,"date",K$6))</f>
        <v>#N/A</v>
      </c>
      <c r="L91" t="e">
        <f>IF(GETPIVOTDATA("ITL",'ITL-PIVOT'!$A$3,"KV%",$A91,"Experiment",L$5,"date",L$6)=0,NA(),GETPIVOTDATA("ITL",'ITL-PIVOT'!$A$3,"KV%",$A91,"Experiment",L$5,"date",L$6))</f>
        <v>#N/A</v>
      </c>
      <c r="M91" t="e">
        <f>IF(GETPIVOTDATA("ITL",'ITL-PIVOT'!$A$3,"KV%",$A91,"Experiment",M$5,"date",M$6)=0,NA(),GETPIVOTDATA("ITL",'ITL-PIVOT'!$A$3,"KV%",$A91,"Experiment",M$5,"date",M$6))</f>
        <v>#N/A</v>
      </c>
    </row>
    <row r="92" spans="1:13" x14ac:dyDescent="0.25">
      <c r="A92">
        <f>IF('ITL-PIVOT'!A90=0,NA(),'ITL-PIVOT'!A90)</f>
        <v>0.26573095879158481</v>
      </c>
      <c r="B92" t="e">
        <f>IF(GETPIVOTDATA("ITL",'ITL-PIVOT'!$A$3,"KV%",$A92,"Experiment",B$5,"date",B$6)=0,NA(),GETPIVOTDATA("ITL",'ITL-PIVOT'!$A$3,"KV%",$A92,"Experiment",B$5,"date",B$6))</f>
        <v>#N/A</v>
      </c>
      <c r="C92" t="e">
        <f>IF(GETPIVOTDATA("ITL",'ITL-PIVOT'!$A$3,"KV%",$A92,"Experiment",C$5,"date",C$6)=0,NA(),GETPIVOTDATA("ITL",'ITL-PIVOT'!$A$3,"KV%",$A92,"Experiment",C$5,"date",C$6))</f>
        <v>#N/A</v>
      </c>
      <c r="D92" t="e">
        <f>IF(GETPIVOTDATA("ITL",'ITL-PIVOT'!$A$3,"KV%",$A92,"Experiment",D$5,"date",D$6)=0,NA(),GETPIVOTDATA("ITL",'ITL-PIVOT'!$A$3,"KV%",$A92,"Experiment",D$5,"date",D$6))</f>
        <v>#N/A</v>
      </c>
      <c r="E92" t="e">
        <f>IF(GETPIVOTDATA("ITL",'ITL-PIVOT'!$A$3,"KV%",$A92,"Experiment",E$5,"date",E$6)=0,NA(),GETPIVOTDATA("ITL",'ITL-PIVOT'!$A$3,"KV%",$A92,"Experiment",E$5,"date",E$6))</f>
        <v>#N/A</v>
      </c>
      <c r="F92" t="e">
        <f>IF(GETPIVOTDATA("ITL",'ITL-PIVOT'!$A$3,"KV%",$A92,"Experiment",F$5,"date",F$6)=0,NA(),GETPIVOTDATA("ITL",'ITL-PIVOT'!$A$3,"KV%",$A92,"Experiment",F$5,"date",F$6))</f>
        <v>#N/A</v>
      </c>
      <c r="G92" t="e">
        <f>IF(GETPIVOTDATA("ITL",'ITL-PIVOT'!$A$3,"KV%",$A92,"Experiment",G$5,"date",G$6)=0,NA(),GETPIVOTDATA("ITL",'ITL-PIVOT'!$A$3,"KV%",$A92,"Experiment",G$5,"date",G$6))</f>
        <v>#N/A</v>
      </c>
      <c r="H92" t="e">
        <f>IF(GETPIVOTDATA("ITL",'ITL-PIVOT'!$A$3,"KV%",$A92,"Experiment",H$5,"date",H$6)=0,NA(),GETPIVOTDATA("ITL",'ITL-PIVOT'!$A$3,"KV%",$A92,"Experiment",H$5,"date",H$6))</f>
        <v>#N/A</v>
      </c>
      <c r="I92" t="e">
        <f>IF(GETPIVOTDATA("ITL",'ITL-PIVOT'!$A$3,"KV%",$A92,"Experiment",I$5,"date",I$6)=0,NA(),GETPIVOTDATA("ITL",'ITL-PIVOT'!$A$3,"KV%",$A92,"Experiment",I$5,"date",I$6))</f>
        <v>#N/A</v>
      </c>
      <c r="J92" t="e">
        <f>IF(GETPIVOTDATA("ITL",'ITL-PIVOT'!$A$3,"KV%",$A92,"Experiment",J$5,"date",J$6)=0,NA(),GETPIVOTDATA("ITL",'ITL-PIVOT'!$A$3,"KV%",$A92,"Experiment",J$5,"date",J$6))</f>
        <v>#N/A</v>
      </c>
      <c r="K92" t="e">
        <f>IF(GETPIVOTDATA("ITL",'ITL-PIVOT'!$A$3,"KV%",$A92,"Experiment",K$5,"date",K$6)=0,NA(),GETPIVOTDATA("ITL",'ITL-PIVOT'!$A$3,"KV%",$A92,"Experiment",K$5,"date",K$6))</f>
        <v>#N/A</v>
      </c>
      <c r="L92">
        <f>IF(GETPIVOTDATA("ITL",'ITL-PIVOT'!$A$3,"KV%",$A92,"Experiment",L$5,"date",L$6)=0,NA(),GETPIVOTDATA("ITL",'ITL-PIVOT'!$A$3,"KV%",$A92,"Experiment",L$5,"date",L$6))</f>
        <v>1.7040464900077414E-2</v>
      </c>
      <c r="M92" t="e">
        <f>IF(GETPIVOTDATA("ITL",'ITL-PIVOT'!$A$3,"KV%",$A92,"Experiment",M$5,"date",M$6)=0,NA(),GETPIVOTDATA("ITL",'ITL-PIVOT'!$A$3,"KV%",$A92,"Experiment",M$5,"date",M$6))</f>
        <v>#N/A</v>
      </c>
    </row>
    <row r="93" spans="1:13" x14ac:dyDescent="0.25">
      <c r="A93">
        <f>IF('ITL-PIVOT'!A91=0,NA(),'ITL-PIVOT'!A91)</f>
        <v>0.27561761917076111</v>
      </c>
      <c r="B93" t="e">
        <f>IF(GETPIVOTDATA("ITL",'ITL-PIVOT'!$A$3,"KV%",$A93,"Experiment",B$5,"date",B$6)=0,NA(),GETPIVOTDATA("ITL",'ITL-PIVOT'!$A$3,"KV%",$A93,"Experiment",B$5,"date",B$6))</f>
        <v>#N/A</v>
      </c>
      <c r="C93">
        <f>IF(GETPIVOTDATA("ITL",'ITL-PIVOT'!$A$3,"KV%",$A93,"Experiment",C$5,"date",C$6)=0,NA(),GETPIVOTDATA("ITL",'ITL-PIVOT'!$A$3,"KV%",$A93,"Experiment",C$5,"date",C$6))</f>
        <v>2.0987859075821697E-2</v>
      </c>
      <c r="D93" t="e">
        <f>IF(GETPIVOTDATA("ITL",'ITL-PIVOT'!$A$3,"KV%",$A93,"Experiment",D$5,"date",D$6)=0,NA(),GETPIVOTDATA("ITL",'ITL-PIVOT'!$A$3,"KV%",$A93,"Experiment",D$5,"date",D$6))</f>
        <v>#N/A</v>
      </c>
      <c r="E93" t="e">
        <f>IF(GETPIVOTDATA("ITL",'ITL-PIVOT'!$A$3,"KV%",$A93,"Experiment",E$5,"date",E$6)=0,NA(),GETPIVOTDATA("ITL",'ITL-PIVOT'!$A$3,"KV%",$A93,"Experiment",E$5,"date",E$6))</f>
        <v>#N/A</v>
      </c>
      <c r="F93" t="e">
        <f>IF(GETPIVOTDATA("ITL",'ITL-PIVOT'!$A$3,"KV%",$A93,"Experiment",F$5,"date",F$6)=0,NA(),GETPIVOTDATA("ITL",'ITL-PIVOT'!$A$3,"KV%",$A93,"Experiment",F$5,"date",F$6))</f>
        <v>#N/A</v>
      </c>
      <c r="G93" t="e">
        <f>IF(GETPIVOTDATA("ITL",'ITL-PIVOT'!$A$3,"KV%",$A93,"Experiment",G$5,"date",G$6)=0,NA(),GETPIVOTDATA("ITL",'ITL-PIVOT'!$A$3,"KV%",$A93,"Experiment",G$5,"date",G$6))</f>
        <v>#N/A</v>
      </c>
      <c r="H93" t="e">
        <f>IF(GETPIVOTDATA("ITL",'ITL-PIVOT'!$A$3,"KV%",$A93,"Experiment",H$5,"date",H$6)=0,NA(),GETPIVOTDATA("ITL",'ITL-PIVOT'!$A$3,"KV%",$A93,"Experiment",H$5,"date",H$6))</f>
        <v>#N/A</v>
      </c>
      <c r="I93" t="e">
        <f>IF(GETPIVOTDATA("ITL",'ITL-PIVOT'!$A$3,"KV%",$A93,"Experiment",I$5,"date",I$6)=0,NA(),GETPIVOTDATA("ITL",'ITL-PIVOT'!$A$3,"KV%",$A93,"Experiment",I$5,"date",I$6))</f>
        <v>#N/A</v>
      </c>
      <c r="J93" t="e">
        <f>IF(GETPIVOTDATA("ITL",'ITL-PIVOT'!$A$3,"KV%",$A93,"Experiment",J$5,"date",J$6)=0,NA(),GETPIVOTDATA("ITL",'ITL-PIVOT'!$A$3,"KV%",$A93,"Experiment",J$5,"date",J$6))</f>
        <v>#N/A</v>
      </c>
      <c r="K93" t="e">
        <f>IF(GETPIVOTDATA("ITL",'ITL-PIVOT'!$A$3,"KV%",$A93,"Experiment",K$5,"date",K$6)=0,NA(),GETPIVOTDATA("ITL",'ITL-PIVOT'!$A$3,"KV%",$A93,"Experiment",K$5,"date",K$6))</f>
        <v>#N/A</v>
      </c>
      <c r="L93" t="e">
        <f>IF(GETPIVOTDATA("ITL",'ITL-PIVOT'!$A$3,"KV%",$A93,"Experiment",L$5,"date",L$6)=0,NA(),GETPIVOTDATA("ITL",'ITL-PIVOT'!$A$3,"KV%",$A93,"Experiment",L$5,"date",L$6))</f>
        <v>#N/A</v>
      </c>
      <c r="M93" t="e">
        <f>IF(GETPIVOTDATA("ITL",'ITL-PIVOT'!$A$3,"KV%",$A93,"Experiment",M$5,"date",M$6)=0,NA(),GETPIVOTDATA("ITL",'ITL-PIVOT'!$A$3,"KV%",$A93,"Experiment",M$5,"date",M$6))</f>
        <v>#N/A</v>
      </c>
    </row>
    <row r="94" spans="1:13" x14ac:dyDescent="0.25">
      <c r="A94">
        <f>IF('ITL-PIVOT'!A92=0,NA(),'ITL-PIVOT'!A92)</f>
        <v>0.2799327644168606</v>
      </c>
      <c r="B94" t="e">
        <f>IF(GETPIVOTDATA("ITL",'ITL-PIVOT'!$A$3,"KV%",$A94,"Experiment",B$5,"date",B$6)=0,NA(),GETPIVOTDATA("ITL",'ITL-PIVOT'!$A$3,"KV%",$A94,"Experiment",B$5,"date",B$6))</f>
        <v>#N/A</v>
      </c>
      <c r="C94" t="e">
        <f>IF(GETPIVOTDATA("ITL",'ITL-PIVOT'!$A$3,"KV%",$A94,"Experiment",C$5,"date",C$6)=0,NA(),GETPIVOTDATA("ITL",'ITL-PIVOT'!$A$3,"KV%",$A94,"Experiment",C$5,"date",C$6))</f>
        <v>#N/A</v>
      </c>
      <c r="D94" t="e">
        <f>IF(GETPIVOTDATA("ITL",'ITL-PIVOT'!$A$3,"KV%",$A94,"Experiment",D$5,"date",D$6)=0,NA(),GETPIVOTDATA("ITL",'ITL-PIVOT'!$A$3,"KV%",$A94,"Experiment",D$5,"date",D$6))</f>
        <v>#N/A</v>
      </c>
      <c r="E94" t="e">
        <f>IF(GETPIVOTDATA("ITL",'ITL-PIVOT'!$A$3,"KV%",$A94,"Experiment",E$5,"date",E$6)=0,NA(),GETPIVOTDATA("ITL",'ITL-PIVOT'!$A$3,"KV%",$A94,"Experiment",E$5,"date",E$6))</f>
        <v>#N/A</v>
      </c>
      <c r="F94" t="e">
        <f>IF(GETPIVOTDATA("ITL",'ITL-PIVOT'!$A$3,"KV%",$A94,"Experiment",F$5,"date",F$6)=0,NA(),GETPIVOTDATA("ITL",'ITL-PIVOT'!$A$3,"KV%",$A94,"Experiment",F$5,"date",F$6))</f>
        <v>#N/A</v>
      </c>
      <c r="G94" t="e">
        <f>IF(GETPIVOTDATA("ITL",'ITL-PIVOT'!$A$3,"KV%",$A94,"Experiment",G$5,"date",G$6)=0,NA(),GETPIVOTDATA("ITL",'ITL-PIVOT'!$A$3,"KV%",$A94,"Experiment",G$5,"date",G$6))</f>
        <v>#N/A</v>
      </c>
      <c r="H94" t="e">
        <f>IF(GETPIVOTDATA("ITL",'ITL-PIVOT'!$A$3,"KV%",$A94,"Experiment",H$5,"date",H$6)=0,NA(),GETPIVOTDATA("ITL",'ITL-PIVOT'!$A$3,"KV%",$A94,"Experiment",H$5,"date",H$6))</f>
        <v>#N/A</v>
      </c>
      <c r="I94" t="e">
        <f>IF(GETPIVOTDATA("ITL",'ITL-PIVOT'!$A$3,"KV%",$A94,"Experiment",I$5,"date",I$6)=0,NA(),GETPIVOTDATA("ITL",'ITL-PIVOT'!$A$3,"KV%",$A94,"Experiment",I$5,"date",I$6))</f>
        <v>#N/A</v>
      </c>
      <c r="J94" t="e">
        <f>IF(GETPIVOTDATA("ITL",'ITL-PIVOT'!$A$3,"KV%",$A94,"Experiment",J$5,"date",J$6)=0,NA(),GETPIVOTDATA("ITL",'ITL-PIVOT'!$A$3,"KV%",$A94,"Experiment",J$5,"date",J$6))</f>
        <v>#N/A</v>
      </c>
      <c r="K94">
        <f>IF(GETPIVOTDATA("ITL",'ITL-PIVOT'!$A$3,"KV%",$A94,"Experiment",K$5,"date",K$6)=0,NA(),GETPIVOTDATA("ITL",'ITL-PIVOT'!$A$3,"KV%",$A94,"Experiment",K$5,"date",K$6))</f>
        <v>1.7185741715384034E-2</v>
      </c>
      <c r="L94" t="e">
        <f>IF(GETPIVOTDATA("ITL",'ITL-PIVOT'!$A$3,"KV%",$A94,"Experiment",L$5,"date",L$6)=0,NA(),GETPIVOTDATA("ITL",'ITL-PIVOT'!$A$3,"KV%",$A94,"Experiment",L$5,"date",L$6))</f>
        <v>#N/A</v>
      </c>
      <c r="M94" t="e">
        <f>IF(GETPIVOTDATA("ITL",'ITL-PIVOT'!$A$3,"KV%",$A94,"Experiment",M$5,"date",M$6)=0,NA(),GETPIVOTDATA("ITL",'ITL-PIVOT'!$A$3,"KV%",$A94,"Experiment",M$5,"date",M$6))</f>
        <v>#N/A</v>
      </c>
    </row>
    <row r="95" spans="1:13" x14ac:dyDescent="0.25">
      <c r="A95">
        <f>IF('ITL-PIVOT'!A93=0,NA(),'ITL-PIVOT'!A93)</f>
        <v>0.28184351923684736</v>
      </c>
      <c r="B95" t="e">
        <f>IF(GETPIVOTDATA("ITL",'ITL-PIVOT'!$A$3,"KV%",$A95,"Experiment",B$5,"date",B$6)=0,NA(),GETPIVOTDATA("ITL",'ITL-PIVOT'!$A$3,"KV%",$A95,"Experiment",B$5,"date",B$6))</f>
        <v>#N/A</v>
      </c>
      <c r="C95" t="e">
        <f>IF(GETPIVOTDATA("ITL",'ITL-PIVOT'!$A$3,"KV%",$A95,"Experiment",C$5,"date",C$6)=0,NA(),GETPIVOTDATA("ITL",'ITL-PIVOT'!$A$3,"KV%",$A95,"Experiment",C$5,"date",C$6))</f>
        <v>#N/A</v>
      </c>
      <c r="D95" t="e">
        <f>IF(GETPIVOTDATA("ITL",'ITL-PIVOT'!$A$3,"KV%",$A95,"Experiment",D$5,"date",D$6)=0,NA(),GETPIVOTDATA("ITL",'ITL-PIVOT'!$A$3,"KV%",$A95,"Experiment",D$5,"date",D$6))</f>
        <v>#N/A</v>
      </c>
      <c r="E95" t="e">
        <f>IF(GETPIVOTDATA("ITL",'ITL-PIVOT'!$A$3,"KV%",$A95,"Experiment",E$5,"date",E$6)=0,NA(),GETPIVOTDATA("ITL",'ITL-PIVOT'!$A$3,"KV%",$A95,"Experiment",E$5,"date",E$6))</f>
        <v>#N/A</v>
      </c>
      <c r="F95" t="e">
        <f>IF(GETPIVOTDATA("ITL",'ITL-PIVOT'!$A$3,"KV%",$A95,"Experiment",F$5,"date",F$6)=0,NA(),GETPIVOTDATA("ITL",'ITL-PIVOT'!$A$3,"KV%",$A95,"Experiment",F$5,"date",F$6))</f>
        <v>#N/A</v>
      </c>
      <c r="G95" t="e">
        <f>IF(GETPIVOTDATA("ITL",'ITL-PIVOT'!$A$3,"KV%",$A95,"Experiment",G$5,"date",G$6)=0,NA(),GETPIVOTDATA("ITL",'ITL-PIVOT'!$A$3,"KV%",$A95,"Experiment",G$5,"date",G$6))</f>
        <v>#N/A</v>
      </c>
      <c r="H95" t="e">
        <f>IF(GETPIVOTDATA("ITL",'ITL-PIVOT'!$A$3,"KV%",$A95,"Experiment",H$5,"date",H$6)=0,NA(),GETPIVOTDATA("ITL",'ITL-PIVOT'!$A$3,"KV%",$A95,"Experiment",H$5,"date",H$6))</f>
        <v>#N/A</v>
      </c>
      <c r="I95">
        <f>IF(GETPIVOTDATA("ITL",'ITL-PIVOT'!$A$3,"KV%",$A95,"Experiment",I$5,"date",I$6)=0,NA(),GETPIVOTDATA("ITL",'ITL-PIVOT'!$A$3,"KV%",$A95,"Experiment",I$5,"date",I$6))</f>
        <v>2.5528575404787906E-2</v>
      </c>
      <c r="J95" t="e">
        <f>IF(GETPIVOTDATA("ITL",'ITL-PIVOT'!$A$3,"KV%",$A95,"Experiment",J$5,"date",J$6)=0,NA(),GETPIVOTDATA("ITL",'ITL-PIVOT'!$A$3,"KV%",$A95,"Experiment",J$5,"date",J$6))</f>
        <v>#N/A</v>
      </c>
      <c r="K95" t="e">
        <f>IF(GETPIVOTDATA("ITL",'ITL-PIVOT'!$A$3,"KV%",$A95,"Experiment",K$5,"date",K$6)=0,NA(),GETPIVOTDATA("ITL",'ITL-PIVOT'!$A$3,"KV%",$A95,"Experiment",K$5,"date",K$6))</f>
        <v>#N/A</v>
      </c>
      <c r="L95" t="e">
        <f>IF(GETPIVOTDATA("ITL",'ITL-PIVOT'!$A$3,"KV%",$A95,"Experiment",L$5,"date",L$6)=0,NA(),GETPIVOTDATA("ITL",'ITL-PIVOT'!$A$3,"KV%",$A95,"Experiment",L$5,"date",L$6))</f>
        <v>#N/A</v>
      </c>
      <c r="M95" t="e">
        <f>IF(GETPIVOTDATA("ITL",'ITL-PIVOT'!$A$3,"KV%",$A95,"Experiment",M$5,"date",M$6)=0,NA(),GETPIVOTDATA("ITL",'ITL-PIVOT'!$A$3,"KV%",$A95,"Experiment",M$5,"date",M$6))</f>
        <v>#N/A</v>
      </c>
    </row>
    <row r="96" spans="1:13" x14ac:dyDescent="0.25">
      <c r="A96">
        <f>IF('ITL-PIVOT'!A94=0,NA(),'ITL-PIVOT'!A94)</f>
        <v>0.29114817688130334</v>
      </c>
      <c r="B96" t="e">
        <f>IF(GETPIVOTDATA("ITL",'ITL-PIVOT'!$A$3,"KV%",$A96,"Experiment",B$5,"date",B$6)=0,NA(),GETPIVOTDATA("ITL",'ITL-PIVOT'!$A$3,"KV%",$A96,"Experiment",B$5,"date",B$6))</f>
        <v>#N/A</v>
      </c>
      <c r="C96" t="e">
        <f>IF(GETPIVOTDATA("ITL",'ITL-PIVOT'!$A$3,"KV%",$A96,"Experiment",C$5,"date",C$6)=0,NA(),GETPIVOTDATA("ITL",'ITL-PIVOT'!$A$3,"KV%",$A96,"Experiment",C$5,"date",C$6))</f>
        <v>#N/A</v>
      </c>
      <c r="D96" t="e">
        <f>IF(GETPIVOTDATA("ITL",'ITL-PIVOT'!$A$3,"KV%",$A96,"Experiment",D$5,"date",D$6)=0,NA(),GETPIVOTDATA("ITL",'ITL-PIVOT'!$A$3,"KV%",$A96,"Experiment",D$5,"date",D$6))</f>
        <v>#N/A</v>
      </c>
      <c r="E96">
        <f>IF(GETPIVOTDATA("ITL",'ITL-PIVOT'!$A$3,"KV%",$A96,"Experiment",E$5,"date",E$6)=0,NA(),GETPIVOTDATA("ITL",'ITL-PIVOT'!$A$3,"KV%",$A96,"Experiment",E$5,"date",E$6))</f>
        <v>1.622387482705575E-2</v>
      </c>
      <c r="F96" t="e">
        <f>IF(GETPIVOTDATA("ITL",'ITL-PIVOT'!$A$3,"KV%",$A96,"Experiment",F$5,"date",F$6)=0,NA(),GETPIVOTDATA("ITL",'ITL-PIVOT'!$A$3,"KV%",$A96,"Experiment",F$5,"date",F$6))</f>
        <v>#N/A</v>
      </c>
      <c r="G96" t="e">
        <f>IF(GETPIVOTDATA("ITL",'ITL-PIVOT'!$A$3,"KV%",$A96,"Experiment",G$5,"date",G$6)=0,NA(),GETPIVOTDATA("ITL",'ITL-PIVOT'!$A$3,"KV%",$A96,"Experiment",G$5,"date",G$6))</f>
        <v>#N/A</v>
      </c>
      <c r="H96" t="e">
        <f>IF(GETPIVOTDATA("ITL",'ITL-PIVOT'!$A$3,"KV%",$A96,"Experiment",H$5,"date",H$6)=0,NA(),GETPIVOTDATA("ITL",'ITL-PIVOT'!$A$3,"KV%",$A96,"Experiment",H$5,"date",H$6))</f>
        <v>#N/A</v>
      </c>
      <c r="I96" t="e">
        <f>IF(GETPIVOTDATA("ITL",'ITL-PIVOT'!$A$3,"KV%",$A96,"Experiment",I$5,"date",I$6)=0,NA(),GETPIVOTDATA("ITL",'ITL-PIVOT'!$A$3,"KV%",$A96,"Experiment",I$5,"date",I$6))</f>
        <v>#N/A</v>
      </c>
      <c r="J96" t="e">
        <f>IF(GETPIVOTDATA("ITL",'ITL-PIVOT'!$A$3,"KV%",$A96,"Experiment",J$5,"date",J$6)=0,NA(),GETPIVOTDATA("ITL",'ITL-PIVOT'!$A$3,"KV%",$A96,"Experiment",J$5,"date",J$6))</f>
        <v>#N/A</v>
      </c>
      <c r="K96" t="e">
        <f>IF(GETPIVOTDATA("ITL",'ITL-PIVOT'!$A$3,"KV%",$A96,"Experiment",K$5,"date",K$6)=0,NA(),GETPIVOTDATA("ITL",'ITL-PIVOT'!$A$3,"KV%",$A96,"Experiment",K$5,"date",K$6))</f>
        <v>#N/A</v>
      </c>
      <c r="L96" t="e">
        <f>IF(GETPIVOTDATA("ITL",'ITL-PIVOT'!$A$3,"KV%",$A96,"Experiment",L$5,"date",L$6)=0,NA(),GETPIVOTDATA("ITL",'ITL-PIVOT'!$A$3,"KV%",$A96,"Experiment",L$5,"date",L$6))</f>
        <v>#N/A</v>
      </c>
      <c r="M96" t="e">
        <f>IF(GETPIVOTDATA("ITL",'ITL-PIVOT'!$A$3,"KV%",$A96,"Experiment",M$5,"date",M$6)=0,NA(),GETPIVOTDATA("ITL",'ITL-PIVOT'!$A$3,"KV%",$A96,"Experiment",M$5,"date",M$6))</f>
        <v>#N/A</v>
      </c>
    </row>
    <row r="97" spans="1:13" x14ac:dyDescent="0.25">
      <c r="A97">
        <f>IF('ITL-PIVOT'!A95=0,NA(),'ITL-PIVOT'!A95)</f>
        <v>0.29222768152170792</v>
      </c>
      <c r="B97" t="e">
        <f>IF(GETPIVOTDATA("ITL",'ITL-PIVOT'!$A$3,"KV%",$A97,"Experiment",B$5,"date",B$6)=0,NA(),GETPIVOTDATA("ITL",'ITL-PIVOT'!$A$3,"KV%",$A97,"Experiment",B$5,"date",B$6))</f>
        <v>#N/A</v>
      </c>
      <c r="C97" t="e">
        <f>IF(GETPIVOTDATA("ITL",'ITL-PIVOT'!$A$3,"KV%",$A97,"Experiment",C$5,"date",C$6)=0,NA(),GETPIVOTDATA("ITL",'ITL-PIVOT'!$A$3,"KV%",$A97,"Experiment",C$5,"date",C$6))</f>
        <v>#N/A</v>
      </c>
      <c r="D97" t="e">
        <f>IF(GETPIVOTDATA("ITL",'ITL-PIVOT'!$A$3,"KV%",$A97,"Experiment",D$5,"date",D$6)=0,NA(),GETPIVOTDATA("ITL",'ITL-PIVOT'!$A$3,"KV%",$A97,"Experiment",D$5,"date",D$6))</f>
        <v>#N/A</v>
      </c>
      <c r="E97" t="e">
        <f>IF(GETPIVOTDATA("ITL",'ITL-PIVOT'!$A$3,"KV%",$A97,"Experiment",E$5,"date",E$6)=0,NA(),GETPIVOTDATA("ITL",'ITL-PIVOT'!$A$3,"KV%",$A97,"Experiment",E$5,"date",E$6))</f>
        <v>#N/A</v>
      </c>
      <c r="F97" t="e">
        <f>IF(GETPIVOTDATA("ITL",'ITL-PIVOT'!$A$3,"KV%",$A97,"Experiment",F$5,"date",F$6)=0,NA(),GETPIVOTDATA("ITL",'ITL-PIVOT'!$A$3,"KV%",$A97,"Experiment",F$5,"date",F$6))</f>
        <v>#N/A</v>
      </c>
      <c r="G97" t="e">
        <f>IF(GETPIVOTDATA("ITL",'ITL-PIVOT'!$A$3,"KV%",$A97,"Experiment",G$5,"date",G$6)=0,NA(),GETPIVOTDATA("ITL",'ITL-PIVOT'!$A$3,"KV%",$A97,"Experiment",G$5,"date",G$6))</f>
        <v>#N/A</v>
      </c>
      <c r="H97" t="e">
        <f>IF(GETPIVOTDATA("ITL",'ITL-PIVOT'!$A$3,"KV%",$A97,"Experiment",H$5,"date",H$6)=0,NA(),GETPIVOTDATA("ITL",'ITL-PIVOT'!$A$3,"KV%",$A97,"Experiment",H$5,"date",H$6))</f>
        <v>#N/A</v>
      </c>
      <c r="I97">
        <f>IF(GETPIVOTDATA("ITL",'ITL-PIVOT'!$A$3,"KV%",$A97,"Experiment",I$5,"date",I$6)=0,NA(),GETPIVOTDATA("ITL",'ITL-PIVOT'!$A$3,"KV%",$A97,"Experiment",I$5,"date",I$6))</f>
        <v>2.6751555661055363E-2</v>
      </c>
      <c r="J97" t="e">
        <f>IF(GETPIVOTDATA("ITL",'ITL-PIVOT'!$A$3,"KV%",$A97,"Experiment",J$5,"date",J$6)=0,NA(),GETPIVOTDATA("ITL",'ITL-PIVOT'!$A$3,"KV%",$A97,"Experiment",J$5,"date",J$6))</f>
        <v>#N/A</v>
      </c>
      <c r="K97" t="e">
        <f>IF(GETPIVOTDATA("ITL",'ITL-PIVOT'!$A$3,"KV%",$A97,"Experiment",K$5,"date",K$6)=0,NA(),GETPIVOTDATA("ITL",'ITL-PIVOT'!$A$3,"KV%",$A97,"Experiment",K$5,"date",K$6))</f>
        <v>#N/A</v>
      </c>
      <c r="L97" t="e">
        <f>IF(GETPIVOTDATA("ITL",'ITL-PIVOT'!$A$3,"KV%",$A97,"Experiment",L$5,"date",L$6)=0,NA(),GETPIVOTDATA("ITL",'ITL-PIVOT'!$A$3,"KV%",$A97,"Experiment",L$5,"date",L$6))</f>
        <v>#N/A</v>
      </c>
      <c r="M97" t="e">
        <f>IF(GETPIVOTDATA("ITL",'ITL-PIVOT'!$A$3,"KV%",$A97,"Experiment",M$5,"date",M$6)=0,NA(),GETPIVOTDATA("ITL",'ITL-PIVOT'!$A$3,"KV%",$A97,"Experiment",M$5,"date",M$6))</f>
        <v>#N/A</v>
      </c>
    </row>
    <row r="98" spans="1:13" x14ac:dyDescent="0.25">
      <c r="A98">
        <f>IF('ITL-PIVOT'!A96=0,NA(),'ITL-PIVOT'!A96)</f>
        <v>0.29388673390224984</v>
      </c>
      <c r="B98" t="e">
        <f>IF(GETPIVOTDATA("ITL",'ITL-PIVOT'!$A$3,"KV%",$A98,"Experiment",B$5,"date",B$6)=0,NA(),GETPIVOTDATA("ITL",'ITL-PIVOT'!$A$3,"KV%",$A98,"Experiment",B$5,"date",B$6))</f>
        <v>#N/A</v>
      </c>
      <c r="C98" t="e">
        <f>IF(GETPIVOTDATA("ITL",'ITL-PIVOT'!$A$3,"KV%",$A98,"Experiment",C$5,"date",C$6)=0,NA(),GETPIVOTDATA("ITL",'ITL-PIVOT'!$A$3,"KV%",$A98,"Experiment",C$5,"date",C$6))</f>
        <v>#N/A</v>
      </c>
      <c r="D98" t="e">
        <f>IF(GETPIVOTDATA("ITL",'ITL-PIVOT'!$A$3,"KV%",$A98,"Experiment",D$5,"date",D$6)=0,NA(),GETPIVOTDATA("ITL",'ITL-PIVOT'!$A$3,"KV%",$A98,"Experiment",D$5,"date",D$6))</f>
        <v>#N/A</v>
      </c>
      <c r="E98" t="e">
        <f>IF(GETPIVOTDATA("ITL",'ITL-PIVOT'!$A$3,"KV%",$A98,"Experiment",E$5,"date",E$6)=0,NA(),GETPIVOTDATA("ITL",'ITL-PIVOT'!$A$3,"KV%",$A98,"Experiment",E$5,"date",E$6))</f>
        <v>#N/A</v>
      </c>
      <c r="F98" t="e">
        <f>IF(GETPIVOTDATA("ITL",'ITL-PIVOT'!$A$3,"KV%",$A98,"Experiment",F$5,"date",F$6)=0,NA(),GETPIVOTDATA("ITL",'ITL-PIVOT'!$A$3,"KV%",$A98,"Experiment",F$5,"date",F$6))</f>
        <v>#N/A</v>
      </c>
      <c r="G98" t="e">
        <f>IF(GETPIVOTDATA("ITL",'ITL-PIVOT'!$A$3,"KV%",$A98,"Experiment",G$5,"date",G$6)=0,NA(),GETPIVOTDATA("ITL",'ITL-PIVOT'!$A$3,"KV%",$A98,"Experiment",G$5,"date",G$6))</f>
        <v>#N/A</v>
      </c>
      <c r="H98">
        <f>IF(GETPIVOTDATA("ITL",'ITL-PIVOT'!$A$3,"KV%",$A98,"Experiment",H$5,"date",H$6)=0,NA(),GETPIVOTDATA("ITL",'ITL-PIVOT'!$A$3,"KV%",$A98,"Experiment",H$5,"date",H$6))</f>
        <v>2.7285715660388569E-2</v>
      </c>
      <c r="I98" t="e">
        <f>IF(GETPIVOTDATA("ITL",'ITL-PIVOT'!$A$3,"KV%",$A98,"Experiment",I$5,"date",I$6)=0,NA(),GETPIVOTDATA("ITL",'ITL-PIVOT'!$A$3,"KV%",$A98,"Experiment",I$5,"date",I$6))</f>
        <v>#N/A</v>
      </c>
      <c r="J98" t="e">
        <f>IF(GETPIVOTDATA("ITL",'ITL-PIVOT'!$A$3,"KV%",$A98,"Experiment",J$5,"date",J$6)=0,NA(),GETPIVOTDATA("ITL",'ITL-PIVOT'!$A$3,"KV%",$A98,"Experiment",J$5,"date",J$6))</f>
        <v>#N/A</v>
      </c>
      <c r="K98" t="e">
        <f>IF(GETPIVOTDATA("ITL",'ITL-PIVOT'!$A$3,"KV%",$A98,"Experiment",K$5,"date",K$6)=0,NA(),GETPIVOTDATA("ITL",'ITL-PIVOT'!$A$3,"KV%",$A98,"Experiment",K$5,"date",K$6))</f>
        <v>#N/A</v>
      </c>
      <c r="L98" t="e">
        <f>IF(GETPIVOTDATA("ITL",'ITL-PIVOT'!$A$3,"KV%",$A98,"Experiment",L$5,"date",L$6)=0,NA(),GETPIVOTDATA("ITL",'ITL-PIVOT'!$A$3,"KV%",$A98,"Experiment",L$5,"date",L$6))</f>
        <v>#N/A</v>
      </c>
      <c r="M98" t="e">
        <f>IF(GETPIVOTDATA("ITL",'ITL-PIVOT'!$A$3,"KV%",$A98,"Experiment",M$5,"date",M$6)=0,NA(),GETPIVOTDATA("ITL",'ITL-PIVOT'!$A$3,"KV%",$A98,"Experiment",M$5,"date",M$6))</f>
        <v>#N/A</v>
      </c>
    </row>
    <row r="99" spans="1:13" x14ac:dyDescent="0.25">
      <c r="A99">
        <f>IF('ITL-PIVOT'!A97=0,NA(),'ITL-PIVOT'!A97)</f>
        <v>0.29655056359238813</v>
      </c>
      <c r="B99" t="e">
        <f>IF(GETPIVOTDATA("ITL",'ITL-PIVOT'!$A$3,"KV%",$A99,"Experiment",B$5,"date",B$6)=0,NA(),GETPIVOTDATA("ITL",'ITL-PIVOT'!$A$3,"KV%",$A99,"Experiment",B$5,"date",B$6))</f>
        <v>#N/A</v>
      </c>
      <c r="C99" t="e">
        <f>IF(GETPIVOTDATA("ITL",'ITL-PIVOT'!$A$3,"KV%",$A99,"Experiment",C$5,"date",C$6)=0,NA(),GETPIVOTDATA("ITL",'ITL-PIVOT'!$A$3,"KV%",$A99,"Experiment",C$5,"date",C$6))</f>
        <v>#N/A</v>
      </c>
      <c r="D99" t="e">
        <f>IF(GETPIVOTDATA("ITL",'ITL-PIVOT'!$A$3,"KV%",$A99,"Experiment",D$5,"date",D$6)=0,NA(),GETPIVOTDATA("ITL",'ITL-PIVOT'!$A$3,"KV%",$A99,"Experiment",D$5,"date",D$6))</f>
        <v>#N/A</v>
      </c>
      <c r="E99" t="e">
        <f>IF(GETPIVOTDATA("ITL",'ITL-PIVOT'!$A$3,"KV%",$A99,"Experiment",E$5,"date",E$6)=0,NA(),GETPIVOTDATA("ITL",'ITL-PIVOT'!$A$3,"KV%",$A99,"Experiment",E$5,"date",E$6))</f>
        <v>#N/A</v>
      </c>
      <c r="F99">
        <f>IF(GETPIVOTDATA("ITL",'ITL-PIVOT'!$A$3,"KV%",$A99,"Experiment",F$5,"date",F$6)=0,NA(),GETPIVOTDATA("ITL",'ITL-PIVOT'!$A$3,"KV%",$A99,"Experiment",F$5,"date",F$6))</f>
        <v>1.6075060193484956E-2</v>
      </c>
      <c r="G99" t="e">
        <f>IF(GETPIVOTDATA("ITL",'ITL-PIVOT'!$A$3,"KV%",$A99,"Experiment",G$5,"date",G$6)=0,NA(),GETPIVOTDATA("ITL",'ITL-PIVOT'!$A$3,"KV%",$A99,"Experiment",G$5,"date",G$6))</f>
        <v>#N/A</v>
      </c>
      <c r="H99" t="e">
        <f>IF(GETPIVOTDATA("ITL",'ITL-PIVOT'!$A$3,"KV%",$A99,"Experiment",H$5,"date",H$6)=0,NA(),GETPIVOTDATA("ITL",'ITL-PIVOT'!$A$3,"KV%",$A99,"Experiment",H$5,"date",H$6))</f>
        <v>#N/A</v>
      </c>
      <c r="I99" t="e">
        <f>IF(GETPIVOTDATA("ITL",'ITL-PIVOT'!$A$3,"KV%",$A99,"Experiment",I$5,"date",I$6)=0,NA(),GETPIVOTDATA("ITL",'ITL-PIVOT'!$A$3,"KV%",$A99,"Experiment",I$5,"date",I$6))</f>
        <v>#N/A</v>
      </c>
      <c r="J99" t="e">
        <f>IF(GETPIVOTDATA("ITL",'ITL-PIVOT'!$A$3,"KV%",$A99,"Experiment",J$5,"date",J$6)=0,NA(),GETPIVOTDATA("ITL",'ITL-PIVOT'!$A$3,"KV%",$A99,"Experiment",J$5,"date",J$6))</f>
        <v>#N/A</v>
      </c>
      <c r="K99" t="e">
        <f>IF(GETPIVOTDATA("ITL",'ITL-PIVOT'!$A$3,"KV%",$A99,"Experiment",K$5,"date",K$6)=0,NA(),GETPIVOTDATA("ITL",'ITL-PIVOT'!$A$3,"KV%",$A99,"Experiment",K$5,"date",K$6))</f>
        <v>#N/A</v>
      </c>
      <c r="L99" t="e">
        <f>IF(GETPIVOTDATA("ITL",'ITL-PIVOT'!$A$3,"KV%",$A99,"Experiment",L$5,"date",L$6)=0,NA(),GETPIVOTDATA("ITL",'ITL-PIVOT'!$A$3,"KV%",$A99,"Experiment",L$5,"date",L$6))</f>
        <v>#N/A</v>
      </c>
      <c r="M99" t="e">
        <f>IF(GETPIVOTDATA("ITL",'ITL-PIVOT'!$A$3,"KV%",$A99,"Experiment",M$5,"date",M$6)=0,NA(),GETPIVOTDATA("ITL",'ITL-PIVOT'!$A$3,"KV%",$A99,"Experiment",M$5,"date",M$6))</f>
        <v>#N/A</v>
      </c>
    </row>
    <row r="100" spans="1:13" x14ac:dyDescent="0.25">
      <c r="A100">
        <f>IF('ITL-PIVOT'!A98=0,NA(),'ITL-PIVOT'!A98)</f>
        <v>0.30568657874321181</v>
      </c>
      <c r="B100">
        <f>IF(GETPIVOTDATA("ITL",'ITL-PIVOT'!$A$3,"KV%",$A100,"Experiment",B$5,"date",B$6)=0,NA(),GETPIVOTDATA("ITL",'ITL-PIVOT'!$A$3,"KV%",$A100,"Experiment",B$5,"date",B$6))</f>
        <v>2.3421438229960803E-2</v>
      </c>
      <c r="C100" t="e">
        <f>IF(GETPIVOTDATA("ITL",'ITL-PIVOT'!$A$3,"KV%",$A100,"Experiment",C$5,"date",C$6)=0,NA(),GETPIVOTDATA("ITL",'ITL-PIVOT'!$A$3,"KV%",$A100,"Experiment",C$5,"date",C$6))</f>
        <v>#N/A</v>
      </c>
      <c r="D100" t="e">
        <f>IF(GETPIVOTDATA("ITL",'ITL-PIVOT'!$A$3,"KV%",$A100,"Experiment",D$5,"date",D$6)=0,NA(),GETPIVOTDATA("ITL",'ITL-PIVOT'!$A$3,"KV%",$A100,"Experiment",D$5,"date",D$6))</f>
        <v>#N/A</v>
      </c>
      <c r="E100" t="e">
        <f>IF(GETPIVOTDATA("ITL",'ITL-PIVOT'!$A$3,"KV%",$A100,"Experiment",E$5,"date",E$6)=0,NA(),GETPIVOTDATA("ITL",'ITL-PIVOT'!$A$3,"KV%",$A100,"Experiment",E$5,"date",E$6))</f>
        <v>#N/A</v>
      </c>
      <c r="F100" t="e">
        <f>IF(GETPIVOTDATA("ITL",'ITL-PIVOT'!$A$3,"KV%",$A100,"Experiment",F$5,"date",F$6)=0,NA(),GETPIVOTDATA("ITL",'ITL-PIVOT'!$A$3,"KV%",$A100,"Experiment",F$5,"date",F$6))</f>
        <v>#N/A</v>
      </c>
      <c r="G100" t="e">
        <f>IF(GETPIVOTDATA("ITL",'ITL-PIVOT'!$A$3,"KV%",$A100,"Experiment",G$5,"date",G$6)=0,NA(),GETPIVOTDATA("ITL",'ITL-PIVOT'!$A$3,"KV%",$A100,"Experiment",G$5,"date",G$6))</f>
        <v>#N/A</v>
      </c>
      <c r="H100" t="e">
        <f>IF(GETPIVOTDATA("ITL",'ITL-PIVOT'!$A$3,"KV%",$A100,"Experiment",H$5,"date",H$6)=0,NA(),GETPIVOTDATA("ITL",'ITL-PIVOT'!$A$3,"KV%",$A100,"Experiment",H$5,"date",H$6))</f>
        <v>#N/A</v>
      </c>
      <c r="I100" t="e">
        <f>IF(GETPIVOTDATA("ITL",'ITL-PIVOT'!$A$3,"KV%",$A100,"Experiment",I$5,"date",I$6)=0,NA(),GETPIVOTDATA("ITL",'ITL-PIVOT'!$A$3,"KV%",$A100,"Experiment",I$5,"date",I$6))</f>
        <v>#N/A</v>
      </c>
      <c r="J100" t="e">
        <f>IF(GETPIVOTDATA("ITL",'ITL-PIVOT'!$A$3,"KV%",$A100,"Experiment",J$5,"date",J$6)=0,NA(),GETPIVOTDATA("ITL",'ITL-PIVOT'!$A$3,"KV%",$A100,"Experiment",J$5,"date",J$6))</f>
        <v>#N/A</v>
      </c>
      <c r="K100" t="e">
        <f>IF(GETPIVOTDATA("ITL",'ITL-PIVOT'!$A$3,"KV%",$A100,"Experiment",K$5,"date",K$6)=0,NA(),GETPIVOTDATA("ITL",'ITL-PIVOT'!$A$3,"KV%",$A100,"Experiment",K$5,"date",K$6))</f>
        <v>#N/A</v>
      </c>
      <c r="L100" t="e">
        <f>IF(GETPIVOTDATA("ITL",'ITL-PIVOT'!$A$3,"KV%",$A100,"Experiment",L$5,"date",L$6)=0,NA(),GETPIVOTDATA("ITL",'ITL-PIVOT'!$A$3,"KV%",$A100,"Experiment",L$5,"date",L$6))</f>
        <v>#N/A</v>
      </c>
      <c r="M100" t="e">
        <f>IF(GETPIVOTDATA("ITL",'ITL-PIVOT'!$A$3,"KV%",$A100,"Experiment",M$5,"date",M$6)=0,NA(),GETPIVOTDATA("ITL",'ITL-PIVOT'!$A$3,"KV%",$A100,"Experiment",M$5,"date",M$6))</f>
        <v>#N/A</v>
      </c>
    </row>
    <row r="101" spans="1:13" x14ac:dyDescent="0.25">
      <c r="A101">
        <f>IF('ITL-PIVOT'!A99=0,NA(),'ITL-PIVOT'!A99)</f>
        <v>0.3084910783553142</v>
      </c>
      <c r="B101" t="e">
        <f>IF(GETPIVOTDATA("ITL",'ITL-PIVOT'!$A$3,"KV%",$A101,"Experiment",B$5,"date",B$6)=0,NA(),GETPIVOTDATA("ITL",'ITL-PIVOT'!$A$3,"KV%",$A101,"Experiment",B$5,"date",B$6))</f>
        <v>#N/A</v>
      </c>
      <c r="C101" t="e">
        <f>IF(GETPIVOTDATA("ITL",'ITL-PIVOT'!$A$3,"KV%",$A101,"Experiment",C$5,"date",C$6)=0,NA(),GETPIVOTDATA("ITL",'ITL-PIVOT'!$A$3,"KV%",$A101,"Experiment",C$5,"date",C$6))</f>
        <v>#N/A</v>
      </c>
      <c r="D101" t="e">
        <f>IF(GETPIVOTDATA("ITL",'ITL-PIVOT'!$A$3,"KV%",$A101,"Experiment",D$5,"date",D$6)=0,NA(),GETPIVOTDATA("ITL",'ITL-PIVOT'!$A$3,"KV%",$A101,"Experiment",D$5,"date",D$6))</f>
        <v>#N/A</v>
      </c>
      <c r="E101">
        <f>IF(GETPIVOTDATA("ITL",'ITL-PIVOT'!$A$3,"KV%",$A101,"Experiment",E$5,"date",E$6)=0,NA(),GETPIVOTDATA("ITL",'ITL-PIVOT'!$A$3,"KV%",$A101,"Experiment",E$5,"date",E$6))</f>
        <v>1.6070387078168404E-2</v>
      </c>
      <c r="F101" t="e">
        <f>IF(GETPIVOTDATA("ITL",'ITL-PIVOT'!$A$3,"KV%",$A101,"Experiment",F$5,"date",F$6)=0,NA(),GETPIVOTDATA("ITL",'ITL-PIVOT'!$A$3,"KV%",$A101,"Experiment",F$5,"date",F$6))</f>
        <v>#N/A</v>
      </c>
      <c r="G101" t="e">
        <f>IF(GETPIVOTDATA("ITL",'ITL-PIVOT'!$A$3,"KV%",$A101,"Experiment",G$5,"date",G$6)=0,NA(),GETPIVOTDATA("ITL",'ITL-PIVOT'!$A$3,"KV%",$A101,"Experiment",G$5,"date",G$6))</f>
        <v>#N/A</v>
      </c>
      <c r="H101" t="e">
        <f>IF(GETPIVOTDATA("ITL",'ITL-PIVOT'!$A$3,"KV%",$A101,"Experiment",H$5,"date",H$6)=0,NA(),GETPIVOTDATA("ITL",'ITL-PIVOT'!$A$3,"KV%",$A101,"Experiment",H$5,"date",H$6))</f>
        <v>#N/A</v>
      </c>
      <c r="I101" t="e">
        <f>IF(GETPIVOTDATA("ITL",'ITL-PIVOT'!$A$3,"KV%",$A101,"Experiment",I$5,"date",I$6)=0,NA(),GETPIVOTDATA("ITL",'ITL-PIVOT'!$A$3,"KV%",$A101,"Experiment",I$5,"date",I$6))</f>
        <v>#N/A</v>
      </c>
      <c r="J101" t="e">
        <f>IF(GETPIVOTDATA("ITL",'ITL-PIVOT'!$A$3,"KV%",$A101,"Experiment",J$5,"date",J$6)=0,NA(),GETPIVOTDATA("ITL",'ITL-PIVOT'!$A$3,"KV%",$A101,"Experiment",J$5,"date",J$6))</f>
        <v>#N/A</v>
      </c>
      <c r="K101" t="e">
        <f>IF(GETPIVOTDATA("ITL",'ITL-PIVOT'!$A$3,"KV%",$A101,"Experiment",K$5,"date",K$6)=0,NA(),GETPIVOTDATA("ITL",'ITL-PIVOT'!$A$3,"KV%",$A101,"Experiment",K$5,"date",K$6))</f>
        <v>#N/A</v>
      </c>
      <c r="L101" t="e">
        <f>IF(GETPIVOTDATA("ITL",'ITL-PIVOT'!$A$3,"KV%",$A101,"Experiment",L$5,"date",L$6)=0,NA(),GETPIVOTDATA("ITL",'ITL-PIVOT'!$A$3,"KV%",$A101,"Experiment",L$5,"date",L$6))</f>
        <v>#N/A</v>
      </c>
      <c r="M101" t="e">
        <f>IF(GETPIVOTDATA("ITL",'ITL-PIVOT'!$A$3,"KV%",$A101,"Experiment",M$5,"date",M$6)=0,NA(),GETPIVOTDATA("ITL",'ITL-PIVOT'!$A$3,"KV%",$A101,"Experiment",M$5,"date",M$6))</f>
        <v>#N/A</v>
      </c>
    </row>
    <row r="102" spans="1:13" x14ac:dyDescent="0.25">
      <c r="A102">
        <f>IF('ITL-PIVOT'!A100=0,NA(),'ITL-PIVOT'!A100)</f>
        <v>0.3095032058595355</v>
      </c>
      <c r="B102" t="e">
        <f>IF(GETPIVOTDATA("ITL",'ITL-PIVOT'!$A$3,"KV%",$A102,"Experiment",B$5,"date",B$6)=0,NA(),GETPIVOTDATA("ITL",'ITL-PIVOT'!$A$3,"KV%",$A102,"Experiment",B$5,"date",B$6))</f>
        <v>#N/A</v>
      </c>
      <c r="C102" t="e">
        <f>IF(GETPIVOTDATA("ITL",'ITL-PIVOT'!$A$3,"KV%",$A102,"Experiment",C$5,"date",C$6)=0,NA(),GETPIVOTDATA("ITL",'ITL-PIVOT'!$A$3,"KV%",$A102,"Experiment",C$5,"date",C$6))</f>
        <v>#N/A</v>
      </c>
      <c r="D102" t="e">
        <f>IF(GETPIVOTDATA("ITL",'ITL-PIVOT'!$A$3,"KV%",$A102,"Experiment",D$5,"date",D$6)=0,NA(),GETPIVOTDATA("ITL",'ITL-PIVOT'!$A$3,"KV%",$A102,"Experiment",D$5,"date",D$6))</f>
        <v>#N/A</v>
      </c>
      <c r="E102" t="e">
        <f>IF(GETPIVOTDATA("ITL",'ITL-PIVOT'!$A$3,"KV%",$A102,"Experiment",E$5,"date",E$6)=0,NA(),GETPIVOTDATA("ITL",'ITL-PIVOT'!$A$3,"KV%",$A102,"Experiment",E$5,"date",E$6))</f>
        <v>#N/A</v>
      </c>
      <c r="F102" t="e">
        <f>IF(GETPIVOTDATA("ITL",'ITL-PIVOT'!$A$3,"KV%",$A102,"Experiment",F$5,"date",F$6)=0,NA(),GETPIVOTDATA("ITL",'ITL-PIVOT'!$A$3,"KV%",$A102,"Experiment",F$5,"date",F$6))</f>
        <v>#N/A</v>
      </c>
      <c r="G102" t="e">
        <f>IF(GETPIVOTDATA("ITL",'ITL-PIVOT'!$A$3,"KV%",$A102,"Experiment",G$5,"date",G$6)=0,NA(),GETPIVOTDATA("ITL",'ITL-PIVOT'!$A$3,"KV%",$A102,"Experiment",G$5,"date",G$6))</f>
        <v>#N/A</v>
      </c>
      <c r="H102" t="e">
        <f>IF(GETPIVOTDATA("ITL",'ITL-PIVOT'!$A$3,"KV%",$A102,"Experiment",H$5,"date",H$6)=0,NA(),GETPIVOTDATA("ITL",'ITL-PIVOT'!$A$3,"KV%",$A102,"Experiment",H$5,"date",H$6))</f>
        <v>#N/A</v>
      </c>
      <c r="I102" t="e">
        <f>IF(GETPIVOTDATA("ITL",'ITL-PIVOT'!$A$3,"KV%",$A102,"Experiment",I$5,"date",I$6)=0,NA(),GETPIVOTDATA("ITL",'ITL-PIVOT'!$A$3,"KV%",$A102,"Experiment",I$5,"date",I$6))</f>
        <v>#N/A</v>
      </c>
      <c r="J102" t="e">
        <f>IF(GETPIVOTDATA("ITL",'ITL-PIVOT'!$A$3,"KV%",$A102,"Experiment",J$5,"date",J$6)=0,NA(),GETPIVOTDATA("ITL",'ITL-PIVOT'!$A$3,"KV%",$A102,"Experiment",J$5,"date",J$6))</f>
        <v>#N/A</v>
      </c>
      <c r="K102" t="e">
        <f>IF(GETPIVOTDATA("ITL",'ITL-PIVOT'!$A$3,"KV%",$A102,"Experiment",K$5,"date",K$6)=0,NA(),GETPIVOTDATA("ITL",'ITL-PIVOT'!$A$3,"KV%",$A102,"Experiment",K$5,"date",K$6))</f>
        <v>#N/A</v>
      </c>
      <c r="L102">
        <f>IF(GETPIVOTDATA("ITL",'ITL-PIVOT'!$A$3,"KV%",$A102,"Experiment",L$5,"date",L$6)=0,NA(),GETPIVOTDATA("ITL",'ITL-PIVOT'!$A$3,"KV%",$A102,"Experiment",L$5,"date",L$6))</f>
        <v>1.7937609454206145E-2</v>
      </c>
      <c r="M102" t="e">
        <f>IF(GETPIVOTDATA("ITL",'ITL-PIVOT'!$A$3,"KV%",$A102,"Experiment",M$5,"date",M$6)=0,NA(),GETPIVOTDATA("ITL",'ITL-PIVOT'!$A$3,"KV%",$A102,"Experiment",M$5,"date",M$6))</f>
        <v>#N/A</v>
      </c>
    </row>
    <row r="103" spans="1:13" x14ac:dyDescent="0.25">
      <c r="A103">
        <f>IF('ITL-PIVOT'!A101=0,NA(),'ITL-PIVOT'!A101)</f>
        <v>0.31619645703294674</v>
      </c>
      <c r="B103" t="e">
        <f>IF(GETPIVOTDATA("ITL",'ITL-PIVOT'!$A$3,"KV%",$A103,"Experiment",B$5,"date",B$6)=0,NA(),GETPIVOTDATA("ITL",'ITL-PIVOT'!$A$3,"KV%",$A103,"Experiment",B$5,"date",B$6))</f>
        <v>#N/A</v>
      </c>
      <c r="C103" t="e">
        <f>IF(GETPIVOTDATA("ITL",'ITL-PIVOT'!$A$3,"KV%",$A103,"Experiment",C$5,"date",C$6)=0,NA(),GETPIVOTDATA("ITL",'ITL-PIVOT'!$A$3,"KV%",$A103,"Experiment",C$5,"date",C$6))</f>
        <v>#N/A</v>
      </c>
      <c r="D103" t="e">
        <f>IF(GETPIVOTDATA("ITL",'ITL-PIVOT'!$A$3,"KV%",$A103,"Experiment",D$5,"date",D$6)=0,NA(),GETPIVOTDATA("ITL",'ITL-PIVOT'!$A$3,"KV%",$A103,"Experiment",D$5,"date",D$6))</f>
        <v>#N/A</v>
      </c>
      <c r="E103" t="e">
        <f>IF(GETPIVOTDATA("ITL",'ITL-PIVOT'!$A$3,"KV%",$A103,"Experiment",E$5,"date",E$6)=0,NA(),GETPIVOTDATA("ITL",'ITL-PIVOT'!$A$3,"KV%",$A103,"Experiment",E$5,"date",E$6))</f>
        <v>#N/A</v>
      </c>
      <c r="F103">
        <f>IF(GETPIVOTDATA("ITL",'ITL-PIVOT'!$A$3,"KV%",$A103,"Experiment",F$5,"date",F$6)=0,NA(),GETPIVOTDATA("ITL",'ITL-PIVOT'!$A$3,"KV%",$A103,"Experiment",F$5,"date",F$6))</f>
        <v>1.614998110024948E-2</v>
      </c>
      <c r="G103" t="e">
        <f>IF(GETPIVOTDATA("ITL",'ITL-PIVOT'!$A$3,"KV%",$A103,"Experiment",G$5,"date",G$6)=0,NA(),GETPIVOTDATA("ITL",'ITL-PIVOT'!$A$3,"KV%",$A103,"Experiment",G$5,"date",G$6))</f>
        <v>#N/A</v>
      </c>
      <c r="H103" t="e">
        <f>IF(GETPIVOTDATA("ITL",'ITL-PIVOT'!$A$3,"KV%",$A103,"Experiment",H$5,"date",H$6)=0,NA(),GETPIVOTDATA("ITL",'ITL-PIVOT'!$A$3,"KV%",$A103,"Experiment",H$5,"date",H$6))</f>
        <v>#N/A</v>
      </c>
      <c r="I103" t="e">
        <f>IF(GETPIVOTDATA("ITL",'ITL-PIVOT'!$A$3,"KV%",$A103,"Experiment",I$5,"date",I$6)=0,NA(),GETPIVOTDATA("ITL",'ITL-PIVOT'!$A$3,"KV%",$A103,"Experiment",I$5,"date",I$6))</f>
        <v>#N/A</v>
      </c>
      <c r="J103" t="e">
        <f>IF(GETPIVOTDATA("ITL",'ITL-PIVOT'!$A$3,"KV%",$A103,"Experiment",J$5,"date",J$6)=0,NA(),GETPIVOTDATA("ITL",'ITL-PIVOT'!$A$3,"KV%",$A103,"Experiment",J$5,"date",J$6))</f>
        <v>#N/A</v>
      </c>
      <c r="K103" t="e">
        <f>IF(GETPIVOTDATA("ITL",'ITL-PIVOT'!$A$3,"KV%",$A103,"Experiment",K$5,"date",K$6)=0,NA(),GETPIVOTDATA("ITL",'ITL-PIVOT'!$A$3,"KV%",$A103,"Experiment",K$5,"date",K$6))</f>
        <v>#N/A</v>
      </c>
      <c r="L103" t="e">
        <f>IF(GETPIVOTDATA("ITL",'ITL-PIVOT'!$A$3,"KV%",$A103,"Experiment",L$5,"date",L$6)=0,NA(),GETPIVOTDATA("ITL",'ITL-PIVOT'!$A$3,"KV%",$A103,"Experiment",L$5,"date",L$6))</f>
        <v>#N/A</v>
      </c>
      <c r="M103" t="e">
        <f>IF(GETPIVOTDATA("ITL",'ITL-PIVOT'!$A$3,"KV%",$A103,"Experiment",M$5,"date",M$6)=0,NA(),GETPIVOTDATA("ITL",'ITL-PIVOT'!$A$3,"KV%",$A103,"Experiment",M$5,"date",M$6))</f>
        <v>#N/A</v>
      </c>
    </row>
    <row r="104" spans="1:13" x14ac:dyDescent="0.25">
      <c r="A104">
        <f>IF('ITL-PIVOT'!A102=0,NA(),'ITL-PIVOT'!A102)</f>
        <v>0.32849179668419387</v>
      </c>
      <c r="B104" t="e">
        <f>IF(GETPIVOTDATA("ITL",'ITL-PIVOT'!$A$3,"KV%",$A104,"Experiment",B$5,"date",B$6)=0,NA(),GETPIVOTDATA("ITL",'ITL-PIVOT'!$A$3,"KV%",$A104,"Experiment",B$5,"date",B$6))</f>
        <v>#N/A</v>
      </c>
      <c r="C104" t="e">
        <f>IF(GETPIVOTDATA("ITL",'ITL-PIVOT'!$A$3,"KV%",$A104,"Experiment",C$5,"date",C$6)=0,NA(),GETPIVOTDATA("ITL",'ITL-PIVOT'!$A$3,"KV%",$A104,"Experiment",C$5,"date",C$6))</f>
        <v>#N/A</v>
      </c>
      <c r="D104" t="e">
        <f>IF(GETPIVOTDATA("ITL",'ITL-PIVOT'!$A$3,"KV%",$A104,"Experiment",D$5,"date",D$6)=0,NA(),GETPIVOTDATA("ITL",'ITL-PIVOT'!$A$3,"KV%",$A104,"Experiment",D$5,"date",D$6))</f>
        <v>#N/A</v>
      </c>
      <c r="E104" t="e">
        <f>IF(GETPIVOTDATA("ITL",'ITL-PIVOT'!$A$3,"KV%",$A104,"Experiment",E$5,"date",E$6)=0,NA(),GETPIVOTDATA("ITL",'ITL-PIVOT'!$A$3,"KV%",$A104,"Experiment",E$5,"date",E$6))</f>
        <v>#N/A</v>
      </c>
      <c r="F104" t="e">
        <f>IF(GETPIVOTDATA("ITL",'ITL-PIVOT'!$A$3,"KV%",$A104,"Experiment",F$5,"date",F$6)=0,NA(),GETPIVOTDATA("ITL",'ITL-PIVOT'!$A$3,"KV%",$A104,"Experiment",F$5,"date",F$6))</f>
        <v>#N/A</v>
      </c>
      <c r="G104" t="e">
        <f>IF(GETPIVOTDATA("ITL",'ITL-PIVOT'!$A$3,"KV%",$A104,"Experiment",G$5,"date",G$6)=0,NA(),GETPIVOTDATA("ITL",'ITL-PIVOT'!$A$3,"KV%",$A104,"Experiment",G$5,"date",G$6))</f>
        <v>#N/A</v>
      </c>
      <c r="H104" t="e">
        <f>IF(GETPIVOTDATA("ITL",'ITL-PIVOT'!$A$3,"KV%",$A104,"Experiment",H$5,"date",H$6)=0,NA(),GETPIVOTDATA("ITL",'ITL-PIVOT'!$A$3,"KV%",$A104,"Experiment",H$5,"date",H$6))</f>
        <v>#N/A</v>
      </c>
      <c r="I104" t="e">
        <f>IF(GETPIVOTDATA("ITL",'ITL-PIVOT'!$A$3,"KV%",$A104,"Experiment",I$5,"date",I$6)=0,NA(),GETPIVOTDATA("ITL",'ITL-PIVOT'!$A$3,"KV%",$A104,"Experiment",I$5,"date",I$6))</f>
        <v>#N/A</v>
      </c>
      <c r="J104" t="e">
        <f>IF(GETPIVOTDATA("ITL",'ITL-PIVOT'!$A$3,"KV%",$A104,"Experiment",J$5,"date",J$6)=0,NA(),GETPIVOTDATA("ITL",'ITL-PIVOT'!$A$3,"KV%",$A104,"Experiment",J$5,"date",J$6))</f>
        <v>#N/A</v>
      </c>
      <c r="K104" t="e">
        <f>IF(GETPIVOTDATA("ITL",'ITL-PIVOT'!$A$3,"KV%",$A104,"Experiment",K$5,"date",K$6)=0,NA(),GETPIVOTDATA("ITL",'ITL-PIVOT'!$A$3,"KV%",$A104,"Experiment",K$5,"date",K$6))</f>
        <v>#N/A</v>
      </c>
      <c r="L104" t="e">
        <f>IF(GETPIVOTDATA("ITL",'ITL-PIVOT'!$A$3,"KV%",$A104,"Experiment",L$5,"date",L$6)=0,NA(),GETPIVOTDATA("ITL",'ITL-PIVOT'!$A$3,"KV%",$A104,"Experiment",L$5,"date",L$6))</f>
        <v>#N/A</v>
      </c>
      <c r="M104">
        <f>IF(GETPIVOTDATA("ITL",'ITL-PIVOT'!$A$3,"KV%",$A104,"Experiment",M$5,"date",M$6)=0,NA(),GETPIVOTDATA("ITL",'ITL-PIVOT'!$A$3,"KV%",$A104,"Experiment",M$5,"date",M$6))</f>
        <v>4.5377523930434899E-2</v>
      </c>
    </row>
    <row r="105" spans="1:13" x14ac:dyDescent="0.25">
      <c r="A105">
        <f>IF('ITL-PIVOT'!A103=0,NA(),'ITL-PIVOT'!A103)</f>
        <v>0.33335134965545565</v>
      </c>
      <c r="B105" t="e">
        <f>IF(GETPIVOTDATA("ITL",'ITL-PIVOT'!$A$3,"KV%",$A105,"Experiment",B$5,"date",B$6)=0,NA(),GETPIVOTDATA("ITL",'ITL-PIVOT'!$A$3,"KV%",$A105,"Experiment",B$5,"date",B$6))</f>
        <v>#N/A</v>
      </c>
      <c r="C105">
        <f>IF(GETPIVOTDATA("ITL",'ITL-PIVOT'!$A$3,"KV%",$A105,"Experiment",C$5,"date",C$6)=0,NA(),GETPIVOTDATA("ITL",'ITL-PIVOT'!$A$3,"KV%",$A105,"Experiment",C$5,"date",C$6))</f>
        <v>2.3725058598717791E-2</v>
      </c>
      <c r="D105" t="e">
        <f>IF(GETPIVOTDATA("ITL",'ITL-PIVOT'!$A$3,"KV%",$A105,"Experiment",D$5,"date",D$6)=0,NA(),GETPIVOTDATA("ITL",'ITL-PIVOT'!$A$3,"KV%",$A105,"Experiment",D$5,"date",D$6))</f>
        <v>#N/A</v>
      </c>
      <c r="E105" t="e">
        <f>IF(GETPIVOTDATA("ITL",'ITL-PIVOT'!$A$3,"KV%",$A105,"Experiment",E$5,"date",E$6)=0,NA(),GETPIVOTDATA("ITL",'ITL-PIVOT'!$A$3,"KV%",$A105,"Experiment",E$5,"date",E$6))</f>
        <v>#N/A</v>
      </c>
      <c r="F105" t="e">
        <f>IF(GETPIVOTDATA("ITL",'ITL-PIVOT'!$A$3,"KV%",$A105,"Experiment",F$5,"date",F$6)=0,NA(),GETPIVOTDATA("ITL",'ITL-PIVOT'!$A$3,"KV%",$A105,"Experiment",F$5,"date",F$6))</f>
        <v>#N/A</v>
      </c>
      <c r="G105" t="e">
        <f>IF(GETPIVOTDATA("ITL",'ITL-PIVOT'!$A$3,"KV%",$A105,"Experiment",G$5,"date",G$6)=0,NA(),GETPIVOTDATA("ITL",'ITL-PIVOT'!$A$3,"KV%",$A105,"Experiment",G$5,"date",G$6))</f>
        <v>#N/A</v>
      </c>
      <c r="H105" t="e">
        <f>IF(GETPIVOTDATA("ITL",'ITL-PIVOT'!$A$3,"KV%",$A105,"Experiment",H$5,"date",H$6)=0,NA(),GETPIVOTDATA("ITL",'ITL-PIVOT'!$A$3,"KV%",$A105,"Experiment",H$5,"date",H$6))</f>
        <v>#N/A</v>
      </c>
      <c r="I105" t="e">
        <f>IF(GETPIVOTDATA("ITL",'ITL-PIVOT'!$A$3,"KV%",$A105,"Experiment",I$5,"date",I$6)=0,NA(),GETPIVOTDATA("ITL",'ITL-PIVOT'!$A$3,"KV%",$A105,"Experiment",I$5,"date",I$6))</f>
        <v>#N/A</v>
      </c>
      <c r="J105" t="e">
        <f>IF(GETPIVOTDATA("ITL",'ITL-PIVOT'!$A$3,"KV%",$A105,"Experiment",J$5,"date",J$6)=0,NA(),GETPIVOTDATA("ITL",'ITL-PIVOT'!$A$3,"KV%",$A105,"Experiment",J$5,"date",J$6))</f>
        <v>#N/A</v>
      </c>
      <c r="K105" t="e">
        <f>IF(GETPIVOTDATA("ITL",'ITL-PIVOT'!$A$3,"KV%",$A105,"Experiment",K$5,"date",K$6)=0,NA(),GETPIVOTDATA("ITL",'ITL-PIVOT'!$A$3,"KV%",$A105,"Experiment",K$5,"date",K$6))</f>
        <v>#N/A</v>
      </c>
      <c r="L105" t="e">
        <f>IF(GETPIVOTDATA("ITL",'ITL-PIVOT'!$A$3,"KV%",$A105,"Experiment",L$5,"date",L$6)=0,NA(),GETPIVOTDATA("ITL",'ITL-PIVOT'!$A$3,"KV%",$A105,"Experiment",L$5,"date",L$6))</f>
        <v>#N/A</v>
      </c>
      <c r="M105" t="e">
        <f>IF(GETPIVOTDATA("ITL",'ITL-PIVOT'!$A$3,"KV%",$A105,"Experiment",M$5,"date",M$6)=0,NA(),GETPIVOTDATA("ITL",'ITL-PIVOT'!$A$3,"KV%",$A105,"Experiment",M$5,"date",M$6))</f>
        <v>#N/A</v>
      </c>
    </row>
    <row r="106" spans="1:13" x14ac:dyDescent="0.25">
      <c r="A106">
        <f>IF('ITL-PIVOT'!A104=0,NA(),'ITL-PIVOT'!A104)</f>
        <v>0.33464087147659677</v>
      </c>
      <c r="B106" t="e">
        <f>IF(GETPIVOTDATA("ITL",'ITL-PIVOT'!$A$3,"KV%",$A106,"Experiment",B$5,"date",B$6)=0,NA(),GETPIVOTDATA("ITL",'ITL-PIVOT'!$A$3,"KV%",$A106,"Experiment",B$5,"date",B$6))</f>
        <v>#N/A</v>
      </c>
      <c r="C106">
        <f>IF(GETPIVOTDATA("ITL",'ITL-PIVOT'!$A$3,"KV%",$A106,"Experiment",C$5,"date",C$6)=0,NA(),GETPIVOTDATA("ITL",'ITL-PIVOT'!$A$3,"KV%",$A106,"Experiment",C$5,"date",C$6))</f>
        <v>2.4980285222803156E-2</v>
      </c>
      <c r="D106" t="e">
        <f>IF(GETPIVOTDATA("ITL",'ITL-PIVOT'!$A$3,"KV%",$A106,"Experiment",D$5,"date",D$6)=0,NA(),GETPIVOTDATA("ITL",'ITL-PIVOT'!$A$3,"KV%",$A106,"Experiment",D$5,"date",D$6))</f>
        <v>#N/A</v>
      </c>
      <c r="E106" t="e">
        <f>IF(GETPIVOTDATA("ITL",'ITL-PIVOT'!$A$3,"KV%",$A106,"Experiment",E$5,"date",E$6)=0,NA(),GETPIVOTDATA("ITL",'ITL-PIVOT'!$A$3,"KV%",$A106,"Experiment",E$5,"date",E$6))</f>
        <v>#N/A</v>
      </c>
      <c r="F106" t="e">
        <f>IF(GETPIVOTDATA("ITL",'ITL-PIVOT'!$A$3,"KV%",$A106,"Experiment",F$5,"date",F$6)=0,NA(),GETPIVOTDATA("ITL",'ITL-PIVOT'!$A$3,"KV%",$A106,"Experiment",F$5,"date",F$6))</f>
        <v>#N/A</v>
      </c>
      <c r="G106" t="e">
        <f>IF(GETPIVOTDATA("ITL",'ITL-PIVOT'!$A$3,"KV%",$A106,"Experiment",G$5,"date",G$6)=0,NA(),GETPIVOTDATA("ITL",'ITL-PIVOT'!$A$3,"KV%",$A106,"Experiment",G$5,"date",G$6))</f>
        <v>#N/A</v>
      </c>
      <c r="H106" t="e">
        <f>IF(GETPIVOTDATA("ITL",'ITL-PIVOT'!$A$3,"KV%",$A106,"Experiment",H$5,"date",H$6)=0,NA(),GETPIVOTDATA("ITL",'ITL-PIVOT'!$A$3,"KV%",$A106,"Experiment",H$5,"date",H$6))</f>
        <v>#N/A</v>
      </c>
      <c r="I106" t="e">
        <f>IF(GETPIVOTDATA("ITL",'ITL-PIVOT'!$A$3,"KV%",$A106,"Experiment",I$5,"date",I$6)=0,NA(),GETPIVOTDATA("ITL",'ITL-PIVOT'!$A$3,"KV%",$A106,"Experiment",I$5,"date",I$6))</f>
        <v>#N/A</v>
      </c>
      <c r="J106" t="e">
        <f>IF(GETPIVOTDATA("ITL",'ITL-PIVOT'!$A$3,"KV%",$A106,"Experiment",J$5,"date",J$6)=0,NA(),GETPIVOTDATA("ITL",'ITL-PIVOT'!$A$3,"KV%",$A106,"Experiment",J$5,"date",J$6))</f>
        <v>#N/A</v>
      </c>
      <c r="K106" t="e">
        <f>IF(GETPIVOTDATA("ITL",'ITL-PIVOT'!$A$3,"KV%",$A106,"Experiment",K$5,"date",K$6)=0,NA(),GETPIVOTDATA("ITL",'ITL-PIVOT'!$A$3,"KV%",$A106,"Experiment",K$5,"date",K$6))</f>
        <v>#N/A</v>
      </c>
      <c r="L106" t="e">
        <f>IF(GETPIVOTDATA("ITL",'ITL-PIVOT'!$A$3,"KV%",$A106,"Experiment",L$5,"date",L$6)=0,NA(),GETPIVOTDATA("ITL",'ITL-PIVOT'!$A$3,"KV%",$A106,"Experiment",L$5,"date",L$6))</f>
        <v>#N/A</v>
      </c>
      <c r="M106" t="e">
        <f>IF(GETPIVOTDATA("ITL",'ITL-PIVOT'!$A$3,"KV%",$A106,"Experiment",M$5,"date",M$6)=0,NA(),GETPIVOTDATA("ITL",'ITL-PIVOT'!$A$3,"KV%",$A106,"Experiment",M$5,"date",M$6))</f>
        <v>#N/A</v>
      </c>
    </row>
    <row r="107" spans="1:13" x14ac:dyDescent="0.25">
      <c r="A107">
        <f>IF('ITL-PIVOT'!A105=0,NA(),'ITL-PIVOT'!A105)</f>
        <v>0.33898827180212654</v>
      </c>
      <c r="B107" t="e">
        <f>IF(GETPIVOTDATA("ITL",'ITL-PIVOT'!$A$3,"KV%",$A107,"Experiment",B$5,"date",B$6)=0,NA(),GETPIVOTDATA("ITL",'ITL-PIVOT'!$A$3,"KV%",$A107,"Experiment",B$5,"date",B$6))</f>
        <v>#N/A</v>
      </c>
      <c r="C107" t="e">
        <f>IF(GETPIVOTDATA("ITL",'ITL-PIVOT'!$A$3,"KV%",$A107,"Experiment",C$5,"date",C$6)=0,NA(),GETPIVOTDATA("ITL",'ITL-PIVOT'!$A$3,"KV%",$A107,"Experiment",C$5,"date",C$6))</f>
        <v>#N/A</v>
      </c>
      <c r="D107" t="e">
        <f>IF(GETPIVOTDATA("ITL",'ITL-PIVOT'!$A$3,"KV%",$A107,"Experiment",D$5,"date",D$6)=0,NA(),GETPIVOTDATA("ITL",'ITL-PIVOT'!$A$3,"KV%",$A107,"Experiment",D$5,"date",D$6))</f>
        <v>#N/A</v>
      </c>
      <c r="E107" t="e">
        <f>IF(GETPIVOTDATA("ITL",'ITL-PIVOT'!$A$3,"KV%",$A107,"Experiment",E$5,"date",E$6)=0,NA(),GETPIVOTDATA("ITL",'ITL-PIVOT'!$A$3,"KV%",$A107,"Experiment",E$5,"date",E$6))</f>
        <v>#N/A</v>
      </c>
      <c r="F107" t="e">
        <f>IF(GETPIVOTDATA("ITL",'ITL-PIVOT'!$A$3,"KV%",$A107,"Experiment",F$5,"date",F$6)=0,NA(),GETPIVOTDATA("ITL",'ITL-PIVOT'!$A$3,"KV%",$A107,"Experiment",F$5,"date",F$6))</f>
        <v>#N/A</v>
      </c>
      <c r="G107" t="e">
        <f>IF(GETPIVOTDATA("ITL",'ITL-PIVOT'!$A$3,"KV%",$A107,"Experiment",G$5,"date",G$6)=0,NA(),GETPIVOTDATA("ITL",'ITL-PIVOT'!$A$3,"KV%",$A107,"Experiment",G$5,"date",G$6))</f>
        <v>#N/A</v>
      </c>
      <c r="H107" t="e">
        <f>IF(GETPIVOTDATA("ITL",'ITL-PIVOT'!$A$3,"KV%",$A107,"Experiment",H$5,"date",H$6)=0,NA(),GETPIVOTDATA("ITL",'ITL-PIVOT'!$A$3,"KV%",$A107,"Experiment",H$5,"date",H$6))</f>
        <v>#N/A</v>
      </c>
      <c r="I107" t="e">
        <f>IF(GETPIVOTDATA("ITL",'ITL-PIVOT'!$A$3,"KV%",$A107,"Experiment",I$5,"date",I$6)=0,NA(),GETPIVOTDATA("ITL",'ITL-PIVOT'!$A$3,"KV%",$A107,"Experiment",I$5,"date",I$6))</f>
        <v>#N/A</v>
      </c>
      <c r="J107" t="e">
        <f>IF(GETPIVOTDATA("ITL",'ITL-PIVOT'!$A$3,"KV%",$A107,"Experiment",J$5,"date",J$6)=0,NA(),GETPIVOTDATA("ITL",'ITL-PIVOT'!$A$3,"KV%",$A107,"Experiment",J$5,"date",J$6))</f>
        <v>#N/A</v>
      </c>
      <c r="K107" t="e">
        <f>IF(GETPIVOTDATA("ITL",'ITL-PIVOT'!$A$3,"KV%",$A107,"Experiment",K$5,"date",K$6)=0,NA(),GETPIVOTDATA("ITL",'ITL-PIVOT'!$A$3,"KV%",$A107,"Experiment",K$5,"date",K$6))</f>
        <v>#N/A</v>
      </c>
      <c r="L107">
        <f>IF(GETPIVOTDATA("ITL",'ITL-PIVOT'!$A$3,"KV%",$A107,"Experiment",L$5,"date",L$6)=0,NA(),GETPIVOTDATA("ITL",'ITL-PIVOT'!$A$3,"KV%",$A107,"Experiment",L$5,"date",L$6))</f>
        <v>1.9511345407451829E-2</v>
      </c>
      <c r="M107" t="e">
        <f>IF(GETPIVOTDATA("ITL",'ITL-PIVOT'!$A$3,"KV%",$A107,"Experiment",M$5,"date",M$6)=0,NA(),GETPIVOTDATA("ITL",'ITL-PIVOT'!$A$3,"KV%",$A107,"Experiment",M$5,"date",M$6))</f>
        <v>#N/A</v>
      </c>
    </row>
    <row r="108" spans="1:13" x14ac:dyDescent="0.25">
      <c r="A108">
        <f>IF('ITL-PIVOT'!A106=0,NA(),'ITL-PIVOT'!A106)</f>
        <v>0.33997760986991121</v>
      </c>
      <c r="B108" t="e">
        <f>IF(GETPIVOTDATA("ITL",'ITL-PIVOT'!$A$3,"KV%",$A108,"Experiment",B$5,"date",B$6)=0,NA(),GETPIVOTDATA("ITL",'ITL-PIVOT'!$A$3,"KV%",$A108,"Experiment",B$5,"date",B$6))</f>
        <v>#N/A</v>
      </c>
      <c r="C108" t="e">
        <f>IF(GETPIVOTDATA("ITL",'ITL-PIVOT'!$A$3,"KV%",$A108,"Experiment",C$5,"date",C$6)=0,NA(),GETPIVOTDATA("ITL",'ITL-PIVOT'!$A$3,"KV%",$A108,"Experiment",C$5,"date",C$6))</f>
        <v>#N/A</v>
      </c>
      <c r="D108" t="e">
        <f>IF(GETPIVOTDATA("ITL",'ITL-PIVOT'!$A$3,"KV%",$A108,"Experiment",D$5,"date",D$6)=0,NA(),GETPIVOTDATA("ITL",'ITL-PIVOT'!$A$3,"KV%",$A108,"Experiment",D$5,"date",D$6))</f>
        <v>#N/A</v>
      </c>
      <c r="E108" t="e">
        <f>IF(GETPIVOTDATA("ITL",'ITL-PIVOT'!$A$3,"KV%",$A108,"Experiment",E$5,"date",E$6)=0,NA(),GETPIVOTDATA("ITL",'ITL-PIVOT'!$A$3,"KV%",$A108,"Experiment",E$5,"date",E$6))</f>
        <v>#N/A</v>
      </c>
      <c r="F108" t="e">
        <f>IF(GETPIVOTDATA("ITL",'ITL-PIVOT'!$A$3,"KV%",$A108,"Experiment",F$5,"date",F$6)=0,NA(),GETPIVOTDATA("ITL",'ITL-PIVOT'!$A$3,"KV%",$A108,"Experiment",F$5,"date",F$6))</f>
        <v>#N/A</v>
      </c>
      <c r="G108" t="e">
        <f>IF(GETPIVOTDATA("ITL",'ITL-PIVOT'!$A$3,"KV%",$A108,"Experiment",G$5,"date",G$6)=0,NA(),GETPIVOTDATA("ITL",'ITL-PIVOT'!$A$3,"KV%",$A108,"Experiment",G$5,"date",G$6))</f>
        <v>#N/A</v>
      </c>
      <c r="H108" t="e">
        <f>IF(GETPIVOTDATA("ITL",'ITL-PIVOT'!$A$3,"KV%",$A108,"Experiment",H$5,"date",H$6)=0,NA(),GETPIVOTDATA("ITL",'ITL-PIVOT'!$A$3,"KV%",$A108,"Experiment",H$5,"date",H$6))</f>
        <v>#N/A</v>
      </c>
      <c r="I108" t="e">
        <f>IF(GETPIVOTDATA("ITL",'ITL-PIVOT'!$A$3,"KV%",$A108,"Experiment",I$5,"date",I$6)=0,NA(),GETPIVOTDATA("ITL",'ITL-PIVOT'!$A$3,"KV%",$A108,"Experiment",I$5,"date",I$6))</f>
        <v>#N/A</v>
      </c>
      <c r="J108">
        <f>IF(GETPIVOTDATA("ITL",'ITL-PIVOT'!$A$3,"KV%",$A108,"Experiment",J$5,"date",J$6)=0,NA(),GETPIVOTDATA("ITL",'ITL-PIVOT'!$A$3,"KV%",$A108,"Experiment",J$5,"date",J$6))</f>
        <v>2.4075493365291672E-2</v>
      </c>
      <c r="K108" t="e">
        <f>IF(GETPIVOTDATA("ITL",'ITL-PIVOT'!$A$3,"KV%",$A108,"Experiment",K$5,"date",K$6)=0,NA(),GETPIVOTDATA("ITL",'ITL-PIVOT'!$A$3,"KV%",$A108,"Experiment",K$5,"date",K$6))</f>
        <v>#N/A</v>
      </c>
      <c r="L108" t="e">
        <f>IF(GETPIVOTDATA("ITL",'ITL-PIVOT'!$A$3,"KV%",$A108,"Experiment",L$5,"date",L$6)=0,NA(),GETPIVOTDATA("ITL",'ITL-PIVOT'!$A$3,"KV%",$A108,"Experiment",L$5,"date",L$6))</f>
        <v>#N/A</v>
      </c>
      <c r="M108" t="e">
        <f>IF(GETPIVOTDATA("ITL",'ITL-PIVOT'!$A$3,"KV%",$A108,"Experiment",M$5,"date",M$6)=0,NA(),GETPIVOTDATA("ITL",'ITL-PIVOT'!$A$3,"KV%",$A108,"Experiment",M$5,"date",M$6))</f>
        <v>#N/A</v>
      </c>
    </row>
    <row r="109" spans="1:13" x14ac:dyDescent="0.25">
      <c r="A109">
        <f>IF('ITL-PIVOT'!A107=0,NA(),'ITL-PIVOT'!A107)</f>
        <v>0.34968192397207143</v>
      </c>
      <c r="B109">
        <f>IF(GETPIVOTDATA("ITL",'ITL-PIVOT'!$A$3,"KV%",$A109,"Experiment",B$5,"date",B$6)=0,NA(),GETPIVOTDATA("ITL",'ITL-PIVOT'!$A$3,"KV%",$A109,"Experiment",B$5,"date",B$6))</f>
        <v>2.7628285836238893E-2</v>
      </c>
      <c r="C109" t="e">
        <f>IF(GETPIVOTDATA("ITL",'ITL-PIVOT'!$A$3,"KV%",$A109,"Experiment",C$5,"date",C$6)=0,NA(),GETPIVOTDATA("ITL",'ITL-PIVOT'!$A$3,"KV%",$A109,"Experiment",C$5,"date",C$6))</f>
        <v>#N/A</v>
      </c>
      <c r="D109" t="e">
        <f>IF(GETPIVOTDATA("ITL",'ITL-PIVOT'!$A$3,"KV%",$A109,"Experiment",D$5,"date",D$6)=0,NA(),GETPIVOTDATA("ITL",'ITL-PIVOT'!$A$3,"KV%",$A109,"Experiment",D$5,"date",D$6))</f>
        <v>#N/A</v>
      </c>
      <c r="E109" t="e">
        <f>IF(GETPIVOTDATA("ITL",'ITL-PIVOT'!$A$3,"KV%",$A109,"Experiment",E$5,"date",E$6)=0,NA(),GETPIVOTDATA("ITL",'ITL-PIVOT'!$A$3,"KV%",$A109,"Experiment",E$5,"date",E$6))</f>
        <v>#N/A</v>
      </c>
      <c r="F109" t="e">
        <f>IF(GETPIVOTDATA("ITL",'ITL-PIVOT'!$A$3,"KV%",$A109,"Experiment",F$5,"date",F$6)=0,NA(),GETPIVOTDATA("ITL",'ITL-PIVOT'!$A$3,"KV%",$A109,"Experiment",F$5,"date",F$6))</f>
        <v>#N/A</v>
      </c>
      <c r="G109" t="e">
        <f>IF(GETPIVOTDATA("ITL",'ITL-PIVOT'!$A$3,"KV%",$A109,"Experiment",G$5,"date",G$6)=0,NA(),GETPIVOTDATA("ITL",'ITL-PIVOT'!$A$3,"KV%",$A109,"Experiment",G$5,"date",G$6))</f>
        <v>#N/A</v>
      </c>
      <c r="H109" t="e">
        <f>IF(GETPIVOTDATA("ITL",'ITL-PIVOT'!$A$3,"KV%",$A109,"Experiment",H$5,"date",H$6)=0,NA(),GETPIVOTDATA("ITL",'ITL-PIVOT'!$A$3,"KV%",$A109,"Experiment",H$5,"date",H$6))</f>
        <v>#N/A</v>
      </c>
      <c r="I109" t="e">
        <f>IF(GETPIVOTDATA("ITL",'ITL-PIVOT'!$A$3,"KV%",$A109,"Experiment",I$5,"date",I$6)=0,NA(),GETPIVOTDATA("ITL",'ITL-PIVOT'!$A$3,"KV%",$A109,"Experiment",I$5,"date",I$6))</f>
        <v>#N/A</v>
      </c>
      <c r="J109" t="e">
        <f>IF(GETPIVOTDATA("ITL",'ITL-PIVOT'!$A$3,"KV%",$A109,"Experiment",J$5,"date",J$6)=0,NA(),GETPIVOTDATA("ITL",'ITL-PIVOT'!$A$3,"KV%",$A109,"Experiment",J$5,"date",J$6))</f>
        <v>#N/A</v>
      </c>
      <c r="K109" t="e">
        <f>IF(GETPIVOTDATA("ITL",'ITL-PIVOT'!$A$3,"KV%",$A109,"Experiment",K$5,"date",K$6)=0,NA(),GETPIVOTDATA("ITL",'ITL-PIVOT'!$A$3,"KV%",$A109,"Experiment",K$5,"date",K$6))</f>
        <v>#N/A</v>
      </c>
      <c r="L109" t="e">
        <f>IF(GETPIVOTDATA("ITL",'ITL-PIVOT'!$A$3,"KV%",$A109,"Experiment",L$5,"date",L$6)=0,NA(),GETPIVOTDATA("ITL",'ITL-PIVOT'!$A$3,"KV%",$A109,"Experiment",L$5,"date",L$6))</f>
        <v>#N/A</v>
      </c>
      <c r="M109" t="e">
        <f>IF(GETPIVOTDATA("ITL",'ITL-PIVOT'!$A$3,"KV%",$A109,"Experiment",M$5,"date",M$6)=0,NA(),GETPIVOTDATA("ITL",'ITL-PIVOT'!$A$3,"KV%",$A109,"Experiment",M$5,"date",M$6))</f>
        <v>#N/A</v>
      </c>
    </row>
    <row r="110" spans="1:13" x14ac:dyDescent="0.25">
      <c r="A110">
        <f>IF('ITL-PIVOT'!A108=0,NA(),'ITL-PIVOT'!A108)</f>
        <v>0.35913983708301006</v>
      </c>
      <c r="B110" t="e">
        <f>IF(GETPIVOTDATA("ITL",'ITL-PIVOT'!$A$3,"KV%",$A110,"Experiment",B$5,"date",B$6)=0,NA(),GETPIVOTDATA("ITL",'ITL-PIVOT'!$A$3,"KV%",$A110,"Experiment",B$5,"date",B$6))</f>
        <v>#N/A</v>
      </c>
      <c r="C110" t="e">
        <f>IF(GETPIVOTDATA("ITL",'ITL-PIVOT'!$A$3,"KV%",$A110,"Experiment",C$5,"date",C$6)=0,NA(),GETPIVOTDATA("ITL",'ITL-PIVOT'!$A$3,"KV%",$A110,"Experiment",C$5,"date",C$6))</f>
        <v>#N/A</v>
      </c>
      <c r="D110">
        <f>IF(GETPIVOTDATA("ITL",'ITL-PIVOT'!$A$3,"KV%",$A110,"Experiment",D$5,"date",D$6)=0,NA(),GETPIVOTDATA("ITL",'ITL-PIVOT'!$A$3,"KV%",$A110,"Experiment",D$5,"date",D$6))</f>
        <v>1.6468549703887021E-2</v>
      </c>
      <c r="E110" t="e">
        <f>IF(GETPIVOTDATA("ITL",'ITL-PIVOT'!$A$3,"KV%",$A110,"Experiment",E$5,"date",E$6)=0,NA(),GETPIVOTDATA("ITL",'ITL-PIVOT'!$A$3,"KV%",$A110,"Experiment",E$5,"date",E$6))</f>
        <v>#N/A</v>
      </c>
      <c r="F110" t="e">
        <f>IF(GETPIVOTDATA("ITL",'ITL-PIVOT'!$A$3,"KV%",$A110,"Experiment",F$5,"date",F$6)=0,NA(),GETPIVOTDATA("ITL",'ITL-PIVOT'!$A$3,"KV%",$A110,"Experiment",F$5,"date",F$6))</f>
        <v>#N/A</v>
      </c>
      <c r="G110" t="e">
        <f>IF(GETPIVOTDATA("ITL",'ITL-PIVOT'!$A$3,"KV%",$A110,"Experiment",G$5,"date",G$6)=0,NA(),GETPIVOTDATA("ITL",'ITL-PIVOT'!$A$3,"KV%",$A110,"Experiment",G$5,"date",G$6))</f>
        <v>#N/A</v>
      </c>
      <c r="H110" t="e">
        <f>IF(GETPIVOTDATA("ITL",'ITL-PIVOT'!$A$3,"KV%",$A110,"Experiment",H$5,"date",H$6)=0,NA(),GETPIVOTDATA("ITL",'ITL-PIVOT'!$A$3,"KV%",$A110,"Experiment",H$5,"date",H$6))</f>
        <v>#N/A</v>
      </c>
      <c r="I110" t="e">
        <f>IF(GETPIVOTDATA("ITL",'ITL-PIVOT'!$A$3,"KV%",$A110,"Experiment",I$5,"date",I$6)=0,NA(),GETPIVOTDATA("ITL",'ITL-PIVOT'!$A$3,"KV%",$A110,"Experiment",I$5,"date",I$6))</f>
        <v>#N/A</v>
      </c>
      <c r="J110" t="e">
        <f>IF(GETPIVOTDATA("ITL",'ITL-PIVOT'!$A$3,"KV%",$A110,"Experiment",J$5,"date",J$6)=0,NA(),GETPIVOTDATA("ITL",'ITL-PIVOT'!$A$3,"KV%",$A110,"Experiment",J$5,"date",J$6))</f>
        <v>#N/A</v>
      </c>
      <c r="K110" t="e">
        <f>IF(GETPIVOTDATA("ITL",'ITL-PIVOT'!$A$3,"KV%",$A110,"Experiment",K$5,"date",K$6)=0,NA(),GETPIVOTDATA("ITL",'ITL-PIVOT'!$A$3,"KV%",$A110,"Experiment",K$5,"date",K$6))</f>
        <v>#N/A</v>
      </c>
      <c r="L110" t="e">
        <f>IF(GETPIVOTDATA("ITL",'ITL-PIVOT'!$A$3,"KV%",$A110,"Experiment",L$5,"date",L$6)=0,NA(),GETPIVOTDATA("ITL",'ITL-PIVOT'!$A$3,"KV%",$A110,"Experiment",L$5,"date",L$6))</f>
        <v>#N/A</v>
      </c>
      <c r="M110" t="e">
        <f>IF(GETPIVOTDATA("ITL",'ITL-PIVOT'!$A$3,"KV%",$A110,"Experiment",M$5,"date",M$6)=0,NA(),GETPIVOTDATA("ITL",'ITL-PIVOT'!$A$3,"KV%",$A110,"Experiment",M$5,"date",M$6))</f>
        <v>#N/A</v>
      </c>
    </row>
    <row r="111" spans="1:13" x14ac:dyDescent="0.25">
      <c r="A111">
        <f>IF('ITL-PIVOT'!A109=0,NA(),'ITL-PIVOT'!A109)</f>
        <v>0.36012700054593</v>
      </c>
      <c r="B111" t="e">
        <f>IF(GETPIVOTDATA("ITL",'ITL-PIVOT'!$A$3,"KV%",$A111,"Experiment",B$5,"date",B$6)=0,NA(),GETPIVOTDATA("ITL",'ITL-PIVOT'!$A$3,"KV%",$A111,"Experiment",B$5,"date",B$6))</f>
        <v>#N/A</v>
      </c>
      <c r="C111" t="e">
        <f>IF(GETPIVOTDATA("ITL",'ITL-PIVOT'!$A$3,"KV%",$A111,"Experiment",C$5,"date",C$6)=0,NA(),GETPIVOTDATA("ITL",'ITL-PIVOT'!$A$3,"KV%",$A111,"Experiment",C$5,"date",C$6))</f>
        <v>#N/A</v>
      </c>
      <c r="D111" t="e">
        <f>IF(GETPIVOTDATA("ITL",'ITL-PIVOT'!$A$3,"KV%",$A111,"Experiment",D$5,"date",D$6)=0,NA(),GETPIVOTDATA("ITL",'ITL-PIVOT'!$A$3,"KV%",$A111,"Experiment",D$5,"date",D$6))</f>
        <v>#N/A</v>
      </c>
      <c r="E111" t="e">
        <f>IF(GETPIVOTDATA("ITL",'ITL-PIVOT'!$A$3,"KV%",$A111,"Experiment",E$5,"date",E$6)=0,NA(),GETPIVOTDATA("ITL",'ITL-PIVOT'!$A$3,"KV%",$A111,"Experiment",E$5,"date",E$6))</f>
        <v>#N/A</v>
      </c>
      <c r="F111" t="e">
        <f>IF(GETPIVOTDATA("ITL",'ITL-PIVOT'!$A$3,"KV%",$A111,"Experiment",F$5,"date",F$6)=0,NA(),GETPIVOTDATA("ITL",'ITL-PIVOT'!$A$3,"KV%",$A111,"Experiment",F$5,"date",F$6))</f>
        <v>#N/A</v>
      </c>
      <c r="G111" t="e">
        <f>IF(GETPIVOTDATA("ITL",'ITL-PIVOT'!$A$3,"KV%",$A111,"Experiment",G$5,"date",G$6)=0,NA(),GETPIVOTDATA("ITL",'ITL-PIVOT'!$A$3,"KV%",$A111,"Experiment",G$5,"date",G$6))</f>
        <v>#N/A</v>
      </c>
      <c r="H111" t="e">
        <f>IF(GETPIVOTDATA("ITL",'ITL-PIVOT'!$A$3,"KV%",$A111,"Experiment",H$5,"date",H$6)=0,NA(),GETPIVOTDATA("ITL",'ITL-PIVOT'!$A$3,"KV%",$A111,"Experiment",H$5,"date",H$6))</f>
        <v>#N/A</v>
      </c>
      <c r="I111">
        <f>IF(GETPIVOTDATA("ITL",'ITL-PIVOT'!$A$3,"KV%",$A111,"Experiment",I$5,"date",I$6)=0,NA(),GETPIVOTDATA("ITL",'ITL-PIVOT'!$A$3,"KV%",$A111,"Experiment",I$5,"date",I$6))</f>
        <v>2.9272509485958415E-2</v>
      </c>
      <c r="J111" t="e">
        <f>IF(GETPIVOTDATA("ITL",'ITL-PIVOT'!$A$3,"KV%",$A111,"Experiment",J$5,"date",J$6)=0,NA(),GETPIVOTDATA("ITL",'ITL-PIVOT'!$A$3,"KV%",$A111,"Experiment",J$5,"date",J$6))</f>
        <v>#N/A</v>
      </c>
      <c r="K111" t="e">
        <f>IF(GETPIVOTDATA("ITL",'ITL-PIVOT'!$A$3,"KV%",$A111,"Experiment",K$5,"date",K$6)=0,NA(),GETPIVOTDATA("ITL",'ITL-PIVOT'!$A$3,"KV%",$A111,"Experiment",K$5,"date",K$6))</f>
        <v>#N/A</v>
      </c>
      <c r="L111" t="e">
        <f>IF(GETPIVOTDATA("ITL",'ITL-PIVOT'!$A$3,"KV%",$A111,"Experiment",L$5,"date",L$6)=0,NA(),GETPIVOTDATA("ITL",'ITL-PIVOT'!$A$3,"KV%",$A111,"Experiment",L$5,"date",L$6))</f>
        <v>#N/A</v>
      </c>
      <c r="M111" t="e">
        <f>IF(GETPIVOTDATA("ITL",'ITL-PIVOT'!$A$3,"KV%",$A111,"Experiment",M$5,"date",M$6)=0,NA(),GETPIVOTDATA("ITL",'ITL-PIVOT'!$A$3,"KV%",$A111,"Experiment",M$5,"date",M$6))</f>
        <v>#N/A</v>
      </c>
    </row>
    <row r="112" spans="1:13" x14ac:dyDescent="0.25">
      <c r="A112">
        <f>IF('ITL-PIVOT'!A110=0,NA(),'ITL-PIVOT'!A110)</f>
        <v>0.36374881475734844</v>
      </c>
      <c r="B112" t="e">
        <f>IF(GETPIVOTDATA("ITL",'ITL-PIVOT'!$A$3,"KV%",$A112,"Experiment",B$5,"date",B$6)=0,NA(),GETPIVOTDATA("ITL",'ITL-PIVOT'!$A$3,"KV%",$A112,"Experiment",B$5,"date",B$6))</f>
        <v>#N/A</v>
      </c>
      <c r="C112" t="e">
        <f>IF(GETPIVOTDATA("ITL",'ITL-PIVOT'!$A$3,"KV%",$A112,"Experiment",C$5,"date",C$6)=0,NA(),GETPIVOTDATA("ITL",'ITL-PIVOT'!$A$3,"KV%",$A112,"Experiment",C$5,"date",C$6))</f>
        <v>#N/A</v>
      </c>
      <c r="D112" t="e">
        <f>IF(GETPIVOTDATA("ITL",'ITL-PIVOT'!$A$3,"KV%",$A112,"Experiment",D$5,"date",D$6)=0,NA(),GETPIVOTDATA("ITL",'ITL-PIVOT'!$A$3,"KV%",$A112,"Experiment",D$5,"date",D$6))</f>
        <v>#N/A</v>
      </c>
      <c r="E112" t="e">
        <f>IF(GETPIVOTDATA("ITL",'ITL-PIVOT'!$A$3,"KV%",$A112,"Experiment",E$5,"date",E$6)=0,NA(),GETPIVOTDATA("ITL",'ITL-PIVOT'!$A$3,"KV%",$A112,"Experiment",E$5,"date",E$6))</f>
        <v>#N/A</v>
      </c>
      <c r="F112" t="e">
        <f>IF(GETPIVOTDATA("ITL",'ITL-PIVOT'!$A$3,"KV%",$A112,"Experiment",F$5,"date",F$6)=0,NA(),GETPIVOTDATA("ITL",'ITL-PIVOT'!$A$3,"KV%",$A112,"Experiment",F$5,"date",F$6))</f>
        <v>#N/A</v>
      </c>
      <c r="G112" t="e">
        <f>IF(GETPIVOTDATA("ITL",'ITL-PIVOT'!$A$3,"KV%",$A112,"Experiment",G$5,"date",G$6)=0,NA(),GETPIVOTDATA("ITL",'ITL-PIVOT'!$A$3,"KV%",$A112,"Experiment",G$5,"date",G$6))</f>
        <v>#N/A</v>
      </c>
      <c r="H112" t="e">
        <f>IF(GETPIVOTDATA("ITL",'ITL-PIVOT'!$A$3,"KV%",$A112,"Experiment",H$5,"date",H$6)=0,NA(),GETPIVOTDATA("ITL",'ITL-PIVOT'!$A$3,"KV%",$A112,"Experiment",H$5,"date",H$6))</f>
        <v>#N/A</v>
      </c>
      <c r="I112">
        <f>IF(GETPIVOTDATA("ITL",'ITL-PIVOT'!$A$3,"KV%",$A112,"Experiment",I$5,"date",I$6)=0,NA(),GETPIVOTDATA("ITL",'ITL-PIVOT'!$A$3,"KV%",$A112,"Experiment",I$5,"date",I$6))</f>
        <v>3.4661223681564719E-2</v>
      </c>
      <c r="J112" t="e">
        <f>IF(GETPIVOTDATA("ITL",'ITL-PIVOT'!$A$3,"KV%",$A112,"Experiment",J$5,"date",J$6)=0,NA(),GETPIVOTDATA("ITL",'ITL-PIVOT'!$A$3,"KV%",$A112,"Experiment",J$5,"date",J$6))</f>
        <v>#N/A</v>
      </c>
      <c r="K112" t="e">
        <f>IF(GETPIVOTDATA("ITL",'ITL-PIVOT'!$A$3,"KV%",$A112,"Experiment",K$5,"date",K$6)=0,NA(),GETPIVOTDATA("ITL",'ITL-PIVOT'!$A$3,"KV%",$A112,"Experiment",K$5,"date",K$6))</f>
        <v>#N/A</v>
      </c>
      <c r="L112" t="e">
        <f>IF(GETPIVOTDATA("ITL",'ITL-PIVOT'!$A$3,"KV%",$A112,"Experiment",L$5,"date",L$6)=0,NA(),GETPIVOTDATA("ITL",'ITL-PIVOT'!$A$3,"KV%",$A112,"Experiment",L$5,"date",L$6))</f>
        <v>#N/A</v>
      </c>
      <c r="M112" t="e">
        <f>IF(GETPIVOTDATA("ITL",'ITL-PIVOT'!$A$3,"KV%",$A112,"Experiment",M$5,"date",M$6)=0,NA(),GETPIVOTDATA("ITL",'ITL-PIVOT'!$A$3,"KV%",$A112,"Experiment",M$5,"date",M$6))</f>
        <v>#N/A</v>
      </c>
    </row>
    <row r="113" spans="1:13" x14ac:dyDescent="0.25">
      <c r="A113">
        <f>IF('ITL-PIVOT'!A111=0,NA(),'ITL-PIVOT'!A111)</f>
        <v>0.37595034910783548</v>
      </c>
      <c r="B113" t="e">
        <f>IF(GETPIVOTDATA("ITL",'ITL-PIVOT'!$A$3,"KV%",$A113,"Experiment",B$5,"date",B$6)=0,NA(),GETPIVOTDATA("ITL",'ITL-PIVOT'!$A$3,"KV%",$A113,"Experiment",B$5,"date",B$6))</f>
        <v>#N/A</v>
      </c>
      <c r="C113" t="e">
        <f>IF(GETPIVOTDATA("ITL",'ITL-PIVOT'!$A$3,"KV%",$A113,"Experiment",C$5,"date",C$6)=0,NA(),GETPIVOTDATA("ITL",'ITL-PIVOT'!$A$3,"KV%",$A113,"Experiment",C$5,"date",C$6))</f>
        <v>#N/A</v>
      </c>
      <c r="D113">
        <f>IF(GETPIVOTDATA("ITL",'ITL-PIVOT'!$A$3,"KV%",$A113,"Experiment",D$5,"date",D$6)=0,NA(),GETPIVOTDATA("ITL",'ITL-PIVOT'!$A$3,"KV%",$A113,"Experiment",D$5,"date",D$6))</f>
        <v>1.7494420013152732E-2</v>
      </c>
      <c r="E113" t="e">
        <f>IF(GETPIVOTDATA("ITL",'ITL-PIVOT'!$A$3,"KV%",$A113,"Experiment",E$5,"date",E$6)=0,NA(),GETPIVOTDATA("ITL",'ITL-PIVOT'!$A$3,"KV%",$A113,"Experiment",E$5,"date",E$6))</f>
        <v>#N/A</v>
      </c>
      <c r="F113" t="e">
        <f>IF(GETPIVOTDATA("ITL",'ITL-PIVOT'!$A$3,"KV%",$A113,"Experiment",F$5,"date",F$6)=0,NA(),GETPIVOTDATA("ITL",'ITL-PIVOT'!$A$3,"KV%",$A113,"Experiment",F$5,"date",F$6))</f>
        <v>#N/A</v>
      </c>
      <c r="G113" t="e">
        <f>IF(GETPIVOTDATA("ITL",'ITL-PIVOT'!$A$3,"KV%",$A113,"Experiment",G$5,"date",G$6)=0,NA(),GETPIVOTDATA("ITL",'ITL-PIVOT'!$A$3,"KV%",$A113,"Experiment",G$5,"date",G$6))</f>
        <v>#N/A</v>
      </c>
      <c r="H113" t="e">
        <f>IF(GETPIVOTDATA("ITL",'ITL-PIVOT'!$A$3,"KV%",$A113,"Experiment",H$5,"date",H$6)=0,NA(),GETPIVOTDATA("ITL",'ITL-PIVOT'!$A$3,"KV%",$A113,"Experiment",H$5,"date",H$6))</f>
        <v>#N/A</v>
      </c>
      <c r="I113" t="e">
        <f>IF(GETPIVOTDATA("ITL",'ITL-PIVOT'!$A$3,"KV%",$A113,"Experiment",I$5,"date",I$6)=0,NA(),GETPIVOTDATA("ITL",'ITL-PIVOT'!$A$3,"KV%",$A113,"Experiment",I$5,"date",I$6))</f>
        <v>#N/A</v>
      </c>
      <c r="J113" t="e">
        <f>IF(GETPIVOTDATA("ITL",'ITL-PIVOT'!$A$3,"KV%",$A113,"Experiment",J$5,"date",J$6)=0,NA(),GETPIVOTDATA("ITL",'ITL-PIVOT'!$A$3,"KV%",$A113,"Experiment",J$5,"date",J$6))</f>
        <v>#N/A</v>
      </c>
      <c r="K113" t="e">
        <f>IF(GETPIVOTDATA("ITL",'ITL-PIVOT'!$A$3,"KV%",$A113,"Experiment",K$5,"date",K$6)=0,NA(),GETPIVOTDATA("ITL",'ITL-PIVOT'!$A$3,"KV%",$A113,"Experiment",K$5,"date",K$6))</f>
        <v>#N/A</v>
      </c>
      <c r="L113" t="e">
        <f>IF(GETPIVOTDATA("ITL",'ITL-PIVOT'!$A$3,"KV%",$A113,"Experiment",L$5,"date",L$6)=0,NA(),GETPIVOTDATA("ITL",'ITL-PIVOT'!$A$3,"KV%",$A113,"Experiment",L$5,"date",L$6))</f>
        <v>#N/A</v>
      </c>
      <c r="M113" t="e">
        <f>IF(GETPIVOTDATA("ITL",'ITL-PIVOT'!$A$3,"KV%",$A113,"Experiment",M$5,"date",M$6)=0,NA(),GETPIVOTDATA("ITL",'ITL-PIVOT'!$A$3,"KV%",$A113,"Experiment",M$5,"date",M$6))</f>
        <v>#N/A</v>
      </c>
    </row>
    <row r="114" spans="1:13" x14ac:dyDescent="0.25">
      <c r="A114">
        <f>IF('ITL-PIVOT'!A112=0,NA(),'ITL-PIVOT'!A112)</f>
        <v>0.38005289512659568</v>
      </c>
      <c r="B114" t="e">
        <f>IF(GETPIVOTDATA("ITL",'ITL-PIVOT'!$A$3,"KV%",$A114,"Experiment",B$5,"date",B$6)=0,NA(),GETPIVOTDATA("ITL",'ITL-PIVOT'!$A$3,"KV%",$A114,"Experiment",B$5,"date",B$6))</f>
        <v>#N/A</v>
      </c>
      <c r="C114" t="e">
        <f>IF(GETPIVOTDATA("ITL",'ITL-PIVOT'!$A$3,"KV%",$A114,"Experiment",C$5,"date",C$6)=0,NA(),GETPIVOTDATA("ITL",'ITL-PIVOT'!$A$3,"KV%",$A114,"Experiment",C$5,"date",C$6))</f>
        <v>#N/A</v>
      </c>
      <c r="D114" t="e">
        <f>IF(GETPIVOTDATA("ITL",'ITL-PIVOT'!$A$3,"KV%",$A114,"Experiment",D$5,"date",D$6)=0,NA(),GETPIVOTDATA("ITL",'ITL-PIVOT'!$A$3,"KV%",$A114,"Experiment",D$5,"date",D$6))</f>
        <v>#N/A</v>
      </c>
      <c r="E114">
        <f>IF(GETPIVOTDATA("ITL",'ITL-PIVOT'!$A$3,"KV%",$A114,"Experiment",E$5,"date",E$6)=0,NA(),GETPIVOTDATA("ITL",'ITL-PIVOT'!$A$3,"KV%",$A114,"Experiment",E$5,"date",E$6))</f>
        <v>1.764151540892438E-2</v>
      </c>
      <c r="F114" t="e">
        <f>IF(GETPIVOTDATA("ITL",'ITL-PIVOT'!$A$3,"KV%",$A114,"Experiment",F$5,"date",F$6)=0,NA(),GETPIVOTDATA("ITL",'ITL-PIVOT'!$A$3,"KV%",$A114,"Experiment",F$5,"date",F$6))</f>
        <v>#N/A</v>
      </c>
      <c r="G114" t="e">
        <f>IF(GETPIVOTDATA("ITL",'ITL-PIVOT'!$A$3,"KV%",$A114,"Experiment",G$5,"date",G$6)=0,NA(),GETPIVOTDATA("ITL",'ITL-PIVOT'!$A$3,"KV%",$A114,"Experiment",G$5,"date",G$6))</f>
        <v>#N/A</v>
      </c>
      <c r="H114" t="e">
        <f>IF(GETPIVOTDATA("ITL",'ITL-PIVOT'!$A$3,"KV%",$A114,"Experiment",H$5,"date",H$6)=0,NA(),GETPIVOTDATA("ITL",'ITL-PIVOT'!$A$3,"KV%",$A114,"Experiment",H$5,"date",H$6))</f>
        <v>#N/A</v>
      </c>
      <c r="I114" t="e">
        <f>IF(GETPIVOTDATA("ITL",'ITL-PIVOT'!$A$3,"KV%",$A114,"Experiment",I$5,"date",I$6)=0,NA(),GETPIVOTDATA("ITL",'ITL-PIVOT'!$A$3,"KV%",$A114,"Experiment",I$5,"date",I$6))</f>
        <v>#N/A</v>
      </c>
      <c r="J114" t="e">
        <f>IF(GETPIVOTDATA("ITL",'ITL-PIVOT'!$A$3,"KV%",$A114,"Experiment",J$5,"date",J$6)=0,NA(),GETPIVOTDATA("ITL",'ITL-PIVOT'!$A$3,"KV%",$A114,"Experiment",J$5,"date",J$6))</f>
        <v>#N/A</v>
      </c>
      <c r="K114" t="e">
        <f>IF(GETPIVOTDATA("ITL",'ITL-PIVOT'!$A$3,"KV%",$A114,"Experiment",K$5,"date",K$6)=0,NA(),GETPIVOTDATA("ITL",'ITL-PIVOT'!$A$3,"KV%",$A114,"Experiment",K$5,"date",K$6))</f>
        <v>#N/A</v>
      </c>
      <c r="L114" t="e">
        <f>IF(GETPIVOTDATA("ITL",'ITL-PIVOT'!$A$3,"KV%",$A114,"Experiment",L$5,"date",L$6)=0,NA(),GETPIVOTDATA("ITL",'ITL-PIVOT'!$A$3,"KV%",$A114,"Experiment",L$5,"date",L$6))</f>
        <v>#N/A</v>
      </c>
      <c r="M114" t="e">
        <f>IF(GETPIVOTDATA("ITL",'ITL-PIVOT'!$A$3,"KV%",$A114,"Experiment",M$5,"date",M$6)=0,NA(),GETPIVOTDATA("ITL",'ITL-PIVOT'!$A$3,"KV%",$A114,"Experiment",M$5,"date",M$6))</f>
        <v>#N/A</v>
      </c>
    </row>
    <row r="115" spans="1:13" x14ac:dyDescent="0.25">
      <c r="A115">
        <f>IF('ITL-PIVOT'!A113=0,NA(),'ITL-PIVOT'!A113)</f>
        <v>0.39154670574375766</v>
      </c>
      <c r="B115" t="e">
        <f>IF(GETPIVOTDATA("ITL",'ITL-PIVOT'!$A$3,"KV%",$A115,"Experiment",B$5,"date",B$6)=0,NA(),GETPIVOTDATA("ITL",'ITL-PIVOT'!$A$3,"KV%",$A115,"Experiment",B$5,"date",B$6))</f>
        <v>#N/A</v>
      </c>
      <c r="C115" t="e">
        <f>IF(GETPIVOTDATA("ITL",'ITL-PIVOT'!$A$3,"KV%",$A115,"Experiment",C$5,"date",C$6)=0,NA(),GETPIVOTDATA("ITL",'ITL-PIVOT'!$A$3,"KV%",$A115,"Experiment",C$5,"date",C$6))</f>
        <v>#N/A</v>
      </c>
      <c r="D115" t="e">
        <f>IF(GETPIVOTDATA("ITL",'ITL-PIVOT'!$A$3,"KV%",$A115,"Experiment",D$5,"date",D$6)=0,NA(),GETPIVOTDATA("ITL",'ITL-PIVOT'!$A$3,"KV%",$A115,"Experiment",D$5,"date",D$6))</f>
        <v>#N/A</v>
      </c>
      <c r="E115" t="e">
        <f>IF(GETPIVOTDATA("ITL",'ITL-PIVOT'!$A$3,"KV%",$A115,"Experiment",E$5,"date",E$6)=0,NA(),GETPIVOTDATA("ITL",'ITL-PIVOT'!$A$3,"KV%",$A115,"Experiment",E$5,"date",E$6))</f>
        <v>#N/A</v>
      </c>
      <c r="F115">
        <f>IF(GETPIVOTDATA("ITL",'ITL-PIVOT'!$A$3,"KV%",$A115,"Experiment",F$5,"date",F$6)=0,NA(),GETPIVOTDATA("ITL",'ITL-PIVOT'!$A$3,"KV%",$A115,"Experiment",F$5,"date",F$6))</f>
        <v>1.7961932173386517E-2</v>
      </c>
      <c r="G115" t="e">
        <f>IF(GETPIVOTDATA("ITL",'ITL-PIVOT'!$A$3,"KV%",$A115,"Experiment",G$5,"date",G$6)=0,NA(),GETPIVOTDATA("ITL",'ITL-PIVOT'!$A$3,"KV%",$A115,"Experiment",G$5,"date",G$6))</f>
        <v>#N/A</v>
      </c>
      <c r="H115" t="e">
        <f>IF(GETPIVOTDATA("ITL",'ITL-PIVOT'!$A$3,"KV%",$A115,"Experiment",H$5,"date",H$6)=0,NA(),GETPIVOTDATA("ITL",'ITL-PIVOT'!$A$3,"KV%",$A115,"Experiment",H$5,"date",H$6))</f>
        <v>#N/A</v>
      </c>
      <c r="I115" t="e">
        <f>IF(GETPIVOTDATA("ITL",'ITL-PIVOT'!$A$3,"KV%",$A115,"Experiment",I$5,"date",I$6)=0,NA(),GETPIVOTDATA("ITL",'ITL-PIVOT'!$A$3,"KV%",$A115,"Experiment",I$5,"date",I$6))</f>
        <v>#N/A</v>
      </c>
      <c r="J115" t="e">
        <f>IF(GETPIVOTDATA("ITL",'ITL-PIVOT'!$A$3,"KV%",$A115,"Experiment",J$5,"date",J$6)=0,NA(),GETPIVOTDATA("ITL",'ITL-PIVOT'!$A$3,"KV%",$A115,"Experiment",J$5,"date",J$6))</f>
        <v>#N/A</v>
      </c>
      <c r="K115" t="e">
        <f>IF(GETPIVOTDATA("ITL",'ITL-PIVOT'!$A$3,"KV%",$A115,"Experiment",K$5,"date",K$6)=0,NA(),GETPIVOTDATA("ITL",'ITL-PIVOT'!$A$3,"KV%",$A115,"Experiment",K$5,"date",K$6))</f>
        <v>#N/A</v>
      </c>
      <c r="L115" t="e">
        <f>IF(GETPIVOTDATA("ITL",'ITL-PIVOT'!$A$3,"KV%",$A115,"Experiment",L$5,"date",L$6)=0,NA(),GETPIVOTDATA("ITL",'ITL-PIVOT'!$A$3,"KV%",$A115,"Experiment",L$5,"date",L$6))</f>
        <v>#N/A</v>
      </c>
      <c r="M115" t="e">
        <f>IF(GETPIVOTDATA("ITL",'ITL-PIVOT'!$A$3,"KV%",$A115,"Experiment",M$5,"date",M$6)=0,NA(),GETPIVOTDATA("ITL",'ITL-PIVOT'!$A$3,"KV%",$A115,"Experiment",M$5,"date",M$6))</f>
        <v>#N/A</v>
      </c>
    </row>
    <row r="116" spans="1:13" x14ac:dyDescent="0.25">
      <c r="A116">
        <f>IF('ITL-PIVOT'!A114=0,NA(),'ITL-PIVOT'!A114)</f>
        <v>0.39190299686808611</v>
      </c>
      <c r="B116" t="e">
        <f>IF(GETPIVOTDATA("ITL",'ITL-PIVOT'!$A$3,"KV%",$A116,"Experiment",B$5,"date",B$6)=0,NA(),GETPIVOTDATA("ITL",'ITL-PIVOT'!$A$3,"KV%",$A116,"Experiment",B$5,"date",B$6))</f>
        <v>#N/A</v>
      </c>
      <c r="C116" t="e">
        <f>IF(GETPIVOTDATA("ITL",'ITL-PIVOT'!$A$3,"KV%",$A116,"Experiment",C$5,"date",C$6)=0,NA(),GETPIVOTDATA("ITL",'ITL-PIVOT'!$A$3,"KV%",$A116,"Experiment",C$5,"date",C$6))</f>
        <v>#N/A</v>
      </c>
      <c r="D116" t="e">
        <f>IF(GETPIVOTDATA("ITL",'ITL-PIVOT'!$A$3,"KV%",$A116,"Experiment",D$5,"date",D$6)=0,NA(),GETPIVOTDATA("ITL",'ITL-PIVOT'!$A$3,"KV%",$A116,"Experiment",D$5,"date",D$6))</f>
        <v>#N/A</v>
      </c>
      <c r="E116" t="e">
        <f>IF(GETPIVOTDATA("ITL",'ITL-PIVOT'!$A$3,"KV%",$A116,"Experiment",E$5,"date",E$6)=0,NA(),GETPIVOTDATA("ITL",'ITL-PIVOT'!$A$3,"KV%",$A116,"Experiment",E$5,"date",E$6))</f>
        <v>#N/A</v>
      </c>
      <c r="F116" t="e">
        <f>IF(GETPIVOTDATA("ITL",'ITL-PIVOT'!$A$3,"KV%",$A116,"Experiment",F$5,"date",F$6)=0,NA(),GETPIVOTDATA("ITL",'ITL-PIVOT'!$A$3,"KV%",$A116,"Experiment",F$5,"date",F$6))</f>
        <v>#N/A</v>
      </c>
      <c r="G116" t="e">
        <f>IF(GETPIVOTDATA("ITL",'ITL-PIVOT'!$A$3,"KV%",$A116,"Experiment",G$5,"date",G$6)=0,NA(),GETPIVOTDATA("ITL",'ITL-PIVOT'!$A$3,"KV%",$A116,"Experiment",G$5,"date",G$6))</f>
        <v>#N/A</v>
      </c>
      <c r="H116" t="e">
        <f>IF(GETPIVOTDATA("ITL",'ITL-PIVOT'!$A$3,"KV%",$A116,"Experiment",H$5,"date",H$6)=0,NA(),GETPIVOTDATA("ITL",'ITL-PIVOT'!$A$3,"KV%",$A116,"Experiment",H$5,"date",H$6))</f>
        <v>#N/A</v>
      </c>
      <c r="I116" t="e">
        <f>IF(GETPIVOTDATA("ITL",'ITL-PIVOT'!$A$3,"KV%",$A116,"Experiment",I$5,"date",I$6)=0,NA(),GETPIVOTDATA("ITL",'ITL-PIVOT'!$A$3,"KV%",$A116,"Experiment",I$5,"date",I$6))</f>
        <v>#N/A</v>
      </c>
      <c r="J116" t="e">
        <f>IF(GETPIVOTDATA("ITL",'ITL-PIVOT'!$A$3,"KV%",$A116,"Experiment",J$5,"date",J$6)=0,NA(),GETPIVOTDATA("ITL",'ITL-PIVOT'!$A$3,"KV%",$A116,"Experiment",J$5,"date",J$6))</f>
        <v>#N/A</v>
      </c>
      <c r="K116" t="e">
        <f>IF(GETPIVOTDATA("ITL",'ITL-PIVOT'!$A$3,"KV%",$A116,"Experiment",K$5,"date",K$6)=0,NA(),GETPIVOTDATA("ITL",'ITL-PIVOT'!$A$3,"KV%",$A116,"Experiment",K$5,"date",K$6))</f>
        <v>#N/A</v>
      </c>
      <c r="L116" t="e">
        <f>IF(GETPIVOTDATA("ITL",'ITL-PIVOT'!$A$3,"KV%",$A116,"Experiment",L$5,"date",L$6)=0,NA(),GETPIVOTDATA("ITL",'ITL-PIVOT'!$A$3,"KV%",$A116,"Experiment",L$5,"date",L$6))</f>
        <v>#N/A</v>
      </c>
      <c r="M116">
        <f>IF(GETPIVOTDATA("ITL",'ITL-PIVOT'!$A$3,"KV%",$A116,"Experiment",M$5,"date",M$6)=0,NA(),GETPIVOTDATA("ITL",'ITL-PIVOT'!$A$3,"KV%",$A116,"Experiment",M$5,"date",M$6))</f>
        <v>5.6983425120598952E-2</v>
      </c>
    </row>
    <row r="117" spans="1:13" x14ac:dyDescent="0.25">
      <c r="A117">
        <f>IF('ITL-PIVOT'!A115=0,NA(),'ITL-PIVOT'!A115)</f>
        <v>0.39383242823894493</v>
      </c>
      <c r="B117" t="e">
        <f>IF(GETPIVOTDATA("ITL",'ITL-PIVOT'!$A$3,"KV%",$A117,"Experiment",B$5,"date",B$6)=0,NA(),GETPIVOTDATA("ITL",'ITL-PIVOT'!$A$3,"KV%",$A117,"Experiment",B$5,"date",B$6))</f>
        <v>#N/A</v>
      </c>
      <c r="C117" t="e">
        <f>IF(GETPIVOTDATA("ITL",'ITL-PIVOT'!$A$3,"KV%",$A117,"Experiment",C$5,"date",C$6)=0,NA(),GETPIVOTDATA("ITL",'ITL-PIVOT'!$A$3,"KV%",$A117,"Experiment",C$5,"date",C$6))</f>
        <v>#N/A</v>
      </c>
      <c r="D117" t="e">
        <f>IF(GETPIVOTDATA("ITL",'ITL-PIVOT'!$A$3,"KV%",$A117,"Experiment",D$5,"date",D$6)=0,NA(),GETPIVOTDATA("ITL",'ITL-PIVOT'!$A$3,"KV%",$A117,"Experiment",D$5,"date",D$6))</f>
        <v>#N/A</v>
      </c>
      <c r="E117" t="e">
        <f>IF(GETPIVOTDATA("ITL",'ITL-PIVOT'!$A$3,"KV%",$A117,"Experiment",E$5,"date",E$6)=0,NA(),GETPIVOTDATA("ITL",'ITL-PIVOT'!$A$3,"KV%",$A117,"Experiment",E$5,"date",E$6))</f>
        <v>#N/A</v>
      </c>
      <c r="F117" t="e">
        <f>IF(GETPIVOTDATA("ITL",'ITL-PIVOT'!$A$3,"KV%",$A117,"Experiment",F$5,"date",F$6)=0,NA(),GETPIVOTDATA("ITL",'ITL-PIVOT'!$A$3,"KV%",$A117,"Experiment",F$5,"date",F$6))</f>
        <v>#N/A</v>
      </c>
      <c r="G117" t="e">
        <f>IF(GETPIVOTDATA("ITL",'ITL-PIVOT'!$A$3,"KV%",$A117,"Experiment",G$5,"date",G$6)=0,NA(),GETPIVOTDATA("ITL",'ITL-PIVOT'!$A$3,"KV%",$A117,"Experiment",G$5,"date",G$6))</f>
        <v>#N/A</v>
      </c>
      <c r="H117" t="e">
        <f>IF(GETPIVOTDATA("ITL",'ITL-PIVOT'!$A$3,"KV%",$A117,"Experiment",H$5,"date",H$6)=0,NA(),GETPIVOTDATA("ITL",'ITL-PIVOT'!$A$3,"KV%",$A117,"Experiment",H$5,"date",H$6))</f>
        <v>#N/A</v>
      </c>
      <c r="I117" t="e">
        <f>IF(GETPIVOTDATA("ITL",'ITL-PIVOT'!$A$3,"KV%",$A117,"Experiment",I$5,"date",I$6)=0,NA(),GETPIVOTDATA("ITL",'ITL-PIVOT'!$A$3,"KV%",$A117,"Experiment",I$5,"date",I$6))</f>
        <v>#N/A</v>
      </c>
      <c r="J117" t="e">
        <f>IF(GETPIVOTDATA("ITL",'ITL-PIVOT'!$A$3,"KV%",$A117,"Experiment",J$5,"date",J$6)=0,NA(),GETPIVOTDATA("ITL",'ITL-PIVOT'!$A$3,"KV%",$A117,"Experiment",J$5,"date",J$6))</f>
        <v>#N/A</v>
      </c>
      <c r="K117">
        <f>IF(GETPIVOTDATA("ITL",'ITL-PIVOT'!$A$3,"KV%",$A117,"Experiment",K$5,"date",K$6)=0,NA(),GETPIVOTDATA("ITL",'ITL-PIVOT'!$A$3,"KV%",$A117,"Experiment",K$5,"date",K$6))</f>
        <v>2.1036300817882225E-2</v>
      </c>
      <c r="L117" t="e">
        <f>IF(GETPIVOTDATA("ITL",'ITL-PIVOT'!$A$3,"KV%",$A117,"Experiment",L$5,"date",L$6)=0,NA(),GETPIVOTDATA("ITL",'ITL-PIVOT'!$A$3,"KV%",$A117,"Experiment",L$5,"date",L$6))</f>
        <v>#N/A</v>
      </c>
      <c r="M117" t="e">
        <f>IF(GETPIVOTDATA("ITL",'ITL-PIVOT'!$A$3,"KV%",$A117,"Experiment",M$5,"date",M$6)=0,NA(),GETPIVOTDATA("ITL",'ITL-PIVOT'!$A$3,"KV%",$A117,"Experiment",M$5,"date",M$6))</f>
        <v>#N/A</v>
      </c>
    </row>
    <row r="118" spans="1:13" x14ac:dyDescent="0.25">
      <c r="A118">
        <f>IF('ITL-PIVOT'!A116=0,NA(),'ITL-PIVOT'!A116)</f>
        <v>0.40995029164152513</v>
      </c>
      <c r="B118" t="e">
        <f>IF(GETPIVOTDATA("ITL",'ITL-PIVOT'!$A$3,"KV%",$A118,"Experiment",B$5,"date",B$6)=0,NA(),GETPIVOTDATA("ITL",'ITL-PIVOT'!$A$3,"KV%",$A118,"Experiment",B$5,"date",B$6))</f>
        <v>#N/A</v>
      </c>
      <c r="C118" t="e">
        <f>IF(GETPIVOTDATA("ITL",'ITL-PIVOT'!$A$3,"KV%",$A118,"Experiment",C$5,"date",C$6)=0,NA(),GETPIVOTDATA("ITL",'ITL-PIVOT'!$A$3,"KV%",$A118,"Experiment",C$5,"date",C$6))</f>
        <v>#N/A</v>
      </c>
      <c r="D118" t="e">
        <f>IF(GETPIVOTDATA("ITL",'ITL-PIVOT'!$A$3,"KV%",$A118,"Experiment",D$5,"date",D$6)=0,NA(),GETPIVOTDATA("ITL",'ITL-PIVOT'!$A$3,"KV%",$A118,"Experiment",D$5,"date",D$6))</f>
        <v>#N/A</v>
      </c>
      <c r="E118" t="e">
        <f>IF(GETPIVOTDATA("ITL",'ITL-PIVOT'!$A$3,"KV%",$A118,"Experiment",E$5,"date",E$6)=0,NA(),GETPIVOTDATA("ITL",'ITL-PIVOT'!$A$3,"KV%",$A118,"Experiment",E$5,"date",E$6))</f>
        <v>#N/A</v>
      </c>
      <c r="F118" t="e">
        <f>IF(GETPIVOTDATA("ITL",'ITL-PIVOT'!$A$3,"KV%",$A118,"Experiment",F$5,"date",F$6)=0,NA(),GETPIVOTDATA("ITL",'ITL-PIVOT'!$A$3,"KV%",$A118,"Experiment",F$5,"date",F$6))</f>
        <v>#N/A</v>
      </c>
      <c r="G118" t="e">
        <f>IF(GETPIVOTDATA("ITL",'ITL-PIVOT'!$A$3,"KV%",$A118,"Experiment",G$5,"date",G$6)=0,NA(),GETPIVOTDATA("ITL",'ITL-PIVOT'!$A$3,"KV%",$A118,"Experiment",G$5,"date",G$6))</f>
        <v>#N/A</v>
      </c>
      <c r="H118" t="e">
        <f>IF(GETPIVOTDATA("ITL",'ITL-PIVOT'!$A$3,"KV%",$A118,"Experiment",H$5,"date",H$6)=0,NA(),GETPIVOTDATA("ITL",'ITL-PIVOT'!$A$3,"KV%",$A118,"Experiment",H$5,"date",H$6))</f>
        <v>#N/A</v>
      </c>
      <c r="I118" t="e">
        <f>IF(GETPIVOTDATA("ITL",'ITL-PIVOT'!$A$3,"KV%",$A118,"Experiment",I$5,"date",I$6)=0,NA(),GETPIVOTDATA("ITL",'ITL-PIVOT'!$A$3,"KV%",$A118,"Experiment",I$5,"date",I$6))</f>
        <v>#N/A</v>
      </c>
      <c r="J118" t="e">
        <f>IF(GETPIVOTDATA("ITL",'ITL-PIVOT'!$A$3,"KV%",$A118,"Experiment",J$5,"date",J$6)=0,NA(),GETPIVOTDATA("ITL",'ITL-PIVOT'!$A$3,"KV%",$A118,"Experiment",J$5,"date",J$6))</f>
        <v>#N/A</v>
      </c>
      <c r="K118" t="e">
        <f>IF(GETPIVOTDATA("ITL",'ITL-PIVOT'!$A$3,"KV%",$A118,"Experiment",K$5,"date",K$6)=0,NA(),GETPIVOTDATA("ITL",'ITL-PIVOT'!$A$3,"KV%",$A118,"Experiment",K$5,"date",K$6))</f>
        <v>#N/A</v>
      </c>
      <c r="L118" t="e">
        <f>IF(GETPIVOTDATA("ITL",'ITL-PIVOT'!$A$3,"KV%",$A118,"Experiment",L$5,"date",L$6)=0,NA(),GETPIVOTDATA("ITL",'ITL-PIVOT'!$A$3,"KV%",$A118,"Experiment",L$5,"date",L$6))</f>
        <v>#N/A</v>
      </c>
      <c r="M118">
        <f>IF(GETPIVOTDATA("ITL",'ITL-PIVOT'!$A$3,"KV%",$A118,"Experiment",M$5,"date",M$6)=0,NA(),GETPIVOTDATA("ITL",'ITL-PIVOT'!$A$3,"KV%",$A118,"Experiment",M$5,"date",M$6))</f>
        <v>5.5761778610436331E-2</v>
      </c>
    </row>
    <row r="119" spans="1:13" x14ac:dyDescent="0.25">
      <c r="A119">
        <f>IF('ITL-PIVOT'!A117=0,NA(),'ITL-PIVOT'!A117)</f>
        <v>0.41449276685072783</v>
      </c>
      <c r="B119" t="e">
        <f>IF(GETPIVOTDATA("ITL",'ITL-PIVOT'!$A$3,"KV%",$A119,"Experiment",B$5,"date",B$6)=0,NA(),GETPIVOTDATA("ITL",'ITL-PIVOT'!$A$3,"KV%",$A119,"Experiment",B$5,"date",B$6))</f>
        <v>#N/A</v>
      </c>
      <c r="C119" t="e">
        <f>IF(GETPIVOTDATA("ITL",'ITL-PIVOT'!$A$3,"KV%",$A119,"Experiment",C$5,"date",C$6)=0,NA(),GETPIVOTDATA("ITL",'ITL-PIVOT'!$A$3,"KV%",$A119,"Experiment",C$5,"date",C$6))</f>
        <v>#N/A</v>
      </c>
      <c r="D119">
        <f>IF(GETPIVOTDATA("ITL",'ITL-PIVOT'!$A$3,"KV%",$A119,"Experiment",D$5,"date",D$6)=0,NA(),GETPIVOTDATA("ITL",'ITL-PIVOT'!$A$3,"KV%",$A119,"Experiment",D$5,"date",D$6))</f>
        <v>1.7667547286003699E-2</v>
      </c>
      <c r="E119" t="e">
        <f>IF(GETPIVOTDATA("ITL",'ITL-PIVOT'!$A$3,"KV%",$A119,"Experiment",E$5,"date",E$6)=0,NA(),GETPIVOTDATA("ITL",'ITL-PIVOT'!$A$3,"KV%",$A119,"Experiment",E$5,"date",E$6))</f>
        <v>#N/A</v>
      </c>
      <c r="F119" t="e">
        <f>IF(GETPIVOTDATA("ITL",'ITL-PIVOT'!$A$3,"KV%",$A119,"Experiment",F$5,"date",F$6)=0,NA(),GETPIVOTDATA("ITL",'ITL-PIVOT'!$A$3,"KV%",$A119,"Experiment",F$5,"date",F$6))</f>
        <v>#N/A</v>
      </c>
      <c r="G119" t="e">
        <f>IF(GETPIVOTDATA("ITL",'ITL-PIVOT'!$A$3,"KV%",$A119,"Experiment",G$5,"date",G$6)=0,NA(),GETPIVOTDATA("ITL",'ITL-PIVOT'!$A$3,"KV%",$A119,"Experiment",G$5,"date",G$6))</f>
        <v>#N/A</v>
      </c>
      <c r="H119" t="e">
        <f>IF(GETPIVOTDATA("ITL",'ITL-PIVOT'!$A$3,"KV%",$A119,"Experiment",H$5,"date",H$6)=0,NA(),GETPIVOTDATA("ITL",'ITL-PIVOT'!$A$3,"KV%",$A119,"Experiment",H$5,"date",H$6))</f>
        <v>#N/A</v>
      </c>
      <c r="I119" t="e">
        <f>IF(GETPIVOTDATA("ITL",'ITL-PIVOT'!$A$3,"KV%",$A119,"Experiment",I$5,"date",I$6)=0,NA(),GETPIVOTDATA("ITL",'ITL-PIVOT'!$A$3,"KV%",$A119,"Experiment",I$5,"date",I$6))</f>
        <v>#N/A</v>
      </c>
      <c r="J119" t="e">
        <f>IF(GETPIVOTDATA("ITL",'ITL-PIVOT'!$A$3,"KV%",$A119,"Experiment",J$5,"date",J$6)=0,NA(),GETPIVOTDATA("ITL",'ITL-PIVOT'!$A$3,"KV%",$A119,"Experiment",J$5,"date",J$6))</f>
        <v>#N/A</v>
      </c>
      <c r="K119" t="e">
        <f>IF(GETPIVOTDATA("ITL",'ITL-PIVOT'!$A$3,"KV%",$A119,"Experiment",K$5,"date",K$6)=0,NA(),GETPIVOTDATA("ITL",'ITL-PIVOT'!$A$3,"KV%",$A119,"Experiment",K$5,"date",K$6))</f>
        <v>#N/A</v>
      </c>
      <c r="L119" t="e">
        <f>IF(GETPIVOTDATA("ITL",'ITL-PIVOT'!$A$3,"KV%",$A119,"Experiment",L$5,"date",L$6)=0,NA(),GETPIVOTDATA("ITL",'ITL-PIVOT'!$A$3,"KV%",$A119,"Experiment",L$5,"date",L$6))</f>
        <v>#N/A</v>
      </c>
      <c r="M119" t="e">
        <f>IF(GETPIVOTDATA("ITL",'ITL-PIVOT'!$A$3,"KV%",$A119,"Experiment",M$5,"date",M$6)=0,NA(),GETPIVOTDATA("ITL",'ITL-PIVOT'!$A$3,"KV%",$A119,"Experiment",M$5,"date",M$6))</f>
        <v>#N/A</v>
      </c>
    </row>
    <row r="120" spans="1:13" x14ac:dyDescent="0.25">
      <c r="A120">
        <f>IF('ITL-PIVOT'!A118=0,NA(),'ITL-PIVOT'!A118)</f>
        <v>0.41702999741401603</v>
      </c>
      <c r="B120" t="e">
        <f>IF(GETPIVOTDATA("ITL",'ITL-PIVOT'!$A$3,"KV%",$A120,"Experiment",B$5,"date",B$6)=0,NA(),GETPIVOTDATA("ITL",'ITL-PIVOT'!$A$3,"KV%",$A120,"Experiment",B$5,"date",B$6))</f>
        <v>#N/A</v>
      </c>
      <c r="C120" t="e">
        <f>IF(GETPIVOTDATA("ITL",'ITL-PIVOT'!$A$3,"KV%",$A120,"Experiment",C$5,"date",C$6)=0,NA(),GETPIVOTDATA("ITL",'ITL-PIVOT'!$A$3,"KV%",$A120,"Experiment",C$5,"date",C$6))</f>
        <v>#N/A</v>
      </c>
      <c r="D120" t="e">
        <f>IF(GETPIVOTDATA("ITL",'ITL-PIVOT'!$A$3,"KV%",$A120,"Experiment",D$5,"date",D$6)=0,NA(),GETPIVOTDATA("ITL",'ITL-PIVOT'!$A$3,"KV%",$A120,"Experiment",D$5,"date",D$6))</f>
        <v>#N/A</v>
      </c>
      <c r="E120" t="e">
        <f>IF(GETPIVOTDATA("ITL",'ITL-PIVOT'!$A$3,"KV%",$A120,"Experiment",E$5,"date",E$6)=0,NA(),GETPIVOTDATA("ITL",'ITL-PIVOT'!$A$3,"KV%",$A120,"Experiment",E$5,"date",E$6))</f>
        <v>#N/A</v>
      </c>
      <c r="F120" t="e">
        <f>IF(GETPIVOTDATA("ITL",'ITL-PIVOT'!$A$3,"KV%",$A120,"Experiment",F$5,"date",F$6)=0,NA(),GETPIVOTDATA("ITL",'ITL-PIVOT'!$A$3,"KV%",$A120,"Experiment",F$5,"date",F$6))</f>
        <v>#N/A</v>
      </c>
      <c r="G120">
        <f>IF(GETPIVOTDATA("ITL",'ITL-PIVOT'!$A$3,"KV%",$A120,"Experiment",G$5,"date",G$6)=0,NA(),GETPIVOTDATA("ITL",'ITL-PIVOT'!$A$3,"KV%",$A120,"Experiment",G$5,"date",G$6))</f>
        <v>1.9820489445293736E-2</v>
      </c>
      <c r="H120" t="e">
        <f>IF(GETPIVOTDATA("ITL",'ITL-PIVOT'!$A$3,"KV%",$A120,"Experiment",H$5,"date",H$6)=0,NA(),GETPIVOTDATA("ITL",'ITL-PIVOT'!$A$3,"KV%",$A120,"Experiment",H$5,"date",H$6))</f>
        <v>#N/A</v>
      </c>
      <c r="I120" t="e">
        <f>IF(GETPIVOTDATA("ITL",'ITL-PIVOT'!$A$3,"KV%",$A120,"Experiment",I$5,"date",I$6)=0,NA(),GETPIVOTDATA("ITL",'ITL-PIVOT'!$A$3,"KV%",$A120,"Experiment",I$5,"date",I$6))</f>
        <v>#N/A</v>
      </c>
      <c r="J120" t="e">
        <f>IF(GETPIVOTDATA("ITL",'ITL-PIVOT'!$A$3,"KV%",$A120,"Experiment",J$5,"date",J$6)=0,NA(),GETPIVOTDATA("ITL",'ITL-PIVOT'!$A$3,"KV%",$A120,"Experiment",J$5,"date",J$6))</f>
        <v>#N/A</v>
      </c>
      <c r="K120" t="e">
        <f>IF(GETPIVOTDATA("ITL",'ITL-PIVOT'!$A$3,"KV%",$A120,"Experiment",K$5,"date",K$6)=0,NA(),GETPIVOTDATA("ITL",'ITL-PIVOT'!$A$3,"KV%",$A120,"Experiment",K$5,"date",K$6))</f>
        <v>#N/A</v>
      </c>
      <c r="L120" t="e">
        <f>IF(GETPIVOTDATA("ITL",'ITL-PIVOT'!$A$3,"KV%",$A120,"Experiment",L$5,"date",L$6)=0,NA(),GETPIVOTDATA("ITL",'ITL-PIVOT'!$A$3,"KV%",$A120,"Experiment",L$5,"date",L$6))</f>
        <v>#N/A</v>
      </c>
      <c r="M120" t="e">
        <f>IF(GETPIVOTDATA("ITL",'ITL-PIVOT'!$A$3,"KV%",$A120,"Experiment",M$5,"date",M$6)=0,NA(),GETPIVOTDATA("ITL",'ITL-PIVOT'!$A$3,"KV%",$A120,"Experiment",M$5,"date",M$6))</f>
        <v>#N/A</v>
      </c>
    </row>
    <row r="121" spans="1:13" x14ac:dyDescent="0.25">
      <c r="A121">
        <f>IF('ITL-PIVOT'!A119=0,NA(),'ITL-PIVOT'!A119)</f>
        <v>0.41909030830675514</v>
      </c>
      <c r="B121" t="e">
        <f>IF(GETPIVOTDATA("ITL",'ITL-PIVOT'!$A$3,"KV%",$A121,"Experiment",B$5,"date",B$6)=0,NA(),GETPIVOTDATA("ITL",'ITL-PIVOT'!$A$3,"KV%",$A121,"Experiment",B$5,"date",B$6))</f>
        <v>#N/A</v>
      </c>
      <c r="C121" t="e">
        <f>IF(GETPIVOTDATA("ITL",'ITL-PIVOT'!$A$3,"KV%",$A121,"Experiment",C$5,"date",C$6)=0,NA(),GETPIVOTDATA("ITL",'ITL-PIVOT'!$A$3,"KV%",$A121,"Experiment",C$5,"date",C$6))</f>
        <v>#N/A</v>
      </c>
      <c r="D121" t="e">
        <f>IF(GETPIVOTDATA("ITL",'ITL-PIVOT'!$A$3,"KV%",$A121,"Experiment",D$5,"date",D$6)=0,NA(),GETPIVOTDATA("ITL",'ITL-PIVOT'!$A$3,"KV%",$A121,"Experiment",D$5,"date",D$6))</f>
        <v>#N/A</v>
      </c>
      <c r="E121" t="e">
        <f>IF(GETPIVOTDATA("ITL",'ITL-PIVOT'!$A$3,"KV%",$A121,"Experiment",E$5,"date",E$6)=0,NA(),GETPIVOTDATA("ITL",'ITL-PIVOT'!$A$3,"KV%",$A121,"Experiment",E$5,"date",E$6))</f>
        <v>#N/A</v>
      </c>
      <c r="F121" t="e">
        <f>IF(GETPIVOTDATA("ITL",'ITL-PIVOT'!$A$3,"KV%",$A121,"Experiment",F$5,"date",F$6)=0,NA(),GETPIVOTDATA("ITL",'ITL-PIVOT'!$A$3,"KV%",$A121,"Experiment",F$5,"date",F$6))</f>
        <v>#N/A</v>
      </c>
      <c r="G121" t="e">
        <f>IF(GETPIVOTDATA("ITL",'ITL-PIVOT'!$A$3,"KV%",$A121,"Experiment",G$5,"date",G$6)=0,NA(),GETPIVOTDATA("ITL",'ITL-PIVOT'!$A$3,"KV%",$A121,"Experiment",G$5,"date",G$6))</f>
        <v>#N/A</v>
      </c>
      <c r="H121" t="e">
        <f>IF(GETPIVOTDATA("ITL",'ITL-PIVOT'!$A$3,"KV%",$A121,"Experiment",H$5,"date",H$6)=0,NA(),GETPIVOTDATA("ITL",'ITL-PIVOT'!$A$3,"KV%",$A121,"Experiment",H$5,"date",H$6))</f>
        <v>#N/A</v>
      </c>
      <c r="I121">
        <f>IF(GETPIVOTDATA("ITL",'ITL-PIVOT'!$A$3,"KV%",$A121,"Experiment",I$5,"date",I$6)=0,NA(),GETPIVOTDATA("ITL",'ITL-PIVOT'!$A$3,"KV%",$A121,"Experiment",I$5,"date",I$6))</f>
        <v>3.8099701908507574E-2</v>
      </c>
      <c r="J121" t="e">
        <f>IF(GETPIVOTDATA("ITL",'ITL-PIVOT'!$A$3,"KV%",$A121,"Experiment",J$5,"date",J$6)=0,NA(),GETPIVOTDATA("ITL",'ITL-PIVOT'!$A$3,"KV%",$A121,"Experiment",J$5,"date",J$6))</f>
        <v>#N/A</v>
      </c>
      <c r="K121" t="e">
        <f>IF(GETPIVOTDATA("ITL",'ITL-PIVOT'!$A$3,"KV%",$A121,"Experiment",K$5,"date",K$6)=0,NA(),GETPIVOTDATA("ITL",'ITL-PIVOT'!$A$3,"KV%",$A121,"Experiment",K$5,"date",K$6))</f>
        <v>#N/A</v>
      </c>
      <c r="L121" t="e">
        <f>IF(GETPIVOTDATA("ITL",'ITL-PIVOT'!$A$3,"KV%",$A121,"Experiment",L$5,"date",L$6)=0,NA(),GETPIVOTDATA("ITL",'ITL-PIVOT'!$A$3,"KV%",$A121,"Experiment",L$5,"date",L$6))</f>
        <v>#N/A</v>
      </c>
      <c r="M121" t="e">
        <f>IF(GETPIVOTDATA("ITL",'ITL-PIVOT'!$A$3,"KV%",$A121,"Experiment",M$5,"date",M$6)=0,NA(),GETPIVOTDATA("ITL",'ITL-PIVOT'!$A$3,"KV%",$A121,"Experiment",M$5,"date",M$6))</f>
        <v>#N/A</v>
      </c>
    </row>
    <row r="122" spans="1:13" x14ac:dyDescent="0.25">
      <c r="A122">
        <f>IF('ITL-PIVOT'!A120=0,NA(),'ITL-PIVOT'!A120)</f>
        <v>0.43729828190854692</v>
      </c>
      <c r="B122" t="e">
        <f>IF(GETPIVOTDATA("ITL",'ITL-PIVOT'!$A$3,"KV%",$A122,"Experiment",B$5,"date",B$6)=0,NA(),GETPIVOTDATA("ITL",'ITL-PIVOT'!$A$3,"KV%",$A122,"Experiment",B$5,"date",B$6))</f>
        <v>#N/A</v>
      </c>
      <c r="C122" t="e">
        <f>IF(GETPIVOTDATA("ITL",'ITL-PIVOT'!$A$3,"KV%",$A122,"Experiment",C$5,"date",C$6)=0,NA(),GETPIVOTDATA("ITL",'ITL-PIVOT'!$A$3,"KV%",$A122,"Experiment",C$5,"date",C$6))</f>
        <v>#N/A</v>
      </c>
      <c r="D122" t="e">
        <f>IF(GETPIVOTDATA("ITL",'ITL-PIVOT'!$A$3,"KV%",$A122,"Experiment",D$5,"date",D$6)=0,NA(),GETPIVOTDATA("ITL",'ITL-PIVOT'!$A$3,"KV%",$A122,"Experiment",D$5,"date",D$6))</f>
        <v>#N/A</v>
      </c>
      <c r="E122" t="e">
        <f>IF(GETPIVOTDATA("ITL",'ITL-PIVOT'!$A$3,"KV%",$A122,"Experiment",E$5,"date",E$6)=0,NA(),GETPIVOTDATA("ITL",'ITL-PIVOT'!$A$3,"KV%",$A122,"Experiment",E$5,"date",E$6))</f>
        <v>#N/A</v>
      </c>
      <c r="F122">
        <f>IF(GETPIVOTDATA("ITL",'ITL-PIVOT'!$A$3,"KV%",$A122,"Experiment",F$5,"date",F$6)=0,NA(),GETPIVOTDATA("ITL",'ITL-PIVOT'!$A$3,"KV%",$A122,"Experiment",F$5,"date",F$6))</f>
        <v>1.8766042390591448E-2</v>
      </c>
      <c r="G122" t="e">
        <f>IF(GETPIVOTDATA("ITL",'ITL-PIVOT'!$A$3,"KV%",$A122,"Experiment",G$5,"date",G$6)=0,NA(),GETPIVOTDATA("ITL",'ITL-PIVOT'!$A$3,"KV%",$A122,"Experiment",G$5,"date",G$6))</f>
        <v>#N/A</v>
      </c>
      <c r="H122" t="e">
        <f>IF(GETPIVOTDATA("ITL",'ITL-PIVOT'!$A$3,"KV%",$A122,"Experiment",H$5,"date",H$6)=0,NA(),GETPIVOTDATA("ITL",'ITL-PIVOT'!$A$3,"KV%",$A122,"Experiment",H$5,"date",H$6))</f>
        <v>#N/A</v>
      </c>
      <c r="I122" t="e">
        <f>IF(GETPIVOTDATA("ITL",'ITL-PIVOT'!$A$3,"KV%",$A122,"Experiment",I$5,"date",I$6)=0,NA(),GETPIVOTDATA("ITL",'ITL-PIVOT'!$A$3,"KV%",$A122,"Experiment",I$5,"date",I$6))</f>
        <v>#N/A</v>
      </c>
      <c r="J122" t="e">
        <f>IF(GETPIVOTDATA("ITL",'ITL-PIVOT'!$A$3,"KV%",$A122,"Experiment",J$5,"date",J$6)=0,NA(),GETPIVOTDATA("ITL",'ITL-PIVOT'!$A$3,"KV%",$A122,"Experiment",J$5,"date",J$6))</f>
        <v>#N/A</v>
      </c>
      <c r="K122" t="e">
        <f>IF(GETPIVOTDATA("ITL",'ITL-PIVOT'!$A$3,"KV%",$A122,"Experiment",K$5,"date",K$6)=0,NA(),GETPIVOTDATA("ITL",'ITL-PIVOT'!$A$3,"KV%",$A122,"Experiment",K$5,"date",K$6))</f>
        <v>#N/A</v>
      </c>
      <c r="L122" t="e">
        <f>IF(GETPIVOTDATA("ITL",'ITL-PIVOT'!$A$3,"KV%",$A122,"Experiment",L$5,"date",L$6)=0,NA(),GETPIVOTDATA("ITL",'ITL-PIVOT'!$A$3,"KV%",$A122,"Experiment",L$5,"date",L$6))</f>
        <v>#N/A</v>
      </c>
      <c r="M122" t="e">
        <f>IF(GETPIVOTDATA("ITL",'ITL-PIVOT'!$A$3,"KV%",$A122,"Experiment",M$5,"date",M$6)=0,NA(),GETPIVOTDATA("ITL",'ITL-PIVOT'!$A$3,"KV%",$A122,"Experiment",M$5,"date",M$6))</f>
        <v>#N/A</v>
      </c>
    </row>
    <row r="123" spans="1:13" x14ac:dyDescent="0.25">
      <c r="A123">
        <f>IF('ITL-PIVOT'!A121=0,NA(),'ITL-PIVOT'!A121)</f>
        <v>0.44270399887157064</v>
      </c>
      <c r="B123" t="e">
        <f>IF(GETPIVOTDATA("ITL",'ITL-PIVOT'!$A$3,"KV%",$A123,"Experiment",B$5,"date",B$6)=0,NA(),GETPIVOTDATA("ITL",'ITL-PIVOT'!$A$3,"KV%",$A123,"Experiment",B$5,"date",B$6))</f>
        <v>#N/A</v>
      </c>
      <c r="C123" t="e">
        <f>IF(GETPIVOTDATA("ITL",'ITL-PIVOT'!$A$3,"KV%",$A123,"Experiment",C$5,"date",C$6)=0,NA(),GETPIVOTDATA("ITL",'ITL-PIVOT'!$A$3,"KV%",$A123,"Experiment",C$5,"date",C$6))</f>
        <v>#N/A</v>
      </c>
      <c r="D123" t="e">
        <f>IF(GETPIVOTDATA("ITL",'ITL-PIVOT'!$A$3,"KV%",$A123,"Experiment",D$5,"date",D$6)=0,NA(),GETPIVOTDATA("ITL",'ITL-PIVOT'!$A$3,"KV%",$A123,"Experiment",D$5,"date",D$6))</f>
        <v>#N/A</v>
      </c>
      <c r="E123">
        <f>IF(GETPIVOTDATA("ITL",'ITL-PIVOT'!$A$3,"KV%",$A123,"Experiment",E$5,"date",E$6)=0,NA(),GETPIVOTDATA("ITL",'ITL-PIVOT'!$A$3,"KV%",$A123,"Experiment",E$5,"date",E$6))</f>
        <v>1.9379795176355886E-2</v>
      </c>
      <c r="F123" t="e">
        <f>IF(GETPIVOTDATA("ITL",'ITL-PIVOT'!$A$3,"KV%",$A123,"Experiment",F$5,"date",F$6)=0,NA(),GETPIVOTDATA("ITL",'ITL-PIVOT'!$A$3,"KV%",$A123,"Experiment",F$5,"date",F$6))</f>
        <v>#N/A</v>
      </c>
      <c r="G123" t="e">
        <f>IF(GETPIVOTDATA("ITL",'ITL-PIVOT'!$A$3,"KV%",$A123,"Experiment",G$5,"date",G$6)=0,NA(),GETPIVOTDATA("ITL",'ITL-PIVOT'!$A$3,"KV%",$A123,"Experiment",G$5,"date",G$6))</f>
        <v>#N/A</v>
      </c>
      <c r="H123" t="e">
        <f>IF(GETPIVOTDATA("ITL",'ITL-PIVOT'!$A$3,"KV%",$A123,"Experiment",H$5,"date",H$6)=0,NA(),GETPIVOTDATA("ITL",'ITL-PIVOT'!$A$3,"KV%",$A123,"Experiment",H$5,"date",H$6))</f>
        <v>#N/A</v>
      </c>
      <c r="I123" t="e">
        <f>IF(GETPIVOTDATA("ITL",'ITL-PIVOT'!$A$3,"KV%",$A123,"Experiment",I$5,"date",I$6)=0,NA(),GETPIVOTDATA("ITL",'ITL-PIVOT'!$A$3,"KV%",$A123,"Experiment",I$5,"date",I$6))</f>
        <v>#N/A</v>
      </c>
      <c r="J123" t="e">
        <f>IF(GETPIVOTDATA("ITL",'ITL-PIVOT'!$A$3,"KV%",$A123,"Experiment",J$5,"date",J$6)=0,NA(),GETPIVOTDATA("ITL",'ITL-PIVOT'!$A$3,"KV%",$A123,"Experiment",J$5,"date",J$6))</f>
        <v>#N/A</v>
      </c>
      <c r="K123" t="e">
        <f>IF(GETPIVOTDATA("ITL",'ITL-PIVOT'!$A$3,"KV%",$A123,"Experiment",K$5,"date",K$6)=0,NA(),GETPIVOTDATA("ITL",'ITL-PIVOT'!$A$3,"KV%",$A123,"Experiment",K$5,"date",K$6))</f>
        <v>#N/A</v>
      </c>
      <c r="L123" t="e">
        <f>IF(GETPIVOTDATA("ITL",'ITL-PIVOT'!$A$3,"KV%",$A123,"Experiment",L$5,"date",L$6)=0,NA(),GETPIVOTDATA("ITL",'ITL-PIVOT'!$A$3,"KV%",$A123,"Experiment",L$5,"date",L$6))</f>
        <v>#N/A</v>
      </c>
      <c r="M123" t="e">
        <f>IF(GETPIVOTDATA("ITL",'ITL-PIVOT'!$A$3,"KV%",$A123,"Experiment",M$5,"date",M$6)=0,NA(),GETPIVOTDATA("ITL",'ITL-PIVOT'!$A$3,"KV%",$A123,"Experiment",M$5,"date",M$6))</f>
        <v>#N/A</v>
      </c>
    </row>
    <row r="124" spans="1:13" x14ac:dyDescent="0.25">
      <c r="A124">
        <f>IF('ITL-PIVOT'!A122=0,NA(),'ITL-PIVOT'!A122)</f>
        <v>0.44471683475562451</v>
      </c>
      <c r="B124" t="e">
        <f>IF(GETPIVOTDATA("ITL",'ITL-PIVOT'!$A$3,"KV%",$A124,"Experiment",B$5,"date",B$6)=0,NA(),GETPIVOTDATA("ITL",'ITL-PIVOT'!$A$3,"KV%",$A124,"Experiment",B$5,"date",B$6))</f>
        <v>#N/A</v>
      </c>
      <c r="C124" t="e">
        <f>IF(GETPIVOTDATA("ITL",'ITL-PIVOT'!$A$3,"KV%",$A124,"Experiment",C$5,"date",C$6)=0,NA(),GETPIVOTDATA("ITL",'ITL-PIVOT'!$A$3,"KV%",$A124,"Experiment",C$5,"date",C$6))</f>
        <v>#N/A</v>
      </c>
      <c r="D124" t="e">
        <f>IF(GETPIVOTDATA("ITL",'ITL-PIVOT'!$A$3,"KV%",$A124,"Experiment",D$5,"date",D$6)=0,NA(),GETPIVOTDATA("ITL",'ITL-PIVOT'!$A$3,"KV%",$A124,"Experiment",D$5,"date",D$6))</f>
        <v>#N/A</v>
      </c>
      <c r="E124" t="e">
        <f>IF(GETPIVOTDATA("ITL",'ITL-PIVOT'!$A$3,"KV%",$A124,"Experiment",E$5,"date",E$6)=0,NA(),GETPIVOTDATA("ITL",'ITL-PIVOT'!$A$3,"KV%",$A124,"Experiment",E$5,"date",E$6))</f>
        <v>#N/A</v>
      </c>
      <c r="F124" t="e">
        <f>IF(GETPIVOTDATA("ITL",'ITL-PIVOT'!$A$3,"KV%",$A124,"Experiment",F$5,"date",F$6)=0,NA(),GETPIVOTDATA("ITL",'ITL-PIVOT'!$A$3,"KV%",$A124,"Experiment",F$5,"date",F$6))</f>
        <v>#N/A</v>
      </c>
      <c r="G124" t="e">
        <f>IF(GETPIVOTDATA("ITL",'ITL-PIVOT'!$A$3,"KV%",$A124,"Experiment",G$5,"date",G$6)=0,NA(),GETPIVOTDATA("ITL",'ITL-PIVOT'!$A$3,"KV%",$A124,"Experiment",G$5,"date",G$6))</f>
        <v>#N/A</v>
      </c>
      <c r="H124">
        <f>IF(GETPIVOTDATA("ITL",'ITL-PIVOT'!$A$3,"KV%",$A124,"Experiment",H$5,"date",H$6)=0,NA(),GETPIVOTDATA("ITL",'ITL-PIVOT'!$A$3,"KV%",$A124,"Experiment",H$5,"date",H$6))</f>
        <v>3.6565374451086839E-2</v>
      </c>
      <c r="I124" t="e">
        <f>IF(GETPIVOTDATA("ITL",'ITL-PIVOT'!$A$3,"KV%",$A124,"Experiment",I$5,"date",I$6)=0,NA(),GETPIVOTDATA("ITL",'ITL-PIVOT'!$A$3,"KV%",$A124,"Experiment",I$5,"date",I$6))</f>
        <v>#N/A</v>
      </c>
      <c r="J124" t="e">
        <f>IF(GETPIVOTDATA("ITL",'ITL-PIVOT'!$A$3,"KV%",$A124,"Experiment",J$5,"date",J$6)=0,NA(),GETPIVOTDATA("ITL",'ITL-PIVOT'!$A$3,"KV%",$A124,"Experiment",J$5,"date",J$6))</f>
        <v>#N/A</v>
      </c>
      <c r="K124" t="e">
        <f>IF(GETPIVOTDATA("ITL",'ITL-PIVOT'!$A$3,"KV%",$A124,"Experiment",K$5,"date",K$6)=0,NA(),GETPIVOTDATA("ITL",'ITL-PIVOT'!$A$3,"KV%",$A124,"Experiment",K$5,"date",K$6))</f>
        <v>#N/A</v>
      </c>
      <c r="L124" t="e">
        <f>IF(GETPIVOTDATA("ITL",'ITL-PIVOT'!$A$3,"KV%",$A124,"Experiment",L$5,"date",L$6)=0,NA(),GETPIVOTDATA("ITL",'ITL-PIVOT'!$A$3,"KV%",$A124,"Experiment",L$5,"date",L$6))</f>
        <v>#N/A</v>
      </c>
      <c r="M124" t="e">
        <f>IF(GETPIVOTDATA("ITL",'ITL-PIVOT'!$A$3,"KV%",$A124,"Experiment",M$5,"date",M$6)=0,NA(),GETPIVOTDATA("ITL",'ITL-PIVOT'!$A$3,"KV%",$A124,"Experiment",M$5,"date",M$6))</f>
        <v>#N/A</v>
      </c>
    </row>
    <row r="125" spans="1:13" x14ac:dyDescent="0.25">
      <c r="A125">
        <f>IF('ITL-PIVOT'!A123=0,NA(),'ITL-PIVOT'!A123)</f>
        <v>0.45074998288687074</v>
      </c>
      <c r="B125" t="e">
        <f>IF(GETPIVOTDATA("ITL",'ITL-PIVOT'!$A$3,"KV%",$A125,"Experiment",B$5,"date",B$6)=0,NA(),GETPIVOTDATA("ITL",'ITL-PIVOT'!$A$3,"KV%",$A125,"Experiment",B$5,"date",B$6))</f>
        <v>#N/A</v>
      </c>
      <c r="C125">
        <f>IF(GETPIVOTDATA("ITL",'ITL-PIVOT'!$A$3,"KV%",$A125,"Experiment",C$5,"date",C$6)=0,NA(),GETPIVOTDATA("ITL",'ITL-PIVOT'!$A$3,"KV%",$A125,"Experiment",C$5,"date",C$6))</f>
        <v>2.9957435989161077E-2</v>
      </c>
      <c r="D125" t="e">
        <f>IF(GETPIVOTDATA("ITL",'ITL-PIVOT'!$A$3,"KV%",$A125,"Experiment",D$5,"date",D$6)=0,NA(),GETPIVOTDATA("ITL",'ITL-PIVOT'!$A$3,"KV%",$A125,"Experiment",D$5,"date",D$6))</f>
        <v>#N/A</v>
      </c>
      <c r="E125" t="e">
        <f>IF(GETPIVOTDATA("ITL",'ITL-PIVOT'!$A$3,"KV%",$A125,"Experiment",E$5,"date",E$6)=0,NA(),GETPIVOTDATA("ITL",'ITL-PIVOT'!$A$3,"KV%",$A125,"Experiment",E$5,"date",E$6))</f>
        <v>#N/A</v>
      </c>
      <c r="F125" t="e">
        <f>IF(GETPIVOTDATA("ITL",'ITL-PIVOT'!$A$3,"KV%",$A125,"Experiment",F$5,"date",F$6)=0,NA(),GETPIVOTDATA("ITL",'ITL-PIVOT'!$A$3,"KV%",$A125,"Experiment",F$5,"date",F$6))</f>
        <v>#N/A</v>
      </c>
      <c r="G125" t="e">
        <f>IF(GETPIVOTDATA("ITL",'ITL-PIVOT'!$A$3,"KV%",$A125,"Experiment",G$5,"date",G$6)=0,NA(),GETPIVOTDATA("ITL",'ITL-PIVOT'!$A$3,"KV%",$A125,"Experiment",G$5,"date",G$6))</f>
        <v>#N/A</v>
      </c>
      <c r="H125" t="e">
        <f>IF(GETPIVOTDATA("ITL",'ITL-PIVOT'!$A$3,"KV%",$A125,"Experiment",H$5,"date",H$6)=0,NA(),GETPIVOTDATA("ITL",'ITL-PIVOT'!$A$3,"KV%",$A125,"Experiment",H$5,"date",H$6))</f>
        <v>#N/A</v>
      </c>
      <c r="I125" t="e">
        <f>IF(GETPIVOTDATA("ITL",'ITL-PIVOT'!$A$3,"KV%",$A125,"Experiment",I$5,"date",I$6)=0,NA(),GETPIVOTDATA("ITL",'ITL-PIVOT'!$A$3,"KV%",$A125,"Experiment",I$5,"date",I$6))</f>
        <v>#N/A</v>
      </c>
      <c r="J125" t="e">
        <f>IF(GETPIVOTDATA("ITL",'ITL-PIVOT'!$A$3,"KV%",$A125,"Experiment",J$5,"date",J$6)=0,NA(),GETPIVOTDATA("ITL",'ITL-PIVOT'!$A$3,"KV%",$A125,"Experiment",J$5,"date",J$6))</f>
        <v>#N/A</v>
      </c>
      <c r="K125" t="e">
        <f>IF(GETPIVOTDATA("ITL",'ITL-PIVOT'!$A$3,"KV%",$A125,"Experiment",K$5,"date",K$6)=0,NA(),GETPIVOTDATA("ITL",'ITL-PIVOT'!$A$3,"KV%",$A125,"Experiment",K$5,"date",K$6))</f>
        <v>#N/A</v>
      </c>
      <c r="L125" t="e">
        <f>IF(GETPIVOTDATA("ITL",'ITL-PIVOT'!$A$3,"KV%",$A125,"Experiment",L$5,"date",L$6)=0,NA(),GETPIVOTDATA("ITL",'ITL-PIVOT'!$A$3,"KV%",$A125,"Experiment",L$5,"date",L$6))</f>
        <v>#N/A</v>
      </c>
      <c r="M125" t="e">
        <f>IF(GETPIVOTDATA("ITL",'ITL-PIVOT'!$A$3,"KV%",$A125,"Experiment",M$5,"date",M$6)=0,NA(),GETPIVOTDATA("ITL",'ITL-PIVOT'!$A$3,"KV%",$A125,"Experiment",M$5,"date",M$6))</f>
        <v>#N/A</v>
      </c>
    </row>
    <row r="126" spans="1:13" x14ac:dyDescent="0.25">
      <c r="A126">
        <f>IF('ITL-PIVOT'!A124=0,NA(),'ITL-PIVOT'!A124)</f>
        <v>0.45902038225544817</v>
      </c>
      <c r="B126" t="e">
        <f>IF(GETPIVOTDATA("ITL",'ITL-PIVOT'!$A$3,"KV%",$A126,"Experiment",B$5,"date",B$6)=0,NA(),GETPIVOTDATA("ITL",'ITL-PIVOT'!$A$3,"KV%",$A126,"Experiment",B$5,"date",B$6))</f>
        <v>#N/A</v>
      </c>
      <c r="C126" t="e">
        <f>IF(GETPIVOTDATA("ITL",'ITL-PIVOT'!$A$3,"KV%",$A126,"Experiment",C$5,"date",C$6)=0,NA(),GETPIVOTDATA("ITL",'ITL-PIVOT'!$A$3,"KV%",$A126,"Experiment",C$5,"date",C$6))</f>
        <v>#N/A</v>
      </c>
      <c r="D126" t="e">
        <f>IF(GETPIVOTDATA("ITL",'ITL-PIVOT'!$A$3,"KV%",$A126,"Experiment",D$5,"date",D$6)=0,NA(),GETPIVOTDATA("ITL",'ITL-PIVOT'!$A$3,"KV%",$A126,"Experiment",D$5,"date",D$6))</f>
        <v>#N/A</v>
      </c>
      <c r="E126">
        <f>IF(GETPIVOTDATA("ITL",'ITL-PIVOT'!$A$3,"KV%",$A126,"Experiment",E$5,"date",E$6)=0,NA(),GETPIVOTDATA("ITL",'ITL-PIVOT'!$A$3,"KV%",$A126,"Experiment",E$5,"date",E$6))</f>
        <v>1.8738186022315861E-2</v>
      </c>
      <c r="F126" t="e">
        <f>IF(GETPIVOTDATA("ITL",'ITL-PIVOT'!$A$3,"KV%",$A126,"Experiment",F$5,"date",F$6)=0,NA(),GETPIVOTDATA("ITL",'ITL-PIVOT'!$A$3,"KV%",$A126,"Experiment",F$5,"date",F$6))</f>
        <v>#N/A</v>
      </c>
      <c r="G126" t="e">
        <f>IF(GETPIVOTDATA("ITL",'ITL-PIVOT'!$A$3,"KV%",$A126,"Experiment",G$5,"date",G$6)=0,NA(),GETPIVOTDATA("ITL",'ITL-PIVOT'!$A$3,"KV%",$A126,"Experiment",G$5,"date",G$6))</f>
        <v>#N/A</v>
      </c>
      <c r="H126" t="e">
        <f>IF(GETPIVOTDATA("ITL",'ITL-PIVOT'!$A$3,"KV%",$A126,"Experiment",H$5,"date",H$6)=0,NA(),GETPIVOTDATA("ITL",'ITL-PIVOT'!$A$3,"KV%",$A126,"Experiment",H$5,"date",H$6))</f>
        <v>#N/A</v>
      </c>
      <c r="I126" t="e">
        <f>IF(GETPIVOTDATA("ITL",'ITL-PIVOT'!$A$3,"KV%",$A126,"Experiment",I$5,"date",I$6)=0,NA(),GETPIVOTDATA("ITL",'ITL-PIVOT'!$A$3,"KV%",$A126,"Experiment",I$5,"date",I$6))</f>
        <v>#N/A</v>
      </c>
      <c r="J126" t="e">
        <f>IF(GETPIVOTDATA("ITL",'ITL-PIVOT'!$A$3,"KV%",$A126,"Experiment",J$5,"date",J$6)=0,NA(),GETPIVOTDATA("ITL",'ITL-PIVOT'!$A$3,"KV%",$A126,"Experiment",J$5,"date",J$6))</f>
        <v>#N/A</v>
      </c>
      <c r="K126" t="e">
        <f>IF(GETPIVOTDATA("ITL",'ITL-PIVOT'!$A$3,"KV%",$A126,"Experiment",K$5,"date",K$6)=0,NA(),GETPIVOTDATA("ITL",'ITL-PIVOT'!$A$3,"KV%",$A126,"Experiment",K$5,"date",K$6))</f>
        <v>#N/A</v>
      </c>
      <c r="L126" t="e">
        <f>IF(GETPIVOTDATA("ITL",'ITL-PIVOT'!$A$3,"KV%",$A126,"Experiment",L$5,"date",L$6)=0,NA(),GETPIVOTDATA("ITL",'ITL-PIVOT'!$A$3,"KV%",$A126,"Experiment",L$5,"date",L$6))</f>
        <v>#N/A</v>
      </c>
      <c r="M126" t="e">
        <f>IF(GETPIVOTDATA("ITL",'ITL-PIVOT'!$A$3,"KV%",$A126,"Experiment",M$5,"date",M$6)=0,NA(),GETPIVOTDATA("ITL",'ITL-PIVOT'!$A$3,"KV%",$A126,"Experiment",M$5,"date",M$6))</f>
        <v>#N/A</v>
      </c>
    </row>
    <row r="127" spans="1:13" x14ac:dyDescent="0.25">
      <c r="A127">
        <f>IF('ITL-PIVOT'!A125=0,NA(),'ITL-PIVOT'!A125)</f>
        <v>0.46027223358487912</v>
      </c>
      <c r="B127" t="e">
        <f>IF(GETPIVOTDATA("ITL",'ITL-PIVOT'!$A$3,"KV%",$A127,"Experiment",B$5,"date",B$6)=0,NA(),GETPIVOTDATA("ITL",'ITL-PIVOT'!$A$3,"KV%",$A127,"Experiment",B$5,"date",B$6))</f>
        <v>#N/A</v>
      </c>
      <c r="C127" t="e">
        <f>IF(GETPIVOTDATA("ITL",'ITL-PIVOT'!$A$3,"KV%",$A127,"Experiment",C$5,"date",C$6)=0,NA(),GETPIVOTDATA("ITL",'ITL-PIVOT'!$A$3,"KV%",$A127,"Experiment",C$5,"date",C$6))</f>
        <v>#N/A</v>
      </c>
      <c r="D127" t="e">
        <f>IF(GETPIVOTDATA("ITL",'ITL-PIVOT'!$A$3,"KV%",$A127,"Experiment",D$5,"date",D$6)=0,NA(),GETPIVOTDATA("ITL",'ITL-PIVOT'!$A$3,"KV%",$A127,"Experiment",D$5,"date",D$6))</f>
        <v>#N/A</v>
      </c>
      <c r="E127">
        <f>IF(GETPIVOTDATA("ITL",'ITL-PIVOT'!$A$3,"KV%",$A127,"Experiment",E$5,"date",E$6)=0,NA(),GETPIVOTDATA("ITL",'ITL-PIVOT'!$A$3,"KV%",$A127,"Experiment",E$5,"date",E$6))</f>
        <v>1.9518618470788347E-2</v>
      </c>
      <c r="F127" t="e">
        <f>IF(GETPIVOTDATA("ITL",'ITL-PIVOT'!$A$3,"KV%",$A127,"Experiment",F$5,"date",F$6)=0,NA(),GETPIVOTDATA("ITL",'ITL-PIVOT'!$A$3,"KV%",$A127,"Experiment",F$5,"date",F$6))</f>
        <v>#N/A</v>
      </c>
      <c r="G127" t="e">
        <f>IF(GETPIVOTDATA("ITL",'ITL-PIVOT'!$A$3,"KV%",$A127,"Experiment",G$5,"date",G$6)=0,NA(),GETPIVOTDATA("ITL",'ITL-PIVOT'!$A$3,"KV%",$A127,"Experiment",G$5,"date",G$6))</f>
        <v>#N/A</v>
      </c>
      <c r="H127" t="e">
        <f>IF(GETPIVOTDATA("ITL",'ITL-PIVOT'!$A$3,"KV%",$A127,"Experiment",H$5,"date",H$6)=0,NA(),GETPIVOTDATA("ITL",'ITL-PIVOT'!$A$3,"KV%",$A127,"Experiment",H$5,"date",H$6))</f>
        <v>#N/A</v>
      </c>
      <c r="I127" t="e">
        <f>IF(GETPIVOTDATA("ITL",'ITL-PIVOT'!$A$3,"KV%",$A127,"Experiment",I$5,"date",I$6)=0,NA(),GETPIVOTDATA("ITL",'ITL-PIVOT'!$A$3,"KV%",$A127,"Experiment",I$5,"date",I$6))</f>
        <v>#N/A</v>
      </c>
      <c r="J127" t="e">
        <f>IF(GETPIVOTDATA("ITL",'ITL-PIVOT'!$A$3,"KV%",$A127,"Experiment",J$5,"date",J$6)=0,NA(),GETPIVOTDATA("ITL",'ITL-PIVOT'!$A$3,"KV%",$A127,"Experiment",J$5,"date",J$6))</f>
        <v>#N/A</v>
      </c>
      <c r="K127" t="e">
        <f>IF(GETPIVOTDATA("ITL",'ITL-PIVOT'!$A$3,"KV%",$A127,"Experiment",K$5,"date",K$6)=0,NA(),GETPIVOTDATA("ITL",'ITL-PIVOT'!$A$3,"KV%",$A127,"Experiment",K$5,"date",K$6))</f>
        <v>#N/A</v>
      </c>
      <c r="L127" t="e">
        <f>IF(GETPIVOTDATA("ITL",'ITL-PIVOT'!$A$3,"KV%",$A127,"Experiment",L$5,"date",L$6)=0,NA(),GETPIVOTDATA("ITL",'ITL-PIVOT'!$A$3,"KV%",$A127,"Experiment",L$5,"date",L$6))</f>
        <v>#N/A</v>
      </c>
      <c r="M127" t="e">
        <f>IF(GETPIVOTDATA("ITL",'ITL-PIVOT'!$A$3,"KV%",$A127,"Experiment",M$5,"date",M$6)=0,NA(),GETPIVOTDATA("ITL",'ITL-PIVOT'!$A$3,"KV%",$A127,"Experiment",M$5,"date",M$6))</f>
        <v>#N/A</v>
      </c>
    </row>
    <row r="128" spans="1:13" x14ac:dyDescent="0.25">
      <c r="A128">
        <f>IF('ITL-PIVOT'!A126=0,NA(),'ITL-PIVOT'!A126)</f>
        <v>0.4614724305375974</v>
      </c>
      <c r="B128" t="e">
        <f>IF(GETPIVOTDATA("ITL",'ITL-PIVOT'!$A$3,"KV%",$A128,"Experiment",B$5,"date",B$6)=0,NA(),GETPIVOTDATA("ITL",'ITL-PIVOT'!$A$3,"KV%",$A128,"Experiment",B$5,"date",B$6))</f>
        <v>#N/A</v>
      </c>
      <c r="C128" t="e">
        <f>IF(GETPIVOTDATA("ITL",'ITL-PIVOT'!$A$3,"KV%",$A128,"Experiment",C$5,"date",C$6)=0,NA(),GETPIVOTDATA("ITL",'ITL-PIVOT'!$A$3,"KV%",$A128,"Experiment",C$5,"date",C$6))</f>
        <v>#N/A</v>
      </c>
      <c r="D128" t="e">
        <f>IF(GETPIVOTDATA("ITL",'ITL-PIVOT'!$A$3,"KV%",$A128,"Experiment",D$5,"date",D$6)=0,NA(),GETPIVOTDATA("ITL",'ITL-PIVOT'!$A$3,"KV%",$A128,"Experiment",D$5,"date",D$6))</f>
        <v>#N/A</v>
      </c>
      <c r="E128" t="e">
        <f>IF(GETPIVOTDATA("ITL",'ITL-PIVOT'!$A$3,"KV%",$A128,"Experiment",E$5,"date",E$6)=0,NA(),GETPIVOTDATA("ITL",'ITL-PIVOT'!$A$3,"KV%",$A128,"Experiment",E$5,"date",E$6))</f>
        <v>#N/A</v>
      </c>
      <c r="F128" t="e">
        <f>IF(GETPIVOTDATA("ITL",'ITL-PIVOT'!$A$3,"KV%",$A128,"Experiment",F$5,"date",F$6)=0,NA(),GETPIVOTDATA("ITL",'ITL-PIVOT'!$A$3,"KV%",$A128,"Experiment",F$5,"date",F$6))</f>
        <v>#N/A</v>
      </c>
      <c r="G128" t="e">
        <f>IF(GETPIVOTDATA("ITL",'ITL-PIVOT'!$A$3,"KV%",$A128,"Experiment",G$5,"date",G$6)=0,NA(),GETPIVOTDATA("ITL",'ITL-PIVOT'!$A$3,"KV%",$A128,"Experiment",G$5,"date",G$6))</f>
        <v>#N/A</v>
      </c>
      <c r="H128" t="e">
        <f>IF(GETPIVOTDATA("ITL",'ITL-PIVOT'!$A$3,"KV%",$A128,"Experiment",H$5,"date",H$6)=0,NA(),GETPIVOTDATA("ITL",'ITL-PIVOT'!$A$3,"KV%",$A128,"Experiment",H$5,"date",H$6))</f>
        <v>#N/A</v>
      </c>
      <c r="I128" t="e">
        <f>IF(GETPIVOTDATA("ITL",'ITL-PIVOT'!$A$3,"KV%",$A128,"Experiment",I$5,"date",I$6)=0,NA(),GETPIVOTDATA("ITL",'ITL-PIVOT'!$A$3,"KV%",$A128,"Experiment",I$5,"date",I$6))</f>
        <v>#N/A</v>
      </c>
      <c r="J128">
        <f>IF(GETPIVOTDATA("ITL",'ITL-PIVOT'!$A$3,"KV%",$A128,"Experiment",J$5,"date",J$6)=0,NA(),GETPIVOTDATA("ITL",'ITL-PIVOT'!$A$3,"KV%",$A128,"Experiment",J$5,"date",J$6))</f>
        <v>3.675773757560289E-2</v>
      </c>
      <c r="K128" t="e">
        <f>IF(GETPIVOTDATA("ITL",'ITL-PIVOT'!$A$3,"KV%",$A128,"Experiment",K$5,"date",K$6)=0,NA(),GETPIVOTDATA("ITL",'ITL-PIVOT'!$A$3,"KV%",$A128,"Experiment",K$5,"date",K$6))</f>
        <v>#N/A</v>
      </c>
      <c r="L128" t="e">
        <f>IF(GETPIVOTDATA("ITL",'ITL-PIVOT'!$A$3,"KV%",$A128,"Experiment",L$5,"date",L$6)=0,NA(),GETPIVOTDATA("ITL",'ITL-PIVOT'!$A$3,"KV%",$A128,"Experiment",L$5,"date",L$6))</f>
        <v>#N/A</v>
      </c>
      <c r="M128" t="e">
        <f>IF(GETPIVOTDATA("ITL",'ITL-PIVOT'!$A$3,"KV%",$A128,"Experiment",M$5,"date",M$6)=0,NA(),GETPIVOTDATA("ITL",'ITL-PIVOT'!$A$3,"KV%",$A128,"Experiment",M$5,"date",M$6))</f>
        <v>#N/A</v>
      </c>
    </row>
    <row r="129" spans="1:13" x14ac:dyDescent="0.25">
      <c r="A129">
        <f>IF('ITL-PIVOT'!A127=0,NA(),'ITL-PIVOT'!A127)</f>
        <v>0.46837916271585794</v>
      </c>
      <c r="B129" t="e">
        <f>IF(GETPIVOTDATA("ITL",'ITL-PIVOT'!$A$3,"KV%",$A129,"Experiment",B$5,"date",B$6)=0,NA(),GETPIVOTDATA("ITL",'ITL-PIVOT'!$A$3,"KV%",$A129,"Experiment",B$5,"date",B$6))</f>
        <v>#N/A</v>
      </c>
      <c r="C129" t="e">
        <f>IF(GETPIVOTDATA("ITL",'ITL-PIVOT'!$A$3,"KV%",$A129,"Experiment",C$5,"date",C$6)=0,NA(),GETPIVOTDATA("ITL",'ITL-PIVOT'!$A$3,"KV%",$A129,"Experiment",C$5,"date",C$6))</f>
        <v>#N/A</v>
      </c>
      <c r="D129" t="e">
        <f>IF(GETPIVOTDATA("ITL",'ITL-PIVOT'!$A$3,"KV%",$A129,"Experiment",D$5,"date",D$6)=0,NA(),GETPIVOTDATA("ITL",'ITL-PIVOT'!$A$3,"KV%",$A129,"Experiment",D$5,"date",D$6))</f>
        <v>#N/A</v>
      </c>
      <c r="E129" t="e">
        <f>IF(GETPIVOTDATA("ITL",'ITL-PIVOT'!$A$3,"KV%",$A129,"Experiment",E$5,"date",E$6)=0,NA(),GETPIVOTDATA("ITL",'ITL-PIVOT'!$A$3,"KV%",$A129,"Experiment",E$5,"date",E$6))</f>
        <v>#N/A</v>
      </c>
      <c r="F129" t="e">
        <f>IF(GETPIVOTDATA("ITL",'ITL-PIVOT'!$A$3,"KV%",$A129,"Experiment",F$5,"date",F$6)=0,NA(),GETPIVOTDATA("ITL",'ITL-PIVOT'!$A$3,"KV%",$A129,"Experiment",F$5,"date",F$6))</f>
        <v>#N/A</v>
      </c>
      <c r="G129" t="e">
        <f>IF(GETPIVOTDATA("ITL",'ITL-PIVOT'!$A$3,"KV%",$A129,"Experiment",G$5,"date",G$6)=0,NA(),GETPIVOTDATA("ITL",'ITL-PIVOT'!$A$3,"KV%",$A129,"Experiment",G$5,"date",G$6))</f>
        <v>#N/A</v>
      </c>
      <c r="H129" t="e">
        <f>IF(GETPIVOTDATA("ITL",'ITL-PIVOT'!$A$3,"KV%",$A129,"Experiment",H$5,"date",H$6)=0,NA(),GETPIVOTDATA("ITL",'ITL-PIVOT'!$A$3,"KV%",$A129,"Experiment",H$5,"date",H$6))</f>
        <v>#N/A</v>
      </c>
      <c r="I129">
        <f>IF(GETPIVOTDATA("ITL",'ITL-PIVOT'!$A$3,"KV%",$A129,"Experiment",I$5,"date",I$6)=0,NA(),GETPIVOTDATA("ITL",'ITL-PIVOT'!$A$3,"KV%",$A129,"Experiment",I$5,"date",I$6))</f>
        <v>4.0627822946799279E-2</v>
      </c>
      <c r="J129" t="e">
        <f>IF(GETPIVOTDATA("ITL",'ITL-PIVOT'!$A$3,"KV%",$A129,"Experiment",J$5,"date",J$6)=0,NA(),GETPIVOTDATA("ITL",'ITL-PIVOT'!$A$3,"KV%",$A129,"Experiment",J$5,"date",J$6))</f>
        <v>#N/A</v>
      </c>
      <c r="K129" t="e">
        <f>IF(GETPIVOTDATA("ITL",'ITL-PIVOT'!$A$3,"KV%",$A129,"Experiment",K$5,"date",K$6)=0,NA(),GETPIVOTDATA("ITL",'ITL-PIVOT'!$A$3,"KV%",$A129,"Experiment",K$5,"date",K$6))</f>
        <v>#N/A</v>
      </c>
      <c r="L129" t="e">
        <f>IF(GETPIVOTDATA("ITL",'ITL-PIVOT'!$A$3,"KV%",$A129,"Experiment",L$5,"date",L$6)=0,NA(),GETPIVOTDATA("ITL",'ITL-PIVOT'!$A$3,"KV%",$A129,"Experiment",L$5,"date",L$6))</f>
        <v>#N/A</v>
      </c>
      <c r="M129" t="e">
        <f>IF(GETPIVOTDATA("ITL",'ITL-PIVOT'!$A$3,"KV%",$A129,"Experiment",M$5,"date",M$6)=0,NA(),GETPIVOTDATA("ITL",'ITL-PIVOT'!$A$3,"KV%",$A129,"Experiment",M$5,"date",M$6))</f>
        <v>#N/A</v>
      </c>
    </row>
    <row r="130" spans="1:13" x14ac:dyDescent="0.25">
      <c r="A130">
        <f>IF('ITL-PIVOT'!A128=0,NA(),'ITL-PIVOT'!A128)</f>
        <v>0.46908025170243944</v>
      </c>
      <c r="B130" t="e">
        <f>IF(GETPIVOTDATA("ITL",'ITL-PIVOT'!$A$3,"KV%",$A130,"Experiment",B$5,"date",B$6)=0,NA(),GETPIVOTDATA("ITL",'ITL-PIVOT'!$A$3,"KV%",$A130,"Experiment",B$5,"date",B$6))</f>
        <v>#N/A</v>
      </c>
      <c r="C130" t="e">
        <f>IF(GETPIVOTDATA("ITL",'ITL-PIVOT'!$A$3,"KV%",$A130,"Experiment",C$5,"date",C$6)=0,NA(),GETPIVOTDATA("ITL",'ITL-PIVOT'!$A$3,"KV%",$A130,"Experiment",C$5,"date",C$6))</f>
        <v>#N/A</v>
      </c>
      <c r="D130">
        <f>IF(GETPIVOTDATA("ITL",'ITL-PIVOT'!$A$3,"KV%",$A130,"Experiment",D$5,"date",D$6)=0,NA(),GETPIVOTDATA("ITL",'ITL-PIVOT'!$A$3,"KV%",$A130,"Experiment",D$5,"date",D$6))</f>
        <v>1.8797775393388193E-2</v>
      </c>
      <c r="E130" t="e">
        <f>IF(GETPIVOTDATA("ITL",'ITL-PIVOT'!$A$3,"KV%",$A130,"Experiment",E$5,"date",E$6)=0,NA(),GETPIVOTDATA("ITL",'ITL-PIVOT'!$A$3,"KV%",$A130,"Experiment",E$5,"date",E$6))</f>
        <v>#N/A</v>
      </c>
      <c r="F130" t="e">
        <f>IF(GETPIVOTDATA("ITL",'ITL-PIVOT'!$A$3,"KV%",$A130,"Experiment",F$5,"date",F$6)=0,NA(),GETPIVOTDATA("ITL",'ITL-PIVOT'!$A$3,"KV%",$A130,"Experiment",F$5,"date",F$6))</f>
        <v>#N/A</v>
      </c>
      <c r="G130" t="e">
        <f>IF(GETPIVOTDATA("ITL",'ITL-PIVOT'!$A$3,"KV%",$A130,"Experiment",G$5,"date",G$6)=0,NA(),GETPIVOTDATA("ITL",'ITL-PIVOT'!$A$3,"KV%",$A130,"Experiment",G$5,"date",G$6))</f>
        <v>#N/A</v>
      </c>
      <c r="H130" t="e">
        <f>IF(GETPIVOTDATA("ITL",'ITL-PIVOT'!$A$3,"KV%",$A130,"Experiment",H$5,"date",H$6)=0,NA(),GETPIVOTDATA("ITL",'ITL-PIVOT'!$A$3,"KV%",$A130,"Experiment",H$5,"date",H$6))</f>
        <v>#N/A</v>
      </c>
      <c r="I130" t="e">
        <f>IF(GETPIVOTDATA("ITL",'ITL-PIVOT'!$A$3,"KV%",$A130,"Experiment",I$5,"date",I$6)=0,NA(),GETPIVOTDATA("ITL",'ITL-PIVOT'!$A$3,"KV%",$A130,"Experiment",I$5,"date",I$6))</f>
        <v>#N/A</v>
      </c>
      <c r="J130" t="e">
        <f>IF(GETPIVOTDATA("ITL",'ITL-PIVOT'!$A$3,"KV%",$A130,"Experiment",J$5,"date",J$6)=0,NA(),GETPIVOTDATA("ITL",'ITL-PIVOT'!$A$3,"KV%",$A130,"Experiment",J$5,"date",J$6))</f>
        <v>#N/A</v>
      </c>
      <c r="K130" t="e">
        <f>IF(GETPIVOTDATA("ITL",'ITL-PIVOT'!$A$3,"KV%",$A130,"Experiment",K$5,"date",K$6)=0,NA(),GETPIVOTDATA("ITL",'ITL-PIVOT'!$A$3,"KV%",$A130,"Experiment",K$5,"date",K$6))</f>
        <v>#N/A</v>
      </c>
      <c r="L130" t="e">
        <f>IF(GETPIVOTDATA("ITL",'ITL-PIVOT'!$A$3,"KV%",$A130,"Experiment",L$5,"date",L$6)=0,NA(),GETPIVOTDATA("ITL",'ITL-PIVOT'!$A$3,"KV%",$A130,"Experiment",L$5,"date",L$6))</f>
        <v>#N/A</v>
      </c>
      <c r="M130" t="e">
        <f>IF(GETPIVOTDATA("ITL",'ITL-PIVOT'!$A$3,"KV%",$A130,"Experiment",M$5,"date",M$6)=0,NA(),GETPIVOTDATA("ITL",'ITL-PIVOT'!$A$3,"KV%",$A130,"Experiment",M$5,"date",M$6))</f>
        <v>#N/A</v>
      </c>
    </row>
    <row r="131" spans="1:13" x14ac:dyDescent="0.25">
      <c r="A131">
        <f>IF('ITL-PIVOT'!A129=0,NA(),'ITL-PIVOT'!A129)</f>
        <v>0.47599172485130598</v>
      </c>
      <c r="B131" t="e">
        <f>IF(GETPIVOTDATA("ITL",'ITL-PIVOT'!$A$3,"KV%",$A131,"Experiment",B$5,"date",B$6)=0,NA(),GETPIVOTDATA("ITL",'ITL-PIVOT'!$A$3,"KV%",$A131,"Experiment",B$5,"date",B$6))</f>
        <v>#N/A</v>
      </c>
      <c r="C131" t="e">
        <f>IF(GETPIVOTDATA("ITL",'ITL-PIVOT'!$A$3,"KV%",$A131,"Experiment",C$5,"date",C$6)=0,NA(),GETPIVOTDATA("ITL",'ITL-PIVOT'!$A$3,"KV%",$A131,"Experiment",C$5,"date",C$6))</f>
        <v>#N/A</v>
      </c>
      <c r="D131" t="e">
        <f>IF(GETPIVOTDATA("ITL",'ITL-PIVOT'!$A$3,"KV%",$A131,"Experiment",D$5,"date",D$6)=0,NA(),GETPIVOTDATA("ITL",'ITL-PIVOT'!$A$3,"KV%",$A131,"Experiment",D$5,"date",D$6))</f>
        <v>#N/A</v>
      </c>
      <c r="E131" t="e">
        <f>IF(GETPIVOTDATA("ITL",'ITL-PIVOT'!$A$3,"KV%",$A131,"Experiment",E$5,"date",E$6)=0,NA(),GETPIVOTDATA("ITL",'ITL-PIVOT'!$A$3,"KV%",$A131,"Experiment",E$5,"date",E$6))</f>
        <v>#N/A</v>
      </c>
      <c r="F131" t="e">
        <f>IF(GETPIVOTDATA("ITL",'ITL-PIVOT'!$A$3,"KV%",$A131,"Experiment",F$5,"date",F$6)=0,NA(),GETPIVOTDATA("ITL",'ITL-PIVOT'!$A$3,"KV%",$A131,"Experiment",F$5,"date",F$6))</f>
        <v>#N/A</v>
      </c>
      <c r="G131" t="e">
        <f>IF(GETPIVOTDATA("ITL",'ITL-PIVOT'!$A$3,"KV%",$A131,"Experiment",G$5,"date",G$6)=0,NA(),GETPIVOTDATA("ITL",'ITL-PIVOT'!$A$3,"KV%",$A131,"Experiment",G$5,"date",G$6))</f>
        <v>#N/A</v>
      </c>
      <c r="H131" t="e">
        <f>IF(GETPIVOTDATA("ITL",'ITL-PIVOT'!$A$3,"KV%",$A131,"Experiment",H$5,"date",H$6)=0,NA(),GETPIVOTDATA("ITL",'ITL-PIVOT'!$A$3,"KV%",$A131,"Experiment",H$5,"date",H$6))</f>
        <v>#N/A</v>
      </c>
      <c r="I131" t="e">
        <f>IF(GETPIVOTDATA("ITL",'ITL-PIVOT'!$A$3,"KV%",$A131,"Experiment",I$5,"date",I$6)=0,NA(),GETPIVOTDATA("ITL",'ITL-PIVOT'!$A$3,"KV%",$A131,"Experiment",I$5,"date",I$6))</f>
        <v>#N/A</v>
      </c>
      <c r="J131" t="e">
        <f>IF(GETPIVOTDATA("ITL",'ITL-PIVOT'!$A$3,"KV%",$A131,"Experiment",J$5,"date",J$6)=0,NA(),GETPIVOTDATA("ITL",'ITL-PIVOT'!$A$3,"KV%",$A131,"Experiment",J$5,"date",J$6))</f>
        <v>#N/A</v>
      </c>
      <c r="K131" t="e">
        <f>IF(GETPIVOTDATA("ITL",'ITL-PIVOT'!$A$3,"KV%",$A131,"Experiment",K$5,"date",K$6)=0,NA(),GETPIVOTDATA("ITL",'ITL-PIVOT'!$A$3,"KV%",$A131,"Experiment",K$5,"date",K$6))</f>
        <v>#N/A</v>
      </c>
      <c r="L131">
        <f>IF(GETPIVOTDATA("ITL",'ITL-PIVOT'!$A$3,"KV%",$A131,"Experiment",L$5,"date",L$6)=0,NA(),GETPIVOTDATA("ITL",'ITL-PIVOT'!$A$3,"KV%",$A131,"Experiment",L$5,"date",L$6))</f>
        <v>2.4015037537711399E-2</v>
      </c>
      <c r="M131" t="e">
        <f>IF(GETPIVOTDATA("ITL",'ITL-PIVOT'!$A$3,"KV%",$A131,"Experiment",M$5,"date",M$6)=0,NA(),GETPIVOTDATA("ITL",'ITL-PIVOT'!$A$3,"KV%",$A131,"Experiment",M$5,"date",M$6))</f>
        <v>#N/A</v>
      </c>
    </row>
    <row r="132" spans="1:13" x14ac:dyDescent="0.25">
      <c r="A132">
        <f>IF('ITL-PIVOT'!A130=0,NA(),'ITL-PIVOT'!A130)</f>
        <v>0.47636895526247736</v>
      </c>
      <c r="B132" t="e">
        <f>IF(GETPIVOTDATA("ITL",'ITL-PIVOT'!$A$3,"KV%",$A132,"Experiment",B$5,"date",B$6)=0,NA(),GETPIVOTDATA("ITL",'ITL-PIVOT'!$A$3,"KV%",$A132,"Experiment",B$5,"date",B$6))</f>
        <v>#N/A</v>
      </c>
      <c r="C132" t="e">
        <f>IF(GETPIVOTDATA("ITL",'ITL-PIVOT'!$A$3,"KV%",$A132,"Experiment",C$5,"date",C$6)=0,NA(),GETPIVOTDATA("ITL",'ITL-PIVOT'!$A$3,"KV%",$A132,"Experiment",C$5,"date",C$6))</f>
        <v>#N/A</v>
      </c>
      <c r="D132" t="e">
        <f>IF(GETPIVOTDATA("ITL",'ITL-PIVOT'!$A$3,"KV%",$A132,"Experiment",D$5,"date",D$6)=0,NA(),GETPIVOTDATA("ITL",'ITL-PIVOT'!$A$3,"KV%",$A132,"Experiment",D$5,"date",D$6))</f>
        <v>#N/A</v>
      </c>
      <c r="E132" t="e">
        <f>IF(GETPIVOTDATA("ITL",'ITL-PIVOT'!$A$3,"KV%",$A132,"Experiment",E$5,"date",E$6)=0,NA(),GETPIVOTDATA("ITL",'ITL-PIVOT'!$A$3,"KV%",$A132,"Experiment",E$5,"date",E$6))</f>
        <v>#N/A</v>
      </c>
      <c r="F132" t="e">
        <f>IF(GETPIVOTDATA("ITL",'ITL-PIVOT'!$A$3,"KV%",$A132,"Experiment",F$5,"date",F$6)=0,NA(),GETPIVOTDATA("ITL",'ITL-PIVOT'!$A$3,"KV%",$A132,"Experiment",F$5,"date",F$6))</f>
        <v>#N/A</v>
      </c>
      <c r="G132" t="e">
        <f>IF(GETPIVOTDATA("ITL",'ITL-PIVOT'!$A$3,"KV%",$A132,"Experiment",G$5,"date",G$6)=0,NA(),GETPIVOTDATA("ITL",'ITL-PIVOT'!$A$3,"KV%",$A132,"Experiment",G$5,"date",G$6))</f>
        <v>#N/A</v>
      </c>
      <c r="H132" t="e">
        <f>IF(GETPIVOTDATA("ITL",'ITL-PIVOT'!$A$3,"KV%",$A132,"Experiment",H$5,"date",H$6)=0,NA(),GETPIVOTDATA("ITL",'ITL-PIVOT'!$A$3,"KV%",$A132,"Experiment",H$5,"date",H$6))</f>
        <v>#N/A</v>
      </c>
      <c r="I132" t="e">
        <f>IF(GETPIVOTDATA("ITL",'ITL-PIVOT'!$A$3,"KV%",$A132,"Experiment",I$5,"date",I$6)=0,NA(),GETPIVOTDATA("ITL",'ITL-PIVOT'!$A$3,"KV%",$A132,"Experiment",I$5,"date",I$6))</f>
        <v>#N/A</v>
      </c>
      <c r="J132" t="e">
        <f>IF(GETPIVOTDATA("ITL",'ITL-PIVOT'!$A$3,"KV%",$A132,"Experiment",J$5,"date",J$6)=0,NA(),GETPIVOTDATA("ITL",'ITL-PIVOT'!$A$3,"KV%",$A132,"Experiment",J$5,"date",J$6))</f>
        <v>#N/A</v>
      </c>
      <c r="K132" t="e">
        <f>IF(GETPIVOTDATA("ITL",'ITL-PIVOT'!$A$3,"KV%",$A132,"Experiment",K$5,"date",K$6)=0,NA(),GETPIVOTDATA("ITL",'ITL-PIVOT'!$A$3,"KV%",$A132,"Experiment",K$5,"date",K$6))</f>
        <v>#N/A</v>
      </c>
      <c r="L132">
        <f>IF(GETPIVOTDATA("ITL",'ITL-PIVOT'!$A$3,"KV%",$A132,"Experiment",L$5,"date",L$6)=0,NA(),GETPIVOTDATA("ITL",'ITL-PIVOT'!$A$3,"KV%",$A132,"Experiment",L$5,"date",L$6))</f>
        <v>2.534745202136612E-2</v>
      </c>
      <c r="M132" t="e">
        <f>IF(GETPIVOTDATA("ITL",'ITL-PIVOT'!$A$3,"KV%",$A132,"Experiment",M$5,"date",M$6)=0,NA(),GETPIVOTDATA("ITL",'ITL-PIVOT'!$A$3,"KV%",$A132,"Experiment",M$5,"date",M$6))</f>
        <v>#N/A</v>
      </c>
    </row>
    <row r="133" spans="1:13" x14ac:dyDescent="0.25">
      <c r="A133">
        <f>IF('ITL-PIVOT'!A131=0,NA(),'ITL-PIVOT'!A131)</f>
        <v>0.47788337212309279</v>
      </c>
      <c r="B133" t="e">
        <f>IF(GETPIVOTDATA("ITL",'ITL-PIVOT'!$A$3,"KV%",$A133,"Experiment",B$5,"date",B$6)=0,NA(),GETPIVOTDATA("ITL",'ITL-PIVOT'!$A$3,"KV%",$A133,"Experiment",B$5,"date",B$6))</f>
        <v>#N/A</v>
      </c>
      <c r="C133" t="e">
        <f>IF(GETPIVOTDATA("ITL",'ITL-PIVOT'!$A$3,"KV%",$A133,"Experiment",C$5,"date",C$6)=0,NA(),GETPIVOTDATA("ITL",'ITL-PIVOT'!$A$3,"KV%",$A133,"Experiment",C$5,"date",C$6))</f>
        <v>#N/A</v>
      </c>
      <c r="D133" t="e">
        <f>IF(GETPIVOTDATA("ITL",'ITL-PIVOT'!$A$3,"KV%",$A133,"Experiment",D$5,"date",D$6)=0,NA(),GETPIVOTDATA("ITL",'ITL-PIVOT'!$A$3,"KV%",$A133,"Experiment",D$5,"date",D$6))</f>
        <v>#N/A</v>
      </c>
      <c r="E133" t="e">
        <f>IF(GETPIVOTDATA("ITL",'ITL-PIVOT'!$A$3,"KV%",$A133,"Experiment",E$5,"date",E$6)=0,NA(),GETPIVOTDATA("ITL",'ITL-PIVOT'!$A$3,"KV%",$A133,"Experiment",E$5,"date",E$6))</f>
        <v>#N/A</v>
      </c>
      <c r="F133" t="e">
        <f>IF(GETPIVOTDATA("ITL",'ITL-PIVOT'!$A$3,"KV%",$A133,"Experiment",F$5,"date",F$6)=0,NA(),GETPIVOTDATA("ITL",'ITL-PIVOT'!$A$3,"KV%",$A133,"Experiment",F$5,"date",F$6))</f>
        <v>#N/A</v>
      </c>
      <c r="G133" t="e">
        <f>IF(GETPIVOTDATA("ITL",'ITL-PIVOT'!$A$3,"KV%",$A133,"Experiment",G$5,"date",G$6)=0,NA(),GETPIVOTDATA("ITL",'ITL-PIVOT'!$A$3,"KV%",$A133,"Experiment",G$5,"date",G$6))</f>
        <v>#N/A</v>
      </c>
      <c r="H133" t="e">
        <f>IF(GETPIVOTDATA("ITL",'ITL-PIVOT'!$A$3,"KV%",$A133,"Experiment",H$5,"date",H$6)=0,NA(),GETPIVOTDATA("ITL",'ITL-PIVOT'!$A$3,"KV%",$A133,"Experiment",H$5,"date",H$6))</f>
        <v>#N/A</v>
      </c>
      <c r="I133" t="e">
        <f>IF(GETPIVOTDATA("ITL",'ITL-PIVOT'!$A$3,"KV%",$A133,"Experiment",I$5,"date",I$6)=0,NA(),GETPIVOTDATA("ITL",'ITL-PIVOT'!$A$3,"KV%",$A133,"Experiment",I$5,"date",I$6))</f>
        <v>#N/A</v>
      </c>
      <c r="J133" t="e">
        <f>IF(GETPIVOTDATA("ITL",'ITL-PIVOT'!$A$3,"KV%",$A133,"Experiment",J$5,"date",J$6)=0,NA(),GETPIVOTDATA("ITL",'ITL-PIVOT'!$A$3,"KV%",$A133,"Experiment",J$5,"date",J$6))</f>
        <v>#N/A</v>
      </c>
      <c r="K133" t="e">
        <f>IF(GETPIVOTDATA("ITL",'ITL-PIVOT'!$A$3,"KV%",$A133,"Experiment",K$5,"date",K$6)=0,NA(),GETPIVOTDATA("ITL",'ITL-PIVOT'!$A$3,"KV%",$A133,"Experiment",K$5,"date",K$6))</f>
        <v>#N/A</v>
      </c>
      <c r="L133">
        <f>IF(GETPIVOTDATA("ITL",'ITL-PIVOT'!$A$3,"KV%",$A133,"Experiment",L$5,"date",L$6)=0,NA(),GETPIVOTDATA("ITL",'ITL-PIVOT'!$A$3,"KV%",$A133,"Experiment",L$5,"date",L$6))</f>
        <v>2.899486974076091E-2</v>
      </c>
      <c r="M133" t="e">
        <f>IF(GETPIVOTDATA("ITL",'ITL-PIVOT'!$A$3,"KV%",$A133,"Experiment",M$5,"date",M$6)=0,NA(),GETPIVOTDATA("ITL",'ITL-PIVOT'!$A$3,"KV%",$A133,"Experiment",M$5,"date",M$6))</f>
        <v>#N/A</v>
      </c>
    </row>
    <row r="134" spans="1:13" x14ac:dyDescent="0.25">
      <c r="A134">
        <f>IF('ITL-PIVOT'!A132=0,NA(),'ITL-PIVOT'!A132)</f>
        <v>0.48270530865565769</v>
      </c>
      <c r="B134" t="e">
        <f>IF(GETPIVOTDATA("ITL",'ITL-PIVOT'!$A$3,"KV%",$A134,"Experiment",B$5,"date",B$6)=0,NA(),GETPIVOTDATA("ITL",'ITL-PIVOT'!$A$3,"KV%",$A134,"Experiment",B$5,"date",B$6))</f>
        <v>#N/A</v>
      </c>
      <c r="C134" t="e">
        <f>IF(GETPIVOTDATA("ITL",'ITL-PIVOT'!$A$3,"KV%",$A134,"Experiment",C$5,"date",C$6)=0,NA(),GETPIVOTDATA("ITL",'ITL-PIVOT'!$A$3,"KV%",$A134,"Experiment",C$5,"date",C$6))</f>
        <v>#N/A</v>
      </c>
      <c r="D134" t="e">
        <f>IF(GETPIVOTDATA("ITL",'ITL-PIVOT'!$A$3,"KV%",$A134,"Experiment",D$5,"date",D$6)=0,NA(),GETPIVOTDATA("ITL",'ITL-PIVOT'!$A$3,"KV%",$A134,"Experiment",D$5,"date",D$6))</f>
        <v>#N/A</v>
      </c>
      <c r="E134" t="e">
        <f>IF(GETPIVOTDATA("ITL",'ITL-PIVOT'!$A$3,"KV%",$A134,"Experiment",E$5,"date",E$6)=0,NA(),GETPIVOTDATA("ITL",'ITL-PIVOT'!$A$3,"KV%",$A134,"Experiment",E$5,"date",E$6))</f>
        <v>#N/A</v>
      </c>
      <c r="F134" t="e">
        <f>IF(GETPIVOTDATA("ITL",'ITL-PIVOT'!$A$3,"KV%",$A134,"Experiment",F$5,"date",F$6)=0,NA(),GETPIVOTDATA("ITL",'ITL-PIVOT'!$A$3,"KV%",$A134,"Experiment",F$5,"date",F$6))</f>
        <v>#N/A</v>
      </c>
      <c r="G134" t="e">
        <f>IF(GETPIVOTDATA("ITL",'ITL-PIVOT'!$A$3,"KV%",$A134,"Experiment",G$5,"date",G$6)=0,NA(),GETPIVOTDATA("ITL",'ITL-PIVOT'!$A$3,"KV%",$A134,"Experiment",G$5,"date",G$6))</f>
        <v>#N/A</v>
      </c>
      <c r="H134" t="e">
        <f>IF(GETPIVOTDATA("ITL",'ITL-PIVOT'!$A$3,"KV%",$A134,"Experiment",H$5,"date",H$6)=0,NA(),GETPIVOTDATA("ITL",'ITL-PIVOT'!$A$3,"KV%",$A134,"Experiment",H$5,"date",H$6))</f>
        <v>#N/A</v>
      </c>
      <c r="I134" t="e">
        <f>IF(GETPIVOTDATA("ITL",'ITL-PIVOT'!$A$3,"KV%",$A134,"Experiment",I$5,"date",I$6)=0,NA(),GETPIVOTDATA("ITL",'ITL-PIVOT'!$A$3,"KV%",$A134,"Experiment",I$5,"date",I$6))</f>
        <v>#N/A</v>
      </c>
      <c r="J134" t="e">
        <f>IF(GETPIVOTDATA("ITL",'ITL-PIVOT'!$A$3,"KV%",$A134,"Experiment",J$5,"date",J$6)=0,NA(),GETPIVOTDATA("ITL",'ITL-PIVOT'!$A$3,"KV%",$A134,"Experiment",J$5,"date",J$6))</f>
        <v>#N/A</v>
      </c>
      <c r="K134" t="e">
        <f>IF(GETPIVOTDATA("ITL",'ITL-PIVOT'!$A$3,"KV%",$A134,"Experiment",K$5,"date",K$6)=0,NA(),GETPIVOTDATA("ITL",'ITL-PIVOT'!$A$3,"KV%",$A134,"Experiment",K$5,"date",K$6))</f>
        <v>#N/A</v>
      </c>
      <c r="L134">
        <f>IF(GETPIVOTDATA("ITL",'ITL-PIVOT'!$A$3,"KV%",$A134,"Experiment",L$5,"date",L$6)=0,NA(),GETPIVOTDATA("ITL",'ITL-PIVOT'!$A$3,"KV%",$A134,"Experiment",L$5,"date",L$6))</f>
        <v>2.6898599939678539E-2</v>
      </c>
      <c r="M134" t="e">
        <f>IF(GETPIVOTDATA("ITL",'ITL-PIVOT'!$A$3,"KV%",$A134,"Experiment",M$5,"date",M$6)=0,NA(),GETPIVOTDATA("ITL",'ITL-PIVOT'!$A$3,"KV%",$A134,"Experiment",M$5,"date",M$6))</f>
        <v>#N/A</v>
      </c>
    </row>
    <row r="135" spans="1:13" x14ac:dyDescent="0.25">
      <c r="A135">
        <f>IF('ITL-PIVOT'!A133=0,NA(),'ITL-PIVOT'!A133)</f>
        <v>0.48496541880263877</v>
      </c>
      <c r="B135" t="e">
        <f>IF(GETPIVOTDATA("ITL",'ITL-PIVOT'!$A$3,"KV%",$A135,"Experiment",B$5,"date",B$6)=0,NA(),GETPIVOTDATA("ITL",'ITL-PIVOT'!$A$3,"KV%",$A135,"Experiment",B$5,"date",B$6))</f>
        <v>#N/A</v>
      </c>
      <c r="C135" t="e">
        <f>IF(GETPIVOTDATA("ITL",'ITL-PIVOT'!$A$3,"KV%",$A135,"Experiment",C$5,"date",C$6)=0,NA(),GETPIVOTDATA("ITL",'ITL-PIVOT'!$A$3,"KV%",$A135,"Experiment",C$5,"date",C$6))</f>
        <v>#N/A</v>
      </c>
      <c r="D135">
        <f>IF(GETPIVOTDATA("ITL",'ITL-PIVOT'!$A$3,"KV%",$A135,"Experiment",D$5,"date",D$6)=0,NA(),GETPIVOTDATA("ITL",'ITL-PIVOT'!$A$3,"KV%",$A135,"Experiment",D$5,"date",D$6))</f>
        <v>1.995583345049148E-2</v>
      </c>
      <c r="E135" t="e">
        <f>IF(GETPIVOTDATA("ITL",'ITL-PIVOT'!$A$3,"KV%",$A135,"Experiment",E$5,"date",E$6)=0,NA(),GETPIVOTDATA("ITL",'ITL-PIVOT'!$A$3,"KV%",$A135,"Experiment",E$5,"date",E$6))</f>
        <v>#N/A</v>
      </c>
      <c r="F135" t="e">
        <f>IF(GETPIVOTDATA("ITL",'ITL-PIVOT'!$A$3,"KV%",$A135,"Experiment",F$5,"date",F$6)=0,NA(),GETPIVOTDATA("ITL",'ITL-PIVOT'!$A$3,"KV%",$A135,"Experiment",F$5,"date",F$6))</f>
        <v>#N/A</v>
      </c>
      <c r="G135" t="e">
        <f>IF(GETPIVOTDATA("ITL",'ITL-PIVOT'!$A$3,"KV%",$A135,"Experiment",G$5,"date",G$6)=0,NA(),GETPIVOTDATA("ITL",'ITL-PIVOT'!$A$3,"KV%",$A135,"Experiment",G$5,"date",G$6))</f>
        <v>#N/A</v>
      </c>
      <c r="H135" t="e">
        <f>IF(GETPIVOTDATA("ITL",'ITL-PIVOT'!$A$3,"KV%",$A135,"Experiment",H$5,"date",H$6)=0,NA(),GETPIVOTDATA("ITL",'ITL-PIVOT'!$A$3,"KV%",$A135,"Experiment",H$5,"date",H$6))</f>
        <v>#N/A</v>
      </c>
      <c r="I135" t="e">
        <f>IF(GETPIVOTDATA("ITL",'ITL-PIVOT'!$A$3,"KV%",$A135,"Experiment",I$5,"date",I$6)=0,NA(),GETPIVOTDATA("ITL",'ITL-PIVOT'!$A$3,"KV%",$A135,"Experiment",I$5,"date",I$6))</f>
        <v>#N/A</v>
      </c>
      <c r="J135" t="e">
        <f>IF(GETPIVOTDATA("ITL",'ITL-PIVOT'!$A$3,"KV%",$A135,"Experiment",J$5,"date",J$6)=0,NA(),GETPIVOTDATA("ITL",'ITL-PIVOT'!$A$3,"KV%",$A135,"Experiment",J$5,"date",J$6))</f>
        <v>#N/A</v>
      </c>
      <c r="K135" t="e">
        <f>IF(GETPIVOTDATA("ITL",'ITL-PIVOT'!$A$3,"KV%",$A135,"Experiment",K$5,"date",K$6)=0,NA(),GETPIVOTDATA("ITL",'ITL-PIVOT'!$A$3,"KV%",$A135,"Experiment",K$5,"date",K$6))</f>
        <v>#N/A</v>
      </c>
      <c r="L135" t="e">
        <f>IF(GETPIVOTDATA("ITL",'ITL-PIVOT'!$A$3,"KV%",$A135,"Experiment",L$5,"date",L$6)=0,NA(),GETPIVOTDATA("ITL",'ITL-PIVOT'!$A$3,"KV%",$A135,"Experiment",L$5,"date",L$6))</f>
        <v>#N/A</v>
      </c>
      <c r="M135" t="e">
        <f>IF(GETPIVOTDATA("ITL",'ITL-PIVOT'!$A$3,"KV%",$A135,"Experiment",M$5,"date",M$6)=0,NA(),GETPIVOTDATA("ITL",'ITL-PIVOT'!$A$3,"KV%",$A135,"Experiment",M$5,"date",M$6))</f>
        <v>#N/A</v>
      </c>
    </row>
    <row r="136" spans="1:13" x14ac:dyDescent="0.25">
      <c r="A136">
        <f>IF('ITL-PIVOT'!A134=0,NA(),'ITL-PIVOT'!A134)</f>
        <v>0.49365638240735221</v>
      </c>
      <c r="B136" t="e">
        <f>IF(GETPIVOTDATA("ITL",'ITL-PIVOT'!$A$3,"KV%",$A136,"Experiment",B$5,"date",B$6)=0,NA(),GETPIVOTDATA("ITL",'ITL-PIVOT'!$A$3,"KV%",$A136,"Experiment",B$5,"date",B$6))</f>
        <v>#N/A</v>
      </c>
      <c r="C136" t="e">
        <f>IF(GETPIVOTDATA("ITL",'ITL-PIVOT'!$A$3,"KV%",$A136,"Experiment",C$5,"date",C$6)=0,NA(),GETPIVOTDATA("ITL",'ITL-PIVOT'!$A$3,"KV%",$A136,"Experiment",C$5,"date",C$6))</f>
        <v>#N/A</v>
      </c>
      <c r="D136" t="e">
        <f>IF(GETPIVOTDATA("ITL",'ITL-PIVOT'!$A$3,"KV%",$A136,"Experiment",D$5,"date",D$6)=0,NA(),GETPIVOTDATA("ITL",'ITL-PIVOT'!$A$3,"KV%",$A136,"Experiment",D$5,"date",D$6))</f>
        <v>#N/A</v>
      </c>
      <c r="E136" t="e">
        <f>IF(GETPIVOTDATA("ITL",'ITL-PIVOT'!$A$3,"KV%",$A136,"Experiment",E$5,"date",E$6)=0,NA(),GETPIVOTDATA("ITL",'ITL-PIVOT'!$A$3,"KV%",$A136,"Experiment",E$5,"date",E$6))</f>
        <v>#N/A</v>
      </c>
      <c r="F136" t="e">
        <f>IF(GETPIVOTDATA("ITL",'ITL-PIVOT'!$A$3,"KV%",$A136,"Experiment",F$5,"date",F$6)=0,NA(),GETPIVOTDATA("ITL",'ITL-PIVOT'!$A$3,"KV%",$A136,"Experiment",F$5,"date",F$6))</f>
        <v>#N/A</v>
      </c>
      <c r="G136" t="e">
        <f>IF(GETPIVOTDATA("ITL",'ITL-PIVOT'!$A$3,"KV%",$A136,"Experiment",G$5,"date",G$6)=0,NA(),GETPIVOTDATA("ITL",'ITL-PIVOT'!$A$3,"KV%",$A136,"Experiment",G$5,"date",G$6))</f>
        <v>#N/A</v>
      </c>
      <c r="H136" t="e">
        <f>IF(GETPIVOTDATA("ITL",'ITL-PIVOT'!$A$3,"KV%",$A136,"Experiment",H$5,"date",H$6)=0,NA(),GETPIVOTDATA("ITL",'ITL-PIVOT'!$A$3,"KV%",$A136,"Experiment",H$5,"date",H$6))</f>
        <v>#N/A</v>
      </c>
      <c r="I136" t="e">
        <f>IF(GETPIVOTDATA("ITL",'ITL-PIVOT'!$A$3,"KV%",$A136,"Experiment",I$5,"date",I$6)=0,NA(),GETPIVOTDATA("ITL",'ITL-PIVOT'!$A$3,"KV%",$A136,"Experiment",I$5,"date",I$6))</f>
        <v>#N/A</v>
      </c>
      <c r="J136" t="e">
        <f>IF(GETPIVOTDATA("ITL",'ITL-PIVOT'!$A$3,"KV%",$A136,"Experiment",J$5,"date",J$6)=0,NA(),GETPIVOTDATA("ITL",'ITL-PIVOT'!$A$3,"KV%",$A136,"Experiment",J$5,"date",J$6))</f>
        <v>#N/A</v>
      </c>
      <c r="K136" t="e">
        <f>IF(GETPIVOTDATA("ITL",'ITL-PIVOT'!$A$3,"KV%",$A136,"Experiment",K$5,"date",K$6)=0,NA(),GETPIVOTDATA("ITL",'ITL-PIVOT'!$A$3,"KV%",$A136,"Experiment",K$5,"date",K$6))</f>
        <v>#N/A</v>
      </c>
      <c r="L136">
        <f>IF(GETPIVOTDATA("ITL",'ITL-PIVOT'!$A$3,"KV%",$A136,"Experiment",L$5,"date",L$6)=0,NA(),GETPIVOTDATA("ITL",'ITL-PIVOT'!$A$3,"KV%",$A136,"Experiment",L$5,"date",L$6))</f>
        <v>2.7495596487765641E-2</v>
      </c>
      <c r="M136" t="e">
        <f>IF(GETPIVOTDATA("ITL",'ITL-PIVOT'!$A$3,"KV%",$A136,"Experiment",M$5,"date",M$6)=0,NA(),GETPIVOTDATA("ITL",'ITL-PIVOT'!$A$3,"KV%",$A136,"Experiment",M$5,"date",M$6))</f>
        <v>#N/A</v>
      </c>
    </row>
    <row r="137" spans="1:13" x14ac:dyDescent="0.25">
      <c r="A137">
        <f>IF('ITL-PIVOT'!A135=0,NA(),'ITL-PIVOT'!A135)</f>
        <v>0.49386129038198118</v>
      </c>
      <c r="B137" t="e">
        <f>IF(GETPIVOTDATA("ITL",'ITL-PIVOT'!$A$3,"KV%",$A137,"Experiment",B$5,"date",B$6)=0,NA(),GETPIVOTDATA("ITL",'ITL-PIVOT'!$A$3,"KV%",$A137,"Experiment",B$5,"date",B$6))</f>
        <v>#N/A</v>
      </c>
      <c r="C137" t="e">
        <f>IF(GETPIVOTDATA("ITL",'ITL-PIVOT'!$A$3,"KV%",$A137,"Experiment",C$5,"date",C$6)=0,NA(),GETPIVOTDATA("ITL",'ITL-PIVOT'!$A$3,"KV%",$A137,"Experiment",C$5,"date",C$6))</f>
        <v>#N/A</v>
      </c>
      <c r="D137" t="e">
        <f>IF(GETPIVOTDATA("ITL",'ITL-PIVOT'!$A$3,"KV%",$A137,"Experiment",D$5,"date",D$6)=0,NA(),GETPIVOTDATA("ITL",'ITL-PIVOT'!$A$3,"KV%",$A137,"Experiment",D$5,"date",D$6))</f>
        <v>#N/A</v>
      </c>
      <c r="E137" t="e">
        <f>IF(GETPIVOTDATA("ITL",'ITL-PIVOT'!$A$3,"KV%",$A137,"Experiment",E$5,"date",E$6)=0,NA(),GETPIVOTDATA("ITL",'ITL-PIVOT'!$A$3,"KV%",$A137,"Experiment",E$5,"date",E$6))</f>
        <v>#N/A</v>
      </c>
      <c r="F137">
        <f>IF(GETPIVOTDATA("ITL",'ITL-PIVOT'!$A$3,"KV%",$A137,"Experiment",F$5,"date",F$6)=0,NA(),GETPIVOTDATA("ITL",'ITL-PIVOT'!$A$3,"KV%",$A137,"Experiment",F$5,"date",F$6))</f>
        <v>2.0872182953329547E-2</v>
      </c>
      <c r="G137" t="e">
        <f>IF(GETPIVOTDATA("ITL",'ITL-PIVOT'!$A$3,"KV%",$A137,"Experiment",G$5,"date",G$6)=0,NA(),GETPIVOTDATA("ITL",'ITL-PIVOT'!$A$3,"KV%",$A137,"Experiment",G$5,"date",G$6))</f>
        <v>#N/A</v>
      </c>
      <c r="H137" t="e">
        <f>IF(GETPIVOTDATA("ITL",'ITL-PIVOT'!$A$3,"KV%",$A137,"Experiment",H$5,"date",H$6)=0,NA(),GETPIVOTDATA("ITL",'ITL-PIVOT'!$A$3,"KV%",$A137,"Experiment",H$5,"date",H$6))</f>
        <v>#N/A</v>
      </c>
      <c r="I137" t="e">
        <f>IF(GETPIVOTDATA("ITL",'ITL-PIVOT'!$A$3,"KV%",$A137,"Experiment",I$5,"date",I$6)=0,NA(),GETPIVOTDATA("ITL",'ITL-PIVOT'!$A$3,"KV%",$A137,"Experiment",I$5,"date",I$6))</f>
        <v>#N/A</v>
      </c>
      <c r="J137" t="e">
        <f>IF(GETPIVOTDATA("ITL",'ITL-PIVOT'!$A$3,"KV%",$A137,"Experiment",J$5,"date",J$6)=0,NA(),GETPIVOTDATA("ITL",'ITL-PIVOT'!$A$3,"KV%",$A137,"Experiment",J$5,"date",J$6))</f>
        <v>#N/A</v>
      </c>
      <c r="K137" t="e">
        <f>IF(GETPIVOTDATA("ITL",'ITL-PIVOT'!$A$3,"KV%",$A137,"Experiment",K$5,"date",K$6)=0,NA(),GETPIVOTDATA("ITL",'ITL-PIVOT'!$A$3,"KV%",$A137,"Experiment",K$5,"date",K$6))</f>
        <v>#N/A</v>
      </c>
      <c r="L137" t="e">
        <f>IF(GETPIVOTDATA("ITL",'ITL-PIVOT'!$A$3,"KV%",$A137,"Experiment",L$5,"date",L$6)=0,NA(),GETPIVOTDATA("ITL",'ITL-PIVOT'!$A$3,"KV%",$A137,"Experiment",L$5,"date",L$6))</f>
        <v>#N/A</v>
      </c>
      <c r="M137" t="e">
        <f>IF(GETPIVOTDATA("ITL",'ITL-PIVOT'!$A$3,"KV%",$A137,"Experiment",M$5,"date",M$6)=0,NA(),GETPIVOTDATA("ITL",'ITL-PIVOT'!$A$3,"KV%",$A137,"Experiment",M$5,"date",M$6))</f>
        <v>#N/A</v>
      </c>
    </row>
    <row r="138" spans="1:13" x14ac:dyDescent="0.25">
      <c r="A138">
        <f>IF('ITL-PIVOT'!A136=0,NA(),'ITL-PIVOT'!A136)</f>
        <v>0.4969550038789759</v>
      </c>
      <c r="B138" t="e">
        <f>IF(GETPIVOTDATA("ITL",'ITL-PIVOT'!$A$3,"KV%",$A138,"Experiment",B$5,"date",B$6)=0,NA(),GETPIVOTDATA("ITL",'ITL-PIVOT'!$A$3,"KV%",$A138,"Experiment",B$5,"date",B$6))</f>
        <v>#N/A</v>
      </c>
      <c r="C138" t="e">
        <f>IF(GETPIVOTDATA("ITL",'ITL-PIVOT'!$A$3,"KV%",$A138,"Experiment",C$5,"date",C$6)=0,NA(),GETPIVOTDATA("ITL",'ITL-PIVOT'!$A$3,"KV%",$A138,"Experiment",C$5,"date",C$6))</f>
        <v>#N/A</v>
      </c>
      <c r="D138" t="e">
        <f>IF(GETPIVOTDATA("ITL",'ITL-PIVOT'!$A$3,"KV%",$A138,"Experiment",D$5,"date",D$6)=0,NA(),GETPIVOTDATA("ITL",'ITL-PIVOT'!$A$3,"KV%",$A138,"Experiment",D$5,"date",D$6))</f>
        <v>#N/A</v>
      </c>
      <c r="E138" t="e">
        <f>IF(GETPIVOTDATA("ITL",'ITL-PIVOT'!$A$3,"KV%",$A138,"Experiment",E$5,"date",E$6)=0,NA(),GETPIVOTDATA("ITL",'ITL-PIVOT'!$A$3,"KV%",$A138,"Experiment",E$5,"date",E$6))</f>
        <v>#N/A</v>
      </c>
      <c r="F138" t="e">
        <f>IF(GETPIVOTDATA("ITL",'ITL-PIVOT'!$A$3,"KV%",$A138,"Experiment",F$5,"date",F$6)=0,NA(),GETPIVOTDATA("ITL",'ITL-PIVOT'!$A$3,"KV%",$A138,"Experiment",F$5,"date",F$6))</f>
        <v>#N/A</v>
      </c>
      <c r="G138" t="e">
        <f>IF(GETPIVOTDATA("ITL",'ITL-PIVOT'!$A$3,"KV%",$A138,"Experiment",G$5,"date",G$6)=0,NA(),GETPIVOTDATA("ITL",'ITL-PIVOT'!$A$3,"KV%",$A138,"Experiment",G$5,"date",G$6))</f>
        <v>#N/A</v>
      </c>
      <c r="H138">
        <f>IF(GETPIVOTDATA("ITL",'ITL-PIVOT'!$A$3,"KV%",$A138,"Experiment",H$5,"date",H$6)=0,NA(),GETPIVOTDATA("ITL",'ITL-PIVOT'!$A$3,"KV%",$A138,"Experiment",H$5,"date",H$6))</f>
        <v>4.0983470643534484E-2</v>
      </c>
      <c r="I138" t="e">
        <f>IF(GETPIVOTDATA("ITL",'ITL-PIVOT'!$A$3,"KV%",$A138,"Experiment",I$5,"date",I$6)=0,NA(),GETPIVOTDATA("ITL",'ITL-PIVOT'!$A$3,"KV%",$A138,"Experiment",I$5,"date",I$6))</f>
        <v>#N/A</v>
      </c>
      <c r="J138" t="e">
        <f>IF(GETPIVOTDATA("ITL",'ITL-PIVOT'!$A$3,"KV%",$A138,"Experiment",J$5,"date",J$6)=0,NA(),GETPIVOTDATA("ITL",'ITL-PIVOT'!$A$3,"KV%",$A138,"Experiment",J$5,"date",J$6))</f>
        <v>#N/A</v>
      </c>
      <c r="K138" t="e">
        <f>IF(GETPIVOTDATA("ITL",'ITL-PIVOT'!$A$3,"KV%",$A138,"Experiment",K$5,"date",K$6)=0,NA(),GETPIVOTDATA("ITL",'ITL-PIVOT'!$A$3,"KV%",$A138,"Experiment",K$5,"date",K$6))</f>
        <v>#N/A</v>
      </c>
      <c r="L138" t="e">
        <f>IF(GETPIVOTDATA("ITL",'ITL-PIVOT'!$A$3,"KV%",$A138,"Experiment",L$5,"date",L$6)=0,NA(),GETPIVOTDATA("ITL",'ITL-PIVOT'!$A$3,"KV%",$A138,"Experiment",L$5,"date",L$6))</f>
        <v>#N/A</v>
      </c>
      <c r="M138" t="e">
        <f>IF(GETPIVOTDATA("ITL",'ITL-PIVOT'!$A$3,"KV%",$A138,"Experiment",M$5,"date",M$6)=0,NA(),GETPIVOTDATA("ITL",'ITL-PIVOT'!$A$3,"KV%",$A138,"Experiment",M$5,"date",M$6))</f>
        <v>#N/A</v>
      </c>
    </row>
    <row r="139" spans="1:13" x14ac:dyDescent="0.25">
      <c r="A139">
        <f>IF('ITL-PIVOT'!A137=0,NA(),'ITL-PIVOT'!A137)</f>
        <v>0.50254460822342895</v>
      </c>
      <c r="B139" t="e">
        <f>IF(GETPIVOTDATA("ITL",'ITL-PIVOT'!$A$3,"KV%",$A139,"Experiment",B$5,"date",B$6)=0,NA(),GETPIVOTDATA("ITL",'ITL-PIVOT'!$A$3,"KV%",$A139,"Experiment",B$5,"date",B$6))</f>
        <v>#N/A</v>
      </c>
      <c r="C139" t="e">
        <f>IF(GETPIVOTDATA("ITL",'ITL-PIVOT'!$A$3,"KV%",$A139,"Experiment",C$5,"date",C$6)=0,NA(),GETPIVOTDATA("ITL",'ITL-PIVOT'!$A$3,"KV%",$A139,"Experiment",C$5,"date",C$6))</f>
        <v>#N/A</v>
      </c>
      <c r="D139" t="e">
        <f>IF(GETPIVOTDATA("ITL",'ITL-PIVOT'!$A$3,"KV%",$A139,"Experiment",D$5,"date",D$6)=0,NA(),GETPIVOTDATA("ITL",'ITL-PIVOT'!$A$3,"KV%",$A139,"Experiment",D$5,"date",D$6))</f>
        <v>#N/A</v>
      </c>
      <c r="E139" t="e">
        <f>IF(GETPIVOTDATA("ITL",'ITL-PIVOT'!$A$3,"KV%",$A139,"Experiment",E$5,"date",E$6)=0,NA(),GETPIVOTDATA("ITL",'ITL-PIVOT'!$A$3,"KV%",$A139,"Experiment",E$5,"date",E$6))</f>
        <v>#N/A</v>
      </c>
      <c r="F139" t="e">
        <f>IF(GETPIVOTDATA("ITL",'ITL-PIVOT'!$A$3,"KV%",$A139,"Experiment",F$5,"date",F$6)=0,NA(),GETPIVOTDATA("ITL",'ITL-PIVOT'!$A$3,"KV%",$A139,"Experiment",F$5,"date",F$6))</f>
        <v>#N/A</v>
      </c>
      <c r="G139" t="e">
        <f>IF(GETPIVOTDATA("ITL",'ITL-PIVOT'!$A$3,"KV%",$A139,"Experiment",G$5,"date",G$6)=0,NA(),GETPIVOTDATA("ITL",'ITL-PIVOT'!$A$3,"KV%",$A139,"Experiment",G$5,"date",G$6))</f>
        <v>#N/A</v>
      </c>
      <c r="H139" t="e">
        <f>IF(GETPIVOTDATA("ITL",'ITL-PIVOT'!$A$3,"KV%",$A139,"Experiment",H$5,"date",H$6)=0,NA(),GETPIVOTDATA("ITL",'ITL-PIVOT'!$A$3,"KV%",$A139,"Experiment",H$5,"date",H$6))</f>
        <v>#N/A</v>
      </c>
      <c r="I139" t="e">
        <f>IF(GETPIVOTDATA("ITL",'ITL-PIVOT'!$A$3,"KV%",$A139,"Experiment",I$5,"date",I$6)=0,NA(),GETPIVOTDATA("ITL",'ITL-PIVOT'!$A$3,"KV%",$A139,"Experiment",I$5,"date",I$6))</f>
        <v>#N/A</v>
      </c>
      <c r="J139" t="e">
        <f>IF(GETPIVOTDATA("ITL",'ITL-PIVOT'!$A$3,"KV%",$A139,"Experiment",J$5,"date",J$6)=0,NA(),GETPIVOTDATA("ITL",'ITL-PIVOT'!$A$3,"KV%",$A139,"Experiment",J$5,"date",J$6))</f>
        <v>#N/A</v>
      </c>
      <c r="K139">
        <f>IF(GETPIVOTDATA("ITL",'ITL-PIVOT'!$A$3,"KV%",$A139,"Experiment",K$5,"date",K$6)=0,NA(),GETPIVOTDATA("ITL",'ITL-PIVOT'!$A$3,"KV%",$A139,"Experiment",K$5,"date",K$6))</f>
        <v>2.5932778876334803E-2</v>
      </c>
      <c r="L139" t="e">
        <f>IF(GETPIVOTDATA("ITL",'ITL-PIVOT'!$A$3,"KV%",$A139,"Experiment",L$5,"date",L$6)=0,NA(),GETPIVOTDATA("ITL",'ITL-PIVOT'!$A$3,"KV%",$A139,"Experiment",L$5,"date",L$6))</f>
        <v>#N/A</v>
      </c>
      <c r="M139" t="e">
        <f>IF(GETPIVOTDATA("ITL",'ITL-PIVOT'!$A$3,"KV%",$A139,"Experiment",M$5,"date",M$6)=0,NA(),GETPIVOTDATA("ITL",'ITL-PIVOT'!$A$3,"KV%",$A139,"Experiment",M$5,"date",M$6))</f>
        <v>#N/A</v>
      </c>
    </row>
    <row r="140" spans="1:13" x14ac:dyDescent="0.25">
      <c r="A140">
        <f>IF('ITL-PIVOT'!A138=0,NA(),'ITL-PIVOT'!A138)</f>
        <v>0.51077284626098474</v>
      </c>
      <c r="B140" t="e">
        <f>IF(GETPIVOTDATA("ITL",'ITL-PIVOT'!$A$3,"KV%",$A140,"Experiment",B$5,"date",B$6)=0,NA(),GETPIVOTDATA("ITL",'ITL-PIVOT'!$A$3,"KV%",$A140,"Experiment",B$5,"date",B$6))</f>
        <v>#N/A</v>
      </c>
      <c r="C140" t="e">
        <f>IF(GETPIVOTDATA("ITL",'ITL-PIVOT'!$A$3,"KV%",$A140,"Experiment",C$5,"date",C$6)=0,NA(),GETPIVOTDATA("ITL",'ITL-PIVOT'!$A$3,"KV%",$A140,"Experiment",C$5,"date",C$6))</f>
        <v>#N/A</v>
      </c>
      <c r="D140" t="e">
        <f>IF(GETPIVOTDATA("ITL",'ITL-PIVOT'!$A$3,"KV%",$A140,"Experiment",D$5,"date",D$6)=0,NA(),GETPIVOTDATA("ITL",'ITL-PIVOT'!$A$3,"KV%",$A140,"Experiment",D$5,"date",D$6))</f>
        <v>#N/A</v>
      </c>
      <c r="E140" t="e">
        <f>IF(GETPIVOTDATA("ITL",'ITL-PIVOT'!$A$3,"KV%",$A140,"Experiment",E$5,"date",E$6)=0,NA(),GETPIVOTDATA("ITL",'ITL-PIVOT'!$A$3,"KV%",$A140,"Experiment",E$5,"date",E$6))</f>
        <v>#N/A</v>
      </c>
      <c r="F140">
        <f>IF(GETPIVOTDATA("ITL",'ITL-PIVOT'!$A$3,"KV%",$A140,"Experiment",F$5,"date",F$6)=0,NA(),GETPIVOTDATA("ITL",'ITL-PIVOT'!$A$3,"KV%",$A140,"Experiment",F$5,"date",F$6))</f>
        <v>2.0326716039575112E-2</v>
      </c>
      <c r="G140" t="e">
        <f>IF(GETPIVOTDATA("ITL",'ITL-PIVOT'!$A$3,"KV%",$A140,"Experiment",G$5,"date",G$6)=0,NA(),GETPIVOTDATA("ITL",'ITL-PIVOT'!$A$3,"KV%",$A140,"Experiment",G$5,"date",G$6))</f>
        <v>#N/A</v>
      </c>
      <c r="H140" t="e">
        <f>IF(GETPIVOTDATA("ITL",'ITL-PIVOT'!$A$3,"KV%",$A140,"Experiment",H$5,"date",H$6)=0,NA(),GETPIVOTDATA("ITL",'ITL-PIVOT'!$A$3,"KV%",$A140,"Experiment",H$5,"date",H$6))</f>
        <v>#N/A</v>
      </c>
      <c r="I140" t="e">
        <f>IF(GETPIVOTDATA("ITL",'ITL-PIVOT'!$A$3,"KV%",$A140,"Experiment",I$5,"date",I$6)=0,NA(),GETPIVOTDATA("ITL",'ITL-PIVOT'!$A$3,"KV%",$A140,"Experiment",I$5,"date",I$6))</f>
        <v>#N/A</v>
      </c>
      <c r="J140" t="e">
        <f>IF(GETPIVOTDATA("ITL",'ITL-PIVOT'!$A$3,"KV%",$A140,"Experiment",J$5,"date",J$6)=0,NA(),GETPIVOTDATA("ITL",'ITL-PIVOT'!$A$3,"KV%",$A140,"Experiment",J$5,"date",J$6))</f>
        <v>#N/A</v>
      </c>
      <c r="K140" t="e">
        <f>IF(GETPIVOTDATA("ITL",'ITL-PIVOT'!$A$3,"KV%",$A140,"Experiment",K$5,"date",K$6)=0,NA(),GETPIVOTDATA("ITL",'ITL-PIVOT'!$A$3,"KV%",$A140,"Experiment",K$5,"date",K$6))</f>
        <v>#N/A</v>
      </c>
      <c r="L140" t="e">
        <f>IF(GETPIVOTDATA("ITL",'ITL-PIVOT'!$A$3,"KV%",$A140,"Experiment",L$5,"date",L$6)=0,NA(),GETPIVOTDATA("ITL",'ITL-PIVOT'!$A$3,"KV%",$A140,"Experiment",L$5,"date",L$6))</f>
        <v>#N/A</v>
      </c>
      <c r="M140" t="e">
        <f>IF(GETPIVOTDATA("ITL",'ITL-PIVOT'!$A$3,"KV%",$A140,"Experiment",M$5,"date",M$6)=0,NA(),GETPIVOTDATA("ITL",'ITL-PIVOT'!$A$3,"KV%",$A140,"Experiment",M$5,"date",M$6))</f>
        <v>#N/A</v>
      </c>
    </row>
    <row r="141" spans="1:13" x14ac:dyDescent="0.25">
      <c r="A141">
        <f>IF('ITL-PIVOT'!A139=0,NA(),'ITL-PIVOT'!A139)</f>
        <v>0.51102146366692525</v>
      </c>
      <c r="B141" t="e">
        <f>IF(GETPIVOTDATA("ITL",'ITL-PIVOT'!$A$3,"KV%",$A141,"Experiment",B$5,"date",B$6)=0,NA(),GETPIVOTDATA("ITL",'ITL-PIVOT'!$A$3,"KV%",$A141,"Experiment",B$5,"date",B$6))</f>
        <v>#N/A</v>
      </c>
      <c r="C141" t="e">
        <f>IF(GETPIVOTDATA("ITL",'ITL-PIVOT'!$A$3,"KV%",$A141,"Experiment",C$5,"date",C$6)=0,NA(),GETPIVOTDATA("ITL",'ITL-PIVOT'!$A$3,"KV%",$A141,"Experiment",C$5,"date",C$6))</f>
        <v>#N/A</v>
      </c>
      <c r="D141" t="e">
        <f>IF(GETPIVOTDATA("ITL",'ITL-PIVOT'!$A$3,"KV%",$A141,"Experiment",D$5,"date",D$6)=0,NA(),GETPIVOTDATA("ITL",'ITL-PIVOT'!$A$3,"KV%",$A141,"Experiment",D$5,"date",D$6))</f>
        <v>#N/A</v>
      </c>
      <c r="E141" t="e">
        <f>IF(GETPIVOTDATA("ITL",'ITL-PIVOT'!$A$3,"KV%",$A141,"Experiment",E$5,"date",E$6)=0,NA(),GETPIVOTDATA("ITL",'ITL-PIVOT'!$A$3,"KV%",$A141,"Experiment",E$5,"date",E$6))</f>
        <v>#N/A</v>
      </c>
      <c r="F141" t="e">
        <f>IF(GETPIVOTDATA("ITL",'ITL-PIVOT'!$A$3,"KV%",$A141,"Experiment",F$5,"date",F$6)=0,NA(),GETPIVOTDATA("ITL",'ITL-PIVOT'!$A$3,"KV%",$A141,"Experiment",F$5,"date",F$6))</f>
        <v>#N/A</v>
      </c>
      <c r="G141" t="e">
        <f>IF(GETPIVOTDATA("ITL",'ITL-PIVOT'!$A$3,"KV%",$A141,"Experiment",G$5,"date",G$6)=0,NA(),GETPIVOTDATA("ITL",'ITL-PIVOT'!$A$3,"KV%",$A141,"Experiment",G$5,"date",G$6))</f>
        <v>#N/A</v>
      </c>
      <c r="H141" t="e">
        <f>IF(GETPIVOTDATA("ITL",'ITL-PIVOT'!$A$3,"KV%",$A141,"Experiment",H$5,"date",H$6)=0,NA(),GETPIVOTDATA("ITL",'ITL-PIVOT'!$A$3,"KV%",$A141,"Experiment",H$5,"date",H$6))</f>
        <v>#N/A</v>
      </c>
      <c r="I141" t="e">
        <f>IF(GETPIVOTDATA("ITL",'ITL-PIVOT'!$A$3,"KV%",$A141,"Experiment",I$5,"date",I$6)=0,NA(),GETPIVOTDATA("ITL",'ITL-PIVOT'!$A$3,"KV%",$A141,"Experiment",I$5,"date",I$6))</f>
        <v>#N/A</v>
      </c>
      <c r="J141" t="e">
        <f>IF(GETPIVOTDATA("ITL",'ITL-PIVOT'!$A$3,"KV%",$A141,"Experiment",J$5,"date",J$6)=0,NA(),GETPIVOTDATA("ITL",'ITL-PIVOT'!$A$3,"KV%",$A141,"Experiment",J$5,"date",J$6))</f>
        <v>#N/A</v>
      </c>
      <c r="K141">
        <f>IF(GETPIVOTDATA("ITL",'ITL-PIVOT'!$A$3,"KV%",$A141,"Experiment",K$5,"date",K$6)=0,NA(),GETPIVOTDATA("ITL",'ITL-PIVOT'!$A$3,"KV%",$A141,"Experiment",K$5,"date",K$6))</f>
        <v>2.6226145819888858E-2</v>
      </c>
      <c r="L141" t="e">
        <f>IF(GETPIVOTDATA("ITL",'ITL-PIVOT'!$A$3,"KV%",$A141,"Experiment",L$5,"date",L$6)=0,NA(),GETPIVOTDATA("ITL",'ITL-PIVOT'!$A$3,"KV%",$A141,"Experiment",L$5,"date",L$6))</f>
        <v>#N/A</v>
      </c>
      <c r="M141" t="e">
        <f>IF(GETPIVOTDATA("ITL",'ITL-PIVOT'!$A$3,"KV%",$A141,"Experiment",M$5,"date",M$6)=0,NA(),GETPIVOTDATA("ITL",'ITL-PIVOT'!$A$3,"KV%",$A141,"Experiment",M$5,"date",M$6))</f>
        <v>#N/A</v>
      </c>
    </row>
    <row r="142" spans="1:13" x14ac:dyDescent="0.25">
      <c r="A142">
        <f>IF('ITL-PIVOT'!A140=0,NA(),'ITL-PIVOT'!A140)</f>
        <v>0.52409993391374299</v>
      </c>
      <c r="B142" t="e">
        <f>IF(GETPIVOTDATA("ITL",'ITL-PIVOT'!$A$3,"KV%",$A142,"Experiment",B$5,"date",B$6)=0,NA(),GETPIVOTDATA("ITL",'ITL-PIVOT'!$A$3,"KV%",$A142,"Experiment",B$5,"date",B$6))</f>
        <v>#N/A</v>
      </c>
      <c r="C142" t="e">
        <f>IF(GETPIVOTDATA("ITL",'ITL-PIVOT'!$A$3,"KV%",$A142,"Experiment",C$5,"date",C$6)=0,NA(),GETPIVOTDATA("ITL",'ITL-PIVOT'!$A$3,"KV%",$A142,"Experiment",C$5,"date",C$6))</f>
        <v>#N/A</v>
      </c>
      <c r="D142" t="e">
        <f>IF(GETPIVOTDATA("ITL",'ITL-PIVOT'!$A$3,"KV%",$A142,"Experiment",D$5,"date",D$6)=0,NA(),GETPIVOTDATA("ITL",'ITL-PIVOT'!$A$3,"KV%",$A142,"Experiment",D$5,"date",D$6))</f>
        <v>#N/A</v>
      </c>
      <c r="E142" t="e">
        <f>IF(GETPIVOTDATA("ITL",'ITL-PIVOT'!$A$3,"KV%",$A142,"Experiment",E$5,"date",E$6)=0,NA(),GETPIVOTDATA("ITL",'ITL-PIVOT'!$A$3,"KV%",$A142,"Experiment",E$5,"date",E$6))</f>
        <v>#N/A</v>
      </c>
      <c r="F142" t="e">
        <f>IF(GETPIVOTDATA("ITL",'ITL-PIVOT'!$A$3,"KV%",$A142,"Experiment",F$5,"date",F$6)=0,NA(),GETPIVOTDATA("ITL",'ITL-PIVOT'!$A$3,"KV%",$A142,"Experiment",F$5,"date",F$6))</f>
        <v>#N/A</v>
      </c>
      <c r="G142" t="e">
        <f>IF(GETPIVOTDATA("ITL",'ITL-PIVOT'!$A$3,"KV%",$A142,"Experiment",G$5,"date",G$6)=0,NA(),GETPIVOTDATA("ITL",'ITL-PIVOT'!$A$3,"KV%",$A142,"Experiment",G$5,"date",G$6))</f>
        <v>#N/A</v>
      </c>
      <c r="H142" t="e">
        <f>IF(GETPIVOTDATA("ITL",'ITL-PIVOT'!$A$3,"KV%",$A142,"Experiment",H$5,"date",H$6)=0,NA(),GETPIVOTDATA("ITL",'ITL-PIVOT'!$A$3,"KV%",$A142,"Experiment",H$5,"date",H$6))</f>
        <v>#N/A</v>
      </c>
      <c r="I142" t="e">
        <f>IF(GETPIVOTDATA("ITL",'ITL-PIVOT'!$A$3,"KV%",$A142,"Experiment",I$5,"date",I$6)=0,NA(),GETPIVOTDATA("ITL",'ITL-PIVOT'!$A$3,"KV%",$A142,"Experiment",I$5,"date",I$6))</f>
        <v>#N/A</v>
      </c>
      <c r="J142">
        <f>IF(GETPIVOTDATA("ITL",'ITL-PIVOT'!$A$3,"KV%",$A142,"Experiment",J$5,"date",J$6)=0,NA(),GETPIVOTDATA("ITL",'ITL-PIVOT'!$A$3,"KV%",$A142,"Experiment",J$5,"date",J$6))</f>
        <v>3.9154183738759556E-2</v>
      </c>
      <c r="K142" t="e">
        <f>IF(GETPIVOTDATA("ITL",'ITL-PIVOT'!$A$3,"KV%",$A142,"Experiment",K$5,"date",K$6)=0,NA(),GETPIVOTDATA("ITL",'ITL-PIVOT'!$A$3,"KV%",$A142,"Experiment",K$5,"date",K$6))</f>
        <v>#N/A</v>
      </c>
      <c r="L142" t="e">
        <f>IF(GETPIVOTDATA("ITL",'ITL-PIVOT'!$A$3,"KV%",$A142,"Experiment",L$5,"date",L$6)=0,NA(),GETPIVOTDATA("ITL",'ITL-PIVOT'!$A$3,"KV%",$A142,"Experiment",L$5,"date",L$6))</f>
        <v>#N/A</v>
      </c>
      <c r="M142" t="e">
        <f>IF(GETPIVOTDATA("ITL",'ITL-PIVOT'!$A$3,"KV%",$A142,"Experiment",M$5,"date",M$6)=0,NA(),GETPIVOTDATA("ITL",'ITL-PIVOT'!$A$3,"KV%",$A142,"Experiment",M$5,"date",M$6))</f>
        <v>#N/A</v>
      </c>
    </row>
    <row r="143" spans="1:13" x14ac:dyDescent="0.25">
      <c r="A143">
        <f>IF('ITL-PIVOT'!A141=0,NA(),'ITL-PIVOT'!A141)</f>
        <v>0.52573215671062834</v>
      </c>
      <c r="B143" t="e">
        <f>IF(GETPIVOTDATA("ITL",'ITL-PIVOT'!$A$3,"KV%",$A143,"Experiment",B$5,"date",B$6)=0,NA(),GETPIVOTDATA("ITL",'ITL-PIVOT'!$A$3,"KV%",$A143,"Experiment",B$5,"date",B$6))</f>
        <v>#N/A</v>
      </c>
      <c r="C143" t="e">
        <f>IF(GETPIVOTDATA("ITL",'ITL-PIVOT'!$A$3,"KV%",$A143,"Experiment",C$5,"date",C$6)=0,NA(),GETPIVOTDATA("ITL",'ITL-PIVOT'!$A$3,"KV%",$A143,"Experiment",C$5,"date",C$6))</f>
        <v>#N/A</v>
      </c>
      <c r="D143">
        <f>IF(GETPIVOTDATA("ITL",'ITL-PIVOT'!$A$3,"KV%",$A143,"Experiment",D$5,"date",D$6)=0,NA(),GETPIVOTDATA("ITL",'ITL-PIVOT'!$A$3,"KV%",$A143,"Experiment",D$5,"date",D$6))</f>
        <v>2.045607145350236E-2</v>
      </c>
      <c r="E143" t="e">
        <f>IF(GETPIVOTDATA("ITL",'ITL-PIVOT'!$A$3,"KV%",$A143,"Experiment",E$5,"date",E$6)=0,NA(),GETPIVOTDATA("ITL",'ITL-PIVOT'!$A$3,"KV%",$A143,"Experiment",E$5,"date",E$6))</f>
        <v>#N/A</v>
      </c>
      <c r="F143" t="e">
        <f>IF(GETPIVOTDATA("ITL",'ITL-PIVOT'!$A$3,"KV%",$A143,"Experiment",F$5,"date",F$6)=0,NA(),GETPIVOTDATA("ITL",'ITL-PIVOT'!$A$3,"KV%",$A143,"Experiment",F$5,"date",F$6))</f>
        <v>#N/A</v>
      </c>
      <c r="G143" t="e">
        <f>IF(GETPIVOTDATA("ITL",'ITL-PIVOT'!$A$3,"KV%",$A143,"Experiment",G$5,"date",G$6)=0,NA(),GETPIVOTDATA("ITL",'ITL-PIVOT'!$A$3,"KV%",$A143,"Experiment",G$5,"date",G$6))</f>
        <v>#N/A</v>
      </c>
      <c r="H143" t="e">
        <f>IF(GETPIVOTDATA("ITL",'ITL-PIVOT'!$A$3,"KV%",$A143,"Experiment",H$5,"date",H$6)=0,NA(),GETPIVOTDATA("ITL",'ITL-PIVOT'!$A$3,"KV%",$A143,"Experiment",H$5,"date",H$6))</f>
        <v>#N/A</v>
      </c>
      <c r="I143" t="e">
        <f>IF(GETPIVOTDATA("ITL",'ITL-PIVOT'!$A$3,"KV%",$A143,"Experiment",I$5,"date",I$6)=0,NA(),GETPIVOTDATA("ITL",'ITL-PIVOT'!$A$3,"KV%",$A143,"Experiment",I$5,"date",I$6))</f>
        <v>#N/A</v>
      </c>
      <c r="J143" t="e">
        <f>IF(GETPIVOTDATA("ITL",'ITL-PIVOT'!$A$3,"KV%",$A143,"Experiment",J$5,"date",J$6)=0,NA(),GETPIVOTDATA("ITL",'ITL-PIVOT'!$A$3,"KV%",$A143,"Experiment",J$5,"date",J$6))</f>
        <v>#N/A</v>
      </c>
      <c r="K143" t="e">
        <f>IF(GETPIVOTDATA("ITL",'ITL-PIVOT'!$A$3,"KV%",$A143,"Experiment",K$5,"date",K$6)=0,NA(),GETPIVOTDATA("ITL",'ITL-PIVOT'!$A$3,"KV%",$A143,"Experiment",K$5,"date",K$6))</f>
        <v>#N/A</v>
      </c>
      <c r="L143" t="e">
        <f>IF(GETPIVOTDATA("ITL",'ITL-PIVOT'!$A$3,"KV%",$A143,"Experiment",L$5,"date",L$6)=0,NA(),GETPIVOTDATA("ITL",'ITL-PIVOT'!$A$3,"KV%",$A143,"Experiment",L$5,"date",L$6))</f>
        <v>#N/A</v>
      </c>
      <c r="M143" t="e">
        <f>IF(GETPIVOTDATA("ITL",'ITL-PIVOT'!$A$3,"KV%",$A143,"Experiment",M$5,"date",M$6)=0,NA(),GETPIVOTDATA("ITL",'ITL-PIVOT'!$A$3,"KV%",$A143,"Experiment",M$5,"date",M$6))</f>
        <v>#N/A</v>
      </c>
    </row>
    <row r="144" spans="1:13" x14ac:dyDescent="0.25">
      <c r="A144">
        <f>IF('ITL-PIVOT'!A142=0,NA(),'ITL-PIVOT'!A142)</f>
        <v>0.53462057868574553</v>
      </c>
      <c r="B144" t="e">
        <f>IF(GETPIVOTDATA("ITL",'ITL-PIVOT'!$A$3,"KV%",$A144,"Experiment",B$5,"date",B$6)=0,NA(),GETPIVOTDATA("ITL",'ITL-PIVOT'!$A$3,"KV%",$A144,"Experiment",B$5,"date",B$6))</f>
        <v>#N/A</v>
      </c>
      <c r="C144" t="e">
        <f>IF(GETPIVOTDATA("ITL",'ITL-PIVOT'!$A$3,"KV%",$A144,"Experiment",C$5,"date",C$6)=0,NA(),GETPIVOTDATA("ITL",'ITL-PIVOT'!$A$3,"KV%",$A144,"Experiment",C$5,"date",C$6))</f>
        <v>#N/A</v>
      </c>
      <c r="D144" t="e">
        <f>IF(GETPIVOTDATA("ITL",'ITL-PIVOT'!$A$3,"KV%",$A144,"Experiment",D$5,"date",D$6)=0,NA(),GETPIVOTDATA("ITL",'ITL-PIVOT'!$A$3,"KV%",$A144,"Experiment",D$5,"date",D$6))</f>
        <v>#N/A</v>
      </c>
      <c r="E144" t="e">
        <f>IF(GETPIVOTDATA("ITL",'ITL-PIVOT'!$A$3,"KV%",$A144,"Experiment",E$5,"date",E$6)=0,NA(),GETPIVOTDATA("ITL",'ITL-PIVOT'!$A$3,"KV%",$A144,"Experiment",E$5,"date",E$6))</f>
        <v>#N/A</v>
      </c>
      <c r="F144" t="e">
        <f>IF(GETPIVOTDATA("ITL",'ITL-PIVOT'!$A$3,"KV%",$A144,"Experiment",F$5,"date",F$6)=0,NA(),GETPIVOTDATA("ITL",'ITL-PIVOT'!$A$3,"KV%",$A144,"Experiment",F$5,"date",F$6))</f>
        <v>#N/A</v>
      </c>
      <c r="G144" t="e">
        <f>IF(GETPIVOTDATA("ITL",'ITL-PIVOT'!$A$3,"KV%",$A144,"Experiment",G$5,"date",G$6)=0,NA(),GETPIVOTDATA("ITL",'ITL-PIVOT'!$A$3,"KV%",$A144,"Experiment",G$5,"date",G$6))</f>
        <v>#N/A</v>
      </c>
      <c r="H144" t="e">
        <f>IF(GETPIVOTDATA("ITL",'ITL-PIVOT'!$A$3,"KV%",$A144,"Experiment",H$5,"date",H$6)=0,NA(),GETPIVOTDATA("ITL",'ITL-PIVOT'!$A$3,"KV%",$A144,"Experiment",H$5,"date",H$6))</f>
        <v>#N/A</v>
      </c>
      <c r="I144" t="e">
        <f>IF(GETPIVOTDATA("ITL",'ITL-PIVOT'!$A$3,"KV%",$A144,"Experiment",I$5,"date",I$6)=0,NA(),GETPIVOTDATA("ITL",'ITL-PIVOT'!$A$3,"KV%",$A144,"Experiment",I$5,"date",I$6))</f>
        <v>#N/A</v>
      </c>
      <c r="J144" t="e">
        <f>IF(GETPIVOTDATA("ITL",'ITL-PIVOT'!$A$3,"KV%",$A144,"Experiment",J$5,"date",J$6)=0,NA(),GETPIVOTDATA("ITL",'ITL-PIVOT'!$A$3,"KV%",$A144,"Experiment",J$5,"date",J$6))</f>
        <v>#N/A</v>
      </c>
      <c r="K144" t="e">
        <f>IF(GETPIVOTDATA("ITL",'ITL-PIVOT'!$A$3,"KV%",$A144,"Experiment",K$5,"date",K$6)=0,NA(),GETPIVOTDATA("ITL",'ITL-PIVOT'!$A$3,"KV%",$A144,"Experiment",K$5,"date",K$6))</f>
        <v>#N/A</v>
      </c>
      <c r="L144" t="e">
        <f>IF(GETPIVOTDATA("ITL",'ITL-PIVOT'!$A$3,"KV%",$A144,"Experiment",L$5,"date",L$6)=0,NA(),GETPIVOTDATA("ITL",'ITL-PIVOT'!$A$3,"KV%",$A144,"Experiment",L$5,"date",L$6))</f>
        <v>#N/A</v>
      </c>
      <c r="M144">
        <f>IF(GETPIVOTDATA("ITL",'ITL-PIVOT'!$A$3,"KV%",$A144,"Experiment",M$5,"date",M$6)=0,NA(),GETPIVOTDATA("ITL",'ITL-PIVOT'!$A$3,"KV%",$A144,"Experiment",M$5,"date",M$6))</f>
        <v>7.0172334482096241E-2</v>
      </c>
    </row>
    <row r="145" spans="1:13" x14ac:dyDescent="0.25">
      <c r="A145">
        <f>IF('ITL-PIVOT'!A143=0,NA(),'ITL-PIVOT'!A143)</f>
        <v>0.54082065739406704</v>
      </c>
      <c r="B145" t="e">
        <f>IF(GETPIVOTDATA("ITL",'ITL-PIVOT'!$A$3,"KV%",$A145,"Experiment",B$5,"date",B$6)=0,NA(),GETPIVOTDATA("ITL",'ITL-PIVOT'!$A$3,"KV%",$A145,"Experiment",B$5,"date",B$6))</f>
        <v>#N/A</v>
      </c>
      <c r="C145" t="e">
        <f>IF(GETPIVOTDATA("ITL",'ITL-PIVOT'!$A$3,"KV%",$A145,"Experiment",C$5,"date",C$6)=0,NA(),GETPIVOTDATA("ITL",'ITL-PIVOT'!$A$3,"KV%",$A145,"Experiment",C$5,"date",C$6))</f>
        <v>#N/A</v>
      </c>
      <c r="D145" t="e">
        <f>IF(GETPIVOTDATA("ITL",'ITL-PIVOT'!$A$3,"KV%",$A145,"Experiment",D$5,"date",D$6)=0,NA(),GETPIVOTDATA("ITL",'ITL-PIVOT'!$A$3,"KV%",$A145,"Experiment",D$5,"date",D$6))</f>
        <v>#N/A</v>
      </c>
      <c r="E145" t="e">
        <f>IF(GETPIVOTDATA("ITL",'ITL-PIVOT'!$A$3,"KV%",$A145,"Experiment",E$5,"date",E$6)=0,NA(),GETPIVOTDATA("ITL",'ITL-PIVOT'!$A$3,"KV%",$A145,"Experiment",E$5,"date",E$6))</f>
        <v>#N/A</v>
      </c>
      <c r="F145" t="e">
        <f>IF(GETPIVOTDATA("ITL",'ITL-PIVOT'!$A$3,"KV%",$A145,"Experiment",F$5,"date",F$6)=0,NA(),GETPIVOTDATA("ITL",'ITL-PIVOT'!$A$3,"KV%",$A145,"Experiment",F$5,"date",F$6))</f>
        <v>#N/A</v>
      </c>
      <c r="G145">
        <f>IF(GETPIVOTDATA("ITL",'ITL-PIVOT'!$A$3,"KV%",$A145,"Experiment",G$5,"date",G$6)=0,NA(),GETPIVOTDATA("ITL",'ITL-PIVOT'!$A$3,"KV%",$A145,"Experiment",G$5,"date",G$6))</f>
        <v>2.21166259454268E-2</v>
      </c>
      <c r="H145" t="e">
        <f>IF(GETPIVOTDATA("ITL",'ITL-PIVOT'!$A$3,"KV%",$A145,"Experiment",H$5,"date",H$6)=0,NA(),GETPIVOTDATA("ITL",'ITL-PIVOT'!$A$3,"KV%",$A145,"Experiment",H$5,"date",H$6))</f>
        <v>#N/A</v>
      </c>
      <c r="I145" t="e">
        <f>IF(GETPIVOTDATA("ITL",'ITL-PIVOT'!$A$3,"KV%",$A145,"Experiment",I$5,"date",I$6)=0,NA(),GETPIVOTDATA("ITL",'ITL-PIVOT'!$A$3,"KV%",$A145,"Experiment",I$5,"date",I$6))</f>
        <v>#N/A</v>
      </c>
      <c r="J145" t="e">
        <f>IF(GETPIVOTDATA("ITL",'ITL-PIVOT'!$A$3,"KV%",$A145,"Experiment",J$5,"date",J$6)=0,NA(),GETPIVOTDATA("ITL",'ITL-PIVOT'!$A$3,"KV%",$A145,"Experiment",J$5,"date",J$6))</f>
        <v>#N/A</v>
      </c>
      <c r="K145" t="e">
        <f>IF(GETPIVOTDATA("ITL",'ITL-PIVOT'!$A$3,"KV%",$A145,"Experiment",K$5,"date",K$6)=0,NA(),GETPIVOTDATA("ITL",'ITL-PIVOT'!$A$3,"KV%",$A145,"Experiment",K$5,"date",K$6))</f>
        <v>#N/A</v>
      </c>
      <c r="L145" t="e">
        <f>IF(GETPIVOTDATA("ITL",'ITL-PIVOT'!$A$3,"KV%",$A145,"Experiment",L$5,"date",L$6)=0,NA(),GETPIVOTDATA("ITL",'ITL-PIVOT'!$A$3,"KV%",$A145,"Experiment",L$5,"date",L$6))</f>
        <v>#N/A</v>
      </c>
      <c r="M145" t="e">
        <f>IF(GETPIVOTDATA("ITL",'ITL-PIVOT'!$A$3,"KV%",$A145,"Experiment",M$5,"date",M$6)=0,NA(),GETPIVOTDATA("ITL",'ITL-PIVOT'!$A$3,"KV%",$A145,"Experiment",M$5,"date",M$6))</f>
        <v>#N/A</v>
      </c>
    </row>
    <row r="146" spans="1:13" x14ac:dyDescent="0.25">
      <c r="A146">
        <f>IF('ITL-PIVOT'!A144=0,NA(),'ITL-PIVOT'!A144)</f>
        <v>0.54142099818981126</v>
      </c>
      <c r="B146" t="e">
        <f>IF(GETPIVOTDATA("ITL",'ITL-PIVOT'!$A$3,"KV%",$A146,"Experiment",B$5,"date",B$6)=0,NA(),GETPIVOTDATA("ITL",'ITL-PIVOT'!$A$3,"KV%",$A146,"Experiment",B$5,"date",B$6))</f>
        <v>#N/A</v>
      </c>
      <c r="C146" t="e">
        <f>IF(GETPIVOTDATA("ITL",'ITL-PIVOT'!$A$3,"KV%",$A146,"Experiment",C$5,"date",C$6)=0,NA(),GETPIVOTDATA("ITL",'ITL-PIVOT'!$A$3,"KV%",$A146,"Experiment",C$5,"date",C$6))</f>
        <v>#N/A</v>
      </c>
      <c r="D146" t="e">
        <f>IF(GETPIVOTDATA("ITL",'ITL-PIVOT'!$A$3,"KV%",$A146,"Experiment",D$5,"date",D$6)=0,NA(),GETPIVOTDATA("ITL",'ITL-PIVOT'!$A$3,"KV%",$A146,"Experiment",D$5,"date",D$6))</f>
        <v>#N/A</v>
      </c>
      <c r="E146" t="e">
        <f>IF(GETPIVOTDATA("ITL",'ITL-PIVOT'!$A$3,"KV%",$A146,"Experiment",E$5,"date",E$6)=0,NA(),GETPIVOTDATA("ITL",'ITL-PIVOT'!$A$3,"KV%",$A146,"Experiment",E$5,"date",E$6))</f>
        <v>#N/A</v>
      </c>
      <c r="F146" t="e">
        <f>IF(GETPIVOTDATA("ITL",'ITL-PIVOT'!$A$3,"KV%",$A146,"Experiment",F$5,"date",F$6)=0,NA(),GETPIVOTDATA("ITL",'ITL-PIVOT'!$A$3,"KV%",$A146,"Experiment",F$5,"date",F$6))</f>
        <v>#N/A</v>
      </c>
      <c r="G146" t="e">
        <f>IF(GETPIVOTDATA("ITL",'ITL-PIVOT'!$A$3,"KV%",$A146,"Experiment",G$5,"date",G$6)=0,NA(),GETPIVOTDATA("ITL",'ITL-PIVOT'!$A$3,"KV%",$A146,"Experiment",G$5,"date",G$6))</f>
        <v>#N/A</v>
      </c>
      <c r="H146" t="e">
        <f>IF(GETPIVOTDATA("ITL",'ITL-PIVOT'!$A$3,"KV%",$A146,"Experiment",H$5,"date",H$6)=0,NA(),GETPIVOTDATA("ITL",'ITL-PIVOT'!$A$3,"KV%",$A146,"Experiment",H$5,"date",H$6))</f>
        <v>#N/A</v>
      </c>
      <c r="I146">
        <f>IF(GETPIVOTDATA("ITL",'ITL-PIVOT'!$A$3,"KV%",$A146,"Experiment",I$5,"date",I$6)=0,NA(),GETPIVOTDATA("ITL",'ITL-PIVOT'!$A$3,"KV%",$A146,"Experiment",I$5,"date",I$6))</f>
        <v>4.6991688022651655E-2</v>
      </c>
      <c r="J146" t="e">
        <f>IF(GETPIVOTDATA("ITL",'ITL-PIVOT'!$A$3,"KV%",$A146,"Experiment",J$5,"date",J$6)=0,NA(),GETPIVOTDATA("ITL",'ITL-PIVOT'!$A$3,"KV%",$A146,"Experiment",J$5,"date",J$6))</f>
        <v>#N/A</v>
      </c>
      <c r="K146" t="e">
        <f>IF(GETPIVOTDATA("ITL",'ITL-PIVOT'!$A$3,"KV%",$A146,"Experiment",K$5,"date",K$6)=0,NA(),GETPIVOTDATA("ITL",'ITL-PIVOT'!$A$3,"KV%",$A146,"Experiment",K$5,"date",K$6))</f>
        <v>#N/A</v>
      </c>
      <c r="L146" t="e">
        <f>IF(GETPIVOTDATA("ITL",'ITL-PIVOT'!$A$3,"KV%",$A146,"Experiment",L$5,"date",L$6)=0,NA(),GETPIVOTDATA("ITL",'ITL-PIVOT'!$A$3,"KV%",$A146,"Experiment",L$5,"date",L$6))</f>
        <v>#N/A</v>
      </c>
      <c r="M146" t="e">
        <f>IF(GETPIVOTDATA("ITL",'ITL-PIVOT'!$A$3,"KV%",$A146,"Experiment",M$5,"date",M$6)=0,NA(),GETPIVOTDATA("ITL",'ITL-PIVOT'!$A$3,"KV%",$A146,"Experiment",M$5,"date",M$6))</f>
        <v>#N/A</v>
      </c>
    </row>
    <row r="147" spans="1:13" x14ac:dyDescent="0.25">
      <c r="A147">
        <f>IF('ITL-PIVOT'!A145=0,NA(),'ITL-PIVOT'!A145)</f>
        <v>0.56045971252478244</v>
      </c>
      <c r="B147" t="e">
        <f>IF(GETPIVOTDATA("ITL",'ITL-PIVOT'!$A$3,"KV%",$A147,"Experiment",B$5,"date",B$6)=0,NA(),GETPIVOTDATA("ITL",'ITL-PIVOT'!$A$3,"KV%",$A147,"Experiment",B$5,"date",B$6))</f>
        <v>#N/A</v>
      </c>
      <c r="C147" t="e">
        <f>IF(GETPIVOTDATA("ITL",'ITL-PIVOT'!$A$3,"KV%",$A147,"Experiment",C$5,"date",C$6)=0,NA(),GETPIVOTDATA("ITL",'ITL-PIVOT'!$A$3,"KV%",$A147,"Experiment",C$5,"date",C$6))</f>
        <v>#N/A</v>
      </c>
      <c r="D147" t="e">
        <f>IF(GETPIVOTDATA("ITL",'ITL-PIVOT'!$A$3,"KV%",$A147,"Experiment",D$5,"date",D$6)=0,NA(),GETPIVOTDATA("ITL",'ITL-PIVOT'!$A$3,"KV%",$A147,"Experiment",D$5,"date",D$6))</f>
        <v>#N/A</v>
      </c>
      <c r="E147" t="e">
        <f>IF(GETPIVOTDATA("ITL",'ITL-PIVOT'!$A$3,"KV%",$A147,"Experiment",E$5,"date",E$6)=0,NA(),GETPIVOTDATA("ITL",'ITL-PIVOT'!$A$3,"KV%",$A147,"Experiment",E$5,"date",E$6))</f>
        <v>#N/A</v>
      </c>
      <c r="F147" t="e">
        <f>IF(GETPIVOTDATA("ITL",'ITL-PIVOT'!$A$3,"KV%",$A147,"Experiment",F$5,"date",F$6)=0,NA(),GETPIVOTDATA("ITL",'ITL-PIVOT'!$A$3,"KV%",$A147,"Experiment",F$5,"date",F$6))</f>
        <v>#N/A</v>
      </c>
      <c r="G147">
        <f>IF(GETPIVOTDATA("ITL",'ITL-PIVOT'!$A$3,"KV%",$A147,"Experiment",G$5,"date",G$6)=0,NA(),GETPIVOTDATA("ITL",'ITL-PIVOT'!$A$3,"KV%",$A147,"Experiment",G$5,"date",G$6))</f>
        <v>2.3147635654410761E-2</v>
      </c>
      <c r="H147" t="e">
        <f>IF(GETPIVOTDATA("ITL",'ITL-PIVOT'!$A$3,"KV%",$A147,"Experiment",H$5,"date",H$6)=0,NA(),GETPIVOTDATA("ITL",'ITL-PIVOT'!$A$3,"KV%",$A147,"Experiment",H$5,"date",H$6))</f>
        <v>#N/A</v>
      </c>
      <c r="I147" t="e">
        <f>IF(GETPIVOTDATA("ITL",'ITL-PIVOT'!$A$3,"KV%",$A147,"Experiment",I$5,"date",I$6)=0,NA(),GETPIVOTDATA("ITL",'ITL-PIVOT'!$A$3,"KV%",$A147,"Experiment",I$5,"date",I$6))</f>
        <v>#N/A</v>
      </c>
      <c r="J147" t="e">
        <f>IF(GETPIVOTDATA("ITL",'ITL-PIVOT'!$A$3,"KV%",$A147,"Experiment",J$5,"date",J$6)=0,NA(),GETPIVOTDATA("ITL",'ITL-PIVOT'!$A$3,"KV%",$A147,"Experiment",J$5,"date",J$6))</f>
        <v>#N/A</v>
      </c>
      <c r="K147" t="e">
        <f>IF(GETPIVOTDATA("ITL",'ITL-PIVOT'!$A$3,"KV%",$A147,"Experiment",K$5,"date",K$6)=0,NA(),GETPIVOTDATA("ITL",'ITL-PIVOT'!$A$3,"KV%",$A147,"Experiment",K$5,"date",K$6))</f>
        <v>#N/A</v>
      </c>
      <c r="L147" t="e">
        <f>IF(GETPIVOTDATA("ITL",'ITL-PIVOT'!$A$3,"KV%",$A147,"Experiment",L$5,"date",L$6)=0,NA(),GETPIVOTDATA("ITL",'ITL-PIVOT'!$A$3,"KV%",$A147,"Experiment",L$5,"date",L$6))</f>
        <v>#N/A</v>
      </c>
      <c r="M147" t="e">
        <f>IF(GETPIVOTDATA("ITL",'ITL-PIVOT'!$A$3,"KV%",$A147,"Experiment",M$5,"date",M$6)=0,NA(),GETPIVOTDATA("ITL",'ITL-PIVOT'!$A$3,"KV%",$A147,"Experiment",M$5,"date",M$6))</f>
        <v>#N/A</v>
      </c>
    </row>
    <row r="148" spans="1:13" x14ac:dyDescent="0.25">
      <c r="A148">
        <f>IF('ITL-PIVOT'!A146=0,NA(),'ITL-PIVOT'!A146)</f>
        <v>0.56726287207545623</v>
      </c>
      <c r="B148" t="e">
        <f>IF(GETPIVOTDATA("ITL",'ITL-PIVOT'!$A$3,"KV%",$A148,"Experiment",B$5,"date",B$6)=0,NA(),GETPIVOTDATA("ITL",'ITL-PIVOT'!$A$3,"KV%",$A148,"Experiment",B$5,"date",B$6))</f>
        <v>#N/A</v>
      </c>
      <c r="C148" t="e">
        <f>IF(GETPIVOTDATA("ITL",'ITL-PIVOT'!$A$3,"KV%",$A148,"Experiment",C$5,"date",C$6)=0,NA(),GETPIVOTDATA("ITL",'ITL-PIVOT'!$A$3,"KV%",$A148,"Experiment",C$5,"date",C$6))</f>
        <v>#N/A</v>
      </c>
      <c r="D148" t="e">
        <f>IF(GETPIVOTDATA("ITL",'ITL-PIVOT'!$A$3,"KV%",$A148,"Experiment",D$5,"date",D$6)=0,NA(),GETPIVOTDATA("ITL",'ITL-PIVOT'!$A$3,"KV%",$A148,"Experiment",D$5,"date",D$6))</f>
        <v>#N/A</v>
      </c>
      <c r="E148" t="e">
        <f>IF(GETPIVOTDATA("ITL",'ITL-PIVOT'!$A$3,"KV%",$A148,"Experiment",E$5,"date",E$6)=0,NA(),GETPIVOTDATA("ITL",'ITL-PIVOT'!$A$3,"KV%",$A148,"Experiment",E$5,"date",E$6))</f>
        <v>#N/A</v>
      </c>
      <c r="F148">
        <f>IF(GETPIVOTDATA("ITL",'ITL-PIVOT'!$A$3,"KV%",$A148,"Experiment",F$5,"date",F$6)=0,NA(),GETPIVOTDATA("ITL",'ITL-PIVOT'!$A$3,"KV%",$A148,"Experiment",F$5,"date",F$6))</f>
        <v>2.1851780945371161E-2</v>
      </c>
      <c r="G148" t="e">
        <f>IF(GETPIVOTDATA("ITL",'ITL-PIVOT'!$A$3,"KV%",$A148,"Experiment",G$5,"date",G$6)=0,NA(),GETPIVOTDATA("ITL",'ITL-PIVOT'!$A$3,"KV%",$A148,"Experiment",G$5,"date",G$6))</f>
        <v>#N/A</v>
      </c>
      <c r="H148" t="e">
        <f>IF(GETPIVOTDATA("ITL",'ITL-PIVOT'!$A$3,"KV%",$A148,"Experiment",H$5,"date",H$6)=0,NA(),GETPIVOTDATA("ITL",'ITL-PIVOT'!$A$3,"KV%",$A148,"Experiment",H$5,"date",H$6))</f>
        <v>#N/A</v>
      </c>
      <c r="I148" t="e">
        <f>IF(GETPIVOTDATA("ITL",'ITL-PIVOT'!$A$3,"KV%",$A148,"Experiment",I$5,"date",I$6)=0,NA(),GETPIVOTDATA("ITL",'ITL-PIVOT'!$A$3,"KV%",$A148,"Experiment",I$5,"date",I$6))</f>
        <v>#N/A</v>
      </c>
      <c r="J148" t="e">
        <f>IF(GETPIVOTDATA("ITL",'ITL-PIVOT'!$A$3,"KV%",$A148,"Experiment",J$5,"date",J$6)=0,NA(),GETPIVOTDATA("ITL",'ITL-PIVOT'!$A$3,"KV%",$A148,"Experiment",J$5,"date",J$6))</f>
        <v>#N/A</v>
      </c>
      <c r="K148" t="e">
        <f>IF(GETPIVOTDATA("ITL",'ITL-PIVOT'!$A$3,"KV%",$A148,"Experiment",K$5,"date",K$6)=0,NA(),GETPIVOTDATA("ITL",'ITL-PIVOT'!$A$3,"KV%",$A148,"Experiment",K$5,"date",K$6))</f>
        <v>#N/A</v>
      </c>
      <c r="L148" t="e">
        <f>IF(GETPIVOTDATA("ITL",'ITL-PIVOT'!$A$3,"KV%",$A148,"Experiment",L$5,"date",L$6)=0,NA(),GETPIVOTDATA("ITL",'ITL-PIVOT'!$A$3,"KV%",$A148,"Experiment",L$5,"date",L$6))</f>
        <v>#N/A</v>
      </c>
      <c r="M148" t="e">
        <f>IF(GETPIVOTDATA("ITL",'ITL-PIVOT'!$A$3,"KV%",$A148,"Experiment",M$5,"date",M$6)=0,NA(),GETPIVOTDATA("ITL",'ITL-PIVOT'!$A$3,"KV%",$A148,"Experiment",M$5,"date",M$6))</f>
        <v>#N/A</v>
      </c>
    </row>
    <row r="149" spans="1:13" x14ac:dyDescent="0.25">
      <c r="A149">
        <f>IF('ITL-PIVOT'!A147=0,NA(),'ITL-PIVOT'!A147)</f>
        <v>0.57404965089216442</v>
      </c>
      <c r="B149">
        <f>IF(GETPIVOTDATA("ITL",'ITL-PIVOT'!$A$3,"KV%",$A149,"Experiment",B$5,"date",B$6)=0,NA(),GETPIVOTDATA("ITL",'ITL-PIVOT'!$A$3,"KV%",$A149,"Experiment",B$5,"date",B$6))</f>
        <v>3.9794129214593008E-2</v>
      </c>
      <c r="C149" t="e">
        <f>IF(GETPIVOTDATA("ITL",'ITL-PIVOT'!$A$3,"KV%",$A149,"Experiment",C$5,"date",C$6)=0,NA(),GETPIVOTDATA("ITL",'ITL-PIVOT'!$A$3,"KV%",$A149,"Experiment",C$5,"date",C$6))</f>
        <v>#N/A</v>
      </c>
      <c r="D149" t="e">
        <f>IF(GETPIVOTDATA("ITL",'ITL-PIVOT'!$A$3,"KV%",$A149,"Experiment",D$5,"date",D$6)=0,NA(),GETPIVOTDATA("ITL",'ITL-PIVOT'!$A$3,"KV%",$A149,"Experiment",D$5,"date",D$6))</f>
        <v>#N/A</v>
      </c>
      <c r="E149" t="e">
        <f>IF(GETPIVOTDATA("ITL",'ITL-PIVOT'!$A$3,"KV%",$A149,"Experiment",E$5,"date",E$6)=0,NA(),GETPIVOTDATA("ITL",'ITL-PIVOT'!$A$3,"KV%",$A149,"Experiment",E$5,"date",E$6))</f>
        <v>#N/A</v>
      </c>
      <c r="F149" t="e">
        <f>IF(GETPIVOTDATA("ITL",'ITL-PIVOT'!$A$3,"KV%",$A149,"Experiment",F$5,"date",F$6)=0,NA(),GETPIVOTDATA("ITL",'ITL-PIVOT'!$A$3,"KV%",$A149,"Experiment",F$5,"date",F$6))</f>
        <v>#N/A</v>
      </c>
      <c r="G149" t="e">
        <f>IF(GETPIVOTDATA("ITL",'ITL-PIVOT'!$A$3,"KV%",$A149,"Experiment",G$5,"date",G$6)=0,NA(),GETPIVOTDATA("ITL",'ITL-PIVOT'!$A$3,"KV%",$A149,"Experiment",G$5,"date",G$6))</f>
        <v>#N/A</v>
      </c>
      <c r="H149" t="e">
        <f>IF(GETPIVOTDATA("ITL",'ITL-PIVOT'!$A$3,"KV%",$A149,"Experiment",H$5,"date",H$6)=0,NA(),GETPIVOTDATA("ITL",'ITL-PIVOT'!$A$3,"KV%",$A149,"Experiment",H$5,"date",H$6))</f>
        <v>#N/A</v>
      </c>
      <c r="I149" t="e">
        <f>IF(GETPIVOTDATA("ITL",'ITL-PIVOT'!$A$3,"KV%",$A149,"Experiment",I$5,"date",I$6)=0,NA(),GETPIVOTDATA("ITL",'ITL-PIVOT'!$A$3,"KV%",$A149,"Experiment",I$5,"date",I$6))</f>
        <v>#N/A</v>
      </c>
      <c r="J149" t="e">
        <f>IF(GETPIVOTDATA("ITL",'ITL-PIVOT'!$A$3,"KV%",$A149,"Experiment",J$5,"date",J$6)=0,NA(),GETPIVOTDATA("ITL",'ITL-PIVOT'!$A$3,"KV%",$A149,"Experiment",J$5,"date",J$6))</f>
        <v>#N/A</v>
      </c>
      <c r="K149" t="e">
        <f>IF(GETPIVOTDATA("ITL",'ITL-PIVOT'!$A$3,"KV%",$A149,"Experiment",K$5,"date",K$6)=0,NA(),GETPIVOTDATA("ITL",'ITL-PIVOT'!$A$3,"KV%",$A149,"Experiment",K$5,"date",K$6))</f>
        <v>#N/A</v>
      </c>
      <c r="L149" t="e">
        <f>IF(GETPIVOTDATA("ITL",'ITL-PIVOT'!$A$3,"KV%",$A149,"Experiment",L$5,"date",L$6)=0,NA(),GETPIVOTDATA("ITL",'ITL-PIVOT'!$A$3,"KV%",$A149,"Experiment",L$5,"date",L$6))</f>
        <v>#N/A</v>
      </c>
      <c r="M149" t="e">
        <f>IF(GETPIVOTDATA("ITL",'ITL-PIVOT'!$A$3,"KV%",$A149,"Experiment",M$5,"date",M$6)=0,NA(),GETPIVOTDATA("ITL",'ITL-PIVOT'!$A$3,"KV%",$A149,"Experiment",M$5,"date",M$6))</f>
        <v>#N/A</v>
      </c>
    </row>
    <row r="150" spans="1:13" x14ac:dyDescent="0.25">
      <c r="A150">
        <f>IF('ITL-PIVOT'!A148=0,NA(),'ITL-PIVOT'!A148)</f>
        <v>0.57643881274602771</v>
      </c>
      <c r="B150" t="e">
        <f>IF(GETPIVOTDATA("ITL",'ITL-PIVOT'!$A$3,"KV%",$A150,"Experiment",B$5,"date",B$6)=0,NA(),GETPIVOTDATA("ITL",'ITL-PIVOT'!$A$3,"KV%",$A150,"Experiment",B$5,"date",B$6))</f>
        <v>#N/A</v>
      </c>
      <c r="C150" t="e">
        <f>IF(GETPIVOTDATA("ITL",'ITL-PIVOT'!$A$3,"KV%",$A150,"Experiment",C$5,"date",C$6)=0,NA(),GETPIVOTDATA("ITL",'ITL-PIVOT'!$A$3,"KV%",$A150,"Experiment",C$5,"date",C$6))</f>
        <v>#N/A</v>
      </c>
      <c r="D150" t="e">
        <f>IF(GETPIVOTDATA("ITL",'ITL-PIVOT'!$A$3,"KV%",$A150,"Experiment",D$5,"date",D$6)=0,NA(),GETPIVOTDATA("ITL",'ITL-PIVOT'!$A$3,"KV%",$A150,"Experiment",D$5,"date",D$6))</f>
        <v>#N/A</v>
      </c>
      <c r="E150" t="e">
        <f>IF(GETPIVOTDATA("ITL",'ITL-PIVOT'!$A$3,"KV%",$A150,"Experiment",E$5,"date",E$6)=0,NA(),GETPIVOTDATA("ITL",'ITL-PIVOT'!$A$3,"KV%",$A150,"Experiment",E$5,"date",E$6))</f>
        <v>#N/A</v>
      </c>
      <c r="F150" t="e">
        <f>IF(GETPIVOTDATA("ITL",'ITL-PIVOT'!$A$3,"KV%",$A150,"Experiment",F$5,"date",F$6)=0,NA(),GETPIVOTDATA("ITL",'ITL-PIVOT'!$A$3,"KV%",$A150,"Experiment",F$5,"date",F$6))</f>
        <v>#N/A</v>
      </c>
      <c r="G150" t="e">
        <f>IF(GETPIVOTDATA("ITL",'ITL-PIVOT'!$A$3,"KV%",$A150,"Experiment",G$5,"date",G$6)=0,NA(),GETPIVOTDATA("ITL",'ITL-PIVOT'!$A$3,"KV%",$A150,"Experiment",G$5,"date",G$6))</f>
        <v>#N/A</v>
      </c>
      <c r="H150" t="e">
        <f>IF(GETPIVOTDATA("ITL",'ITL-PIVOT'!$A$3,"KV%",$A150,"Experiment",H$5,"date",H$6)=0,NA(),GETPIVOTDATA("ITL",'ITL-PIVOT'!$A$3,"KV%",$A150,"Experiment",H$5,"date",H$6))</f>
        <v>#N/A</v>
      </c>
      <c r="I150">
        <f>IF(GETPIVOTDATA("ITL",'ITL-PIVOT'!$A$3,"KV%",$A150,"Experiment",I$5,"date",I$6)=0,NA(),GETPIVOTDATA("ITL",'ITL-PIVOT'!$A$3,"KV%",$A150,"Experiment",I$5,"date",I$6))</f>
        <v>5.2543123906379351E-2</v>
      </c>
      <c r="J150" t="e">
        <f>IF(GETPIVOTDATA("ITL",'ITL-PIVOT'!$A$3,"KV%",$A150,"Experiment",J$5,"date",J$6)=0,NA(),GETPIVOTDATA("ITL",'ITL-PIVOT'!$A$3,"KV%",$A150,"Experiment",J$5,"date",J$6))</f>
        <v>#N/A</v>
      </c>
      <c r="K150" t="e">
        <f>IF(GETPIVOTDATA("ITL",'ITL-PIVOT'!$A$3,"KV%",$A150,"Experiment",K$5,"date",K$6)=0,NA(),GETPIVOTDATA("ITL",'ITL-PIVOT'!$A$3,"KV%",$A150,"Experiment",K$5,"date",K$6))</f>
        <v>#N/A</v>
      </c>
      <c r="L150" t="e">
        <f>IF(GETPIVOTDATA("ITL",'ITL-PIVOT'!$A$3,"KV%",$A150,"Experiment",L$5,"date",L$6)=0,NA(),GETPIVOTDATA("ITL",'ITL-PIVOT'!$A$3,"KV%",$A150,"Experiment",L$5,"date",L$6))</f>
        <v>#N/A</v>
      </c>
      <c r="M150" t="e">
        <f>IF(GETPIVOTDATA("ITL",'ITL-PIVOT'!$A$3,"KV%",$A150,"Experiment",M$5,"date",M$6)=0,NA(),GETPIVOTDATA("ITL",'ITL-PIVOT'!$A$3,"KV%",$A150,"Experiment",M$5,"date",M$6))</f>
        <v>#N/A</v>
      </c>
    </row>
    <row r="151" spans="1:13" x14ac:dyDescent="0.25">
      <c r="A151">
        <f>IF('ITL-PIVOT'!A149=0,NA(),'ITL-PIVOT'!A149)</f>
        <v>0.57772749475619911</v>
      </c>
      <c r="B151" t="e">
        <f>IF(GETPIVOTDATA("ITL",'ITL-PIVOT'!$A$3,"KV%",$A151,"Experiment",B$5,"date",B$6)=0,NA(),GETPIVOTDATA("ITL",'ITL-PIVOT'!$A$3,"KV%",$A151,"Experiment",B$5,"date",B$6))</f>
        <v>#N/A</v>
      </c>
      <c r="C151" t="e">
        <f>IF(GETPIVOTDATA("ITL",'ITL-PIVOT'!$A$3,"KV%",$A151,"Experiment",C$5,"date",C$6)=0,NA(),GETPIVOTDATA("ITL",'ITL-PIVOT'!$A$3,"KV%",$A151,"Experiment",C$5,"date",C$6))</f>
        <v>#N/A</v>
      </c>
      <c r="D151" t="e">
        <f>IF(GETPIVOTDATA("ITL",'ITL-PIVOT'!$A$3,"KV%",$A151,"Experiment",D$5,"date",D$6)=0,NA(),GETPIVOTDATA("ITL",'ITL-PIVOT'!$A$3,"KV%",$A151,"Experiment",D$5,"date",D$6))</f>
        <v>#N/A</v>
      </c>
      <c r="E151" t="e">
        <f>IF(GETPIVOTDATA("ITL",'ITL-PIVOT'!$A$3,"KV%",$A151,"Experiment",E$5,"date",E$6)=0,NA(),GETPIVOTDATA("ITL",'ITL-PIVOT'!$A$3,"KV%",$A151,"Experiment",E$5,"date",E$6))</f>
        <v>#N/A</v>
      </c>
      <c r="F151" t="e">
        <f>IF(GETPIVOTDATA("ITL",'ITL-PIVOT'!$A$3,"KV%",$A151,"Experiment",F$5,"date",F$6)=0,NA(),GETPIVOTDATA("ITL",'ITL-PIVOT'!$A$3,"KV%",$A151,"Experiment",F$5,"date",F$6))</f>
        <v>#N/A</v>
      </c>
      <c r="G151" t="e">
        <f>IF(GETPIVOTDATA("ITL",'ITL-PIVOT'!$A$3,"KV%",$A151,"Experiment",G$5,"date",G$6)=0,NA(),GETPIVOTDATA("ITL",'ITL-PIVOT'!$A$3,"KV%",$A151,"Experiment",G$5,"date",G$6))</f>
        <v>#N/A</v>
      </c>
      <c r="H151" t="e">
        <f>IF(GETPIVOTDATA("ITL",'ITL-PIVOT'!$A$3,"KV%",$A151,"Experiment",H$5,"date",H$6)=0,NA(),GETPIVOTDATA("ITL",'ITL-PIVOT'!$A$3,"KV%",$A151,"Experiment",H$5,"date",H$6))</f>
        <v>#N/A</v>
      </c>
      <c r="I151">
        <f>IF(GETPIVOTDATA("ITL",'ITL-PIVOT'!$A$3,"KV%",$A151,"Experiment",I$5,"date",I$6)=0,NA(),GETPIVOTDATA("ITL",'ITL-PIVOT'!$A$3,"KV%",$A151,"Experiment",I$5,"date",I$6))</f>
        <v>5.4497487006289348E-2</v>
      </c>
      <c r="J151" t="e">
        <f>IF(GETPIVOTDATA("ITL",'ITL-PIVOT'!$A$3,"KV%",$A151,"Experiment",J$5,"date",J$6)=0,NA(),GETPIVOTDATA("ITL",'ITL-PIVOT'!$A$3,"KV%",$A151,"Experiment",J$5,"date",J$6))</f>
        <v>#N/A</v>
      </c>
      <c r="K151" t="e">
        <f>IF(GETPIVOTDATA("ITL",'ITL-PIVOT'!$A$3,"KV%",$A151,"Experiment",K$5,"date",K$6)=0,NA(),GETPIVOTDATA("ITL",'ITL-PIVOT'!$A$3,"KV%",$A151,"Experiment",K$5,"date",K$6))</f>
        <v>#N/A</v>
      </c>
      <c r="L151" t="e">
        <f>IF(GETPIVOTDATA("ITL",'ITL-PIVOT'!$A$3,"KV%",$A151,"Experiment",L$5,"date",L$6)=0,NA(),GETPIVOTDATA("ITL",'ITL-PIVOT'!$A$3,"KV%",$A151,"Experiment",L$5,"date",L$6))</f>
        <v>#N/A</v>
      </c>
      <c r="M151" t="e">
        <f>IF(GETPIVOTDATA("ITL",'ITL-PIVOT'!$A$3,"KV%",$A151,"Experiment",M$5,"date",M$6)=0,NA(),GETPIVOTDATA("ITL",'ITL-PIVOT'!$A$3,"KV%",$A151,"Experiment",M$5,"date",M$6))</f>
        <v>#N/A</v>
      </c>
    </row>
    <row r="152" spans="1:13" x14ac:dyDescent="0.25">
      <c r="A152">
        <f>IF('ITL-PIVOT'!A150=0,NA(),'ITL-PIVOT'!A150)</f>
        <v>0.57991078355314196</v>
      </c>
      <c r="B152" t="e">
        <f>IF(GETPIVOTDATA("ITL",'ITL-PIVOT'!$A$3,"KV%",$A152,"Experiment",B$5,"date",B$6)=0,NA(),GETPIVOTDATA("ITL",'ITL-PIVOT'!$A$3,"KV%",$A152,"Experiment",B$5,"date",B$6))</f>
        <v>#N/A</v>
      </c>
      <c r="C152" t="e">
        <f>IF(GETPIVOTDATA("ITL",'ITL-PIVOT'!$A$3,"KV%",$A152,"Experiment",C$5,"date",C$6)=0,NA(),GETPIVOTDATA("ITL",'ITL-PIVOT'!$A$3,"KV%",$A152,"Experiment",C$5,"date",C$6))</f>
        <v>#N/A</v>
      </c>
      <c r="D152" t="e">
        <f>IF(GETPIVOTDATA("ITL",'ITL-PIVOT'!$A$3,"KV%",$A152,"Experiment",D$5,"date",D$6)=0,NA(),GETPIVOTDATA("ITL",'ITL-PIVOT'!$A$3,"KV%",$A152,"Experiment",D$5,"date",D$6))</f>
        <v>#N/A</v>
      </c>
      <c r="E152" t="e">
        <f>IF(GETPIVOTDATA("ITL",'ITL-PIVOT'!$A$3,"KV%",$A152,"Experiment",E$5,"date",E$6)=0,NA(),GETPIVOTDATA("ITL",'ITL-PIVOT'!$A$3,"KV%",$A152,"Experiment",E$5,"date",E$6))</f>
        <v>#N/A</v>
      </c>
      <c r="F152" t="e">
        <f>IF(GETPIVOTDATA("ITL",'ITL-PIVOT'!$A$3,"KV%",$A152,"Experiment",F$5,"date",F$6)=0,NA(),GETPIVOTDATA("ITL",'ITL-PIVOT'!$A$3,"KV%",$A152,"Experiment",F$5,"date",F$6))</f>
        <v>#N/A</v>
      </c>
      <c r="G152" t="e">
        <f>IF(GETPIVOTDATA("ITL",'ITL-PIVOT'!$A$3,"KV%",$A152,"Experiment",G$5,"date",G$6)=0,NA(),GETPIVOTDATA("ITL",'ITL-PIVOT'!$A$3,"KV%",$A152,"Experiment",G$5,"date",G$6))</f>
        <v>#N/A</v>
      </c>
      <c r="H152">
        <f>IF(GETPIVOTDATA("ITL",'ITL-PIVOT'!$A$3,"KV%",$A152,"Experiment",H$5,"date",H$6)=0,NA(),GETPIVOTDATA("ITL",'ITL-PIVOT'!$A$3,"KV%",$A152,"Experiment",H$5,"date",H$6))</f>
        <v>4.4880637599709949E-2</v>
      </c>
      <c r="I152" t="e">
        <f>IF(GETPIVOTDATA("ITL",'ITL-PIVOT'!$A$3,"KV%",$A152,"Experiment",I$5,"date",I$6)=0,NA(),GETPIVOTDATA("ITL",'ITL-PIVOT'!$A$3,"KV%",$A152,"Experiment",I$5,"date",I$6))</f>
        <v>#N/A</v>
      </c>
      <c r="J152" t="e">
        <f>IF(GETPIVOTDATA("ITL",'ITL-PIVOT'!$A$3,"KV%",$A152,"Experiment",J$5,"date",J$6)=0,NA(),GETPIVOTDATA("ITL",'ITL-PIVOT'!$A$3,"KV%",$A152,"Experiment",J$5,"date",J$6))</f>
        <v>#N/A</v>
      </c>
      <c r="K152" t="e">
        <f>IF(GETPIVOTDATA("ITL",'ITL-PIVOT'!$A$3,"KV%",$A152,"Experiment",K$5,"date",K$6)=0,NA(),GETPIVOTDATA("ITL",'ITL-PIVOT'!$A$3,"KV%",$A152,"Experiment",K$5,"date",K$6))</f>
        <v>#N/A</v>
      </c>
      <c r="L152" t="e">
        <f>IF(GETPIVOTDATA("ITL",'ITL-PIVOT'!$A$3,"KV%",$A152,"Experiment",L$5,"date",L$6)=0,NA(),GETPIVOTDATA("ITL",'ITL-PIVOT'!$A$3,"KV%",$A152,"Experiment",L$5,"date",L$6))</f>
        <v>#N/A</v>
      </c>
      <c r="M152" t="e">
        <f>IF(GETPIVOTDATA("ITL",'ITL-PIVOT'!$A$3,"KV%",$A152,"Experiment",M$5,"date",M$6)=0,NA(),GETPIVOTDATA("ITL",'ITL-PIVOT'!$A$3,"KV%",$A152,"Experiment",M$5,"date",M$6))</f>
        <v>#N/A</v>
      </c>
    </row>
    <row r="153" spans="1:13" x14ac:dyDescent="0.25">
      <c r="A153">
        <f>IF('ITL-PIVOT'!A151=0,NA(),'ITL-PIVOT'!A151)</f>
        <v>0.58152480833295317</v>
      </c>
      <c r="B153" t="e">
        <f>IF(GETPIVOTDATA("ITL",'ITL-PIVOT'!$A$3,"KV%",$A153,"Experiment",B$5,"date",B$6)=0,NA(),GETPIVOTDATA("ITL",'ITL-PIVOT'!$A$3,"KV%",$A153,"Experiment",B$5,"date",B$6))</f>
        <v>#N/A</v>
      </c>
      <c r="C153" t="e">
        <f>IF(GETPIVOTDATA("ITL",'ITL-PIVOT'!$A$3,"KV%",$A153,"Experiment",C$5,"date",C$6)=0,NA(),GETPIVOTDATA("ITL",'ITL-PIVOT'!$A$3,"KV%",$A153,"Experiment",C$5,"date",C$6))</f>
        <v>#N/A</v>
      </c>
      <c r="D153">
        <f>IF(GETPIVOTDATA("ITL",'ITL-PIVOT'!$A$3,"KV%",$A153,"Experiment",D$5,"date",D$6)=0,NA(),GETPIVOTDATA("ITL",'ITL-PIVOT'!$A$3,"KV%",$A153,"Experiment",D$5,"date",D$6))</f>
        <v>2.1612713884395868E-2</v>
      </c>
      <c r="E153" t="e">
        <f>IF(GETPIVOTDATA("ITL",'ITL-PIVOT'!$A$3,"KV%",$A153,"Experiment",E$5,"date",E$6)=0,NA(),GETPIVOTDATA("ITL",'ITL-PIVOT'!$A$3,"KV%",$A153,"Experiment",E$5,"date",E$6))</f>
        <v>#N/A</v>
      </c>
      <c r="F153" t="e">
        <f>IF(GETPIVOTDATA("ITL",'ITL-PIVOT'!$A$3,"KV%",$A153,"Experiment",F$5,"date",F$6)=0,NA(),GETPIVOTDATA("ITL",'ITL-PIVOT'!$A$3,"KV%",$A153,"Experiment",F$5,"date",F$6))</f>
        <v>#N/A</v>
      </c>
      <c r="G153" t="e">
        <f>IF(GETPIVOTDATA("ITL",'ITL-PIVOT'!$A$3,"KV%",$A153,"Experiment",G$5,"date",G$6)=0,NA(),GETPIVOTDATA("ITL",'ITL-PIVOT'!$A$3,"KV%",$A153,"Experiment",G$5,"date",G$6))</f>
        <v>#N/A</v>
      </c>
      <c r="H153" t="e">
        <f>IF(GETPIVOTDATA("ITL",'ITL-PIVOT'!$A$3,"KV%",$A153,"Experiment",H$5,"date",H$6)=0,NA(),GETPIVOTDATA("ITL",'ITL-PIVOT'!$A$3,"KV%",$A153,"Experiment",H$5,"date",H$6))</f>
        <v>#N/A</v>
      </c>
      <c r="I153" t="e">
        <f>IF(GETPIVOTDATA("ITL",'ITL-PIVOT'!$A$3,"KV%",$A153,"Experiment",I$5,"date",I$6)=0,NA(),GETPIVOTDATA("ITL",'ITL-PIVOT'!$A$3,"KV%",$A153,"Experiment",I$5,"date",I$6))</f>
        <v>#N/A</v>
      </c>
      <c r="J153" t="e">
        <f>IF(GETPIVOTDATA("ITL",'ITL-PIVOT'!$A$3,"KV%",$A153,"Experiment",J$5,"date",J$6)=0,NA(),GETPIVOTDATA("ITL",'ITL-PIVOT'!$A$3,"KV%",$A153,"Experiment",J$5,"date",J$6))</f>
        <v>#N/A</v>
      </c>
      <c r="K153" t="e">
        <f>IF(GETPIVOTDATA("ITL",'ITL-PIVOT'!$A$3,"KV%",$A153,"Experiment",K$5,"date",K$6)=0,NA(),GETPIVOTDATA("ITL",'ITL-PIVOT'!$A$3,"KV%",$A153,"Experiment",K$5,"date",K$6))</f>
        <v>#N/A</v>
      </c>
      <c r="L153" t="e">
        <f>IF(GETPIVOTDATA("ITL",'ITL-PIVOT'!$A$3,"KV%",$A153,"Experiment",L$5,"date",L$6)=0,NA(),GETPIVOTDATA("ITL",'ITL-PIVOT'!$A$3,"KV%",$A153,"Experiment",L$5,"date",L$6))</f>
        <v>#N/A</v>
      </c>
      <c r="M153" t="e">
        <f>IF(GETPIVOTDATA("ITL",'ITL-PIVOT'!$A$3,"KV%",$A153,"Experiment",M$5,"date",M$6)=0,NA(),GETPIVOTDATA("ITL",'ITL-PIVOT'!$A$3,"KV%",$A153,"Experiment",M$5,"date",M$6))</f>
        <v>#N/A</v>
      </c>
    </row>
    <row r="154" spans="1:13" x14ac:dyDescent="0.25">
      <c r="A154">
        <f>IF('ITL-PIVOT'!A152=0,NA(),'ITL-PIVOT'!A152)</f>
        <v>0.58347268913599404</v>
      </c>
      <c r="B154" t="e">
        <f>IF(GETPIVOTDATA("ITL",'ITL-PIVOT'!$A$3,"KV%",$A154,"Experiment",B$5,"date",B$6)=0,NA(),GETPIVOTDATA("ITL",'ITL-PIVOT'!$A$3,"KV%",$A154,"Experiment",B$5,"date",B$6))</f>
        <v>#N/A</v>
      </c>
      <c r="C154" t="e">
        <f>IF(GETPIVOTDATA("ITL",'ITL-PIVOT'!$A$3,"KV%",$A154,"Experiment",C$5,"date",C$6)=0,NA(),GETPIVOTDATA("ITL",'ITL-PIVOT'!$A$3,"KV%",$A154,"Experiment",C$5,"date",C$6))</f>
        <v>#N/A</v>
      </c>
      <c r="D154" t="e">
        <f>IF(GETPIVOTDATA("ITL",'ITL-PIVOT'!$A$3,"KV%",$A154,"Experiment",D$5,"date",D$6)=0,NA(),GETPIVOTDATA("ITL",'ITL-PIVOT'!$A$3,"KV%",$A154,"Experiment",D$5,"date",D$6))</f>
        <v>#N/A</v>
      </c>
      <c r="E154" t="e">
        <f>IF(GETPIVOTDATA("ITL",'ITL-PIVOT'!$A$3,"KV%",$A154,"Experiment",E$5,"date",E$6)=0,NA(),GETPIVOTDATA("ITL",'ITL-PIVOT'!$A$3,"KV%",$A154,"Experiment",E$5,"date",E$6))</f>
        <v>#N/A</v>
      </c>
      <c r="F154" t="e">
        <f>IF(GETPIVOTDATA("ITL",'ITL-PIVOT'!$A$3,"KV%",$A154,"Experiment",F$5,"date",F$6)=0,NA(),GETPIVOTDATA("ITL",'ITL-PIVOT'!$A$3,"KV%",$A154,"Experiment",F$5,"date",F$6))</f>
        <v>#N/A</v>
      </c>
      <c r="G154" t="e">
        <f>IF(GETPIVOTDATA("ITL",'ITL-PIVOT'!$A$3,"KV%",$A154,"Experiment",G$5,"date",G$6)=0,NA(),GETPIVOTDATA("ITL",'ITL-PIVOT'!$A$3,"KV%",$A154,"Experiment",G$5,"date",G$6))</f>
        <v>#N/A</v>
      </c>
      <c r="H154" t="e">
        <f>IF(GETPIVOTDATA("ITL",'ITL-PIVOT'!$A$3,"KV%",$A154,"Experiment",H$5,"date",H$6)=0,NA(),GETPIVOTDATA("ITL",'ITL-PIVOT'!$A$3,"KV%",$A154,"Experiment",H$5,"date",H$6))</f>
        <v>#N/A</v>
      </c>
      <c r="I154">
        <f>IF(GETPIVOTDATA("ITL",'ITL-PIVOT'!$A$3,"KV%",$A154,"Experiment",I$5,"date",I$6)=0,NA(),GETPIVOTDATA("ITL",'ITL-PIVOT'!$A$3,"KV%",$A154,"Experiment",I$5,"date",I$6))</f>
        <v>5.1672567798732034E-2</v>
      </c>
      <c r="J154" t="e">
        <f>IF(GETPIVOTDATA("ITL",'ITL-PIVOT'!$A$3,"KV%",$A154,"Experiment",J$5,"date",J$6)=0,NA(),GETPIVOTDATA("ITL",'ITL-PIVOT'!$A$3,"KV%",$A154,"Experiment",J$5,"date",J$6))</f>
        <v>#N/A</v>
      </c>
      <c r="K154" t="e">
        <f>IF(GETPIVOTDATA("ITL",'ITL-PIVOT'!$A$3,"KV%",$A154,"Experiment",K$5,"date",K$6)=0,NA(),GETPIVOTDATA("ITL",'ITL-PIVOT'!$A$3,"KV%",$A154,"Experiment",K$5,"date",K$6))</f>
        <v>#N/A</v>
      </c>
      <c r="L154" t="e">
        <f>IF(GETPIVOTDATA("ITL",'ITL-PIVOT'!$A$3,"KV%",$A154,"Experiment",L$5,"date",L$6)=0,NA(),GETPIVOTDATA("ITL",'ITL-PIVOT'!$A$3,"KV%",$A154,"Experiment",L$5,"date",L$6))</f>
        <v>#N/A</v>
      </c>
      <c r="M154" t="e">
        <f>IF(GETPIVOTDATA("ITL",'ITL-PIVOT'!$A$3,"KV%",$A154,"Experiment",M$5,"date",M$6)=0,NA(),GETPIVOTDATA("ITL",'ITL-PIVOT'!$A$3,"KV%",$A154,"Experiment",M$5,"date",M$6))</f>
        <v>#N/A</v>
      </c>
    </row>
    <row r="155" spans="1:13" x14ac:dyDescent="0.25">
      <c r="A155">
        <f>IF('ITL-PIVOT'!A153=0,NA(),'ITL-PIVOT'!A153)</f>
        <v>0.58683698244404214</v>
      </c>
      <c r="B155" t="e">
        <f>IF(GETPIVOTDATA("ITL",'ITL-PIVOT'!$A$3,"KV%",$A155,"Experiment",B$5,"date",B$6)=0,NA(),GETPIVOTDATA("ITL",'ITL-PIVOT'!$A$3,"KV%",$A155,"Experiment",B$5,"date",B$6))</f>
        <v>#N/A</v>
      </c>
      <c r="C155" t="e">
        <f>IF(GETPIVOTDATA("ITL",'ITL-PIVOT'!$A$3,"KV%",$A155,"Experiment",C$5,"date",C$6)=0,NA(),GETPIVOTDATA("ITL",'ITL-PIVOT'!$A$3,"KV%",$A155,"Experiment",C$5,"date",C$6))</f>
        <v>#N/A</v>
      </c>
      <c r="D155" t="e">
        <f>IF(GETPIVOTDATA("ITL",'ITL-PIVOT'!$A$3,"KV%",$A155,"Experiment",D$5,"date",D$6)=0,NA(),GETPIVOTDATA("ITL",'ITL-PIVOT'!$A$3,"KV%",$A155,"Experiment",D$5,"date",D$6))</f>
        <v>#N/A</v>
      </c>
      <c r="E155" t="e">
        <f>IF(GETPIVOTDATA("ITL",'ITL-PIVOT'!$A$3,"KV%",$A155,"Experiment",E$5,"date",E$6)=0,NA(),GETPIVOTDATA("ITL",'ITL-PIVOT'!$A$3,"KV%",$A155,"Experiment",E$5,"date",E$6))</f>
        <v>#N/A</v>
      </c>
      <c r="F155" t="e">
        <f>IF(GETPIVOTDATA("ITL",'ITL-PIVOT'!$A$3,"KV%",$A155,"Experiment",F$5,"date",F$6)=0,NA(),GETPIVOTDATA("ITL",'ITL-PIVOT'!$A$3,"KV%",$A155,"Experiment",F$5,"date",F$6))</f>
        <v>#N/A</v>
      </c>
      <c r="G155" t="e">
        <f>IF(GETPIVOTDATA("ITL",'ITL-PIVOT'!$A$3,"KV%",$A155,"Experiment",G$5,"date",G$6)=0,NA(),GETPIVOTDATA("ITL",'ITL-PIVOT'!$A$3,"KV%",$A155,"Experiment",G$5,"date",G$6))</f>
        <v>#N/A</v>
      </c>
      <c r="H155" t="e">
        <f>IF(GETPIVOTDATA("ITL",'ITL-PIVOT'!$A$3,"KV%",$A155,"Experiment",H$5,"date",H$6)=0,NA(),GETPIVOTDATA("ITL",'ITL-PIVOT'!$A$3,"KV%",$A155,"Experiment",H$5,"date",H$6))</f>
        <v>#N/A</v>
      </c>
      <c r="I155">
        <f>IF(GETPIVOTDATA("ITL",'ITL-PIVOT'!$A$3,"KV%",$A155,"Experiment",I$5,"date",I$6)=0,NA(),GETPIVOTDATA("ITL",'ITL-PIVOT'!$A$3,"KV%",$A155,"Experiment",I$5,"date",I$6))</f>
        <v>5.1964322290533771E-2</v>
      </c>
      <c r="J155" t="e">
        <f>IF(GETPIVOTDATA("ITL",'ITL-PIVOT'!$A$3,"KV%",$A155,"Experiment",J$5,"date",J$6)=0,NA(),GETPIVOTDATA("ITL",'ITL-PIVOT'!$A$3,"KV%",$A155,"Experiment",J$5,"date",J$6))</f>
        <v>#N/A</v>
      </c>
      <c r="K155" t="e">
        <f>IF(GETPIVOTDATA("ITL",'ITL-PIVOT'!$A$3,"KV%",$A155,"Experiment",K$5,"date",K$6)=0,NA(),GETPIVOTDATA("ITL",'ITL-PIVOT'!$A$3,"KV%",$A155,"Experiment",K$5,"date",K$6))</f>
        <v>#N/A</v>
      </c>
      <c r="L155" t="e">
        <f>IF(GETPIVOTDATA("ITL",'ITL-PIVOT'!$A$3,"KV%",$A155,"Experiment",L$5,"date",L$6)=0,NA(),GETPIVOTDATA("ITL",'ITL-PIVOT'!$A$3,"KV%",$A155,"Experiment",L$5,"date",L$6))</f>
        <v>#N/A</v>
      </c>
      <c r="M155" t="e">
        <f>IF(GETPIVOTDATA("ITL",'ITL-PIVOT'!$A$3,"KV%",$A155,"Experiment",M$5,"date",M$6)=0,NA(),GETPIVOTDATA("ITL",'ITL-PIVOT'!$A$3,"KV%",$A155,"Experiment",M$5,"date",M$6))</f>
        <v>#N/A</v>
      </c>
    </row>
    <row r="156" spans="1:13" x14ac:dyDescent="0.25">
      <c r="A156">
        <f>IF('ITL-PIVOT'!A154=0,NA(),'ITL-PIVOT'!A154)</f>
        <v>0.60576522307914638</v>
      </c>
      <c r="B156" t="e">
        <f>IF(GETPIVOTDATA("ITL",'ITL-PIVOT'!$A$3,"KV%",$A156,"Experiment",B$5,"date",B$6)=0,NA(),GETPIVOTDATA("ITL",'ITL-PIVOT'!$A$3,"KV%",$A156,"Experiment",B$5,"date",B$6))</f>
        <v>#N/A</v>
      </c>
      <c r="C156" t="e">
        <f>IF(GETPIVOTDATA("ITL",'ITL-PIVOT'!$A$3,"KV%",$A156,"Experiment",C$5,"date",C$6)=0,NA(),GETPIVOTDATA("ITL",'ITL-PIVOT'!$A$3,"KV%",$A156,"Experiment",C$5,"date",C$6))</f>
        <v>#N/A</v>
      </c>
      <c r="D156" t="e">
        <f>IF(GETPIVOTDATA("ITL",'ITL-PIVOT'!$A$3,"KV%",$A156,"Experiment",D$5,"date",D$6)=0,NA(),GETPIVOTDATA("ITL",'ITL-PIVOT'!$A$3,"KV%",$A156,"Experiment",D$5,"date",D$6))</f>
        <v>#N/A</v>
      </c>
      <c r="E156" t="e">
        <f>IF(GETPIVOTDATA("ITL",'ITL-PIVOT'!$A$3,"KV%",$A156,"Experiment",E$5,"date",E$6)=0,NA(),GETPIVOTDATA("ITL",'ITL-PIVOT'!$A$3,"KV%",$A156,"Experiment",E$5,"date",E$6))</f>
        <v>#N/A</v>
      </c>
      <c r="F156" t="e">
        <f>IF(GETPIVOTDATA("ITL",'ITL-PIVOT'!$A$3,"KV%",$A156,"Experiment",F$5,"date",F$6)=0,NA(),GETPIVOTDATA("ITL",'ITL-PIVOT'!$A$3,"KV%",$A156,"Experiment",F$5,"date",F$6))</f>
        <v>#N/A</v>
      </c>
      <c r="G156" t="e">
        <f>IF(GETPIVOTDATA("ITL",'ITL-PIVOT'!$A$3,"KV%",$A156,"Experiment",G$5,"date",G$6)=0,NA(),GETPIVOTDATA("ITL",'ITL-PIVOT'!$A$3,"KV%",$A156,"Experiment",G$5,"date",G$6))</f>
        <v>#N/A</v>
      </c>
      <c r="H156" t="e">
        <f>IF(GETPIVOTDATA("ITL",'ITL-PIVOT'!$A$3,"KV%",$A156,"Experiment",H$5,"date",H$6)=0,NA(),GETPIVOTDATA("ITL",'ITL-PIVOT'!$A$3,"KV%",$A156,"Experiment",H$5,"date",H$6))</f>
        <v>#N/A</v>
      </c>
      <c r="I156" t="e">
        <f>IF(GETPIVOTDATA("ITL",'ITL-PIVOT'!$A$3,"KV%",$A156,"Experiment",I$5,"date",I$6)=0,NA(),GETPIVOTDATA("ITL",'ITL-PIVOT'!$A$3,"KV%",$A156,"Experiment",I$5,"date",I$6))</f>
        <v>#N/A</v>
      </c>
      <c r="J156" t="e">
        <f>IF(GETPIVOTDATA("ITL",'ITL-PIVOT'!$A$3,"KV%",$A156,"Experiment",J$5,"date",J$6)=0,NA(),GETPIVOTDATA("ITL",'ITL-PIVOT'!$A$3,"KV%",$A156,"Experiment",J$5,"date",J$6))</f>
        <v>#N/A</v>
      </c>
      <c r="K156" t="e">
        <f>IF(GETPIVOTDATA("ITL",'ITL-PIVOT'!$A$3,"KV%",$A156,"Experiment",K$5,"date",K$6)=0,NA(),GETPIVOTDATA("ITL",'ITL-PIVOT'!$A$3,"KV%",$A156,"Experiment",K$5,"date",K$6))</f>
        <v>#N/A</v>
      </c>
      <c r="L156">
        <f>IF(GETPIVOTDATA("ITL",'ITL-PIVOT'!$A$3,"KV%",$A156,"Experiment",L$5,"date",L$6)=0,NA(),GETPIVOTDATA("ITL",'ITL-PIVOT'!$A$3,"KV%",$A156,"Experiment",L$5,"date",L$6))</f>
        <v>3.0594831133307181E-2</v>
      </c>
      <c r="M156" t="e">
        <f>IF(GETPIVOTDATA("ITL",'ITL-PIVOT'!$A$3,"KV%",$A156,"Experiment",M$5,"date",M$6)=0,NA(),GETPIVOTDATA("ITL",'ITL-PIVOT'!$A$3,"KV%",$A156,"Experiment",M$5,"date",M$6))</f>
        <v>#N/A</v>
      </c>
    </row>
    <row r="157" spans="1:13" x14ac:dyDescent="0.25">
      <c r="A157">
        <f>IF('ITL-PIVOT'!A155=0,NA(),'ITL-PIVOT'!A155)</f>
        <v>0.60624127230411173</v>
      </c>
      <c r="B157" t="e">
        <f>IF(GETPIVOTDATA("ITL",'ITL-PIVOT'!$A$3,"KV%",$A157,"Experiment",B$5,"date",B$6)=0,NA(),GETPIVOTDATA("ITL",'ITL-PIVOT'!$A$3,"KV%",$A157,"Experiment",B$5,"date",B$6))</f>
        <v>#N/A</v>
      </c>
      <c r="C157" t="e">
        <f>IF(GETPIVOTDATA("ITL",'ITL-PIVOT'!$A$3,"KV%",$A157,"Experiment",C$5,"date",C$6)=0,NA(),GETPIVOTDATA("ITL",'ITL-PIVOT'!$A$3,"KV%",$A157,"Experiment",C$5,"date",C$6))</f>
        <v>#N/A</v>
      </c>
      <c r="D157" t="e">
        <f>IF(GETPIVOTDATA("ITL",'ITL-PIVOT'!$A$3,"KV%",$A157,"Experiment",D$5,"date",D$6)=0,NA(),GETPIVOTDATA("ITL",'ITL-PIVOT'!$A$3,"KV%",$A157,"Experiment",D$5,"date",D$6))</f>
        <v>#N/A</v>
      </c>
      <c r="E157" t="e">
        <f>IF(GETPIVOTDATA("ITL",'ITL-PIVOT'!$A$3,"KV%",$A157,"Experiment",E$5,"date",E$6)=0,NA(),GETPIVOTDATA("ITL",'ITL-PIVOT'!$A$3,"KV%",$A157,"Experiment",E$5,"date",E$6))</f>
        <v>#N/A</v>
      </c>
      <c r="F157" t="e">
        <f>IF(GETPIVOTDATA("ITL",'ITL-PIVOT'!$A$3,"KV%",$A157,"Experiment",F$5,"date",F$6)=0,NA(),GETPIVOTDATA("ITL",'ITL-PIVOT'!$A$3,"KV%",$A157,"Experiment",F$5,"date",F$6))</f>
        <v>#N/A</v>
      </c>
      <c r="G157" t="e">
        <f>IF(GETPIVOTDATA("ITL",'ITL-PIVOT'!$A$3,"KV%",$A157,"Experiment",G$5,"date",G$6)=0,NA(),GETPIVOTDATA("ITL",'ITL-PIVOT'!$A$3,"KV%",$A157,"Experiment",G$5,"date",G$6))</f>
        <v>#N/A</v>
      </c>
      <c r="H157">
        <f>IF(GETPIVOTDATA("ITL",'ITL-PIVOT'!$A$3,"KV%",$A157,"Experiment",H$5,"date",H$6)=0,NA(),GETPIVOTDATA("ITL",'ITL-PIVOT'!$A$3,"KV%",$A157,"Experiment",H$5,"date",H$6))</f>
        <v>4.6968770324398397E-2</v>
      </c>
      <c r="I157" t="e">
        <f>IF(GETPIVOTDATA("ITL",'ITL-PIVOT'!$A$3,"KV%",$A157,"Experiment",I$5,"date",I$6)=0,NA(),GETPIVOTDATA("ITL",'ITL-PIVOT'!$A$3,"KV%",$A157,"Experiment",I$5,"date",I$6))</f>
        <v>#N/A</v>
      </c>
      <c r="J157" t="e">
        <f>IF(GETPIVOTDATA("ITL",'ITL-PIVOT'!$A$3,"KV%",$A157,"Experiment",J$5,"date",J$6)=0,NA(),GETPIVOTDATA("ITL",'ITL-PIVOT'!$A$3,"KV%",$A157,"Experiment",J$5,"date",J$6))</f>
        <v>#N/A</v>
      </c>
      <c r="K157" t="e">
        <f>IF(GETPIVOTDATA("ITL",'ITL-PIVOT'!$A$3,"KV%",$A157,"Experiment",K$5,"date",K$6)=0,NA(),GETPIVOTDATA("ITL",'ITL-PIVOT'!$A$3,"KV%",$A157,"Experiment",K$5,"date",K$6))</f>
        <v>#N/A</v>
      </c>
      <c r="L157" t="e">
        <f>IF(GETPIVOTDATA("ITL",'ITL-PIVOT'!$A$3,"KV%",$A157,"Experiment",L$5,"date",L$6)=0,NA(),GETPIVOTDATA("ITL",'ITL-PIVOT'!$A$3,"KV%",$A157,"Experiment",L$5,"date",L$6))</f>
        <v>#N/A</v>
      </c>
      <c r="M157" t="e">
        <f>IF(GETPIVOTDATA("ITL",'ITL-PIVOT'!$A$3,"KV%",$A157,"Experiment",M$5,"date",M$6)=0,NA(),GETPIVOTDATA("ITL",'ITL-PIVOT'!$A$3,"KV%",$A157,"Experiment",M$5,"date",M$6))</f>
        <v>#N/A</v>
      </c>
    </row>
    <row r="158" spans="1:13" x14ac:dyDescent="0.25">
      <c r="A158">
        <f>IF('ITL-PIVOT'!A156=0,NA(),'ITL-PIVOT'!A156)</f>
        <v>0.61353338852996586</v>
      </c>
      <c r="B158" t="e">
        <f>IF(GETPIVOTDATA("ITL",'ITL-PIVOT'!$A$3,"KV%",$A158,"Experiment",B$5,"date",B$6)=0,NA(),GETPIVOTDATA("ITL",'ITL-PIVOT'!$A$3,"KV%",$A158,"Experiment",B$5,"date",B$6))</f>
        <v>#N/A</v>
      </c>
      <c r="C158" t="e">
        <f>IF(GETPIVOTDATA("ITL",'ITL-PIVOT'!$A$3,"KV%",$A158,"Experiment",C$5,"date",C$6)=0,NA(),GETPIVOTDATA("ITL",'ITL-PIVOT'!$A$3,"KV%",$A158,"Experiment",C$5,"date",C$6))</f>
        <v>#N/A</v>
      </c>
      <c r="D158" t="e">
        <f>IF(GETPIVOTDATA("ITL",'ITL-PIVOT'!$A$3,"KV%",$A158,"Experiment",D$5,"date",D$6)=0,NA(),GETPIVOTDATA("ITL",'ITL-PIVOT'!$A$3,"KV%",$A158,"Experiment",D$5,"date",D$6))</f>
        <v>#N/A</v>
      </c>
      <c r="E158" t="e">
        <f>IF(GETPIVOTDATA("ITL",'ITL-PIVOT'!$A$3,"KV%",$A158,"Experiment",E$5,"date",E$6)=0,NA(),GETPIVOTDATA("ITL",'ITL-PIVOT'!$A$3,"KV%",$A158,"Experiment",E$5,"date",E$6))</f>
        <v>#N/A</v>
      </c>
      <c r="F158" t="e">
        <f>IF(GETPIVOTDATA("ITL",'ITL-PIVOT'!$A$3,"KV%",$A158,"Experiment",F$5,"date",F$6)=0,NA(),GETPIVOTDATA("ITL",'ITL-PIVOT'!$A$3,"KV%",$A158,"Experiment",F$5,"date",F$6))</f>
        <v>#N/A</v>
      </c>
      <c r="G158" t="e">
        <f>IF(GETPIVOTDATA("ITL",'ITL-PIVOT'!$A$3,"KV%",$A158,"Experiment",G$5,"date",G$6)=0,NA(),GETPIVOTDATA("ITL",'ITL-PIVOT'!$A$3,"KV%",$A158,"Experiment",G$5,"date",G$6))</f>
        <v>#N/A</v>
      </c>
      <c r="H158" t="e">
        <f>IF(GETPIVOTDATA("ITL",'ITL-PIVOT'!$A$3,"KV%",$A158,"Experiment",H$5,"date",H$6)=0,NA(),GETPIVOTDATA("ITL",'ITL-PIVOT'!$A$3,"KV%",$A158,"Experiment",H$5,"date",H$6))</f>
        <v>#N/A</v>
      </c>
      <c r="I158" t="e">
        <f>IF(GETPIVOTDATA("ITL",'ITL-PIVOT'!$A$3,"KV%",$A158,"Experiment",I$5,"date",I$6)=0,NA(),GETPIVOTDATA("ITL",'ITL-PIVOT'!$A$3,"KV%",$A158,"Experiment",I$5,"date",I$6))</f>
        <v>#N/A</v>
      </c>
      <c r="J158" t="e">
        <f>IF(GETPIVOTDATA("ITL",'ITL-PIVOT'!$A$3,"KV%",$A158,"Experiment",J$5,"date",J$6)=0,NA(),GETPIVOTDATA("ITL",'ITL-PIVOT'!$A$3,"KV%",$A158,"Experiment",J$5,"date",J$6))</f>
        <v>#N/A</v>
      </c>
      <c r="K158" t="e">
        <f>IF(GETPIVOTDATA("ITL",'ITL-PIVOT'!$A$3,"KV%",$A158,"Experiment",K$5,"date",K$6)=0,NA(),GETPIVOTDATA("ITL",'ITL-PIVOT'!$A$3,"KV%",$A158,"Experiment",K$5,"date",K$6))</f>
        <v>#N/A</v>
      </c>
      <c r="L158">
        <f>IF(GETPIVOTDATA("ITL",'ITL-PIVOT'!$A$3,"KV%",$A158,"Experiment",L$5,"date",L$6)=0,NA(),GETPIVOTDATA("ITL",'ITL-PIVOT'!$A$3,"KV%",$A158,"Experiment",L$5,"date",L$6))</f>
        <v>3.1481167201555318E-2</v>
      </c>
      <c r="M158" t="e">
        <f>IF(GETPIVOTDATA("ITL",'ITL-PIVOT'!$A$3,"KV%",$A158,"Experiment",M$5,"date",M$6)=0,NA(),GETPIVOTDATA("ITL",'ITL-PIVOT'!$A$3,"KV%",$A158,"Experiment",M$5,"date",M$6))</f>
        <v>#N/A</v>
      </c>
    </row>
    <row r="159" spans="1:13" x14ac:dyDescent="0.25">
      <c r="A159">
        <f>IF('ITL-PIVOT'!A157=0,NA(),'ITL-PIVOT'!A157)</f>
        <v>0.61581070597362297</v>
      </c>
      <c r="B159" t="e">
        <f>IF(GETPIVOTDATA("ITL",'ITL-PIVOT'!$A$3,"KV%",$A159,"Experiment",B$5,"date",B$6)=0,NA(),GETPIVOTDATA("ITL",'ITL-PIVOT'!$A$3,"KV%",$A159,"Experiment",B$5,"date",B$6))</f>
        <v>#N/A</v>
      </c>
      <c r="C159" t="e">
        <f>IF(GETPIVOTDATA("ITL",'ITL-PIVOT'!$A$3,"KV%",$A159,"Experiment",C$5,"date",C$6)=0,NA(),GETPIVOTDATA("ITL",'ITL-PIVOT'!$A$3,"KV%",$A159,"Experiment",C$5,"date",C$6))</f>
        <v>#N/A</v>
      </c>
      <c r="D159" t="e">
        <f>IF(GETPIVOTDATA("ITL",'ITL-PIVOT'!$A$3,"KV%",$A159,"Experiment",D$5,"date",D$6)=0,NA(),GETPIVOTDATA("ITL",'ITL-PIVOT'!$A$3,"KV%",$A159,"Experiment",D$5,"date",D$6))</f>
        <v>#N/A</v>
      </c>
      <c r="E159" t="e">
        <f>IF(GETPIVOTDATA("ITL",'ITL-PIVOT'!$A$3,"KV%",$A159,"Experiment",E$5,"date",E$6)=0,NA(),GETPIVOTDATA("ITL",'ITL-PIVOT'!$A$3,"KV%",$A159,"Experiment",E$5,"date",E$6))</f>
        <v>#N/A</v>
      </c>
      <c r="F159" t="e">
        <f>IF(GETPIVOTDATA("ITL",'ITL-PIVOT'!$A$3,"KV%",$A159,"Experiment",F$5,"date",F$6)=0,NA(),GETPIVOTDATA("ITL",'ITL-PIVOT'!$A$3,"KV%",$A159,"Experiment",F$5,"date",F$6))</f>
        <v>#N/A</v>
      </c>
      <c r="G159" t="e">
        <f>IF(GETPIVOTDATA("ITL",'ITL-PIVOT'!$A$3,"KV%",$A159,"Experiment",G$5,"date",G$6)=0,NA(),GETPIVOTDATA("ITL",'ITL-PIVOT'!$A$3,"KV%",$A159,"Experiment",G$5,"date",G$6))</f>
        <v>#N/A</v>
      </c>
      <c r="H159">
        <f>IF(GETPIVOTDATA("ITL",'ITL-PIVOT'!$A$3,"KV%",$A159,"Experiment",H$5,"date",H$6)=0,NA(),GETPIVOTDATA("ITL",'ITL-PIVOT'!$A$3,"KV%",$A159,"Experiment",H$5,"date",H$6))</f>
        <v>4.943304710785449E-2</v>
      </c>
      <c r="I159" t="e">
        <f>IF(GETPIVOTDATA("ITL",'ITL-PIVOT'!$A$3,"KV%",$A159,"Experiment",I$5,"date",I$6)=0,NA(),GETPIVOTDATA("ITL",'ITL-PIVOT'!$A$3,"KV%",$A159,"Experiment",I$5,"date",I$6))</f>
        <v>#N/A</v>
      </c>
      <c r="J159" t="e">
        <f>IF(GETPIVOTDATA("ITL",'ITL-PIVOT'!$A$3,"KV%",$A159,"Experiment",J$5,"date",J$6)=0,NA(),GETPIVOTDATA("ITL",'ITL-PIVOT'!$A$3,"KV%",$A159,"Experiment",J$5,"date",J$6))</f>
        <v>#N/A</v>
      </c>
      <c r="K159" t="e">
        <f>IF(GETPIVOTDATA("ITL",'ITL-PIVOT'!$A$3,"KV%",$A159,"Experiment",K$5,"date",K$6)=0,NA(),GETPIVOTDATA("ITL",'ITL-PIVOT'!$A$3,"KV%",$A159,"Experiment",K$5,"date",K$6))</f>
        <v>#N/A</v>
      </c>
      <c r="L159" t="e">
        <f>IF(GETPIVOTDATA("ITL",'ITL-PIVOT'!$A$3,"KV%",$A159,"Experiment",L$5,"date",L$6)=0,NA(),GETPIVOTDATA("ITL",'ITL-PIVOT'!$A$3,"KV%",$A159,"Experiment",L$5,"date",L$6))</f>
        <v>#N/A</v>
      </c>
      <c r="M159" t="e">
        <f>IF(GETPIVOTDATA("ITL",'ITL-PIVOT'!$A$3,"KV%",$A159,"Experiment",M$5,"date",M$6)=0,NA(),GETPIVOTDATA("ITL",'ITL-PIVOT'!$A$3,"KV%",$A159,"Experiment",M$5,"date",M$6))</f>
        <v>#N/A</v>
      </c>
    </row>
    <row r="160" spans="1:13" x14ac:dyDescent="0.25">
      <c r="A160">
        <f>IF('ITL-PIVOT'!A158=0,NA(),'ITL-PIVOT'!A158)</f>
        <v>0.61607476366979863</v>
      </c>
      <c r="B160" t="e">
        <f>IF(GETPIVOTDATA("ITL",'ITL-PIVOT'!$A$3,"KV%",$A160,"Experiment",B$5,"date",B$6)=0,NA(),GETPIVOTDATA("ITL",'ITL-PIVOT'!$A$3,"KV%",$A160,"Experiment",B$5,"date",B$6))</f>
        <v>#N/A</v>
      </c>
      <c r="C160" t="e">
        <f>IF(GETPIVOTDATA("ITL",'ITL-PIVOT'!$A$3,"KV%",$A160,"Experiment",C$5,"date",C$6)=0,NA(),GETPIVOTDATA("ITL",'ITL-PIVOT'!$A$3,"KV%",$A160,"Experiment",C$5,"date",C$6))</f>
        <v>#N/A</v>
      </c>
      <c r="D160" t="e">
        <f>IF(GETPIVOTDATA("ITL",'ITL-PIVOT'!$A$3,"KV%",$A160,"Experiment",D$5,"date",D$6)=0,NA(),GETPIVOTDATA("ITL",'ITL-PIVOT'!$A$3,"KV%",$A160,"Experiment",D$5,"date",D$6))</f>
        <v>#N/A</v>
      </c>
      <c r="E160" t="e">
        <f>IF(GETPIVOTDATA("ITL",'ITL-PIVOT'!$A$3,"KV%",$A160,"Experiment",E$5,"date",E$6)=0,NA(),GETPIVOTDATA("ITL",'ITL-PIVOT'!$A$3,"KV%",$A160,"Experiment",E$5,"date",E$6))</f>
        <v>#N/A</v>
      </c>
      <c r="F160" t="e">
        <f>IF(GETPIVOTDATA("ITL",'ITL-PIVOT'!$A$3,"KV%",$A160,"Experiment",F$5,"date",F$6)=0,NA(),GETPIVOTDATA("ITL",'ITL-PIVOT'!$A$3,"KV%",$A160,"Experiment",F$5,"date",F$6))</f>
        <v>#N/A</v>
      </c>
      <c r="G160" t="e">
        <f>IF(GETPIVOTDATA("ITL",'ITL-PIVOT'!$A$3,"KV%",$A160,"Experiment",G$5,"date",G$6)=0,NA(),GETPIVOTDATA("ITL",'ITL-PIVOT'!$A$3,"KV%",$A160,"Experiment",G$5,"date",G$6))</f>
        <v>#N/A</v>
      </c>
      <c r="H160" t="e">
        <f>IF(GETPIVOTDATA("ITL",'ITL-PIVOT'!$A$3,"KV%",$A160,"Experiment",H$5,"date",H$6)=0,NA(),GETPIVOTDATA("ITL",'ITL-PIVOT'!$A$3,"KV%",$A160,"Experiment",H$5,"date",H$6))</f>
        <v>#N/A</v>
      </c>
      <c r="I160">
        <f>IF(GETPIVOTDATA("ITL",'ITL-PIVOT'!$A$3,"KV%",$A160,"Experiment",I$5,"date",I$6)=0,NA(),GETPIVOTDATA("ITL",'ITL-PIVOT'!$A$3,"KV%",$A160,"Experiment",I$5,"date",I$6))</f>
        <v>5.388280799580767E-2</v>
      </c>
      <c r="J160" t="e">
        <f>IF(GETPIVOTDATA("ITL",'ITL-PIVOT'!$A$3,"KV%",$A160,"Experiment",J$5,"date",J$6)=0,NA(),GETPIVOTDATA("ITL",'ITL-PIVOT'!$A$3,"KV%",$A160,"Experiment",J$5,"date",J$6))</f>
        <v>#N/A</v>
      </c>
      <c r="K160" t="e">
        <f>IF(GETPIVOTDATA("ITL",'ITL-PIVOT'!$A$3,"KV%",$A160,"Experiment",K$5,"date",K$6)=0,NA(),GETPIVOTDATA("ITL",'ITL-PIVOT'!$A$3,"KV%",$A160,"Experiment",K$5,"date",K$6))</f>
        <v>#N/A</v>
      </c>
      <c r="L160" t="e">
        <f>IF(GETPIVOTDATA("ITL",'ITL-PIVOT'!$A$3,"KV%",$A160,"Experiment",L$5,"date",L$6)=0,NA(),GETPIVOTDATA("ITL",'ITL-PIVOT'!$A$3,"KV%",$A160,"Experiment",L$5,"date",L$6))</f>
        <v>#N/A</v>
      </c>
      <c r="M160" t="e">
        <f>IF(GETPIVOTDATA("ITL",'ITL-PIVOT'!$A$3,"KV%",$A160,"Experiment",M$5,"date",M$6)=0,NA(),GETPIVOTDATA("ITL",'ITL-PIVOT'!$A$3,"KV%",$A160,"Experiment",M$5,"date",M$6))</f>
        <v>#N/A</v>
      </c>
    </row>
    <row r="161" spans="1:13" x14ac:dyDescent="0.25">
      <c r="A161">
        <f>IF('ITL-PIVOT'!A159=0,NA(),'ITL-PIVOT'!A159)</f>
        <v>0.62465017383558896</v>
      </c>
      <c r="B161" t="e">
        <f>IF(GETPIVOTDATA("ITL",'ITL-PIVOT'!$A$3,"KV%",$A161,"Experiment",B$5,"date",B$6)=0,NA(),GETPIVOTDATA("ITL",'ITL-PIVOT'!$A$3,"KV%",$A161,"Experiment",B$5,"date",B$6))</f>
        <v>#N/A</v>
      </c>
      <c r="C161" t="e">
        <f>IF(GETPIVOTDATA("ITL",'ITL-PIVOT'!$A$3,"KV%",$A161,"Experiment",C$5,"date",C$6)=0,NA(),GETPIVOTDATA("ITL",'ITL-PIVOT'!$A$3,"KV%",$A161,"Experiment",C$5,"date",C$6))</f>
        <v>#N/A</v>
      </c>
      <c r="D161" t="e">
        <f>IF(GETPIVOTDATA("ITL",'ITL-PIVOT'!$A$3,"KV%",$A161,"Experiment",D$5,"date",D$6)=0,NA(),GETPIVOTDATA("ITL",'ITL-PIVOT'!$A$3,"KV%",$A161,"Experiment",D$5,"date",D$6))</f>
        <v>#N/A</v>
      </c>
      <c r="E161" t="e">
        <f>IF(GETPIVOTDATA("ITL",'ITL-PIVOT'!$A$3,"KV%",$A161,"Experiment",E$5,"date",E$6)=0,NA(),GETPIVOTDATA("ITL",'ITL-PIVOT'!$A$3,"KV%",$A161,"Experiment",E$5,"date",E$6))</f>
        <v>#N/A</v>
      </c>
      <c r="F161" t="e">
        <f>IF(GETPIVOTDATA("ITL",'ITL-PIVOT'!$A$3,"KV%",$A161,"Experiment",F$5,"date",F$6)=0,NA(),GETPIVOTDATA("ITL",'ITL-PIVOT'!$A$3,"KV%",$A161,"Experiment",F$5,"date",F$6))</f>
        <v>#N/A</v>
      </c>
      <c r="G161" t="e">
        <f>IF(GETPIVOTDATA("ITL",'ITL-PIVOT'!$A$3,"KV%",$A161,"Experiment",G$5,"date",G$6)=0,NA(),GETPIVOTDATA("ITL",'ITL-PIVOT'!$A$3,"KV%",$A161,"Experiment",G$5,"date",G$6))</f>
        <v>#N/A</v>
      </c>
      <c r="H161" t="e">
        <f>IF(GETPIVOTDATA("ITL",'ITL-PIVOT'!$A$3,"KV%",$A161,"Experiment",H$5,"date",H$6)=0,NA(),GETPIVOTDATA("ITL",'ITL-PIVOT'!$A$3,"KV%",$A161,"Experiment",H$5,"date",H$6))</f>
        <v>#N/A</v>
      </c>
      <c r="I161">
        <f>IF(GETPIVOTDATA("ITL",'ITL-PIVOT'!$A$3,"KV%",$A161,"Experiment",I$5,"date",I$6)=0,NA(),GETPIVOTDATA("ITL",'ITL-PIVOT'!$A$3,"KV%",$A161,"Experiment",I$5,"date",I$6))</f>
        <v>5.4876145341185456E-2</v>
      </c>
      <c r="J161" t="e">
        <f>IF(GETPIVOTDATA("ITL",'ITL-PIVOT'!$A$3,"KV%",$A161,"Experiment",J$5,"date",J$6)=0,NA(),GETPIVOTDATA("ITL",'ITL-PIVOT'!$A$3,"KV%",$A161,"Experiment",J$5,"date",J$6))</f>
        <v>#N/A</v>
      </c>
      <c r="K161" t="e">
        <f>IF(GETPIVOTDATA("ITL",'ITL-PIVOT'!$A$3,"KV%",$A161,"Experiment",K$5,"date",K$6)=0,NA(),GETPIVOTDATA("ITL",'ITL-PIVOT'!$A$3,"KV%",$A161,"Experiment",K$5,"date",K$6))</f>
        <v>#N/A</v>
      </c>
      <c r="L161" t="e">
        <f>IF(GETPIVOTDATA("ITL",'ITL-PIVOT'!$A$3,"KV%",$A161,"Experiment",L$5,"date",L$6)=0,NA(),GETPIVOTDATA("ITL",'ITL-PIVOT'!$A$3,"KV%",$A161,"Experiment",L$5,"date",L$6))</f>
        <v>#N/A</v>
      </c>
      <c r="M161" t="e">
        <f>IF(GETPIVOTDATA("ITL",'ITL-PIVOT'!$A$3,"KV%",$A161,"Experiment",M$5,"date",M$6)=0,NA(),GETPIVOTDATA("ITL",'ITL-PIVOT'!$A$3,"KV%",$A161,"Experiment",M$5,"date",M$6))</f>
        <v>#N/A</v>
      </c>
    </row>
    <row r="162" spans="1:13" x14ac:dyDescent="0.25">
      <c r="A162">
        <f>IF('ITL-PIVOT'!A160=0,NA(),'ITL-PIVOT'!A160)</f>
        <v>0.63176008533747097</v>
      </c>
      <c r="B162" t="e">
        <f>IF(GETPIVOTDATA("ITL",'ITL-PIVOT'!$A$3,"KV%",$A162,"Experiment",B$5,"date",B$6)=0,NA(),GETPIVOTDATA("ITL",'ITL-PIVOT'!$A$3,"KV%",$A162,"Experiment",B$5,"date",B$6))</f>
        <v>#N/A</v>
      </c>
      <c r="C162">
        <f>IF(GETPIVOTDATA("ITL",'ITL-PIVOT'!$A$3,"KV%",$A162,"Experiment",C$5,"date",C$6)=0,NA(),GETPIVOTDATA("ITL",'ITL-PIVOT'!$A$3,"KV%",$A162,"Experiment",C$5,"date",C$6))</f>
        <v>4.3304766797038811E-2</v>
      </c>
      <c r="D162" t="e">
        <f>IF(GETPIVOTDATA("ITL",'ITL-PIVOT'!$A$3,"KV%",$A162,"Experiment",D$5,"date",D$6)=0,NA(),GETPIVOTDATA("ITL",'ITL-PIVOT'!$A$3,"KV%",$A162,"Experiment",D$5,"date",D$6))</f>
        <v>#N/A</v>
      </c>
      <c r="E162" t="e">
        <f>IF(GETPIVOTDATA("ITL",'ITL-PIVOT'!$A$3,"KV%",$A162,"Experiment",E$5,"date",E$6)=0,NA(),GETPIVOTDATA("ITL",'ITL-PIVOT'!$A$3,"KV%",$A162,"Experiment",E$5,"date",E$6))</f>
        <v>#N/A</v>
      </c>
      <c r="F162" t="e">
        <f>IF(GETPIVOTDATA("ITL",'ITL-PIVOT'!$A$3,"KV%",$A162,"Experiment",F$5,"date",F$6)=0,NA(),GETPIVOTDATA("ITL",'ITL-PIVOT'!$A$3,"KV%",$A162,"Experiment",F$5,"date",F$6))</f>
        <v>#N/A</v>
      </c>
      <c r="G162" t="e">
        <f>IF(GETPIVOTDATA("ITL",'ITL-PIVOT'!$A$3,"KV%",$A162,"Experiment",G$5,"date",G$6)=0,NA(),GETPIVOTDATA("ITL",'ITL-PIVOT'!$A$3,"KV%",$A162,"Experiment",G$5,"date",G$6))</f>
        <v>#N/A</v>
      </c>
      <c r="H162" t="e">
        <f>IF(GETPIVOTDATA("ITL",'ITL-PIVOT'!$A$3,"KV%",$A162,"Experiment",H$5,"date",H$6)=0,NA(),GETPIVOTDATA("ITL",'ITL-PIVOT'!$A$3,"KV%",$A162,"Experiment",H$5,"date",H$6))</f>
        <v>#N/A</v>
      </c>
      <c r="I162" t="e">
        <f>IF(GETPIVOTDATA("ITL",'ITL-PIVOT'!$A$3,"KV%",$A162,"Experiment",I$5,"date",I$6)=0,NA(),GETPIVOTDATA("ITL",'ITL-PIVOT'!$A$3,"KV%",$A162,"Experiment",I$5,"date",I$6))</f>
        <v>#N/A</v>
      </c>
      <c r="J162" t="e">
        <f>IF(GETPIVOTDATA("ITL",'ITL-PIVOT'!$A$3,"KV%",$A162,"Experiment",J$5,"date",J$6)=0,NA(),GETPIVOTDATA("ITL",'ITL-PIVOT'!$A$3,"KV%",$A162,"Experiment",J$5,"date",J$6))</f>
        <v>#N/A</v>
      </c>
      <c r="K162" t="e">
        <f>IF(GETPIVOTDATA("ITL",'ITL-PIVOT'!$A$3,"KV%",$A162,"Experiment",K$5,"date",K$6)=0,NA(),GETPIVOTDATA("ITL",'ITL-PIVOT'!$A$3,"KV%",$A162,"Experiment",K$5,"date",K$6))</f>
        <v>#N/A</v>
      </c>
      <c r="L162" t="e">
        <f>IF(GETPIVOTDATA("ITL",'ITL-PIVOT'!$A$3,"KV%",$A162,"Experiment",L$5,"date",L$6)=0,NA(),GETPIVOTDATA("ITL",'ITL-PIVOT'!$A$3,"KV%",$A162,"Experiment",L$5,"date",L$6))</f>
        <v>#N/A</v>
      </c>
      <c r="M162" t="e">
        <f>IF(GETPIVOTDATA("ITL",'ITL-PIVOT'!$A$3,"KV%",$A162,"Experiment",M$5,"date",M$6)=0,NA(),GETPIVOTDATA("ITL",'ITL-PIVOT'!$A$3,"KV%",$A162,"Experiment",M$5,"date",M$6))</f>
        <v>#N/A</v>
      </c>
    </row>
    <row r="163" spans="1:13" x14ac:dyDescent="0.25">
      <c r="A163">
        <f>IF('ITL-PIVOT'!A161=0,NA(),'ITL-PIVOT'!A161)</f>
        <v>0.63672105239139465</v>
      </c>
      <c r="B163" t="e">
        <f>IF(GETPIVOTDATA("ITL",'ITL-PIVOT'!$A$3,"KV%",$A163,"Experiment",B$5,"date",B$6)=0,NA(),GETPIVOTDATA("ITL",'ITL-PIVOT'!$A$3,"KV%",$A163,"Experiment",B$5,"date",B$6))</f>
        <v>#N/A</v>
      </c>
      <c r="C163" t="e">
        <f>IF(GETPIVOTDATA("ITL",'ITL-PIVOT'!$A$3,"KV%",$A163,"Experiment",C$5,"date",C$6)=0,NA(),GETPIVOTDATA("ITL",'ITL-PIVOT'!$A$3,"KV%",$A163,"Experiment",C$5,"date",C$6))</f>
        <v>#N/A</v>
      </c>
      <c r="D163">
        <f>IF(GETPIVOTDATA("ITL",'ITL-PIVOT'!$A$3,"KV%",$A163,"Experiment",D$5,"date",D$6)=0,NA(),GETPIVOTDATA("ITL",'ITL-PIVOT'!$A$3,"KV%",$A163,"Experiment",D$5,"date",D$6))</f>
        <v>2.2412820088045599E-2</v>
      </c>
      <c r="E163" t="e">
        <f>IF(GETPIVOTDATA("ITL",'ITL-PIVOT'!$A$3,"KV%",$A163,"Experiment",E$5,"date",E$6)=0,NA(),GETPIVOTDATA("ITL",'ITL-PIVOT'!$A$3,"KV%",$A163,"Experiment",E$5,"date",E$6))</f>
        <v>#N/A</v>
      </c>
      <c r="F163" t="e">
        <f>IF(GETPIVOTDATA("ITL",'ITL-PIVOT'!$A$3,"KV%",$A163,"Experiment",F$5,"date",F$6)=0,NA(),GETPIVOTDATA("ITL",'ITL-PIVOT'!$A$3,"KV%",$A163,"Experiment",F$5,"date",F$6))</f>
        <v>#N/A</v>
      </c>
      <c r="G163" t="e">
        <f>IF(GETPIVOTDATA("ITL",'ITL-PIVOT'!$A$3,"KV%",$A163,"Experiment",G$5,"date",G$6)=0,NA(),GETPIVOTDATA("ITL",'ITL-PIVOT'!$A$3,"KV%",$A163,"Experiment",G$5,"date",G$6))</f>
        <v>#N/A</v>
      </c>
      <c r="H163" t="e">
        <f>IF(GETPIVOTDATA("ITL",'ITL-PIVOT'!$A$3,"KV%",$A163,"Experiment",H$5,"date",H$6)=0,NA(),GETPIVOTDATA("ITL",'ITL-PIVOT'!$A$3,"KV%",$A163,"Experiment",H$5,"date",H$6))</f>
        <v>#N/A</v>
      </c>
      <c r="I163" t="e">
        <f>IF(GETPIVOTDATA("ITL",'ITL-PIVOT'!$A$3,"KV%",$A163,"Experiment",I$5,"date",I$6)=0,NA(),GETPIVOTDATA("ITL",'ITL-PIVOT'!$A$3,"KV%",$A163,"Experiment",I$5,"date",I$6))</f>
        <v>#N/A</v>
      </c>
      <c r="J163" t="e">
        <f>IF(GETPIVOTDATA("ITL",'ITL-PIVOT'!$A$3,"KV%",$A163,"Experiment",J$5,"date",J$6)=0,NA(),GETPIVOTDATA("ITL",'ITL-PIVOT'!$A$3,"KV%",$A163,"Experiment",J$5,"date",J$6))</f>
        <v>#N/A</v>
      </c>
      <c r="K163" t="e">
        <f>IF(GETPIVOTDATA("ITL",'ITL-PIVOT'!$A$3,"KV%",$A163,"Experiment",K$5,"date",K$6)=0,NA(),GETPIVOTDATA("ITL",'ITL-PIVOT'!$A$3,"KV%",$A163,"Experiment",K$5,"date",K$6))</f>
        <v>#N/A</v>
      </c>
      <c r="L163" t="e">
        <f>IF(GETPIVOTDATA("ITL",'ITL-PIVOT'!$A$3,"KV%",$A163,"Experiment",L$5,"date",L$6)=0,NA(),GETPIVOTDATA("ITL",'ITL-PIVOT'!$A$3,"KV%",$A163,"Experiment",L$5,"date",L$6))</f>
        <v>#N/A</v>
      </c>
      <c r="M163" t="e">
        <f>IF(GETPIVOTDATA("ITL",'ITL-PIVOT'!$A$3,"KV%",$A163,"Experiment",M$5,"date",M$6)=0,NA(),GETPIVOTDATA("ITL",'ITL-PIVOT'!$A$3,"KV%",$A163,"Experiment",M$5,"date",M$6))</f>
        <v>#N/A</v>
      </c>
    </row>
    <row r="164" spans="1:13" x14ac:dyDescent="0.25">
      <c r="A164">
        <f>IF('ITL-PIVOT'!A162=0,NA(),'ITL-PIVOT'!A162)</f>
        <v>0.65109408671666236</v>
      </c>
      <c r="B164" t="e">
        <f>IF(GETPIVOTDATA("ITL",'ITL-PIVOT'!$A$3,"KV%",$A164,"Experiment",B$5,"date",B$6)=0,NA(),GETPIVOTDATA("ITL",'ITL-PIVOT'!$A$3,"KV%",$A164,"Experiment",B$5,"date",B$6))</f>
        <v>#N/A</v>
      </c>
      <c r="C164" t="e">
        <f>IF(GETPIVOTDATA("ITL",'ITL-PIVOT'!$A$3,"KV%",$A164,"Experiment",C$5,"date",C$6)=0,NA(),GETPIVOTDATA("ITL",'ITL-PIVOT'!$A$3,"KV%",$A164,"Experiment",C$5,"date",C$6))</f>
        <v>#N/A</v>
      </c>
      <c r="D164" t="e">
        <f>IF(GETPIVOTDATA("ITL",'ITL-PIVOT'!$A$3,"KV%",$A164,"Experiment",D$5,"date",D$6)=0,NA(),GETPIVOTDATA("ITL",'ITL-PIVOT'!$A$3,"KV%",$A164,"Experiment",D$5,"date",D$6))</f>
        <v>#N/A</v>
      </c>
      <c r="E164" t="e">
        <f>IF(GETPIVOTDATA("ITL",'ITL-PIVOT'!$A$3,"KV%",$A164,"Experiment",E$5,"date",E$6)=0,NA(),GETPIVOTDATA("ITL",'ITL-PIVOT'!$A$3,"KV%",$A164,"Experiment",E$5,"date",E$6))</f>
        <v>#N/A</v>
      </c>
      <c r="F164" t="e">
        <f>IF(GETPIVOTDATA("ITL",'ITL-PIVOT'!$A$3,"KV%",$A164,"Experiment",F$5,"date",F$6)=0,NA(),GETPIVOTDATA("ITL",'ITL-PIVOT'!$A$3,"KV%",$A164,"Experiment",F$5,"date",F$6))</f>
        <v>#N/A</v>
      </c>
      <c r="G164">
        <f>IF(GETPIVOTDATA("ITL",'ITL-PIVOT'!$A$3,"KV%",$A164,"Experiment",G$5,"date",G$6)=0,NA(),GETPIVOTDATA("ITL",'ITL-PIVOT'!$A$3,"KV%",$A164,"Experiment",G$5,"date",G$6))</f>
        <v>2.7029909332638716E-2</v>
      </c>
      <c r="H164" t="e">
        <f>IF(GETPIVOTDATA("ITL",'ITL-PIVOT'!$A$3,"KV%",$A164,"Experiment",H$5,"date",H$6)=0,NA(),GETPIVOTDATA("ITL",'ITL-PIVOT'!$A$3,"KV%",$A164,"Experiment",H$5,"date",H$6))</f>
        <v>#N/A</v>
      </c>
      <c r="I164" t="e">
        <f>IF(GETPIVOTDATA("ITL",'ITL-PIVOT'!$A$3,"KV%",$A164,"Experiment",I$5,"date",I$6)=0,NA(),GETPIVOTDATA("ITL",'ITL-PIVOT'!$A$3,"KV%",$A164,"Experiment",I$5,"date",I$6))</f>
        <v>#N/A</v>
      </c>
      <c r="J164" t="e">
        <f>IF(GETPIVOTDATA("ITL",'ITL-PIVOT'!$A$3,"KV%",$A164,"Experiment",J$5,"date",J$6)=0,NA(),GETPIVOTDATA("ITL",'ITL-PIVOT'!$A$3,"KV%",$A164,"Experiment",J$5,"date",J$6))</f>
        <v>#N/A</v>
      </c>
      <c r="K164" t="e">
        <f>IF(GETPIVOTDATA("ITL",'ITL-PIVOT'!$A$3,"KV%",$A164,"Experiment",K$5,"date",K$6)=0,NA(),GETPIVOTDATA("ITL",'ITL-PIVOT'!$A$3,"KV%",$A164,"Experiment",K$5,"date",K$6))</f>
        <v>#N/A</v>
      </c>
      <c r="L164" t="e">
        <f>IF(GETPIVOTDATA("ITL",'ITL-PIVOT'!$A$3,"KV%",$A164,"Experiment",L$5,"date",L$6)=0,NA(),GETPIVOTDATA("ITL",'ITL-PIVOT'!$A$3,"KV%",$A164,"Experiment",L$5,"date",L$6))</f>
        <v>#N/A</v>
      </c>
      <c r="M164" t="e">
        <f>IF(GETPIVOTDATA("ITL",'ITL-PIVOT'!$A$3,"KV%",$A164,"Experiment",M$5,"date",M$6)=0,NA(),GETPIVOTDATA("ITL",'ITL-PIVOT'!$A$3,"KV%",$A164,"Experiment",M$5,"date",M$6))</f>
        <v>#N/A</v>
      </c>
    </row>
    <row r="165" spans="1:13" x14ac:dyDescent="0.25">
      <c r="A165">
        <f>IF('ITL-PIVOT'!A163=0,NA(),'ITL-PIVOT'!A163)</f>
        <v>0.65425178863891043</v>
      </c>
      <c r="B165" t="e">
        <f>IF(GETPIVOTDATA("ITL",'ITL-PIVOT'!$A$3,"KV%",$A165,"Experiment",B$5,"date",B$6)=0,NA(),GETPIVOTDATA("ITL",'ITL-PIVOT'!$A$3,"KV%",$A165,"Experiment",B$5,"date",B$6))</f>
        <v>#N/A</v>
      </c>
      <c r="C165" t="e">
        <f>IF(GETPIVOTDATA("ITL",'ITL-PIVOT'!$A$3,"KV%",$A165,"Experiment",C$5,"date",C$6)=0,NA(),GETPIVOTDATA("ITL",'ITL-PIVOT'!$A$3,"KV%",$A165,"Experiment",C$5,"date",C$6))</f>
        <v>#N/A</v>
      </c>
      <c r="D165">
        <f>IF(GETPIVOTDATA("ITL",'ITL-PIVOT'!$A$3,"KV%",$A165,"Experiment",D$5,"date",D$6)=0,NA(),GETPIVOTDATA("ITL",'ITL-PIVOT'!$A$3,"KV%",$A165,"Experiment",D$5,"date",D$6))</f>
        <v>2.3826842528162459E-2</v>
      </c>
      <c r="E165" t="e">
        <f>IF(GETPIVOTDATA("ITL",'ITL-PIVOT'!$A$3,"KV%",$A165,"Experiment",E$5,"date",E$6)=0,NA(),GETPIVOTDATA("ITL",'ITL-PIVOT'!$A$3,"KV%",$A165,"Experiment",E$5,"date",E$6))</f>
        <v>#N/A</v>
      </c>
      <c r="F165" t="e">
        <f>IF(GETPIVOTDATA("ITL",'ITL-PIVOT'!$A$3,"KV%",$A165,"Experiment",F$5,"date",F$6)=0,NA(),GETPIVOTDATA("ITL",'ITL-PIVOT'!$A$3,"KV%",$A165,"Experiment",F$5,"date",F$6))</f>
        <v>#N/A</v>
      </c>
      <c r="G165" t="e">
        <f>IF(GETPIVOTDATA("ITL",'ITL-PIVOT'!$A$3,"KV%",$A165,"Experiment",G$5,"date",G$6)=0,NA(),GETPIVOTDATA("ITL",'ITL-PIVOT'!$A$3,"KV%",$A165,"Experiment",G$5,"date",G$6))</f>
        <v>#N/A</v>
      </c>
      <c r="H165" t="e">
        <f>IF(GETPIVOTDATA("ITL",'ITL-PIVOT'!$A$3,"KV%",$A165,"Experiment",H$5,"date",H$6)=0,NA(),GETPIVOTDATA("ITL",'ITL-PIVOT'!$A$3,"KV%",$A165,"Experiment",H$5,"date",H$6))</f>
        <v>#N/A</v>
      </c>
      <c r="I165" t="e">
        <f>IF(GETPIVOTDATA("ITL",'ITL-PIVOT'!$A$3,"KV%",$A165,"Experiment",I$5,"date",I$6)=0,NA(),GETPIVOTDATA("ITL",'ITL-PIVOT'!$A$3,"KV%",$A165,"Experiment",I$5,"date",I$6))</f>
        <v>#N/A</v>
      </c>
      <c r="J165" t="e">
        <f>IF(GETPIVOTDATA("ITL",'ITL-PIVOT'!$A$3,"KV%",$A165,"Experiment",J$5,"date",J$6)=0,NA(),GETPIVOTDATA("ITL",'ITL-PIVOT'!$A$3,"KV%",$A165,"Experiment",J$5,"date",J$6))</f>
        <v>#N/A</v>
      </c>
      <c r="K165" t="e">
        <f>IF(GETPIVOTDATA("ITL",'ITL-PIVOT'!$A$3,"KV%",$A165,"Experiment",K$5,"date",K$6)=0,NA(),GETPIVOTDATA("ITL",'ITL-PIVOT'!$A$3,"KV%",$A165,"Experiment",K$5,"date",K$6))</f>
        <v>#N/A</v>
      </c>
      <c r="L165" t="e">
        <f>IF(GETPIVOTDATA("ITL",'ITL-PIVOT'!$A$3,"KV%",$A165,"Experiment",L$5,"date",L$6)=0,NA(),GETPIVOTDATA("ITL",'ITL-PIVOT'!$A$3,"KV%",$A165,"Experiment",L$5,"date",L$6))</f>
        <v>#N/A</v>
      </c>
      <c r="M165" t="e">
        <f>IF(GETPIVOTDATA("ITL",'ITL-PIVOT'!$A$3,"KV%",$A165,"Experiment",M$5,"date",M$6)=0,NA(),GETPIVOTDATA("ITL",'ITL-PIVOT'!$A$3,"KV%",$A165,"Experiment",M$5,"date",M$6))</f>
        <v>#N/A</v>
      </c>
    </row>
    <row r="166" spans="1:13" x14ac:dyDescent="0.25">
      <c r="A166">
        <f>IF('ITL-PIVOT'!A164=0,NA(),'ITL-PIVOT'!A164)</f>
        <v>0.65566330488750968</v>
      </c>
      <c r="B166" t="e">
        <f>IF(GETPIVOTDATA("ITL",'ITL-PIVOT'!$A$3,"KV%",$A166,"Experiment",B$5,"date",B$6)=0,NA(),GETPIVOTDATA("ITL",'ITL-PIVOT'!$A$3,"KV%",$A166,"Experiment",B$5,"date",B$6))</f>
        <v>#N/A</v>
      </c>
      <c r="C166" t="e">
        <f>IF(GETPIVOTDATA("ITL",'ITL-PIVOT'!$A$3,"KV%",$A166,"Experiment",C$5,"date",C$6)=0,NA(),GETPIVOTDATA("ITL",'ITL-PIVOT'!$A$3,"KV%",$A166,"Experiment",C$5,"date",C$6))</f>
        <v>#N/A</v>
      </c>
      <c r="D166" t="e">
        <f>IF(GETPIVOTDATA("ITL",'ITL-PIVOT'!$A$3,"KV%",$A166,"Experiment",D$5,"date",D$6)=0,NA(),GETPIVOTDATA("ITL",'ITL-PIVOT'!$A$3,"KV%",$A166,"Experiment",D$5,"date",D$6))</f>
        <v>#N/A</v>
      </c>
      <c r="E166">
        <f>IF(GETPIVOTDATA("ITL",'ITL-PIVOT'!$A$3,"KV%",$A166,"Experiment",E$5,"date",E$6)=0,NA(),GETPIVOTDATA("ITL",'ITL-PIVOT'!$A$3,"KV%",$A166,"Experiment",E$5,"date",E$6))</f>
        <v>2.5104176271498566E-2</v>
      </c>
      <c r="F166" t="e">
        <f>IF(GETPIVOTDATA("ITL",'ITL-PIVOT'!$A$3,"KV%",$A166,"Experiment",F$5,"date",F$6)=0,NA(),GETPIVOTDATA("ITL",'ITL-PIVOT'!$A$3,"KV%",$A166,"Experiment",F$5,"date",F$6))</f>
        <v>#N/A</v>
      </c>
      <c r="G166" t="e">
        <f>IF(GETPIVOTDATA("ITL",'ITL-PIVOT'!$A$3,"KV%",$A166,"Experiment",G$5,"date",G$6)=0,NA(),GETPIVOTDATA("ITL",'ITL-PIVOT'!$A$3,"KV%",$A166,"Experiment",G$5,"date",G$6))</f>
        <v>#N/A</v>
      </c>
      <c r="H166" t="e">
        <f>IF(GETPIVOTDATA("ITL",'ITL-PIVOT'!$A$3,"KV%",$A166,"Experiment",H$5,"date",H$6)=0,NA(),GETPIVOTDATA("ITL",'ITL-PIVOT'!$A$3,"KV%",$A166,"Experiment",H$5,"date",H$6))</f>
        <v>#N/A</v>
      </c>
      <c r="I166" t="e">
        <f>IF(GETPIVOTDATA("ITL",'ITL-PIVOT'!$A$3,"KV%",$A166,"Experiment",I$5,"date",I$6)=0,NA(),GETPIVOTDATA("ITL",'ITL-PIVOT'!$A$3,"KV%",$A166,"Experiment",I$5,"date",I$6))</f>
        <v>#N/A</v>
      </c>
      <c r="J166" t="e">
        <f>IF(GETPIVOTDATA("ITL",'ITL-PIVOT'!$A$3,"KV%",$A166,"Experiment",J$5,"date",J$6)=0,NA(),GETPIVOTDATA("ITL",'ITL-PIVOT'!$A$3,"KV%",$A166,"Experiment",J$5,"date",J$6))</f>
        <v>#N/A</v>
      </c>
      <c r="K166" t="e">
        <f>IF(GETPIVOTDATA("ITL",'ITL-PIVOT'!$A$3,"KV%",$A166,"Experiment",K$5,"date",K$6)=0,NA(),GETPIVOTDATA("ITL",'ITL-PIVOT'!$A$3,"KV%",$A166,"Experiment",K$5,"date",K$6))</f>
        <v>#N/A</v>
      </c>
      <c r="L166" t="e">
        <f>IF(GETPIVOTDATA("ITL",'ITL-PIVOT'!$A$3,"KV%",$A166,"Experiment",L$5,"date",L$6)=0,NA(),GETPIVOTDATA("ITL",'ITL-PIVOT'!$A$3,"KV%",$A166,"Experiment",L$5,"date",L$6))</f>
        <v>#N/A</v>
      </c>
      <c r="M166" t="e">
        <f>IF(GETPIVOTDATA("ITL",'ITL-PIVOT'!$A$3,"KV%",$A166,"Experiment",M$5,"date",M$6)=0,NA(),GETPIVOTDATA("ITL",'ITL-PIVOT'!$A$3,"KV%",$A166,"Experiment",M$5,"date",M$6))</f>
        <v>#N/A</v>
      </c>
    </row>
    <row r="167" spans="1:13" x14ac:dyDescent="0.25">
      <c r="A167">
        <f>IF('ITL-PIVOT'!A165=0,NA(),'ITL-PIVOT'!A165)</f>
        <v>0.66312162691216692</v>
      </c>
      <c r="B167" t="e">
        <f>IF(GETPIVOTDATA("ITL",'ITL-PIVOT'!$A$3,"KV%",$A167,"Experiment",B$5,"date",B$6)=0,NA(),GETPIVOTDATA("ITL",'ITL-PIVOT'!$A$3,"KV%",$A167,"Experiment",B$5,"date",B$6))</f>
        <v>#N/A</v>
      </c>
      <c r="C167" t="e">
        <f>IF(GETPIVOTDATA("ITL",'ITL-PIVOT'!$A$3,"KV%",$A167,"Experiment",C$5,"date",C$6)=0,NA(),GETPIVOTDATA("ITL",'ITL-PIVOT'!$A$3,"KV%",$A167,"Experiment",C$5,"date",C$6))</f>
        <v>#N/A</v>
      </c>
      <c r="D167">
        <f>IF(GETPIVOTDATA("ITL",'ITL-PIVOT'!$A$3,"KV%",$A167,"Experiment",D$5,"date",D$6)=0,NA(),GETPIVOTDATA("ITL",'ITL-PIVOT'!$A$3,"KV%",$A167,"Experiment",D$5,"date",D$6))</f>
        <v>2.2953772822062748E-2</v>
      </c>
      <c r="E167" t="e">
        <f>IF(GETPIVOTDATA("ITL",'ITL-PIVOT'!$A$3,"KV%",$A167,"Experiment",E$5,"date",E$6)=0,NA(),GETPIVOTDATA("ITL",'ITL-PIVOT'!$A$3,"KV%",$A167,"Experiment",E$5,"date",E$6))</f>
        <v>#N/A</v>
      </c>
      <c r="F167" t="e">
        <f>IF(GETPIVOTDATA("ITL",'ITL-PIVOT'!$A$3,"KV%",$A167,"Experiment",F$5,"date",F$6)=0,NA(),GETPIVOTDATA("ITL",'ITL-PIVOT'!$A$3,"KV%",$A167,"Experiment",F$5,"date",F$6))</f>
        <v>#N/A</v>
      </c>
      <c r="G167" t="e">
        <f>IF(GETPIVOTDATA("ITL",'ITL-PIVOT'!$A$3,"KV%",$A167,"Experiment",G$5,"date",G$6)=0,NA(),GETPIVOTDATA("ITL",'ITL-PIVOT'!$A$3,"KV%",$A167,"Experiment",G$5,"date",G$6))</f>
        <v>#N/A</v>
      </c>
      <c r="H167" t="e">
        <f>IF(GETPIVOTDATA("ITL",'ITL-PIVOT'!$A$3,"KV%",$A167,"Experiment",H$5,"date",H$6)=0,NA(),GETPIVOTDATA("ITL",'ITL-PIVOT'!$A$3,"KV%",$A167,"Experiment",H$5,"date",H$6))</f>
        <v>#N/A</v>
      </c>
      <c r="I167" t="e">
        <f>IF(GETPIVOTDATA("ITL",'ITL-PIVOT'!$A$3,"KV%",$A167,"Experiment",I$5,"date",I$6)=0,NA(),GETPIVOTDATA("ITL",'ITL-PIVOT'!$A$3,"KV%",$A167,"Experiment",I$5,"date",I$6))</f>
        <v>#N/A</v>
      </c>
      <c r="J167" t="e">
        <f>IF(GETPIVOTDATA("ITL",'ITL-PIVOT'!$A$3,"KV%",$A167,"Experiment",J$5,"date",J$6)=0,NA(),GETPIVOTDATA("ITL",'ITL-PIVOT'!$A$3,"KV%",$A167,"Experiment",J$5,"date",J$6))</f>
        <v>#N/A</v>
      </c>
      <c r="K167" t="e">
        <f>IF(GETPIVOTDATA("ITL",'ITL-PIVOT'!$A$3,"KV%",$A167,"Experiment",K$5,"date",K$6)=0,NA(),GETPIVOTDATA("ITL",'ITL-PIVOT'!$A$3,"KV%",$A167,"Experiment",K$5,"date",K$6))</f>
        <v>#N/A</v>
      </c>
      <c r="L167" t="e">
        <f>IF(GETPIVOTDATA("ITL",'ITL-PIVOT'!$A$3,"KV%",$A167,"Experiment",L$5,"date",L$6)=0,NA(),GETPIVOTDATA("ITL",'ITL-PIVOT'!$A$3,"KV%",$A167,"Experiment",L$5,"date",L$6))</f>
        <v>#N/A</v>
      </c>
      <c r="M167" t="e">
        <f>IF(GETPIVOTDATA("ITL",'ITL-PIVOT'!$A$3,"KV%",$A167,"Experiment",M$5,"date",M$6)=0,NA(),GETPIVOTDATA("ITL",'ITL-PIVOT'!$A$3,"KV%",$A167,"Experiment",M$5,"date",M$6))</f>
        <v>#N/A</v>
      </c>
    </row>
    <row r="168" spans="1:13" x14ac:dyDescent="0.25">
      <c r="A168">
        <f>IF('ITL-PIVOT'!A166=0,NA(),'ITL-PIVOT'!A166)</f>
        <v>0.6677059971319087</v>
      </c>
      <c r="B168" t="e">
        <f>IF(GETPIVOTDATA("ITL",'ITL-PIVOT'!$A$3,"KV%",$A168,"Experiment",B$5,"date",B$6)=0,NA(),GETPIVOTDATA("ITL",'ITL-PIVOT'!$A$3,"KV%",$A168,"Experiment",B$5,"date",B$6))</f>
        <v>#N/A</v>
      </c>
      <c r="C168" t="e">
        <f>IF(GETPIVOTDATA("ITL",'ITL-PIVOT'!$A$3,"KV%",$A168,"Experiment",C$5,"date",C$6)=0,NA(),GETPIVOTDATA("ITL",'ITL-PIVOT'!$A$3,"KV%",$A168,"Experiment",C$5,"date",C$6))</f>
        <v>#N/A</v>
      </c>
      <c r="D168" t="e">
        <f>IF(GETPIVOTDATA("ITL",'ITL-PIVOT'!$A$3,"KV%",$A168,"Experiment",D$5,"date",D$6)=0,NA(),GETPIVOTDATA("ITL",'ITL-PIVOT'!$A$3,"KV%",$A168,"Experiment",D$5,"date",D$6))</f>
        <v>#N/A</v>
      </c>
      <c r="E168" t="e">
        <f>IF(GETPIVOTDATA("ITL",'ITL-PIVOT'!$A$3,"KV%",$A168,"Experiment",E$5,"date",E$6)=0,NA(),GETPIVOTDATA("ITL",'ITL-PIVOT'!$A$3,"KV%",$A168,"Experiment",E$5,"date",E$6))</f>
        <v>#N/A</v>
      </c>
      <c r="F168" t="e">
        <f>IF(GETPIVOTDATA("ITL",'ITL-PIVOT'!$A$3,"KV%",$A168,"Experiment",F$5,"date",F$6)=0,NA(),GETPIVOTDATA("ITL",'ITL-PIVOT'!$A$3,"KV%",$A168,"Experiment",F$5,"date",F$6))</f>
        <v>#N/A</v>
      </c>
      <c r="G168" t="e">
        <f>IF(GETPIVOTDATA("ITL",'ITL-PIVOT'!$A$3,"KV%",$A168,"Experiment",G$5,"date",G$6)=0,NA(),GETPIVOTDATA("ITL",'ITL-PIVOT'!$A$3,"KV%",$A168,"Experiment",G$5,"date",G$6))</f>
        <v>#N/A</v>
      </c>
      <c r="H168" t="e">
        <f>IF(GETPIVOTDATA("ITL",'ITL-PIVOT'!$A$3,"KV%",$A168,"Experiment",H$5,"date",H$6)=0,NA(),GETPIVOTDATA("ITL",'ITL-PIVOT'!$A$3,"KV%",$A168,"Experiment",H$5,"date",H$6))</f>
        <v>#N/A</v>
      </c>
      <c r="I168" t="e">
        <f>IF(GETPIVOTDATA("ITL",'ITL-PIVOT'!$A$3,"KV%",$A168,"Experiment",I$5,"date",I$6)=0,NA(),GETPIVOTDATA("ITL",'ITL-PIVOT'!$A$3,"KV%",$A168,"Experiment",I$5,"date",I$6))</f>
        <v>#N/A</v>
      </c>
      <c r="J168" t="e">
        <f>IF(GETPIVOTDATA("ITL",'ITL-PIVOT'!$A$3,"KV%",$A168,"Experiment",J$5,"date",J$6)=0,NA(),GETPIVOTDATA("ITL",'ITL-PIVOT'!$A$3,"KV%",$A168,"Experiment",J$5,"date",J$6))</f>
        <v>#N/A</v>
      </c>
      <c r="K168">
        <f>IF(GETPIVOTDATA("ITL",'ITL-PIVOT'!$A$3,"KV%",$A168,"Experiment",K$5,"date",K$6)=0,NA(),GETPIVOTDATA("ITL",'ITL-PIVOT'!$A$3,"KV%",$A168,"Experiment",K$5,"date",K$6))</f>
        <v>3.2075457319147974E-2</v>
      </c>
      <c r="L168" t="e">
        <f>IF(GETPIVOTDATA("ITL",'ITL-PIVOT'!$A$3,"KV%",$A168,"Experiment",L$5,"date",L$6)=0,NA(),GETPIVOTDATA("ITL",'ITL-PIVOT'!$A$3,"KV%",$A168,"Experiment",L$5,"date",L$6))</f>
        <v>#N/A</v>
      </c>
      <c r="M168" t="e">
        <f>IF(GETPIVOTDATA("ITL",'ITL-PIVOT'!$A$3,"KV%",$A168,"Experiment",M$5,"date",M$6)=0,NA(),GETPIVOTDATA("ITL",'ITL-PIVOT'!$A$3,"KV%",$A168,"Experiment",M$5,"date",M$6))</f>
        <v>#N/A</v>
      </c>
    </row>
    <row r="169" spans="1:13" x14ac:dyDescent="0.25">
      <c r="A169">
        <f>IF('ITL-PIVOT'!A167=0,NA(),'ITL-PIVOT'!A167)</f>
        <v>0.67199419769847424</v>
      </c>
      <c r="B169" t="e">
        <f>IF(GETPIVOTDATA("ITL",'ITL-PIVOT'!$A$3,"KV%",$A169,"Experiment",B$5,"date",B$6)=0,NA(),GETPIVOTDATA("ITL",'ITL-PIVOT'!$A$3,"KV%",$A169,"Experiment",B$5,"date",B$6))</f>
        <v>#N/A</v>
      </c>
      <c r="C169" t="e">
        <f>IF(GETPIVOTDATA("ITL",'ITL-PIVOT'!$A$3,"KV%",$A169,"Experiment",C$5,"date",C$6)=0,NA(),GETPIVOTDATA("ITL",'ITL-PIVOT'!$A$3,"KV%",$A169,"Experiment",C$5,"date",C$6))</f>
        <v>#N/A</v>
      </c>
      <c r="D169" t="e">
        <f>IF(GETPIVOTDATA("ITL",'ITL-PIVOT'!$A$3,"KV%",$A169,"Experiment",D$5,"date",D$6)=0,NA(),GETPIVOTDATA("ITL",'ITL-PIVOT'!$A$3,"KV%",$A169,"Experiment",D$5,"date",D$6))</f>
        <v>#N/A</v>
      </c>
      <c r="E169" t="e">
        <f>IF(GETPIVOTDATA("ITL",'ITL-PIVOT'!$A$3,"KV%",$A169,"Experiment",E$5,"date",E$6)=0,NA(),GETPIVOTDATA("ITL",'ITL-PIVOT'!$A$3,"KV%",$A169,"Experiment",E$5,"date",E$6))</f>
        <v>#N/A</v>
      </c>
      <c r="F169" t="e">
        <f>IF(GETPIVOTDATA("ITL",'ITL-PIVOT'!$A$3,"KV%",$A169,"Experiment",F$5,"date",F$6)=0,NA(),GETPIVOTDATA("ITL",'ITL-PIVOT'!$A$3,"KV%",$A169,"Experiment",F$5,"date",F$6))</f>
        <v>#N/A</v>
      </c>
      <c r="G169">
        <f>IF(GETPIVOTDATA("ITL",'ITL-PIVOT'!$A$3,"KV%",$A169,"Experiment",G$5,"date",G$6)=0,NA(),GETPIVOTDATA("ITL",'ITL-PIVOT'!$A$3,"KV%",$A169,"Experiment",G$5,"date",G$6))</f>
        <v>2.7770829411846651E-2</v>
      </c>
      <c r="H169" t="e">
        <f>IF(GETPIVOTDATA("ITL",'ITL-PIVOT'!$A$3,"KV%",$A169,"Experiment",H$5,"date",H$6)=0,NA(),GETPIVOTDATA("ITL",'ITL-PIVOT'!$A$3,"KV%",$A169,"Experiment",H$5,"date",H$6))</f>
        <v>#N/A</v>
      </c>
      <c r="I169" t="e">
        <f>IF(GETPIVOTDATA("ITL",'ITL-PIVOT'!$A$3,"KV%",$A169,"Experiment",I$5,"date",I$6)=0,NA(),GETPIVOTDATA("ITL",'ITL-PIVOT'!$A$3,"KV%",$A169,"Experiment",I$5,"date",I$6))</f>
        <v>#N/A</v>
      </c>
      <c r="J169" t="e">
        <f>IF(GETPIVOTDATA("ITL",'ITL-PIVOT'!$A$3,"KV%",$A169,"Experiment",J$5,"date",J$6)=0,NA(),GETPIVOTDATA("ITL",'ITL-PIVOT'!$A$3,"KV%",$A169,"Experiment",J$5,"date",J$6))</f>
        <v>#N/A</v>
      </c>
      <c r="K169" t="e">
        <f>IF(GETPIVOTDATA("ITL",'ITL-PIVOT'!$A$3,"KV%",$A169,"Experiment",K$5,"date",K$6)=0,NA(),GETPIVOTDATA("ITL",'ITL-PIVOT'!$A$3,"KV%",$A169,"Experiment",K$5,"date",K$6))</f>
        <v>#N/A</v>
      </c>
      <c r="L169" t="e">
        <f>IF(GETPIVOTDATA("ITL",'ITL-PIVOT'!$A$3,"KV%",$A169,"Experiment",L$5,"date",L$6)=0,NA(),GETPIVOTDATA("ITL",'ITL-PIVOT'!$A$3,"KV%",$A169,"Experiment",L$5,"date",L$6))</f>
        <v>#N/A</v>
      </c>
      <c r="M169" t="e">
        <f>IF(GETPIVOTDATA("ITL",'ITL-PIVOT'!$A$3,"KV%",$A169,"Experiment",M$5,"date",M$6)=0,NA(),GETPIVOTDATA("ITL",'ITL-PIVOT'!$A$3,"KV%",$A169,"Experiment",M$5,"date",M$6))</f>
        <v>#N/A</v>
      </c>
    </row>
    <row r="170" spans="1:13" x14ac:dyDescent="0.25">
      <c r="A170">
        <f>IF('ITL-PIVOT'!A168=0,NA(),'ITL-PIVOT'!A168)</f>
        <v>0.6726208947504525</v>
      </c>
      <c r="B170" t="e">
        <f>IF(GETPIVOTDATA("ITL",'ITL-PIVOT'!$A$3,"KV%",$A170,"Experiment",B$5,"date",B$6)=0,NA(),GETPIVOTDATA("ITL",'ITL-PIVOT'!$A$3,"KV%",$A170,"Experiment",B$5,"date",B$6))</f>
        <v>#N/A</v>
      </c>
      <c r="C170" t="e">
        <f>IF(GETPIVOTDATA("ITL",'ITL-PIVOT'!$A$3,"KV%",$A170,"Experiment",C$5,"date",C$6)=0,NA(),GETPIVOTDATA("ITL",'ITL-PIVOT'!$A$3,"KV%",$A170,"Experiment",C$5,"date",C$6))</f>
        <v>#N/A</v>
      </c>
      <c r="D170" t="e">
        <f>IF(GETPIVOTDATA("ITL",'ITL-PIVOT'!$A$3,"KV%",$A170,"Experiment",D$5,"date",D$6)=0,NA(),GETPIVOTDATA("ITL",'ITL-PIVOT'!$A$3,"KV%",$A170,"Experiment",D$5,"date",D$6))</f>
        <v>#N/A</v>
      </c>
      <c r="E170">
        <f>IF(GETPIVOTDATA("ITL",'ITL-PIVOT'!$A$3,"KV%",$A170,"Experiment",E$5,"date",E$6)=0,NA(),GETPIVOTDATA("ITL",'ITL-PIVOT'!$A$3,"KV%",$A170,"Experiment",E$5,"date",E$6))</f>
        <v>2.5419000666195721E-2</v>
      </c>
      <c r="F170" t="e">
        <f>IF(GETPIVOTDATA("ITL",'ITL-PIVOT'!$A$3,"KV%",$A170,"Experiment",F$5,"date",F$6)=0,NA(),GETPIVOTDATA("ITL",'ITL-PIVOT'!$A$3,"KV%",$A170,"Experiment",F$5,"date",F$6))</f>
        <v>#N/A</v>
      </c>
      <c r="G170" t="e">
        <f>IF(GETPIVOTDATA("ITL",'ITL-PIVOT'!$A$3,"KV%",$A170,"Experiment",G$5,"date",G$6)=0,NA(),GETPIVOTDATA("ITL",'ITL-PIVOT'!$A$3,"KV%",$A170,"Experiment",G$5,"date",G$6))</f>
        <v>#N/A</v>
      </c>
      <c r="H170" t="e">
        <f>IF(GETPIVOTDATA("ITL",'ITL-PIVOT'!$A$3,"KV%",$A170,"Experiment",H$5,"date",H$6)=0,NA(),GETPIVOTDATA("ITL",'ITL-PIVOT'!$A$3,"KV%",$A170,"Experiment",H$5,"date",H$6))</f>
        <v>#N/A</v>
      </c>
      <c r="I170" t="e">
        <f>IF(GETPIVOTDATA("ITL",'ITL-PIVOT'!$A$3,"KV%",$A170,"Experiment",I$5,"date",I$6)=0,NA(),GETPIVOTDATA("ITL",'ITL-PIVOT'!$A$3,"KV%",$A170,"Experiment",I$5,"date",I$6))</f>
        <v>#N/A</v>
      </c>
      <c r="J170" t="e">
        <f>IF(GETPIVOTDATA("ITL",'ITL-PIVOT'!$A$3,"KV%",$A170,"Experiment",J$5,"date",J$6)=0,NA(),GETPIVOTDATA("ITL",'ITL-PIVOT'!$A$3,"KV%",$A170,"Experiment",J$5,"date",J$6))</f>
        <v>#N/A</v>
      </c>
      <c r="K170" t="e">
        <f>IF(GETPIVOTDATA("ITL",'ITL-PIVOT'!$A$3,"KV%",$A170,"Experiment",K$5,"date",K$6)=0,NA(),GETPIVOTDATA("ITL",'ITL-PIVOT'!$A$3,"KV%",$A170,"Experiment",K$5,"date",K$6))</f>
        <v>#N/A</v>
      </c>
      <c r="L170" t="e">
        <f>IF(GETPIVOTDATA("ITL",'ITL-PIVOT'!$A$3,"KV%",$A170,"Experiment",L$5,"date",L$6)=0,NA(),GETPIVOTDATA("ITL",'ITL-PIVOT'!$A$3,"KV%",$A170,"Experiment",L$5,"date",L$6))</f>
        <v>#N/A</v>
      </c>
      <c r="M170" t="e">
        <f>IF(GETPIVOTDATA("ITL",'ITL-PIVOT'!$A$3,"KV%",$A170,"Experiment",M$5,"date",M$6)=0,NA(),GETPIVOTDATA("ITL",'ITL-PIVOT'!$A$3,"KV%",$A170,"Experiment",M$5,"date",M$6))</f>
        <v>#N/A</v>
      </c>
    </row>
    <row r="171" spans="1:13" x14ac:dyDescent="0.25">
      <c r="A171">
        <f>IF('ITL-PIVOT'!A169=0,NA(),'ITL-PIVOT'!A169)</f>
        <v>0.67386728678039765</v>
      </c>
      <c r="B171" t="e">
        <f>IF(GETPIVOTDATA("ITL",'ITL-PIVOT'!$A$3,"KV%",$A171,"Experiment",B$5,"date",B$6)=0,NA(),GETPIVOTDATA("ITL",'ITL-PIVOT'!$A$3,"KV%",$A171,"Experiment",B$5,"date",B$6))</f>
        <v>#N/A</v>
      </c>
      <c r="C171" t="e">
        <f>IF(GETPIVOTDATA("ITL",'ITL-PIVOT'!$A$3,"KV%",$A171,"Experiment",C$5,"date",C$6)=0,NA(),GETPIVOTDATA("ITL",'ITL-PIVOT'!$A$3,"KV%",$A171,"Experiment",C$5,"date",C$6))</f>
        <v>#N/A</v>
      </c>
      <c r="D171" t="e">
        <f>IF(GETPIVOTDATA("ITL",'ITL-PIVOT'!$A$3,"KV%",$A171,"Experiment",D$5,"date",D$6)=0,NA(),GETPIVOTDATA("ITL",'ITL-PIVOT'!$A$3,"KV%",$A171,"Experiment",D$5,"date",D$6))</f>
        <v>#N/A</v>
      </c>
      <c r="E171" t="e">
        <f>IF(GETPIVOTDATA("ITL",'ITL-PIVOT'!$A$3,"KV%",$A171,"Experiment",E$5,"date",E$6)=0,NA(),GETPIVOTDATA("ITL",'ITL-PIVOT'!$A$3,"KV%",$A171,"Experiment",E$5,"date",E$6))</f>
        <v>#N/A</v>
      </c>
      <c r="F171">
        <f>IF(GETPIVOTDATA("ITL",'ITL-PIVOT'!$A$3,"KV%",$A171,"Experiment",F$5,"date",F$6)=0,NA(),GETPIVOTDATA("ITL",'ITL-PIVOT'!$A$3,"KV%",$A171,"Experiment",F$5,"date",F$6))</f>
        <v>2.4655918108415869E-2</v>
      </c>
      <c r="G171" t="e">
        <f>IF(GETPIVOTDATA("ITL",'ITL-PIVOT'!$A$3,"KV%",$A171,"Experiment",G$5,"date",G$6)=0,NA(),GETPIVOTDATA("ITL",'ITL-PIVOT'!$A$3,"KV%",$A171,"Experiment",G$5,"date",G$6))</f>
        <v>#N/A</v>
      </c>
      <c r="H171" t="e">
        <f>IF(GETPIVOTDATA("ITL",'ITL-PIVOT'!$A$3,"KV%",$A171,"Experiment",H$5,"date",H$6)=0,NA(),GETPIVOTDATA("ITL",'ITL-PIVOT'!$A$3,"KV%",$A171,"Experiment",H$5,"date",H$6))</f>
        <v>#N/A</v>
      </c>
      <c r="I171" t="e">
        <f>IF(GETPIVOTDATA("ITL",'ITL-PIVOT'!$A$3,"KV%",$A171,"Experiment",I$5,"date",I$6)=0,NA(),GETPIVOTDATA("ITL",'ITL-PIVOT'!$A$3,"KV%",$A171,"Experiment",I$5,"date",I$6))</f>
        <v>#N/A</v>
      </c>
      <c r="J171" t="e">
        <f>IF(GETPIVOTDATA("ITL",'ITL-PIVOT'!$A$3,"KV%",$A171,"Experiment",J$5,"date",J$6)=0,NA(),GETPIVOTDATA("ITL",'ITL-PIVOT'!$A$3,"KV%",$A171,"Experiment",J$5,"date",J$6))</f>
        <v>#N/A</v>
      </c>
      <c r="K171" t="e">
        <f>IF(GETPIVOTDATA("ITL",'ITL-PIVOT'!$A$3,"KV%",$A171,"Experiment",K$5,"date",K$6)=0,NA(),GETPIVOTDATA("ITL",'ITL-PIVOT'!$A$3,"KV%",$A171,"Experiment",K$5,"date",K$6))</f>
        <v>#N/A</v>
      </c>
      <c r="L171" t="e">
        <f>IF(GETPIVOTDATA("ITL",'ITL-PIVOT'!$A$3,"KV%",$A171,"Experiment",L$5,"date",L$6)=0,NA(),GETPIVOTDATA("ITL",'ITL-PIVOT'!$A$3,"KV%",$A171,"Experiment",L$5,"date",L$6))</f>
        <v>#N/A</v>
      </c>
      <c r="M171" t="e">
        <f>IF(GETPIVOTDATA("ITL",'ITL-PIVOT'!$A$3,"KV%",$A171,"Experiment",M$5,"date",M$6)=0,NA(),GETPIVOTDATA("ITL",'ITL-PIVOT'!$A$3,"KV%",$A171,"Experiment",M$5,"date",M$6))</f>
        <v>#N/A</v>
      </c>
    </row>
    <row r="172" spans="1:13" x14ac:dyDescent="0.25">
      <c r="A172">
        <f>IF('ITL-PIVOT'!A170=0,NA(),'ITL-PIVOT'!A170)</f>
        <v>0.67751675012342194</v>
      </c>
      <c r="B172">
        <f>IF(GETPIVOTDATA("ITL",'ITL-PIVOT'!$A$3,"KV%",$A172,"Experiment",B$5,"date",B$6)=0,NA(),GETPIVOTDATA("ITL",'ITL-PIVOT'!$A$3,"KV%",$A172,"Experiment",B$5,"date",B$6))</f>
        <v>4.381452327098001E-2</v>
      </c>
      <c r="C172" t="e">
        <f>IF(GETPIVOTDATA("ITL",'ITL-PIVOT'!$A$3,"KV%",$A172,"Experiment",C$5,"date",C$6)=0,NA(),GETPIVOTDATA("ITL",'ITL-PIVOT'!$A$3,"KV%",$A172,"Experiment",C$5,"date",C$6))</f>
        <v>#N/A</v>
      </c>
      <c r="D172" t="e">
        <f>IF(GETPIVOTDATA("ITL",'ITL-PIVOT'!$A$3,"KV%",$A172,"Experiment",D$5,"date",D$6)=0,NA(),GETPIVOTDATA("ITL",'ITL-PIVOT'!$A$3,"KV%",$A172,"Experiment",D$5,"date",D$6))</f>
        <v>#N/A</v>
      </c>
      <c r="E172" t="e">
        <f>IF(GETPIVOTDATA("ITL",'ITL-PIVOT'!$A$3,"KV%",$A172,"Experiment",E$5,"date",E$6)=0,NA(),GETPIVOTDATA("ITL",'ITL-PIVOT'!$A$3,"KV%",$A172,"Experiment",E$5,"date",E$6))</f>
        <v>#N/A</v>
      </c>
      <c r="F172" t="e">
        <f>IF(GETPIVOTDATA("ITL",'ITL-PIVOT'!$A$3,"KV%",$A172,"Experiment",F$5,"date",F$6)=0,NA(),GETPIVOTDATA("ITL",'ITL-PIVOT'!$A$3,"KV%",$A172,"Experiment",F$5,"date",F$6))</f>
        <v>#N/A</v>
      </c>
      <c r="G172" t="e">
        <f>IF(GETPIVOTDATA("ITL",'ITL-PIVOT'!$A$3,"KV%",$A172,"Experiment",G$5,"date",G$6)=0,NA(),GETPIVOTDATA("ITL",'ITL-PIVOT'!$A$3,"KV%",$A172,"Experiment",G$5,"date",G$6))</f>
        <v>#N/A</v>
      </c>
      <c r="H172" t="e">
        <f>IF(GETPIVOTDATA("ITL",'ITL-PIVOT'!$A$3,"KV%",$A172,"Experiment",H$5,"date",H$6)=0,NA(),GETPIVOTDATA("ITL",'ITL-PIVOT'!$A$3,"KV%",$A172,"Experiment",H$5,"date",H$6))</f>
        <v>#N/A</v>
      </c>
      <c r="I172" t="e">
        <f>IF(GETPIVOTDATA("ITL",'ITL-PIVOT'!$A$3,"KV%",$A172,"Experiment",I$5,"date",I$6)=0,NA(),GETPIVOTDATA("ITL",'ITL-PIVOT'!$A$3,"KV%",$A172,"Experiment",I$5,"date",I$6))</f>
        <v>#N/A</v>
      </c>
      <c r="J172" t="e">
        <f>IF(GETPIVOTDATA("ITL",'ITL-PIVOT'!$A$3,"KV%",$A172,"Experiment",J$5,"date",J$6)=0,NA(),GETPIVOTDATA("ITL",'ITL-PIVOT'!$A$3,"KV%",$A172,"Experiment",J$5,"date",J$6))</f>
        <v>#N/A</v>
      </c>
      <c r="K172" t="e">
        <f>IF(GETPIVOTDATA("ITL",'ITL-PIVOT'!$A$3,"KV%",$A172,"Experiment",K$5,"date",K$6)=0,NA(),GETPIVOTDATA("ITL",'ITL-PIVOT'!$A$3,"KV%",$A172,"Experiment",K$5,"date",K$6))</f>
        <v>#N/A</v>
      </c>
      <c r="L172" t="e">
        <f>IF(GETPIVOTDATA("ITL",'ITL-PIVOT'!$A$3,"KV%",$A172,"Experiment",L$5,"date",L$6)=0,NA(),GETPIVOTDATA("ITL",'ITL-PIVOT'!$A$3,"KV%",$A172,"Experiment",L$5,"date",L$6))</f>
        <v>#N/A</v>
      </c>
      <c r="M172" t="e">
        <f>IF(GETPIVOTDATA("ITL",'ITL-PIVOT'!$A$3,"KV%",$A172,"Experiment",M$5,"date",M$6)=0,NA(),GETPIVOTDATA("ITL",'ITL-PIVOT'!$A$3,"KV%",$A172,"Experiment",M$5,"date",M$6))</f>
        <v>#N/A</v>
      </c>
    </row>
    <row r="173" spans="1:13" x14ac:dyDescent="0.25">
      <c r="A173">
        <f>IF('ITL-PIVOT'!A171=0,NA(),'ITL-PIVOT'!A171)</f>
        <v>0.68742814378966433</v>
      </c>
      <c r="B173" t="e">
        <f>IF(GETPIVOTDATA("ITL",'ITL-PIVOT'!$A$3,"KV%",$A173,"Experiment",B$5,"date",B$6)=0,NA(),GETPIVOTDATA("ITL",'ITL-PIVOT'!$A$3,"KV%",$A173,"Experiment",B$5,"date",B$6))</f>
        <v>#N/A</v>
      </c>
      <c r="C173" t="e">
        <f>IF(GETPIVOTDATA("ITL",'ITL-PIVOT'!$A$3,"KV%",$A173,"Experiment",C$5,"date",C$6)=0,NA(),GETPIVOTDATA("ITL",'ITL-PIVOT'!$A$3,"KV%",$A173,"Experiment",C$5,"date",C$6))</f>
        <v>#N/A</v>
      </c>
      <c r="D173" t="e">
        <f>IF(GETPIVOTDATA("ITL",'ITL-PIVOT'!$A$3,"KV%",$A173,"Experiment",D$5,"date",D$6)=0,NA(),GETPIVOTDATA("ITL",'ITL-PIVOT'!$A$3,"KV%",$A173,"Experiment",D$5,"date",D$6))</f>
        <v>#N/A</v>
      </c>
      <c r="E173" t="e">
        <f>IF(GETPIVOTDATA("ITL",'ITL-PIVOT'!$A$3,"KV%",$A173,"Experiment",E$5,"date",E$6)=0,NA(),GETPIVOTDATA("ITL",'ITL-PIVOT'!$A$3,"KV%",$A173,"Experiment",E$5,"date",E$6))</f>
        <v>#N/A</v>
      </c>
      <c r="F173">
        <f>IF(GETPIVOTDATA("ITL",'ITL-PIVOT'!$A$3,"KV%",$A173,"Experiment",F$5,"date",F$6)=0,NA(),GETPIVOTDATA("ITL",'ITL-PIVOT'!$A$3,"KV%",$A173,"Experiment",F$5,"date",F$6))</f>
        <v>2.4125358087585144E-2</v>
      </c>
      <c r="G173" t="e">
        <f>IF(GETPIVOTDATA("ITL",'ITL-PIVOT'!$A$3,"KV%",$A173,"Experiment",G$5,"date",G$6)=0,NA(),GETPIVOTDATA("ITL",'ITL-PIVOT'!$A$3,"KV%",$A173,"Experiment",G$5,"date",G$6))</f>
        <v>#N/A</v>
      </c>
      <c r="H173" t="e">
        <f>IF(GETPIVOTDATA("ITL",'ITL-PIVOT'!$A$3,"KV%",$A173,"Experiment",H$5,"date",H$6)=0,NA(),GETPIVOTDATA("ITL",'ITL-PIVOT'!$A$3,"KV%",$A173,"Experiment",H$5,"date",H$6))</f>
        <v>#N/A</v>
      </c>
      <c r="I173" t="e">
        <f>IF(GETPIVOTDATA("ITL",'ITL-PIVOT'!$A$3,"KV%",$A173,"Experiment",I$5,"date",I$6)=0,NA(),GETPIVOTDATA("ITL",'ITL-PIVOT'!$A$3,"KV%",$A173,"Experiment",I$5,"date",I$6))</f>
        <v>#N/A</v>
      </c>
      <c r="J173" t="e">
        <f>IF(GETPIVOTDATA("ITL",'ITL-PIVOT'!$A$3,"KV%",$A173,"Experiment",J$5,"date",J$6)=0,NA(),GETPIVOTDATA("ITL",'ITL-PIVOT'!$A$3,"KV%",$A173,"Experiment",J$5,"date",J$6))</f>
        <v>#N/A</v>
      </c>
      <c r="K173" t="e">
        <f>IF(GETPIVOTDATA("ITL",'ITL-PIVOT'!$A$3,"KV%",$A173,"Experiment",K$5,"date",K$6)=0,NA(),GETPIVOTDATA("ITL",'ITL-PIVOT'!$A$3,"KV%",$A173,"Experiment",K$5,"date",K$6))</f>
        <v>#N/A</v>
      </c>
      <c r="L173" t="e">
        <f>IF(GETPIVOTDATA("ITL",'ITL-PIVOT'!$A$3,"KV%",$A173,"Experiment",L$5,"date",L$6)=0,NA(),GETPIVOTDATA("ITL",'ITL-PIVOT'!$A$3,"KV%",$A173,"Experiment",L$5,"date",L$6))</f>
        <v>#N/A</v>
      </c>
      <c r="M173" t="e">
        <f>IF(GETPIVOTDATA("ITL",'ITL-PIVOT'!$A$3,"KV%",$A173,"Experiment",M$5,"date",M$6)=0,NA(),GETPIVOTDATA("ITL",'ITL-PIVOT'!$A$3,"KV%",$A173,"Experiment",M$5,"date",M$6))</f>
        <v>#N/A</v>
      </c>
    </row>
    <row r="174" spans="1:13" x14ac:dyDescent="0.25">
      <c r="A174">
        <f>IF('ITL-PIVOT'!A172=0,NA(),'ITL-PIVOT'!A172)</f>
        <v>0.69155535181136429</v>
      </c>
      <c r="B174" t="e">
        <f>IF(GETPIVOTDATA("ITL",'ITL-PIVOT'!$A$3,"KV%",$A174,"Experiment",B$5,"date",B$6)=0,NA(),GETPIVOTDATA("ITL",'ITL-PIVOT'!$A$3,"KV%",$A174,"Experiment",B$5,"date",B$6))</f>
        <v>#N/A</v>
      </c>
      <c r="C174" t="e">
        <f>IF(GETPIVOTDATA("ITL",'ITL-PIVOT'!$A$3,"KV%",$A174,"Experiment",C$5,"date",C$6)=0,NA(),GETPIVOTDATA("ITL",'ITL-PIVOT'!$A$3,"KV%",$A174,"Experiment",C$5,"date",C$6))</f>
        <v>#N/A</v>
      </c>
      <c r="D174" t="e">
        <f>IF(GETPIVOTDATA("ITL",'ITL-PIVOT'!$A$3,"KV%",$A174,"Experiment",D$5,"date",D$6)=0,NA(),GETPIVOTDATA("ITL",'ITL-PIVOT'!$A$3,"KV%",$A174,"Experiment",D$5,"date",D$6))</f>
        <v>#N/A</v>
      </c>
      <c r="E174" t="e">
        <f>IF(GETPIVOTDATA("ITL",'ITL-PIVOT'!$A$3,"KV%",$A174,"Experiment",E$5,"date",E$6)=0,NA(),GETPIVOTDATA("ITL",'ITL-PIVOT'!$A$3,"KV%",$A174,"Experiment",E$5,"date",E$6))</f>
        <v>#N/A</v>
      </c>
      <c r="F174" t="e">
        <f>IF(GETPIVOTDATA("ITL",'ITL-PIVOT'!$A$3,"KV%",$A174,"Experiment",F$5,"date",F$6)=0,NA(),GETPIVOTDATA("ITL",'ITL-PIVOT'!$A$3,"KV%",$A174,"Experiment",F$5,"date",F$6))</f>
        <v>#N/A</v>
      </c>
      <c r="G174">
        <f>IF(GETPIVOTDATA("ITL",'ITL-PIVOT'!$A$3,"KV%",$A174,"Experiment",G$5,"date",G$6)=0,NA(),GETPIVOTDATA("ITL",'ITL-PIVOT'!$A$3,"KV%",$A174,"Experiment",G$5,"date",G$6))</f>
        <v>2.8225682364917449E-2</v>
      </c>
      <c r="H174" t="e">
        <f>IF(GETPIVOTDATA("ITL",'ITL-PIVOT'!$A$3,"KV%",$A174,"Experiment",H$5,"date",H$6)=0,NA(),GETPIVOTDATA("ITL",'ITL-PIVOT'!$A$3,"KV%",$A174,"Experiment",H$5,"date",H$6))</f>
        <v>#N/A</v>
      </c>
      <c r="I174" t="e">
        <f>IF(GETPIVOTDATA("ITL",'ITL-PIVOT'!$A$3,"KV%",$A174,"Experiment",I$5,"date",I$6)=0,NA(),GETPIVOTDATA("ITL",'ITL-PIVOT'!$A$3,"KV%",$A174,"Experiment",I$5,"date",I$6))</f>
        <v>#N/A</v>
      </c>
      <c r="J174" t="e">
        <f>IF(GETPIVOTDATA("ITL",'ITL-PIVOT'!$A$3,"KV%",$A174,"Experiment",J$5,"date",J$6)=0,NA(),GETPIVOTDATA("ITL",'ITL-PIVOT'!$A$3,"KV%",$A174,"Experiment",J$5,"date",J$6))</f>
        <v>#N/A</v>
      </c>
      <c r="K174" t="e">
        <f>IF(GETPIVOTDATA("ITL",'ITL-PIVOT'!$A$3,"KV%",$A174,"Experiment",K$5,"date",K$6)=0,NA(),GETPIVOTDATA("ITL",'ITL-PIVOT'!$A$3,"KV%",$A174,"Experiment",K$5,"date",K$6))</f>
        <v>#N/A</v>
      </c>
      <c r="L174" t="e">
        <f>IF(GETPIVOTDATA("ITL",'ITL-PIVOT'!$A$3,"KV%",$A174,"Experiment",L$5,"date",L$6)=0,NA(),GETPIVOTDATA("ITL",'ITL-PIVOT'!$A$3,"KV%",$A174,"Experiment",L$5,"date",L$6))</f>
        <v>#N/A</v>
      </c>
      <c r="M174" t="e">
        <f>IF(GETPIVOTDATA("ITL",'ITL-PIVOT'!$A$3,"KV%",$A174,"Experiment",M$5,"date",M$6)=0,NA(),GETPIVOTDATA("ITL",'ITL-PIVOT'!$A$3,"KV%",$A174,"Experiment",M$5,"date",M$6))</f>
        <v>#N/A</v>
      </c>
    </row>
    <row r="175" spans="1:13" x14ac:dyDescent="0.25">
      <c r="A175">
        <f>IF('ITL-PIVOT'!A173=0,NA(),'ITL-PIVOT'!A173)</f>
        <v>0.69163114163282824</v>
      </c>
      <c r="B175" t="e">
        <f>IF(GETPIVOTDATA("ITL",'ITL-PIVOT'!$A$3,"KV%",$A175,"Experiment",B$5,"date",B$6)=0,NA(),GETPIVOTDATA("ITL",'ITL-PIVOT'!$A$3,"KV%",$A175,"Experiment",B$5,"date",B$6))</f>
        <v>#N/A</v>
      </c>
      <c r="C175" t="e">
        <f>IF(GETPIVOTDATA("ITL",'ITL-PIVOT'!$A$3,"KV%",$A175,"Experiment",C$5,"date",C$6)=0,NA(),GETPIVOTDATA("ITL",'ITL-PIVOT'!$A$3,"KV%",$A175,"Experiment",C$5,"date",C$6))</f>
        <v>#N/A</v>
      </c>
      <c r="D175" t="e">
        <f>IF(GETPIVOTDATA("ITL",'ITL-PIVOT'!$A$3,"KV%",$A175,"Experiment",D$5,"date",D$6)=0,NA(),GETPIVOTDATA("ITL",'ITL-PIVOT'!$A$3,"KV%",$A175,"Experiment",D$5,"date",D$6))</f>
        <v>#N/A</v>
      </c>
      <c r="E175" t="e">
        <f>IF(GETPIVOTDATA("ITL",'ITL-PIVOT'!$A$3,"KV%",$A175,"Experiment",E$5,"date",E$6)=0,NA(),GETPIVOTDATA("ITL",'ITL-PIVOT'!$A$3,"KV%",$A175,"Experiment",E$5,"date",E$6))</f>
        <v>#N/A</v>
      </c>
      <c r="F175">
        <f>IF(GETPIVOTDATA("ITL",'ITL-PIVOT'!$A$3,"KV%",$A175,"Experiment",F$5,"date",F$6)=0,NA(),GETPIVOTDATA("ITL",'ITL-PIVOT'!$A$3,"KV%",$A175,"Experiment",F$5,"date",F$6))</f>
        <v>2.4144724083930518E-2</v>
      </c>
      <c r="G175" t="e">
        <f>IF(GETPIVOTDATA("ITL",'ITL-PIVOT'!$A$3,"KV%",$A175,"Experiment",G$5,"date",G$6)=0,NA(),GETPIVOTDATA("ITL",'ITL-PIVOT'!$A$3,"KV%",$A175,"Experiment",G$5,"date",G$6))</f>
        <v>#N/A</v>
      </c>
      <c r="H175" t="e">
        <f>IF(GETPIVOTDATA("ITL",'ITL-PIVOT'!$A$3,"KV%",$A175,"Experiment",H$5,"date",H$6)=0,NA(),GETPIVOTDATA("ITL",'ITL-PIVOT'!$A$3,"KV%",$A175,"Experiment",H$5,"date",H$6))</f>
        <v>#N/A</v>
      </c>
      <c r="I175" t="e">
        <f>IF(GETPIVOTDATA("ITL",'ITL-PIVOT'!$A$3,"KV%",$A175,"Experiment",I$5,"date",I$6)=0,NA(),GETPIVOTDATA("ITL",'ITL-PIVOT'!$A$3,"KV%",$A175,"Experiment",I$5,"date",I$6))</f>
        <v>#N/A</v>
      </c>
      <c r="J175" t="e">
        <f>IF(GETPIVOTDATA("ITL",'ITL-PIVOT'!$A$3,"KV%",$A175,"Experiment",J$5,"date",J$6)=0,NA(),GETPIVOTDATA("ITL",'ITL-PIVOT'!$A$3,"KV%",$A175,"Experiment",J$5,"date",J$6))</f>
        <v>#N/A</v>
      </c>
      <c r="K175" t="e">
        <f>IF(GETPIVOTDATA("ITL",'ITL-PIVOT'!$A$3,"KV%",$A175,"Experiment",K$5,"date",K$6)=0,NA(),GETPIVOTDATA("ITL",'ITL-PIVOT'!$A$3,"KV%",$A175,"Experiment",K$5,"date",K$6))</f>
        <v>#N/A</v>
      </c>
      <c r="L175" t="e">
        <f>IF(GETPIVOTDATA("ITL",'ITL-PIVOT'!$A$3,"KV%",$A175,"Experiment",L$5,"date",L$6)=0,NA(),GETPIVOTDATA("ITL",'ITL-PIVOT'!$A$3,"KV%",$A175,"Experiment",L$5,"date",L$6))</f>
        <v>#N/A</v>
      </c>
      <c r="M175" t="e">
        <f>IF(GETPIVOTDATA("ITL",'ITL-PIVOT'!$A$3,"KV%",$A175,"Experiment",M$5,"date",M$6)=0,NA(),GETPIVOTDATA("ITL",'ITL-PIVOT'!$A$3,"KV%",$A175,"Experiment",M$5,"date",M$6))</f>
        <v>#N/A</v>
      </c>
    </row>
    <row r="176" spans="1:13" x14ac:dyDescent="0.25">
      <c r="A176">
        <f>IF('ITL-PIVOT'!A174=0,NA(),'ITL-PIVOT'!A174)</f>
        <v>0.69932189753756857</v>
      </c>
      <c r="B176" t="e">
        <f>IF(GETPIVOTDATA("ITL",'ITL-PIVOT'!$A$3,"KV%",$A176,"Experiment",B$5,"date",B$6)=0,NA(),GETPIVOTDATA("ITL",'ITL-PIVOT'!$A$3,"KV%",$A176,"Experiment",B$5,"date",B$6))</f>
        <v>#N/A</v>
      </c>
      <c r="C176" t="e">
        <f>IF(GETPIVOTDATA("ITL",'ITL-PIVOT'!$A$3,"KV%",$A176,"Experiment",C$5,"date",C$6)=0,NA(),GETPIVOTDATA("ITL",'ITL-PIVOT'!$A$3,"KV%",$A176,"Experiment",C$5,"date",C$6))</f>
        <v>#N/A</v>
      </c>
      <c r="D176" t="e">
        <f>IF(GETPIVOTDATA("ITL",'ITL-PIVOT'!$A$3,"KV%",$A176,"Experiment",D$5,"date",D$6)=0,NA(),GETPIVOTDATA("ITL",'ITL-PIVOT'!$A$3,"KV%",$A176,"Experiment",D$5,"date",D$6))</f>
        <v>#N/A</v>
      </c>
      <c r="E176" t="e">
        <f>IF(GETPIVOTDATA("ITL",'ITL-PIVOT'!$A$3,"KV%",$A176,"Experiment",E$5,"date",E$6)=0,NA(),GETPIVOTDATA("ITL",'ITL-PIVOT'!$A$3,"KV%",$A176,"Experiment",E$5,"date",E$6))</f>
        <v>#N/A</v>
      </c>
      <c r="F176" t="e">
        <f>IF(GETPIVOTDATA("ITL",'ITL-PIVOT'!$A$3,"KV%",$A176,"Experiment",F$5,"date",F$6)=0,NA(),GETPIVOTDATA("ITL",'ITL-PIVOT'!$A$3,"KV%",$A176,"Experiment",F$5,"date",F$6))</f>
        <v>#N/A</v>
      </c>
      <c r="G176" t="e">
        <f>IF(GETPIVOTDATA("ITL",'ITL-PIVOT'!$A$3,"KV%",$A176,"Experiment",G$5,"date",G$6)=0,NA(),GETPIVOTDATA("ITL",'ITL-PIVOT'!$A$3,"KV%",$A176,"Experiment",G$5,"date",G$6))</f>
        <v>#N/A</v>
      </c>
      <c r="H176" t="e">
        <f>IF(GETPIVOTDATA("ITL",'ITL-PIVOT'!$A$3,"KV%",$A176,"Experiment",H$5,"date",H$6)=0,NA(),GETPIVOTDATA("ITL",'ITL-PIVOT'!$A$3,"KV%",$A176,"Experiment",H$5,"date",H$6))</f>
        <v>#N/A</v>
      </c>
      <c r="I176" t="e">
        <f>IF(GETPIVOTDATA("ITL",'ITL-PIVOT'!$A$3,"KV%",$A176,"Experiment",I$5,"date",I$6)=0,NA(),GETPIVOTDATA("ITL",'ITL-PIVOT'!$A$3,"KV%",$A176,"Experiment",I$5,"date",I$6))</f>
        <v>#N/A</v>
      </c>
      <c r="J176" t="e">
        <f>IF(GETPIVOTDATA("ITL",'ITL-PIVOT'!$A$3,"KV%",$A176,"Experiment",J$5,"date",J$6)=0,NA(),GETPIVOTDATA("ITL",'ITL-PIVOT'!$A$3,"KV%",$A176,"Experiment",J$5,"date",J$6))</f>
        <v>#N/A</v>
      </c>
      <c r="K176" t="e">
        <f>IF(GETPIVOTDATA("ITL",'ITL-PIVOT'!$A$3,"KV%",$A176,"Experiment",K$5,"date",K$6)=0,NA(),GETPIVOTDATA("ITL",'ITL-PIVOT'!$A$3,"KV%",$A176,"Experiment",K$5,"date",K$6))</f>
        <v>#N/A</v>
      </c>
      <c r="L176" t="e">
        <f>IF(GETPIVOTDATA("ITL",'ITL-PIVOT'!$A$3,"KV%",$A176,"Experiment",L$5,"date",L$6)=0,NA(),GETPIVOTDATA("ITL",'ITL-PIVOT'!$A$3,"KV%",$A176,"Experiment",L$5,"date",L$6))</f>
        <v>#N/A</v>
      </c>
      <c r="M176">
        <f>IF(GETPIVOTDATA("ITL",'ITL-PIVOT'!$A$3,"KV%",$A176,"Experiment",M$5,"date",M$6)=0,NA(),GETPIVOTDATA("ITL",'ITL-PIVOT'!$A$3,"KV%",$A176,"Experiment",M$5,"date",M$6))</f>
        <v>8.4682442355198839E-2</v>
      </c>
    </row>
    <row r="177" spans="1:13" x14ac:dyDescent="0.25">
      <c r="A177">
        <f>IF('ITL-PIVOT'!A175=0,NA(),'ITL-PIVOT'!A175)</f>
        <v>0.70605226813527833</v>
      </c>
      <c r="B177" t="e">
        <f>IF(GETPIVOTDATA("ITL",'ITL-PIVOT'!$A$3,"KV%",$A177,"Experiment",B$5,"date",B$6)=0,NA(),GETPIVOTDATA("ITL",'ITL-PIVOT'!$A$3,"KV%",$A177,"Experiment",B$5,"date",B$6))</f>
        <v>#N/A</v>
      </c>
      <c r="C177" t="e">
        <f>IF(GETPIVOTDATA("ITL",'ITL-PIVOT'!$A$3,"KV%",$A177,"Experiment",C$5,"date",C$6)=0,NA(),GETPIVOTDATA("ITL",'ITL-PIVOT'!$A$3,"KV%",$A177,"Experiment",C$5,"date",C$6))</f>
        <v>#N/A</v>
      </c>
      <c r="D177" t="e">
        <f>IF(GETPIVOTDATA("ITL",'ITL-PIVOT'!$A$3,"KV%",$A177,"Experiment",D$5,"date",D$6)=0,NA(),GETPIVOTDATA("ITL",'ITL-PIVOT'!$A$3,"KV%",$A177,"Experiment",D$5,"date",D$6))</f>
        <v>#N/A</v>
      </c>
      <c r="E177">
        <f>IF(GETPIVOTDATA("ITL",'ITL-PIVOT'!$A$3,"KV%",$A177,"Experiment",E$5,"date",E$6)=0,NA(),GETPIVOTDATA("ITL",'ITL-PIVOT'!$A$3,"KV%",$A177,"Experiment",E$5,"date",E$6))</f>
        <v>2.4985119127032752E-2</v>
      </c>
      <c r="F177" t="e">
        <f>IF(GETPIVOTDATA("ITL",'ITL-PIVOT'!$A$3,"KV%",$A177,"Experiment",F$5,"date",F$6)=0,NA(),GETPIVOTDATA("ITL",'ITL-PIVOT'!$A$3,"KV%",$A177,"Experiment",F$5,"date",F$6))</f>
        <v>#N/A</v>
      </c>
      <c r="G177" t="e">
        <f>IF(GETPIVOTDATA("ITL",'ITL-PIVOT'!$A$3,"KV%",$A177,"Experiment",G$5,"date",G$6)=0,NA(),GETPIVOTDATA("ITL",'ITL-PIVOT'!$A$3,"KV%",$A177,"Experiment",G$5,"date",G$6))</f>
        <v>#N/A</v>
      </c>
      <c r="H177" t="e">
        <f>IF(GETPIVOTDATA("ITL",'ITL-PIVOT'!$A$3,"KV%",$A177,"Experiment",H$5,"date",H$6)=0,NA(),GETPIVOTDATA("ITL",'ITL-PIVOT'!$A$3,"KV%",$A177,"Experiment",H$5,"date",H$6))</f>
        <v>#N/A</v>
      </c>
      <c r="I177" t="e">
        <f>IF(GETPIVOTDATA("ITL",'ITL-PIVOT'!$A$3,"KV%",$A177,"Experiment",I$5,"date",I$6)=0,NA(),GETPIVOTDATA("ITL",'ITL-PIVOT'!$A$3,"KV%",$A177,"Experiment",I$5,"date",I$6))</f>
        <v>#N/A</v>
      </c>
      <c r="J177" t="e">
        <f>IF(GETPIVOTDATA("ITL",'ITL-PIVOT'!$A$3,"KV%",$A177,"Experiment",J$5,"date",J$6)=0,NA(),GETPIVOTDATA("ITL",'ITL-PIVOT'!$A$3,"KV%",$A177,"Experiment",J$5,"date",J$6))</f>
        <v>#N/A</v>
      </c>
      <c r="K177" t="e">
        <f>IF(GETPIVOTDATA("ITL",'ITL-PIVOT'!$A$3,"KV%",$A177,"Experiment",K$5,"date",K$6)=0,NA(),GETPIVOTDATA("ITL",'ITL-PIVOT'!$A$3,"KV%",$A177,"Experiment",K$5,"date",K$6))</f>
        <v>#N/A</v>
      </c>
      <c r="L177" t="e">
        <f>IF(GETPIVOTDATA("ITL",'ITL-PIVOT'!$A$3,"KV%",$A177,"Experiment",L$5,"date",L$6)=0,NA(),GETPIVOTDATA("ITL",'ITL-PIVOT'!$A$3,"KV%",$A177,"Experiment",L$5,"date",L$6))</f>
        <v>#N/A</v>
      </c>
      <c r="M177" t="e">
        <f>IF(GETPIVOTDATA("ITL",'ITL-PIVOT'!$A$3,"KV%",$A177,"Experiment",M$5,"date",M$6)=0,NA(),GETPIVOTDATA("ITL",'ITL-PIVOT'!$A$3,"KV%",$A177,"Experiment",M$5,"date",M$6))</f>
        <v>#N/A</v>
      </c>
    </row>
    <row r="178" spans="1:13" x14ac:dyDescent="0.25">
      <c r="A178">
        <f>IF('ITL-PIVOT'!A176=0,NA(),'ITL-PIVOT'!A176)</f>
        <v>0.71036971783084368</v>
      </c>
      <c r="B178" t="e">
        <f>IF(GETPIVOTDATA("ITL",'ITL-PIVOT'!$A$3,"KV%",$A178,"Experiment",B$5,"date",B$6)=0,NA(),GETPIVOTDATA("ITL",'ITL-PIVOT'!$A$3,"KV%",$A178,"Experiment",B$5,"date",B$6))</f>
        <v>#N/A</v>
      </c>
      <c r="C178" t="e">
        <f>IF(GETPIVOTDATA("ITL",'ITL-PIVOT'!$A$3,"KV%",$A178,"Experiment",C$5,"date",C$6)=0,NA(),GETPIVOTDATA("ITL",'ITL-PIVOT'!$A$3,"KV%",$A178,"Experiment",C$5,"date",C$6))</f>
        <v>#N/A</v>
      </c>
      <c r="D178" t="e">
        <f>IF(GETPIVOTDATA("ITL",'ITL-PIVOT'!$A$3,"KV%",$A178,"Experiment",D$5,"date",D$6)=0,NA(),GETPIVOTDATA("ITL",'ITL-PIVOT'!$A$3,"KV%",$A178,"Experiment",D$5,"date",D$6))</f>
        <v>#N/A</v>
      </c>
      <c r="E178" t="e">
        <f>IF(GETPIVOTDATA("ITL",'ITL-PIVOT'!$A$3,"KV%",$A178,"Experiment",E$5,"date",E$6)=0,NA(),GETPIVOTDATA("ITL",'ITL-PIVOT'!$A$3,"KV%",$A178,"Experiment",E$5,"date",E$6))</f>
        <v>#N/A</v>
      </c>
      <c r="F178">
        <f>IF(GETPIVOTDATA("ITL",'ITL-PIVOT'!$A$3,"KV%",$A178,"Experiment",F$5,"date",F$6)=0,NA(),GETPIVOTDATA("ITL",'ITL-PIVOT'!$A$3,"KV%",$A178,"Experiment",F$5,"date",F$6))</f>
        <v>2.4324583818512577E-2</v>
      </c>
      <c r="G178" t="e">
        <f>IF(GETPIVOTDATA("ITL",'ITL-PIVOT'!$A$3,"KV%",$A178,"Experiment",G$5,"date",G$6)=0,NA(),GETPIVOTDATA("ITL",'ITL-PIVOT'!$A$3,"KV%",$A178,"Experiment",G$5,"date",G$6))</f>
        <v>#N/A</v>
      </c>
      <c r="H178" t="e">
        <f>IF(GETPIVOTDATA("ITL",'ITL-PIVOT'!$A$3,"KV%",$A178,"Experiment",H$5,"date",H$6)=0,NA(),GETPIVOTDATA("ITL",'ITL-PIVOT'!$A$3,"KV%",$A178,"Experiment",H$5,"date",H$6))</f>
        <v>#N/A</v>
      </c>
      <c r="I178" t="e">
        <f>IF(GETPIVOTDATA("ITL",'ITL-PIVOT'!$A$3,"KV%",$A178,"Experiment",I$5,"date",I$6)=0,NA(),GETPIVOTDATA("ITL",'ITL-PIVOT'!$A$3,"KV%",$A178,"Experiment",I$5,"date",I$6))</f>
        <v>#N/A</v>
      </c>
      <c r="J178" t="e">
        <f>IF(GETPIVOTDATA("ITL",'ITL-PIVOT'!$A$3,"KV%",$A178,"Experiment",J$5,"date",J$6)=0,NA(),GETPIVOTDATA("ITL",'ITL-PIVOT'!$A$3,"KV%",$A178,"Experiment",J$5,"date",J$6))</f>
        <v>#N/A</v>
      </c>
      <c r="K178" t="e">
        <f>IF(GETPIVOTDATA("ITL",'ITL-PIVOT'!$A$3,"KV%",$A178,"Experiment",K$5,"date",K$6)=0,NA(),GETPIVOTDATA("ITL",'ITL-PIVOT'!$A$3,"KV%",$A178,"Experiment",K$5,"date",K$6))</f>
        <v>#N/A</v>
      </c>
      <c r="L178" t="e">
        <f>IF(GETPIVOTDATA("ITL",'ITL-PIVOT'!$A$3,"KV%",$A178,"Experiment",L$5,"date",L$6)=0,NA(),GETPIVOTDATA("ITL",'ITL-PIVOT'!$A$3,"KV%",$A178,"Experiment",L$5,"date",L$6))</f>
        <v>#N/A</v>
      </c>
      <c r="M178" t="e">
        <f>IF(GETPIVOTDATA("ITL",'ITL-PIVOT'!$A$3,"KV%",$A178,"Experiment",M$5,"date",M$6)=0,NA(),GETPIVOTDATA("ITL",'ITL-PIVOT'!$A$3,"KV%",$A178,"Experiment",M$5,"date",M$6))</f>
        <v>#N/A</v>
      </c>
    </row>
    <row r="179" spans="1:13" x14ac:dyDescent="0.25">
      <c r="A179">
        <f>IF('ITL-PIVOT'!A177=0,NA(),'ITL-PIVOT'!A177)</f>
        <v>0.71598852315687067</v>
      </c>
      <c r="B179" t="e">
        <f>IF(GETPIVOTDATA("ITL",'ITL-PIVOT'!$A$3,"KV%",$A179,"Experiment",B$5,"date",B$6)=0,NA(),GETPIVOTDATA("ITL",'ITL-PIVOT'!$A$3,"KV%",$A179,"Experiment",B$5,"date",B$6))</f>
        <v>#N/A</v>
      </c>
      <c r="C179" t="e">
        <f>IF(GETPIVOTDATA("ITL",'ITL-PIVOT'!$A$3,"KV%",$A179,"Experiment",C$5,"date",C$6)=0,NA(),GETPIVOTDATA("ITL",'ITL-PIVOT'!$A$3,"KV%",$A179,"Experiment",C$5,"date",C$6))</f>
        <v>#N/A</v>
      </c>
      <c r="D179" t="e">
        <f>IF(GETPIVOTDATA("ITL",'ITL-PIVOT'!$A$3,"KV%",$A179,"Experiment",D$5,"date",D$6)=0,NA(),GETPIVOTDATA("ITL",'ITL-PIVOT'!$A$3,"KV%",$A179,"Experiment",D$5,"date",D$6))</f>
        <v>#N/A</v>
      </c>
      <c r="E179" t="e">
        <f>IF(GETPIVOTDATA("ITL",'ITL-PIVOT'!$A$3,"KV%",$A179,"Experiment",E$5,"date",E$6)=0,NA(),GETPIVOTDATA("ITL",'ITL-PIVOT'!$A$3,"KV%",$A179,"Experiment",E$5,"date",E$6))</f>
        <v>#N/A</v>
      </c>
      <c r="F179">
        <f>IF(GETPIVOTDATA("ITL",'ITL-PIVOT'!$A$3,"KV%",$A179,"Experiment",F$5,"date",F$6)=0,NA(),GETPIVOTDATA("ITL",'ITL-PIVOT'!$A$3,"KV%",$A179,"Experiment",F$5,"date",F$6))</f>
        <v>2.5381527339316323E-2</v>
      </c>
      <c r="G179" t="e">
        <f>IF(GETPIVOTDATA("ITL",'ITL-PIVOT'!$A$3,"KV%",$A179,"Experiment",G$5,"date",G$6)=0,NA(),GETPIVOTDATA("ITL",'ITL-PIVOT'!$A$3,"KV%",$A179,"Experiment",G$5,"date",G$6))</f>
        <v>#N/A</v>
      </c>
      <c r="H179" t="e">
        <f>IF(GETPIVOTDATA("ITL",'ITL-PIVOT'!$A$3,"KV%",$A179,"Experiment",H$5,"date",H$6)=0,NA(),GETPIVOTDATA("ITL",'ITL-PIVOT'!$A$3,"KV%",$A179,"Experiment",H$5,"date",H$6))</f>
        <v>#N/A</v>
      </c>
      <c r="I179" t="e">
        <f>IF(GETPIVOTDATA("ITL",'ITL-PIVOT'!$A$3,"KV%",$A179,"Experiment",I$5,"date",I$6)=0,NA(),GETPIVOTDATA("ITL",'ITL-PIVOT'!$A$3,"KV%",$A179,"Experiment",I$5,"date",I$6))</f>
        <v>#N/A</v>
      </c>
      <c r="J179" t="e">
        <f>IF(GETPIVOTDATA("ITL",'ITL-PIVOT'!$A$3,"KV%",$A179,"Experiment",J$5,"date",J$6)=0,NA(),GETPIVOTDATA("ITL",'ITL-PIVOT'!$A$3,"KV%",$A179,"Experiment",J$5,"date",J$6))</f>
        <v>#N/A</v>
      </c>
      <c r="K179" t="e">
        <f>IF(GETPIVOTDATA("ITL",'ITL-PIVOT'!$A$3,"KV%",$A179,"Experiment",K$5,"date",K$6)=0,NA(),GETPIVOTDATA("ITL",'ITL-PIVOT'!$A$3,"KV%",$A179,"Experiment",K$5,"date",K$6))</f>
        <v>#N/A</v>
      </c>
      <c r="L179" t="e">
        <f>IF(GETPIVOTDATA("ITL",'ITL-PIVOT'!$A$3,"KV%",$A179,"Experiment",L$5,"date",L$6)=0,NA(),GETPIVOTDATA("ITL",'ITL-PIVOT'!$A$3,"KV%",$A179,"Experiment",L$5,"date",L$6))</f>
        <v>#N/A</v>
      </c>
      <c r="M179" t="e">
        <f>IF(GETPIVOTDATA("ITL",'ITL-PIVOT'!$A$3,"KV%",$A179,"Experiment",M$5,"date",M$6)=0,NA(),GETPIVOTDATA("ITL",'ITL-PIVOT'!$A$3,"KV%",$A179,"Experiment",M$5,"date",M$6))</f>
        <v>#N/A</v>
      </c>
    </row>
    <row r="180" spans="1:13" x14ac:dyDescent="0.25">
      <c r="A180">
        <f>IF('ITL-PIVOT'!A178=0,NA(),'ITL-PIVOT'!A178)</f>
        <v>0.71633479872424777</v>
      </c>
      <c r="B180" t="e">
        <f>IF(GETPIVOTDATA("ITL",'ITL-PIVOT'!$A$3,"KV%",$A180,"Experiment",B$5,"date",B$6)=0,NA(),GETPIVOTDATA("ITL",'ITL-PIVOT'!$A$3,"KV%",$A180,"Experiment",B$5,"date",B$6))</f>
        <v>#N/A</v>
      </c>
      <c r="C180" t="e">
        <f>IF(GETPIVOTDATA("ITL",'ITL-PIVOT'!$A$3,"KV%",$A180,"Experiment",C$5,"date",C$6)=0,NA(),GETPIVOTDATA("ITL",'ITL-PIVOT'!$A$3,"KV%",$A180,"Experiment",C$5,"date",C$6))</f>
        <v>#N/A</v>
      </c>
      <c r="D180" t="e">
        <f>IF(GETPIVOTDATA("ITL",'ITL-PIVOT'!$A$3,"KV%",$A180,"Experiment",D$5,"date",D$6)=0,NA(),GETPIVOTDATA("ITL",'ITL-PIVOT'!$A$3,"KV%",$A180,"Experiment",D$5,"date",D$6))</f>
        <v>#N/A</v>
      </c>
      <c r="E180" t="e">
        <f>IF(GETPIVOTDATA("ITL",'ITL-PIVOT'!$A$3,"KV%",$A180,"Experiment",E$5,"date",E$6)=0,NA(),GETPIVOTDATA("ITL",'ITL-PIVOT'!$A$3,"KV%",$A180,"Experiment",E$5,"date",E$6))</f>
        <v>#N/A</v>
      </c>
      <c r="F180" t="e">
        <f>IF(GETPIVOTDATA("ITL",'ITL-PIVOT'!$A$3,"KV%",$A180,"Experiment",F$5,"date",F$6)=0,NA(),GETPIVOTDATA("ITL",'ITL-PIVOT'!$A$3,"KV%",$A180,"Experiment",F$5,"date",F$6))</f>
        <v>#N/A</v>
      </c>
      <c r="G180" t="e">
        <f>IF(GETPIVOTDATA("ITL",'ITL-PIVOT'!$A$3,"KV%",$A180,"Experiment",G$5,"date",G$6)=0,NA(),GETPIVOTDATA("ITL",'ITL-PIVOT'!$A$3,"KV%",$A180,"Experiment",G$5,"date",G$6))</f>
        <v>#N/A</v>
      </c>
      <c r="H180" t="e">
        <f>IF(GETPIVOTDATA("ITL",'ITL-PIVOT'!$A$3,"KV%",$A180,"Experiment",H$5,"date",H$6)=0,NA(),GETPIVOTDATA("ITL",'ITL-PIVOT'!$A$3,"KV%",$A180,"Experiment",H$5,"date",H$6))</f>
        <v>#N/A</v>
      </c>
      <c r="I180" t="e">
        <f>IF(GETPIVOTDATA("ITL",'ITL-PIVOT'!$A$3,"KV%",$A180,"Experiment",I$5,"date",I$6)=0,NA(),GETPIVOTDATA("ITL",'ITL-PIVOT'!$A$3,"KV%",$A180,"Experiment",I$5,"date",I$6))</f>
        <v>#N/A</v>
      </c>
      <c r="J180" t="e">
        <f>IF(GETPIVOTDATA("ITL",'ITL-PIVOT'!$A$3,"KV%",$A180,"Experiment",J$5,"date",J$6)=0,NA(),GETPIVOTDATA("ITL",'ITL-PIVOT'!$A$3,"KV%",$A180,"Experiment",J$5,"date",J$6))</f>
        <v>#N/A</v>
      </c>
      <c r="K180" t="e">
        <f>IF(GETPIVOTDATA("ITL",'ITL-PIVOT'!$A$3,"KV%",$A180,"Experiment",K$5,"date",K$6)=0,NA(),GETPIVOTDATA("ITL",'ITL-PIVOT'!$A$3,"KV%",$A180,"Experiment",K$5,"date",K$6))</f>
        <v>#N/A</v>
      </c>
      <c r="L180" t="e">
        <f>IF(GETPIVOTDATA("ITL",'ITL-PIVOT'!$A$3,"KV%",$A180,"Experiment",L$5,"date",L$6)=0,NA(),GETPIVOTDATA("ITL",'ITL-PIVOT'!$A$3,"KV%",$A180,"Experiment",L$5,"date",L$6))</f>
        <v>#N/A</v>
      </c>
      <c r="M180">
        <f>IF(GETPIVOTDATA("ITL",'ITL-PIVOT'!$A$3,"KV%",$A180,"Experiment",M$5,"date",M$6)=0,NA(),GETPIVOTDATA("ITL",'ITL-PIVOT'!$A$3,"KV%",$A180,"Experiment",M$5,"date",M$6))</f>
        <v>9.0844476588396894E-2</v>
      </c>
    </row>
    <row r="181" spans="1:13" x14ac:dyDescent="0.25">
      <c r="A181">
        <f>IF('ITL-PIVOT'!A179=0,NA(),'ITL-PIVOT'!A179)</f>
        <v>0.71907486423584166</v>
      </c>
      <c r="B181" t="e">
        <f>IF(GETPIVOTDATA("ITL",'ITL-PIVOT'!$A$3,"KV%",$A181,"Experiment",B$5,"date",B$6)=0,NA(),GETPIVOTDATA("ITL",'ITL-PIVOT'!$A$3,"KV%",$A181,"Experiment",B$5,"date",B$6))</f>
        <v>#N/A</v>
      </c>
      <c r="C181">
        <f>IF(GETPIVOTDATA("ITL",'ITL-PIVOT'!$A$3,"KV%",$A181,"Experiment",C$5,"date",C$6)=0,NA(),GETPIVOTDATA("ITL",'ITL-PIVOT'!$A$3,"KV%",$A181,"Experiment",C$5,"date",C$6))</f>
        <v>4.7299661496975204E-2</v>
      </c>
      <c r="D181" t="e">
        <f>IF(GETPIVOTDATA("ITL",'ITL-PIVOT'!$A$3,"KV%",$A181,"Experiment",D$5,"date",D$6)=0,NA(),GETPIVOTDATA("ITL",'ITL-PIVOT'!$A$3,"KV%",$A181,"Experiment",D$5,"date",D$6))</f>
        <v>#N/A</v>
      </c>
      <c r="E181" t="e">
        <f>IF(GETPIVOTDATA("ITL",'ITL-PIVOT'!$A$3,"KV%",$A181,"Experiment",E$5,"date",E$6)=0,NA(),GETPIVOTDATA("ITL",'ITL-PIVOT'!$A$3,"KV%",$A181,"Experiment",E$5,"date",E$6))</f>
        <v>#N/A</v>
      </c>
      <c r="F181" t="e">
        <f>IF(GETPIVOTDATA("ITL",'ITL-PIVOT'!$A$3,"KV%",$A181,"Experiment",F$5,"date",F$6)=0,NA(),GETPIVOTDATA("ITL",'ITL-PIVOT'!$A$3,"KV%",$A181,"Experiment",F$5,"date",F$6))</f>
        <v>#N/A</v>
      </c>
      <c r="G181" t="e">
        <f>IF(GETPIVOTDATA("ITL",'ITL-PIVOT'!$A$3,"KV%",$A181,"Experiment",G$5,"date",G$6)=0,NA(),GETPIVOTDATA("ITL",'ITL-PIVOT'!$A$3,"KV%",$A181,"Experiment",G$5,"date",G$6))</f>
        <v>#N/A</v>
      </c>
      <c r="H181" t="e">
        <f>IF(GETPIVOTDATA("ITL",'ITL-PIVOT'!$A$3,"KV%",$A181,"Experiment",H$5,"date",H$6)=0,NA(),GETPIVOTDATA("ITL",'ITL-PIVOT'!$A$3,"KV%",$A181,"Experiment",H$5,"date",H$6))</f>
        <v>#N/A</v>
      </c>
      <c r="I181" t="e">
        <f>IF(GETPIVOTDATA("ITL",'ITL-PIVOT'!$A$3,"KV%",$A181,"Experiment",I$5,"date",I$6)=0,NA(),GETPIVOTDATA("ITL",'ITL-PIVOT'!$A$3,"KV%",$A181,"Experiment",I$5,"date",I$6))</f>
        <v>#N/A</v>
      </c>
      <c r="J181" t="e">
        <f>IF(GETPIVOTDATA("ITL",'ITL-PIVOT'!$A$3,"KV%",$A181,"Experiment",J$5,"date",J$6)=0,NA(),GETPIVOTDATA("ITL",'ITL-PIVOT'!$A$3,"KV%",$A181,"Experiment",J$5,"date",J$6))</f>
        <v>#N/A</v>
      </c>
      <c r="K181" t="e">
        <f>IF(GETPIVOTDATA("ITL",'ITL-PIVOT'!$A$3,"KV%",$A181,"Experiment",K$5,"date",K$6)=0,NA(),GETPIVOTDATA("ITL",'ITL-PIVOT'!$A$3,"KV%",$A181,"Experiment",K$5,"date",K$6))</f>
        <v>#N/A</v>
      </c>
      <c r="L181" t="e">
        <f>IF(GETPIVOTDATA("ITL",'ITL-PIVOT'!$A$3,"KV%",$A181,"Experiment",L$5,"date",L$6)=0,NA(),GETPIVOTDATA("ITL",'ITL-PIVOT'!$A$3,"KV%",$A181,"Experiment",L$5,"date",L$6))</f>
        <v>#N/A</v>
      </c>
      <c r="M181" t="e">
        <f>IF(GETPIVOTDATA("ITL",'ITL-PIVOT'!$A$3,"KV%",$A181,"Experiment",M$5,"date",M$6)=0,NA(),GETPIVOTDATA("ITL",'ITL-PIVOT'!$A$3,"KV%",$A181,"Experiment",M$5,"date",M$6))</f>
        <v>#N/A</v>
      </c>
    </row>
    <row r="182" spans="1:13" x14ac:dyDescent="0.25">
      <c r="A182">
        <f>IF('ITL-PIVOT'!A180=0,NA(),'ITL-PIVOT'!A180)</f>
        <v>0.71910207094216017</v>
      </c>
      <c r="B182" t="e">
        <f>IF(GETPIVOTDATA("ITL",'ITL-PIVOT'!$A$3,"KV%",$A182,"Experiment",B$5,"date",B$6)=0,NA(),GETPIVOTDATA("ITL",'ITL-PIVOT'!$A$3,"KV%",$A182,"Experiment",B$5,"date",B$6))</f>
        <v>#N/A</v>
      </c>
      <c r="C182">
        <f>IF(GETPIVOTDATA("ITL",'ITL-PIVOT'!$A$3,"KV%",$A182,"Experiment",C$5,"date",C$6)=0,NA(),GETPIVOTDATA("ITL",'ITL-PIVOT'!$A$3,"KV%",$A182,"Experiment",C$5,"date",C$6))</f>
        <v>4.6026723483287776E-2</v>
      </c>
      <c r="D182" t="e">
        <f>IF(GETPIVOTDATA("ITL",'ITL-PIVOT'!$A$3,"KV%",$A182,"Experiment",D$5,"date",D$6)=0,NA(),GETPIVOTDATA("ITL",'ITL-PIVOT'!$A$3,"KV%",$A182,"Experiment",D$5,"date",D$6))</f>
        <v>#N/A</v>
      </c>
      <c r="E182" t="e">
        <f>IF(GETPIVOTDATA("ITL",'ITL-PIVOT'!$A$3,"KV%",$A182,"Experiment",E$5,"date",E$6)=0,NA(),GETPIVOTDATA("ITL",'ITL-PIVOT'!$A$3,"KV%",$A182,"Experiment",E$5,"date",E$6))</f>
        <v>#N/A</v>
      </c>
      <c r="F182" t="e">
        <f>IF(GETPIVOTDATA("ITL",'ITL-PIVOT'!$A$3,"KV%",$A182,"Experiment",F$5,"date",F$6)=0,NA(),GETPIVOTDATA("ITL",'ITL-PIVOT'!$A$3,"KV%",$A182,"Experiment",F$5,"date",F$6))</f>
        <v>#N/A</v>
      </c>
      <c r="G182" t="e">
        <f>IF(GETPIVOTDATA("ITL",'ITL-PIVOT'!$A$3,"KV%",$A182,"Experiment",G$5,"date",G$6)=0,NA(),GETPIVOTDATA("ITL",'ITL-PIVOT'!$A$3,"KV%",$A182,"Experiment",G$5,"date",G$6))</f>
        <v>#N/A</v>
      </c>
      <c r="H182" t="e">
        <f>IF(GETPIVOTDATA("ITL",'ITL-PIVOT'!$A$3,"KV%",$A182,"Experiment",H$5,"date",H$6)=0,NA(),GETPIVOTDATA("ITL",'ITL-PIVOT'!$A$3,"KV%",$A182,"Experiment",H$5,"date",H$6))</f>
        <v>#N/A</v>
      </c>
      <c r="I182" t="e">
        <f>IF(GETPIVOTDATA("ITL",'ITL-PIVOT'!$A$3,"KV%",$A182,"Experiment",I$5,"date",I$6)=0,NA(),GETPIVOTDATA("ITL",'ITL-PIVOT'!$A$3,"KV%",$A182,"Experiment",I$5,"date",I$6))</f>
        <v>#N/A</v>
      </c>
      <c r="J182" t="e">
        <f>IF(GETPIVOTDATA("ITL",'ITL-PIVOT'!$A$3,"KV%",$A182,"Experiment",J$5,"date",J$6)=0,NA(),GETPIVOTDATA("ITL",'ITL-PIVOT'!$A$3,"KV%",$A182,"Experiment",J$5,"date",J$6))</f>
        <v>#N/A</v>
      </c>
      <c r="K182" t="e">
        <f>IF(GETPIVOTDATA("ITL",'ITL-PIVOT'!$A$3,"KV%",$A182,"Experiment",K$5,"date",K$6)=0,NA(),GETPIVOTDATA("ITL",'ITL-PIVOT'!$A$3,"KV%",$A182,"Experiment",K$5,"date",K$6))</f>
        <v>#N/A</v>
      </c>
      <c r="L182" t="e">
        <f>IF(GETPIVOTDATA("ITL",'ITL-PIVOT'!$A$3,"KV%",$A182,"Experiment",L$5,"date",L$6)=0,NA(),GETPIVOTDATA("ITL",'ITL-PIVOT'!$A$3,"KV%",$A182,"Experiment",L$5,"date",L$6))</f>
        <v>#N/A</v>
      </c>
      <c r="M182" t="e">
        <f>IF(GETPIVOTDATA("ITL",'ITL-PIVOT'!$A$3,"KV%",$A182,"Experiment",M$5,"date",M$6)=0,NA(),GETPIVOTDATA("ITL",'ITL-PIVOT'!$A$3,"KV%",$A182,"Experiment",M$5,"date",M$6))</f>
        <v>#N/A</v>
      </c>
    </row>
    <row r="183" spans="1:13" x14ac:dyDescent="0.25">
      <c r="A183">
        <f>IF('ITL-PIVOT'!A181=0,NA(),'ITL-PIVOT'!A181)</f>
        <v>0.72702111697456928</v>
      </c>
      <c r="B183" t="e">
        <f>IF(GETPIVOTDATA("ITL",'ITL-PIVOT'!$A$3,"KV%",$A183,"Experiment",B$5,"date",B$6)=0,NA(),GETPIVOTDATA("ITL",'ITL-PIVOT'!$A$3,"KV%",$A183,"Experiment",B$5,"date",B$6))</f>
        <v>#N/A</v>
      </c>
      <c r="C183" t="e">
        <f>IF(GETPIVOTDATA("ITL",'ITL-PIVOT'!$A$3,"KV%",$A183,"Experiment",C$5,"date",C$6)=0,NA(),GETPIVOTDATA("ITL",'ITL-PIVOT'!$A$3,"KV%",$A183,"Experiment",C$5,"date",C$6))</f>
        <v>#N/A</v>
      </c>
      <c r="D183" t="e">
        <f>IF(GETPIVOTDATA("ITL",'ITL-PIVOT'!$A$3,"KV%",$A183,"Experiment",D$5,"date",D$6)=0,NA(),GETPIVOTDATA("ITL",'ITL-PIVOT'!$A$3,"KV%",$A183,"Experiment",D$5,"date",D$6))</f>
        <v>#N/A</v>
      </c>
      <c r="E183">
        <f>IF(GETPIVOTDATA("ITL",'ITL-PIVOT'!$A$3,"KV%",$A183,"Experiment",E$5,"date",E$6)=0,NA(),GETPIVOTDATA("ITL",'ITL-PIVOT'!$A$3,"KV%",$A183,"Experiment",E$5,"date",E$6))</f>
        <v>2.464593313940986E-2</v>
      </c>
      <c r="F183" t="e">
        <f>IF(GETPIVOTDATA("ITL",'ITL-PIVOT'!$A$3,"KV%",$A183,"Experiment",F$5,"date",F$6)=0,NA(),GETPIVOTDATA("ITL",'ITL-PIVOT'!$A$3,"KV%",$A183,"Experiment",F$5,"date",F$6))</f>
        <v>#N/A</v>
      </c>
      <c r="G183" t="e">
        <f>IF(GETPIVOTDATA("ITL",'ITL-PIVOT'!$A$3,"KV%",$A183,"Experiment",G$5,"date",G$6)=0,NA(),GETPIVOTDATA("ITL",'ITL-PIVOT'!$A$3,"KV%",$A183,"Experiment",G$5,"date",G$6))</f>
        <v>#N/A</v>
      </c>
      <c r="H183" t="e">
        <f>IF(GETPIVOTDATA("ITL",'ITL-PIVOT'!$A$3,"KV%",$A183,"Experiment",H$5,"date",H$6)=0,NA(),GETPIVOTDATA("ITL",'ITL-PIVOT'!$A$3,"KV%",$A183,"Experiment",H$5,"date",H$6))</f>
        <v>#N/A</v>
      </c>
      <c r="I183" t="e">
        <f>IF(GETPIVOTDATA("ITL",'ITL-PIVOT'!$A$3,"KV%",$A183,"Experiment",I$5,"date",I$6)=0,NA(),GETPIVOTDATA("ITL",'ITL-PIVOT'!$A$3,"KV%",$A183,"Experiment",I$5,"date",I$6))</f>
        <v>#N/A</v>
      </c>
      <c r="J183" t="e">
        <f>IF(GETPIVOTDATA("ITL",'ITL-PIVOT'!$A$3,"KV%",$A183,"Experiment",J$5,"date",J$6)=0,NA(),GETPIVOTDATA("ITL",'ITL-PIVOT'!$A$3,"KV%",$A183,"Experiment",J$5,"date",J$6))</f>
        <v>#N/A</v>
      </c>
      <c r="K183" t="e">
        <f>IF(GETPIVOTDATA("ITL",'ITL-PIVOT'!$A$3,"KV%",$A183,"Experiment",K$5,"date",K$6)=0,NA(),GETPIVOTDATA("ITL",'ITL-PIVOT'!$A$3,"KV%",$A183,"Experiment",K$5,"date",K$6))</f>
        <v>#N/A</v>
      </c>
      <c r="L183" t="e">
        <f>IF(GETPIVOTDATA("ITL",'ITL-PIVOT'!$A$3,"KV%",$A183,"Experiment",L$5,"date",L$6)=0,NA(),GETPIVOTDATA("ITL",'ITL-PIVOT'!$A$3,"KV%",$A183,"Experiment",L$5,"date",L$6))</f>
        <v>#N/A</v>
      </c>
      <c r="M183" t="e">
        <f>IF(GETPIVOTDATA("ITL",'ITL-PIVOT'!$A$3,"KV%",$A183,"Experiment",M$5,"date",M$6)=0,NA(),GETPIVOTDATA("ITL",'ITL-PIVOT'!$A$3,"KV%",$A183,"Experiment",M$5,"date",M$6))</f>
        <v>#N/A</v>
      </c>
    </row>
    <row r="184" spans="1:13" x14ac:dyDescent="0.25">
      <c r="A184">
        <f>IF('ITL-PIVOT'!A182=0,NA(),'ITL-PIVOT'!A182)</f>
        <v>0.73138986692128671</v>
      </c>
      <c r="B184" t="e">
        <f>IF(GETPIVOTDATA("ITL",'ITL-PIVOT'!$A$3,"KV%",$A184,"Experiment",B$5,"date",B$6)=0,NA(),GETPIVOTDATA("ITL",'ITL-PIVOT'!$A$3,"KV%",$A184,"Experiment",B$5,"date",B$6))</f>
        <v>#N/A</v>
      </c>
      <c r="C184" t="e">
        <f>IF(GETPIVOTDATA("ITL",'ITL-PIVOT'!$A$3,"KV%",$A184,"Experiment",C$5,"date",C$6)=0,NA(),GETPIVOTDATA("ITL",'ITL-PIVOT'!$A$3,"KV%",$A184,"Experiment",C$5,"date",C$6))</f>
        <v>#N/A</v>
      </c>
      <c r="D184" t="e">
        <f>IF(GETPIVOTDATA("ITL",'ITL-PIVOT'!$A$3,"KV%",$A184,"Experiment",D$5,"date",D$6)=0,NA(),GETPIVOTDATA("ITL",'ITL-PIVOT'!$A$3,"KV%",$A184,"Experiment",D$5,"date",D$6))</f>
        <v>#N/A</v>
      </c>
      <c r="E184">
        <f>IF(GETPIVOTDATA("ITL",'ITL-PIVOT'!$A$3,"KV%",$A184,"Experiment",E$5,"date",E$6)=0,NA(),GETPIVOTDATA("ITL",'ITL-PIVOT'!$A$3,"KV%",$A184,"Experiment",E$5,"date",E$6))</f>
        <v>2.5266111224386646E-2</v>
      </c>
      <c r="F184" t="e">
        <f>IF(GETPIVOTDATA("ITL",'ITL-PIVOT'!$A$3,"KV%",$A184,"Experiment",F$5,"date",F$6)=0,NA(),GETPIVOTDATA("ITL",'ITL-PIVOT'!$A$3,"KV%",$A184,"Experiment",F$5,"date",F$6))</f>
        <v>#N/A</v>
      </c>
      <c r="G184" t="e">
        <f>IF(GETPIVOTDATA("ITL",'ITL-PIVOT'!$A$3,"KV%",$A184,"Experiment",G$5,"date",G$6)=0,NA(),GETPIVOTDATA("ITL",'ITL-PIVOT'!$A$3,"KV%",$A184,"Experiment",G$5,"date",G$6))</f>
        <v>#N/A</v>
      </c>
      <c r="H184" t="e">
        <f>IF(GETPIVOTDATA("ITL",'ITL-PIVOT'!$A$3,"KV%",$A184,"Experiment",H$5,"date",H$6)=0,NA(),GETPIVOTDATA("ITL",'ITL-PIVOT'!$A$3,"KV%",$A184,"Experiment",H$5,"date",H$6))</f>
        <v>#N/A</v>
      </c>
      <c r="I184" t="e">
        <f>IF(GETPIVOTDATA("ITL",'ITL-PIVOT'!$A$3,"KV%",$A184,"Experiment",I$5,"date",I$6)=0,NA(),GETPIVOTDATA("ITL",'ITL-PIVOT'!$A$3,"KV%",$A184,"Experiment",I$5,"date",I$6))</f>
        <v>#N/A</v>
      </c>
      <c r="J184" t="e">
        <f>IF(GETPIVOTDATA("ITL",'ITL-PIVOT'!$A$3,"KV%",$A184,"Experiment",J$5,"date",J$6)=0,NA(),GETPIVOTDATA("ITL",'ITL-PIVOT'!$A$3,"KV%",$A184,"Experiment",J$5,"date",J$6))</f>
        <v>#N/A</v>
      </c>
      <c r="K184" t="e">
        <f>IF(GETPIVOTDATA("ITL",'ITL-PIVOT'!$A$3,"KV%",$A184,"Experiment",K$5,"date",K$6)=0,NA(),GETPIVOTDATA("ITL",'ITL-PIVOT'!$A$3,"KV%",$A184,"Experiment",K$5,"date",K$6))</f>
        <v>#N/A</v>
      </c>
      <c r="L184" t="e">
        <f>IF(GETPIVOTDATA("ITL",'ITL-PIVOT'!$A$3,"KV%",$A184,"Experiment",L$5,"date",L$6)=0,NA(),GETPIVOTDATA("ITL",'ITL-PIVOT'!$A$3,"KV%",$A184,"Experiment",L$5,"date",L$6))</f>
        <v>#N/A</v>
      </c>
      <c r="M184" t="e">
        <f>IF(GETPIVOTDATA("ITL",'ITL-PIVOT'!$A$3,"KV%",$A184,"Experiment",M$5,"date",M$6)=0,NA(),GETPIVOTDATA("ITL",'ITL-PIVOT'!$A$3,"KV%",$A184,"Experiment",M$5,"date",M$6))</f>
        <v>#N/A</v>
      </c>
    </row>
    <row r="185" spans="1:13" x14ac:dyDescent="0.25">
      <c r="A185">
        <f>IF('ITL-PIVOT'!A183=0,NA(),'ITL-PIVOT'!A183)</f>
        <v>0.73148623551261249</v>
      </c>
      <c r="B185" t="e">
        <f>IF(GETPIVOTDATA("ITL",'ITL-PIVOT'!$A$3,"KV%",$A185,"Experiment",B$5,"date",B$6)=0,NA(),GETPIVOTDATA("ITL",'ITL-PIVOT'!$A$3,"KV%",$A185,"Experiment",B$5,"date",B$6))</f>
        <v>#N/A</v>
      </c>
      <c r="C185" t="e">
        <f>IF(GETPIVOTDATA("ITL",'ITL-PIVOT'!$A$3,"KV%",$A185,"Experiment",C$5,"date",C$6)=0,NA(),GETPIVOTDATA("ITL",'ITL-PIVOT'!$A$3,"KV%",$A185,"Experiment",C$5,"date",C$6))</f>
        <v>#N/A</v>
      </c>
      <c r="D185" t="e">
        <f>IF(GETPIVOTDATA("ITL",'ITL-PIVOT'!$A$3,"KV%",$A185,"Experiment",D$5,"date",D$6)=0,NA(),GETPIVOTDATA("ITL",'ITL-PIVOT'!$A$3,"KV%",$A185,"Experiment",D$5,"date",D$6))</f>
        <v>#N/A</v>
      </c>
      <c r="E185" t="e">
        <f>IF(GETPIVOTDATA("ITL",'ITL-PIVOT'!$A$3,"KV%",$A185,"Experiment",E$5,"date",E$6)=0,NA(),GETPIVOTDATA("ITL",'ITL-PIVOT'!$A$3,"KV%",$A185,"Experiment",E$5,"date",E$6))</f>
        <v>#N/A</v>
      </c>
      <c r="F185" t="e">
        <f>IF(GETPIVOTDATA("ITL",'ITL-PIVOT'!$A$3,"KV%",$A185,"Experiment",F$5,"date",F$6)=0,NA(),GETPIVOTDATA("ITL",'ITL-PIVOT'!$A$3,"KV%",$A185,"Experiment",F$5,"date",F$6))</f>
        <v>#N/A</v>
      </c>
      <c r="G185" t="e">
        <f>IF(GETPIVOTDATA("ITL",'ITL-PIVOT'!$A$3,"KV%",$A185,"Experiment",G$5,"date",G$6)=0,NA(),GETPIVOTDATA("ITL",'ITL-PIVOT'!$A$3,"KV%",$A185,"Experiment",G$5,"date",G$6))</f>
        <v>#N/A</v>
      </c>
      <c r="H185" t="e">
        <f>IF(GETPIVOTDATA("ITL",'ITL-PIVOT'!$A$3,"KV%",$A185,"Experiment",H$5,"date",H$6)=0,NA(),GETPIVOTDATA("ITL",'ITL-PIVOT'!$A$3,"KV%",$A185,"Experiment",H$5,"date",H$6))</f>
        <v>#N/A</v>
      </c>
      <c r="I185" t="e">
        <f>IF(GETPIVOTDATA("ITL",'ITL-PIVOT'!$A$3,"KV%",$A185,"Experiment",I$5,"date",I$6)=0,NA(),GETPIVOTDATA("ITL",'ITL-PIVOT'!$A$3,"KV%",$A185,"Experiment",I$5,"date",I$6))</f>
        <v>#N/A</v>
      </c>
      <c r="J185" t="e">
        <f>IF(GETPIVOTDATA("ITL",'ITL-PIVOT'!$A$3,"KV%",$A185,"Experiment",J$5,"date",J$6)=0,NA(),GETPIVOTDATA("ITL",'ITL-PIVOT'!$A$3,"KV%",$A185,"Experiment",J$5,"date",J$6))</f>
        <v>#N/A</v>
      </c>
      <c r="K185">
        <f>IF(GETPIVOTDATA("ITL",'ITL-PIVOT'!$A$3,"KV%",$A185,"Experiment",K$5,"date",K$6)=0,NA(),GETPIVOTDATA("ITL",'ITL-PIVOT'!$A$3,"KV%",$A185,"Experiment",K$5,"date",K$6))</f>
        <v>3.5467753659058965E-2</v>
      </c>
      <c r="L185" t="e">
        <f>IF(GETPIVOTDATA("ITL",'ITL-PIVOT'!$A$3,"KV%",$A185,"Experiment",L$5,"date",L$6)=0,NA(),GETPIVOTDATA("ITL",'ITL-PIVOT'!$A$3,"KV%",$A185,"Experiment",L$5,"date",L$6))</f>
        <v>#N/A</v>
      </c>
      <c r="M185" t="e">
        <f>IF(GETPIVOTDATA("ITL",'ITL-PIVOT'!$A$3,"KV%",$A185,"Experiment",M$5,"date",M$6)=0,NA(),GETPIVOTDATA("ITL",'ITL-PIVOT'!$A$3,"KV%",$A185,"Experiment",M$5,"date",M$6))</f>
        <v>#N/A</v>
      </c>
    </row>
    <row r="186" spans="1:13" x14ac:dyDescent="0.25">
      <c r="A186">
        <f>IF('ITL-PIVOT'!A184=0,NA(),'ITL-PIVOT'!A184)</f>
        <v>0.73818061661351031</v>
      </c>
      <c r="B186" t="e">
        <f>IF(GETPIVOTDATA("ITL",'ITL-PIVOT'!$A$3,"KV%",$A186,"Experiment",B$5,"date",B$6)=0,NA(),GETPIVOTDATA("ITL",'ITL-PIVOT'!$A$3,"KV%",$A186,"Experiment",B$5,"date",B$6))</f>
        <v>#N/A</v>
      </c>
      <c r="C186" t="e">
        <f>IF(GETPIVOTDATA("ITL",'ITL-PIVOT'!$A$3,"KV%",$A186,"Experiment",C$5,"date",C$6)=0,NA(),GETPIVOTDATA("ITL",'ITL-PIVOT'!$A$3,"KV%",$A186,"Experiment",C$5,"date",C$6))</f>
        <v>#N/A</v>
      </c>
      <c r="D186" t="e">
        <f>IF(GETPIVOTDATA("ITL",'ITL-PIVOT'!$A$3,"KV%",$A186,"Experiment",D$5,"date",D$6)=0,NA(),GETPIVOTDATA("ITL",'ITL-PIVOT'!$A$3,"KV%",$A186,"Experiment",D$5,"date",D$6))</f>
        <v>#N/A</v>
      </c>
      <c r="E186" t="e">
        <f>IF(GETPIVOTDATA("ITL",'ITL-PIVOT'!$A$3,"KV%",$A186,"Experiment",E$5,"date",E$6)=0,NA(),GETPIVOTDATA("ITL",'ITL-PIVOT'!$A$3,"KV%",$A186,"Experiment",E$5,"date",E$6))</f>
        <v>#N/A</v>
      </c>
      <c r="F186" t="e">
        <f>IF(GETPIVOTDATA("ITL",'ITL-PIVOT'!$A$3,"KV%",$A186,"Experiment",F$5,"date",F$6)=0,NA(),GETPIVOTDATA("ITL",'ITL-PIVOT'!$A$3,"KV%",$A186,"Experiment",F$5,"date",F$6))</f>
        <v>#N/A</v>
      </c>
      <c r="G186" t="e">
        <f>IF(GETPIVOTDATA("ITL",'ITL-PIVOT'!$A$3,"KV%",$A186,"Experiment",G$5,"date",G$6)=0,NA(),GETPIVOTDATA("ITL",'ITL-PIVOT'!$A$3,"KV%",$A186,"Experiment",G$5,"date",G$6))</f>
        <v>#N/A</v>
      </c>
      <c r="H186" t="e">
        <f>IF(GETPIVOTDATA("ITL",'ITL-PIVOT'!$A$3,"KV%",$A186,"Experiment",H$5,"date",H$6)=0,NA(),GETPIVOTDATA("ITL",'ITL-PIVOT'!$A$3,"KV%",$A186,"Experiment",H$5,"date",H$6))</f>
        <v>#N/A</v>
      </c>
      <c r="I186" t="e">
        <f>IF(GETPIVOTDATA("ITL",'ITL-PIVOT'!$A$3,"KV%",$A186,"Experiment",I$5,"date",I$6)=0,NA(),GETPIVOTDATA("ITL",'ITL-PIVOT'!$A$3,"KV%",$A186,"Experiment",I$5,"date",I$6))</f>
        <v>#N/A</v>
      </c>
      <c r="J186" t="e">
        <f>IF(GETPIVOTDATA("ITL",'ITL-PIVOT'!$A$3,"KV%",$A186,"Experiment",J$5,"date",J$6)=0,NA(),GETPIVOTDATA("ITL",'ITL-PIVOT'!$A$3,"KV%",$A186,"Experiment",J$5,"date",J$6))</f>
        <v>#N/A</v>
      </c>
      <c r="K186" t="e">
        <f>IF(GETPIVOTDATA("ITL",'ITL-PIVOT'!$A$3,"KV%",$A186,"Experiment",K$5,"date",K$6)=0,NA(),GETPIVOTDATA("ITL",'ITL-PIVOT'!$A$3,"KV%",$A186,"Experiment",K$5,"date",K$6))</f>
        <v>#N/A</v>
      </c>
      <c r="L186" t="e">
        <f>IF(GETPIVOTDATA("ITL",'ITL-PIVOT'!$A$3,"KV%",$A186,"Experiment",L$5,"date",L$6)=0,NA(),GETPIVOTDATA("ITL",'ITL-PIVOT'!$A$3,"KV%",$A186,"Experiment",L$5,"date",L$6))</f>
        <v>#N/A</v>
      </c>
      <c r="M186">
        <f>IF(GETPIVOTDATA("ITL",'ITL-PIVOT'!$A$3,"KV%",$A186,"Experiment",M$5,"date",M$6)=0,NA(),GETPIVOTDATA("ITL",'ITL-PIVOT'!$A$3,"KV%",$A186,"Experiment",M$5,"date",M$6))</f>
        <v>9.7520763342730118E-2</v>
      </c>
    </row>
    <row r="187" spans="1:13" x14ac:dyDescent="0.25">
      <c r="A187">
        <f>IF('ITL-PIVOT'!A185=0,NA(),'ITL-PIVOT'!A185)</f>
        <v>0.74013270799539244</v>
      </c>
      <c r="B187" t="e">
        <f>IF(GETPIVOTDATA("ITL",'ITL-PIVOT'!$A$3,"KV%",$A187,"Experiment",B$5,"date",B$6)=0,NA(),GETPIVOTDATA("ITL",'ITL-PIVOT'!$A$3,"KV%",$A187,"Experiment",B$5,"date",B$6))</f>
        <v>#N/A</v>
      </c>
      <c r="C187" t="e">
        <f>IF(GETPIVOTDATA("ITL",'ITL-PIVOT'!$A$3,"KV%",$A187,"Experiment",C$5,"date",C$6)=0,NA(),GETPIVOTDATA("ITL",'ITL-PIVOT'!$A$3,"KV%",$A187,"Experiment",C$5,"date",C$6))</f>
        <v>#N/A</v>
      </c>
      <c r="D187" t="e">
        <f>IF(GETPIVOTDATA("ITL",'ITL-PIVOT'!$A$3,"KV%",$A187,"Experiment",D$5,"date",D$6)=0,NA(),GETPIVOTDATA("ITL",'ITL-PIVOT'!$A$3,"KV%",$A187,"Experiment",D$5,"date",D$6))</f>
        <v>#N/A</v>
      </c>
      <c r="E187" t="e">
        <f>IF(GETPIVOTDATA("ITL",'ITL-PIVOT'!$A$3,"KV%",$A187,"Experiment",E$5,"date",E$6)=0,NA(),GETPIVOTDATA("ITL",'ITL-PIVOT'!$A$3,"KV%",$A187,"Experiment",E$5,"date",E$6))</f>
        <v>#N/A</v>
      </c>
      <c r="F187" t="e">
        <f>IF(GETPIVOTDATA("ITL",'ITL-PIVOT'!$A$3,"KV%",$A187,"Experiment",F$5,"date",F$6)=0,NA(),GETPIVOTDATA("ITL",'ITL-PIVOT'!$A$3,"KV%",$A187,"Experiment",F$5,"date",F$6))</f>
        <v>#N/A</v>
      </c>
      <c r="G187" t="e">
        <f>IF(GETPIVOTDATA("ITL",'ITL-PIVOT'!$A$3,"KV%",$A187,"Experiment",G$5,"date",G$6)=0,NA(),GETPIVOTDATA("ITL",'ITL-PIVOT'!$A$3,"KV%",$A187,"Experiment",G$5,"date",G$6))</f>
        <v>#N/A</v>
      </c>
      <c r="H187" t="e">
        <f>IF(GETPIVOTDATA("ITL",'ITL-PIVOT'!$A$3,"KV%",$A187,"Experiment",H$5,"date",H$6)=0,NA(),GETPIVOTDATA("ITL",'ITL-PIVOT'!$A$3,"KV%",$A187,"Experiment",H$5,"date",H$6))</f>
        <v>#N/A</v>
      </c>
      <c r="I187" t="e">
        <f>IF(GETPIVOTDATA("ITL",'ITL-PIVOT'!$A$3,"KV%",$A187,"Experiment",I$5,"date",I$6)=0,NA(),GETPIVOTDATA("ITL",'ITL-PIVOT'!$A$3,"KV%",$A187,"Experiment",I$5,"date",I$6))</f>
        <v>#N/A</v>
      </c>
      <c r="J187" t="e">
        <f>IF(GETPIVOTDATA("ITL",'ITL-PIVOT'!$A$3,"KV%",$A187,"Experiment",J$5,"date",J$6)=0,NA(),GETPIVOTDATA("ITL",'ITL-PIVOT'!$A$3,"KV%",$A187,"Experiment",J$5,"date",J$6))</f>
        <v>#N/A</v>
      </c>
      <c r="K187">
        <f>IF(GETPIVOTDATA("ITL",'ITL-PIVOT'!$A$3,"KV%",$A187,"Experiment",K$5,"date",K$6)=0,NA(),GETPIVOTDATA("ITL",'ITL-PIVOT'!$A$3,"KV%",$A187,"Experiment",K$5,"date",K$6))</f>
        <v>3.6406629601579137E-2</v>
      </c>
      <c r="L187" t="e">
        <f>IF(GETPIVOTDATA("ITL",'ITL-PIVOT'!$A$3,"KV%",$A187,"Experiment",L$5,"date",L$6)=0,NA(),GETPIVOTDATA("ITL",'ITL-PIVOT'!$A$3,"KV%",$A187,"Experiment",L$5,"date",L$6))</f>
        <v>#N/A</v>
      </c>
      <c r="M187" t="e">
        <f>IF(GETPIVOTDATA("ITL",'ITL-PIVOT'!$A$3,"KV%",$A187,"Experiment",M$5,"date",M$6)=0,NA(),GETPIVOTDATA("ITL",'ITL-PIVOT'!$A$3,"KV%",$A187,"Experiment",M$5,"date",M$6))</f>
        <v>#N/A</v>
      </c>
    </row>
    <row r="188" spans="1:13" x14ac:dyDescent="0.25">
      <c r="A188">
        <f>IF('ITL-PIVOT'!A186=0,NA(),'ITL-PIVOT'!A186)</f>
        <v>0.74480582302742671</v>
      </c>
      <c r="B188" t="e">
        <f>IF(GETPIVOTDATA("ITL",'ITL-PIVOT'!$A$3,"KV%",$A188,"Experiment",B$5,"date",B$6)=0,NA(),GETPIVOTDATA("ITL",'ITL-PIVOT'!$A$3,"KV%",$A188,"Experiment",B$5,"date",B$6))</f>
        <v>#N/A</v>
      </c>
      <c r="C188" t="e">
        <f>IF(GETPIVOTDATA("ITL",'ITL-PIVOT'!$A$3,"KV%",$A188,"Experiment",C$5,"date",C$6)=0,NA(),GETPIVOTDATA("ITL",'ITL-PIVOT'!$A$3,"KV%",$A188,"Experiment",C$5,"date",C$6))</f>
        <v>#N/A</v>
      </c>
      <c r="D188" t="e">
        <f>IF(GETPIVOTDATA("ITL",'ITL-PIVOT'!$A$3,"KV%",$A188,"Experiment",D$5,"date",D$6)=0,NA(),GETPIVOTDATA("ITL",'ITL-PIVOT'!$A$3,"KV%",$A188,"Experiment",D$5,"date",D$6))</f>
        <v>#N/A</v>
      </c>
      <c r="E188" t="e">
        <f>IF(GETPIVOTDATA("ITL",'ITL-PIVOT'!$A$3,"KV%",$A188,"Experiment",E$5,"date",E$6)=0,NA(),GETPIVOTDATA("ITL",'ITL-PIVOT'!$A$3,"KV%",$A188,"Experiment",E$5,"date",E$6))</f>
        <v>#N/A</v>
      </c>
      <c r="F188" t="e">
        <f>IF(GETPIVOTDATA("ITL",'ITL-PIVOT'!$A$3,"KV%",$A188,"Experiment",F$5,"date",F$6)=0,NA(),GETPIVOTDATA("ITL",'ITL-PIVOT'!$A$3,"KV%",$A188,"Experiment",F$5,"date",F$6))</f>
        <v>#N/A</v>
      </c>
      <c r="G188" t="e">
        <f>IF(GETPIVOTDATA("ITL",'ITL-PIVOT'!$A$3,"KV%",$A188,"Experiment",G$5,"date",G$6)=0,NA(),GETPIVOTDATA("ITL",'ITL-PIVOT'!$A$3,"KV%",$A188,"Experiment",G$5,"date",G$6))</f>
        <v>#N/A</v>
      </c>
      <c r="H188" t="e">
        <f>IF(GETPIVOTDATA("ITL",'ITL-PIVOT'!$A$3,"KV%",$A188,"Experiment",H$5,"date",H$6)=0,NA(),GETPIVOTDATA("ITL",'ITL-PIVOT'!$A$3,"KV%",$A188,"Experiment",H$5,"date",H$6))</f>
        <v>#N/A</v>
      </c>
      <c r="I188" t="e">
        <f>IF(GETPIVOTDATA("ITL",'ITL-PIVOT'!$A$3,"KV%",$A188,"Experiment",I$5,"date",I$6)=0,NA(),GETPIVOTDATA("ITL",'ITL-PIVOT'!$A$3,"KV%",$A188,"Experiment",I$5,"date",I$6))</f>
        <v>#N/A</v>
      </c>
      <c r="J188" t="e">
        <f>IF(GETPIVOTDATA("ITL",'ITL-PIVOT'!$A$3,"KV%",$A188,"Experiment",J$5,"date",J$6)=0,NA(),GETPIVOTDATA("ITL",'ITL-PIVOT'!$A$3,"KV%",$A188,"Experiment",J$5,"date",J$6))</f>
        <v>#N/A</v>
      </c>
      <c r="K188" t="e">
        <f>IF(GETPIVOTDATA("ITL",'ITL-PIVOT'!$A$3,"KV%",$A188,"Experiment",K$5,"date",K$6)=0,NA(),GETPIVOTDATA("ITL",'ITL-PIVOT'!$A$3,"KV%",$A188,"Experiment",K$5,"date",K$6))</f>
        <v>#N/A</v>
      </c>
      <c r="L188">
        <f>IF(GETPIVOTDATA("ITL",'ITL-PIVOT'!$A$3,"KV%",$A188,"Experiment",L$5,"date",L$6)=0,NA(),GETPIVOTDATA("ITL",'ITL-PIVOT'!$A$3,"KV%",$A188,"Experiment",L$5,"date",L$6))</f>
        <v>3.7746585141523716E-2</v>
      </c>
      <c r="M188" t="e">
        <f>IF(GETPIVOTDATA("ITL",'ITL-PIVOT'!$A$3,"KV%",$A188,"Experiment",M$5,"date",M$6)=0,NA(),GETPIVOTDATA("ITL",'ITL-PIVOT'!$A$3,"KV%",$A188,"Experiment",M$5,"date",M$6))</f>
        <v>#N/A</v>
      </c>
    </row>
    <row r="189" spans="1:13" x14ac:dyDescent="0.25">
      <c r="A189">
        <f>IF('ITL-PIVOT'!A187=0,NA(),'ITL-PIVOT'!A187)</f>
        <v>0.75703141354809311</v>
      </c>
      <c r="B189" t="e">
        <f>IF(GETPIVOTDATA("ITL",'ITL-PIVOT'!$A$3,"KV%",$A189,"Experiment",B$5,"date",B$6)=0,NA(),GETPIVOTDATA("ITL",'ITL-PIVOT'!$A$3,"KV%",$A189,"Experiment",B$5,"date",B$6))</f>
        <v>#N/A</v>
      </c>
      <c r="C189" t="e">
        <f>IF(GETPIVOTDATA("ITL",'ITL-PIVOT'!$A$3,"KV%",$A189,"Experiment",C$5,"date",C$6)=0,NA(),GETPIVOTDATA("ITL",'ITL-PIVOT'!$A$3,"KV%",$A189,"Experiment",C$5,"date",C$6))</f>
        <v>#N/A</v>
      </c>
      <c r="D189" t="e">
        <f>IF(GETPIVOTDATA("ITL",'ITL-PIVOT'!$A$3,"KV%",$A189,"Experiment",D$5,"date",D$6)=0,NA(),GETPIVOTDATA("ITL",'ITL-PIVOT'!$A$3,"KV%",$A189,"Experiment",D$5,"date",D$6))</f>
        <v>#N/A</v>
      </c>
      <c r="E189" t="e">
        <f>IF(GETPIVOTDATA("ITL",'ITL-PIVOT'!$A$3,"KV%",$A189,"Experiment",E$5,"date",E$6)=0,NA(),GETPIVOTDATA("ITL",'ITL-PIVOT'!$A$3,"KV%",$A189,"Experiment",E$5,"date",E$6))</f>
        <v>#N/A</v>
      </c>
      <c r="F189" t="e">
        <f>IF(GETPIVOTDATA("ITL",'ITL-PIVOT'!$A$3,"KV%",$A189,"Experiment",F$5,"date",F$6)=0,NA(),GETPIVOTDATA("ITL",'ITL-PIVOT'!$A$3,"KV%",$A189,"Experiment",F$5,"date",F$6))</f>
        <v>#N/A</v>
      </c>
      <c r="G189" t="e">
        <f>IF(GETPIVOTDATA("ITL",'ITL-PIVOT'!$A$3,"KV%",$A189,"Experiment",G$5,"date",G$6)=0,NA(),GETPIVOTDATA("ITL",'ITL-PIVOT'!$A$3,"KV%",$A189,"Experiment",G$5,"date",G$6))</f>
        <v>#N/A</v>
      </c>
      <c r="H189" t="e">
        <f>IF(GETPIVOTDATA("ITL",'ITL-PIVOT'!$A$3,"KV%",$A189,"Experiment",H$5,"date",H$6)=0,NA(),GETPIVOTDATA("ITL",'ITL-PIVOT'!$A$3,"KV%",$A189,"Experiment",H$5,"date",H$6))</f>
        <v>#N/A</v>
      </c>
      <c r="I189" t="e">
        <f>IF(GETPIVOTDATA("ITL",'ITL-PIVOT'!$A$3,"KV%",$A189,"Experiment",I$5,"date",I$6)=0,NA(),GETPIVOTDATA("ITL",'ITL-PIVOT'!$A$3,"KV%",$A189,"Experiment",I$5,"date",I$6))</f>
        <v>#N/A</v>
      </c>
      <c r="J189">
        <f>IF(GETPIVOTDATA("ITL",'ITL-PIVOT'!$A$3,"KV%",$A189,"Experiment",J$5,"date",J$6)=0,NA(),GETPIVOTDATA("ITL",'ITL-PIVOT'!$A$3,"KV%",$A189,"Experiment",J$5,"date",J$6))</f>
        <v>4.9975882181106622E-2</v>
      </c>
      <c r="K189" t="e">
        <f>IF(GETPIVOTDATA("ITL",'ITL-PIVOT'!$A$3,"KV%",$A189,"Experiment",K$5,"date",K$6)=0,NA(),GETPIVOTDATA("ITL",'ITL-PIVOT'!$A$3,"KV%",$A189,"Experiment",K$5,"date",K$6))</f>
        <v>#N/A</v>
      </c>
      <c r="L189" t="e">
        <f>IF(GETPIVOTDATA("ITL",'ITL-PIVOT'!$A$3,"KV%",$A189,"Experiment",L$5,"date",L$6)=0,NA(),GETPIVOTDATA("ITL",'ITL-PIVOT'!$A$3,"KV%",$A189,"Experiment",L$5,"date",L$6))</f>
        <v>#N/A</v>
      </c>
      <c r="M189" t="e">
        <f>IF(GETPIVOTDATA("ITL",'ITL-PIVOT'!$A$3,"KV%",$A189,"Experiment",M$5,"date",M$6)=0,NA(),GETPIVOTDATA("ITL",'ITL-PIVOT'!$A$3,"KV%",$A189,"Experiment",M$5,"date",M$6))</f>
        <v>#N/A</v>
      </c>
    </row>
    <row r="190" spans="1:13" x14ac:dyDescent="0.25">
      <c r="A190">
        <f>IF('ITL-PIVOT'!A188=0,NA(),'ITL-PIVOT'!A188)</f>
        <v>0.7583958279458668</v>
      </c>
      <c r="B190" t="e">
        <f>IF(GETPIVOTDATA("ITL",'ITL-PIVOT'!$A$3,"KV%",$A190,"Experiment",B$5,"date",B$6)=0,NA(),GETPIVOTDATA("ITL",'ITL-PIVOT'!$A$3,"KV%",$A190,"Experiment",B$5,"date",B$6))</f>
        <v>#N/A</v>
      </c>
      <c r="C190" t="e">
        <f>IF(GETPIVOTDATA("ITL",'ITL-PIVOT'!$A$3,"KV%",$A190,"Experiment",C$5,"date",C$6)=0,NA(),GETPIVOTDATA("ITL",'ITL-PIVOT'!$A$3,"KV%",$A190,"Experiment",C$5,"date",C$6))</f>
        <v>#N/A</v>
      </c>
      <c r="D190" t="e">
        <f>IF(GETPIVOTDATA("ITL",'ITL-PIVOT'!$A$3,"KV%",$A190,"Experiment",D$5,"date",D$6)=0,NA(),GETPIVOTDATA("ITL",'ITL-PIVOT'!$A$3,"KV%",$A190,"Experiment",D$5,"date",D$6))</f>
        <v>#N/A</v>
      </c>
      <c r="E190" t="e">
        <f>IF(GETPIVOTDATA("ITL",'ITL-PIVOT'!$A$3,"KV%",$A190,"Experiment",E$5,"date",E$6)=0,NA(),GETPIVOTDATA("ITL",'ITL-PIVOT'!$A$3,"KV%",$A190,"Experiment",E$5,"date",E$6))</f>
        <v>#N/A</v>
      </c>
      <c r="F190" t="e">
        <f>IF(GETPIVOTDATA("ITL",'ITL-PIVOT'!$A$3,"KV%",$A190,"Experiment",F$5,"date",F$6)=0,NA(),GETPIVOTDATA("ITL",'ITL-PIVOT'!$A$3,"KV%",$A190,"Experiment",F$5,"date",F$6))</f>
        <v>#N/A</v>
      </c>
      <c r="G190" t="e">
        <f>IF(GETPIVOTDATA("ITL",'ITL-PIVOT'!$A$3,"KV%",$A190,"Experiment",G$5,"date",G$6)=0,NA(),GETPIVOTDATA("ITL",'ITL-PIVOT'!$A$3,"KV%",$A190,"Experiment",G$5,"date",G$6))</f>
        <v>#N/A</v>
      </c>
      <c r="H190" t="e">
        <f>IF(GETPIVOTDATA("ITL",'ITL-PIVOT'!$A$3,"KV%",$A190,"Experiment",H$5,"date",H$6)=0,NA(),GETPIVOTDATA("ITL",'ITL-PIVOT'!$A$3,"KV%",$A190,"Experiment",H$5,"date",H$6))</f>
        <v>#N/A</v>
      </c>
      <c r="I190" t="e">
        <f>IF(GETPIVOTDATA("ITL",'ITL-PIVOT'!$A$3,"KV%",$A190,"Experiment",I$5,"date",I$6)=0,NA(),GETPIVOTDATA("ITL",'ITL-PIVOT'!$A$3,"KV%",$A190,"Experiment",I$5,"date",I$6))</f>
        <v>#N/A</v>
      </c>
      <c r="J190" t="e">
        <f>IF(GETPIVOTDATA("ITL",'ITL-PIVOT'!$A$3,"KV%",$A190,"Experiment",J$5,"date",J$6)=0,NA(),GETPIVOTDATA("ITL",'ITL-PIVOT'!$A$3,"KV%",$A190,"Experiment",J$5,"date",J$6))</f>
        <v>#N/A</v>
      </c>
      <c r="K190" t="e">
        <f>IF(GETPIVOTDATA("ITL",'ITL-PIVOT'!$A$3,"KV%",$A190,"Experiment",K$5,"date",K$6)=0,NA(),GETPIVOTDATA("ITL",'ITL-PIVOT'!$A$3,"KV%",$A190,"Experiment",K$5,"date",K$6))</f>
        <v>#N/A</v>
      </c>
      <c r="L190" t="e">
        <f>IF(GETPIVOTDATA("ITL",'ITL-PIVOT'!$A$3,"KV%",$A190,"Experiment",L$5,"date",L$6)=0,NA(),GETPIVOTDATA("ITL",'ITL-PIVOT'!$A$3,"KV%",$A190,"Experiment",L$5,"date",L$6))</f>
        <v>#N/A</v>
      </c>
      <c r="M190">
        <f>IF(GETPIVOTDATA("ITL",'ITL-PIVOT'!$A$3,"KV%",$A190,"Experiment",M$5,"date",M$6)=0,NA(),GETPIVOTDATA("ITL",'ITL-PIVOT'!$A$3,"KV%",$A190,"Experiment",M$5,"date",M$6))</f>
        <v>0.10462679664851991</v>
      </c>
    </row>
    <row r="191" spans="1:13" x14ac:dyDescent="0.25">
      <c r="A191">
        <f>IF('ITL-PIVOT'!A189=0,NA(),'ITL-PIVOT'!A189)</f>
        <v>0.75889012800620637</v>
      </c>
      <c r="B191" t="e">
        <f>IF(GETPIVOTDATA("ITL",'ITL-PIVOT'!$A$3,"KV%",$A191,"Experiment",B$5,"date",B$6)=0,NA(),GETPIVOTDATA("ITL",'ITL-PIVOT'!$A$3,"KV%",$A191,"Experiment",B$5,"date",B$6))</f>
        <v>#N/A</v>
      </c>
      <c r="C191" t="e">
        <f>IF(GETPIVOTDATA("ITL",'ITL-PIVOT'!$A$3,"KV%",$A191,"Experiment",C$5,"date",C$6)=0,NA(),GETPIVOTDATA("ITL",'ITL-PIVOT'!$A$3,"KV%",$A191,"Experiment",C$5,"date",C$6))</f>
        <v>#N/A</v>
      </c>
      <c r="D191" t="e">
        <f>IF(GETPIVOTDATA("ITL",'ITL-PIVOT'!$A$3,"KV%",$A191,"Experiment",D$5,"date",D$6)=0,NA(),GETPIVOTDATA("ITL",'ITL-PIVOT'!$A$3,"KV%",$A191,"Experiment",D$5,"date",D$6))</f>
        <v>#N/A</v>
      </c>
      <c r="E191" t="e">
        <f>IF(GETPIVOTDATA("ITL",'ITL-PIVOT'!$A$3,"KV%",$A191,"Experiment",E$5,"date",E$6)=0,NA(),GETPIVOTDATA("ITL",'ITL-PIVOT'!$A$3,"KV%",$A191,"Experiment",E$5,"date",E$6))</f>
        <v>#N/A</v>
      </c>
      <c r="F191" t="e">
        <f>IF(GETPIVOTDATA("ITL",'ITL-PIVOT'!$A$3,"KV%",$A191,"Experiment",F$5,"date",F$6)=0,NA(),GETPIVOTDATA("ITL",'ITL-PIVOT'!$A$3,"KV%",$A191,"Experiment",F$5,"date",F$6))</f>
        <v>#N/A</v>
      </c>
      <c r="G191" t="e">
        <f>IF(GETPIVOTDATA("ITL",'ITL-PIVOT'!$A$3,"KV%",$A191,"Experiment",G$5,"date",G$6)=0,NA(),GETPIVOTDATA("ITL",'ITL-PIVOT'!$A$3,"KV%",$A191,"Experiment",G$5,"date",G$6))</f>
        <v>#N/A</v>
      </c>
      <c r="H191" t="e">
        <f>IF(GETPIVOTDATA("ITL",'ITL-PIVOT'!$A$3,"KV%",$A191,"Experiment",H$5,"date",H$6)=0,NA(),GETPIVOTDATA("ITL",'ITL-PIVOT'!$A$3,"KV%",$A191,"Experiment",H$5,"date",H$6))</f>
        <v>#N/A</v>
      </c>
      <c r="I191" t="e">
        <f>IF(GETPIVOTDATA("ITL",'ITL-PIVOT'!$A$3,"KV%",$A191,"Experiment",I$5,"date",I$6)=0,NA(),GETPIVOTDATA("ITL",'ITL-PIVOT'!$A$3,"KV%",$A191,"Experiment",I$5,"date",I$6))</f>
        <v>#N/A</v>
      </c>
      <c r="J191" t="e">
        <f>IF(GETPIVOTDATA("ITL",'ITL-PIVOT'!$A$3,"KV%",$A191,"Experiment",J$5,"date",J$6)=0,NA(),GETPIVOTDATA("ITL",'ITL-PIVOT'!$A$3,"KV%",$A191,"Experiment",J$5,"date",J$6))</f>
        <v>#N/A</v>
      </c>
      <c r="K191" t="e">
        <f>IF(GETPIVOTDATA("ITL",'ITL-PIVOT'!$A$3,"KV%",$A191,"Experiment",K$5,"date",K$6)=0,NA(),GETPIVOTDATA("ITL",'ITL-PIVOT'!$A$3,"KV%",$A191,"Experiment",K$5,"date",K$6))</f>
        <v>#N/A</v>
      </c>
      <c r="L191">
        <f>IF(GETPIVOTDATA("ITL",'ITL-PIVOT'!$A$3,"KV%",$A191,"Experiment",L$5,"date",L$6)=0,NA(),GETPIVOTDATA("ITL",'ITL-PIVOT'!$A$3,"KV%",$A191,"Experiment",L$5,"date",L$6))</f>
        <v>3.6644341857891408E-2</v>
      </c>
      <c r="M191" t="e">
        <f>IF(GETPIVOTDATA("ITL",'ITL-PIVOT'!$A$3,"KV%",$A191,"Experiment",M$5,"date",M$6)=0,NA(),GETPIVOTDATA("ITL",'ITL-PIVOT'!$A$3,"KV%",$A191,"Experiment",M$5,"date",M$6))</f>
        <v>#N/A</v>
      </c>
    </row>
    <row r="192" spans="1:13" x14ac:dyDescent="0.25">
      <c r="A192">
        <f>IF('ITL-PIVOT'!A190=0,NA(),'ITL-PIVOT'!A190)</f>
        <v>0.76301248660829724</v>
      </c>
      <c r="B192" t="e">
        <f>IF(GETPIVOTDATA("ITL",'ITL-PIVOT'!$A$3,"KV%",$A192,"Experiment",B$5,"date",B$6)=0,NA(),GETPIVOTDATA("ITL",'ITL-PIVOT'!$A$3,"KV%",$A192,"Experiment",B$5,"date",B$6))</f>
        <v>#N/A</v>
      </c>
      <c r="C192" t="e">
        <f>IF(GETPIVOTDATA("ITL",'ITL-PIVOT'!$A$3,"KV%",$A192,"Experiment",C$5,"date",C$6)=0,NA(),GETPIVOTDATA("ITL",'ITL-PIVOT'!$A$3,"KV%",$A192,"Experiment",C$5,"date",C$6))</f>
        <v>#N/A</v>
      </c>
      <c r="D192" t="e">
        <f>IF(GETPIVOTDATA("ITL",'ITL-PIVOT'!$A$3,"KV%",$A192,"Experiment",D$5,"date",D$6)=0,NA(),GETPIVOTDATA("ITL",'ITL-PIVOT'!$A$3,"KV%",$A192,"Experiment",D$5,"date",D$6))</f>
        <v>#N/A</v>
      </c>
      <c r="E192">
        <f>IF(GETPIVOTDATA("ITL",'ITL-PIVOT'!$A$3,"KV%",$A192,"Experiment",E$5,"date",E$6)=0,NA(),GETPIVOTDATA("ITL",'ITL-PIVOT'!$A$3,"KV%",$A192,"Experiment",E$5,"date",E$6))</f>
        <v>2.6117112964388428E-2</v>
      </c>
      <c r="F192" t="e">
        <f>IF(GETPIVOTDATA("ITL",'ITL-PIVOT'!$A$3,"KV%",$A192,"Experiment",F$5,"date",F$6)=0,NA(),GETPIVOTDATA("ITL",'ITL-PIVOT'!$A$3,"KV%",$A192,"Experiment",F$5,"date",F$6))</f>
        <v>#N/A</v>
      </c>
      <c r="G192" t="e">
        <f>IF(GETPIVOTDATA("ITL",'ITL-PIVOT'!$A$3,"KV%",$A192,"Experiment",G$5,"date",G$6)=0,NA(),GETPIVOTDATA("ITL",'ITL-PIVOT'!$A$3,"KV%",$A192,"Experiment",G$5,"date",G$6))</f>
        <v>#N/A</v>
      </c>
      <c r="H192" t="e">
        <f>IF(GETPIVOTDATA("ITL",'ITL-PIVOT'!$A$3,"KV%",$A192,"Experiment",H$5,"date",H$6)=0,NA(),GETPIVOTDATA("ITL",'ITL-PIVOT'!$A$3,"KV%",$A192,"Experiment",H$5,"date",H$6))</f>
        <v>#N/A</v>
      </c>
      <c r="I192" t="e">
        <f>IF(GETPIVOTDATA("ITL",'ITL-PIVOT'!$A$3,"KV%",$A192,"Experiment",I$5,"date",I$6)=0,NA(),GETPIVOTDATA("ITL",'ITL-PIVOT'!$A$3,"KV%",$A192,"Experiment",I$5,"date",I$6))</f>
        <v>#N/A</v>
      </c>
      <c r="J192" t="e">
        <f>IF(GETPIVOTDATA("ITL",'ITL-PIVOT'!$A$3,"KV%",$A192,"Experiment",J$5,"date",J$6)=0,NA(),GETPIVOTDATA("ITL",'ITL-PIVOT'!$A$3,"KV%",$A192,"Experiment",J$5,"date",J$6))</f>
        <v>#N/A</v>
      </c>
      <c r="K192" t="e">
        <f>IF(GETPIVOTDATA("ITL",'ITL-PIVOT'!$A$3,"KV%",$A192,"Experiment",K$5,"date",K$6)=0,NA(),GETPIVOTDATA("ITL",'ITL-PIVOT'!$A$3,"KV%",$A192,"Experiment",K$5,"date",K$6))</f>
        <v>#N/A</v>
      </c>
      <c r="L192" t="e">
        <f>IF(GETPIVOTDATA("ITL",'ITL-PIVOT'!$A$3,"KV%",$A192,"Experiment",L$5,"date",L$6)=0,NA(),GETPIVOTDATA("ITL",'ITL-PIVOT'!$A$3,"KV%",$A192,"Experiment",L$5,"date",L$6))</f>
        <v>#N/A</v>
      </c>
      <c r="M192" t="e">
        <f>IF(GETPIVOTDATA("ITL",'ITL-PIVOT'!$A$3,"KV%",$A192,"Experiment",M$5,"date",M$6)=0,NA(),GETPIVOTDATA("ITL",'ITL-PIVOT'!$A$3,"KV%",$A192,"Experiment",M$5,"date",M$6))</f>
        <v>#N/A</v>
      </c>
    </row>
    <row r="193" spans="1:13" x14ac:dyDescent="0.25">
      <c r="A193">
        <f>IF('ITL-PIVOT'!A191=0,NA(),'ITL-PIVOT'!A191)</f>
        <v>0.76341579748872235</v>
      </c>
      <c r="B193" t="e">
        <f>IF(GETPIVOTDATA("ITL",'ITL-PIVOT'!$A$3,"KV%",$A193,"Experiment",B$5,"date",B$6)=0,NA(),GETPIVOTDATA("ITL",'ITL-PIVOT'!$A$3,"KV%",$A193,"Experiment",B$5,"date",B$6))</f>
        <v>#N/A</v>
      </c>
      <c r="C193" t="e">
        <f>IF(GETPIVOTDATA("ITL",'ITL-PIVOT'!$A$3,"KV%",$A193,"Experiment",C$5,"date",C$6)=0,NA(),GETPIVOTDATA("ITL",'ITL-PIVOT'!$A$3,"KV%",$A193,"Experiment",C$5,"date",C$6))</f>
        <v>#N/A</v>
      </c>
      <c r="D193" t="e">
        <f>IF(GETPIVOTDATA("ITL",'ITL-PIVOT'!$A$3,"KV%",$A193,"Experiment",D$5,"date",D$6)=0,NA(),GETPIVOTDATA("ITL",'ITL-PIVOT'!$A$3,"KV%",$A193,"Experiment",D$5,"date",D$6))</f>
        <v>#N/A</v>
      </c>
      <c r="E193" t="e">
        <f>IF(GETPIVOTDATA("ITL",'ITL-PIVOT'!$A$3,"KV%",$A193,"Experiment",E$5,"date",E$6)=0,NA(),GETPIVOTDATA("ITL",'ITL-PIVOT'!$A$3,"KV%",$A193,"Experiment",E$5,"date",E$6))</f>
        <v>#N/A</v>
      </c>
      <c r="F193" t="e">
        <f>IF(GETPIVOTDATA("ITL",'ITL-PIVOT'!$A$3,"KV%",$A193,"Experiment",F$5,"date",F$6)=0,NA(),GETPIVOTDATA("ITL",'ITL-PIVOT'!$A$3,"KV%",$A193,"Experiment",F$5,"date",F$6))</f>
        <v>#N/A</v>
      </c>
      <c r="G193" t="e">
        <f>IF(GETPIVOTDATA("ITL",'ITL-PIVOT'!$A$3,"KV%",$A193,"Experiment",G$5,"date",G$6)=0,NA(),GETPIVOTDATA("ITL",'ITL-PIVOT'!$A$3,"KV%",$A193,"Experiment",G$5,"date",G$6))</f>
        <v>#N/A</v>
      </c>
      <c r="H193" t="e">
        <f>IF(GETPIVOTDATA("ITL",'ITL-PIVOT'!$A$3,"KV%",$A193,"Experiment",H$5,"date",H$6)=0,NA(),GETPIVOTDATA("ITL",'ITL-PIVOT'!$A$3,"KV%",$A193,"Experiment",H$5,"date",H$6))</f>
        <v>#N/A</v>
      </c>
      <c r="I193" t="e">
        <f>IF(GETPIVOTDATA("ITL",'ITL-PIVOT'!$A$3,"KV%",$A193,"Experiment",I$5,"date",I$6)=0,NA(),GETPIVOTDATA("ITL",'ITL-PIVOT'!$A$3,"KV%",$A193,"Experiment",I$5,"date",I$6))</f>
        <v>#N/A</v>
      </c>
      <c r="J193" t="e">
        <f>IF(GETPIVOTDATA("ITL",'ITL-PIVOT'!$A$3,"KV%",$A193,"Experiment",J$5,"date",J$6)=0,NA(),GETPIVOTDATA("ITL",'ITL-PIVOT'!$A$3,"KV%",$A193,"Experiment",J$5,"date",J$6))</f>
        <v>#N/A</v>
      </c>
      <c r="K193" t="e">
        <f>IF(GETPIVOTDATA("ITL",'ITL-PIVOT'!$A$3,"KV%",$A193,"Experiment",K$5,"date",K$6)=0,NA(),GETPIVOTDATA("ITL",'ITL-PIVOT'!$A$3,"KV%",$A193,"Experiment",K$5,"date",K$6))</f>
        <v>#N/A</v>
      </c>
      <c r="L193" t="e">
        <f>IF(GETPIVOTDATA("ITL",'ITL-PIVOT'!$A$3,"KV%",$A193,"Experiment",L$5,"date",L$6)=0,NA(),GETPIVOTDATA("ITL",'ITL-PIVOT'!$A$3,"KV%",$A193,"Experiment",L$5,"date",L$6))</f>
        <v>#N/A</v>
      </c>
      <c r="M193">
        <f>IF(GETPIVOTDATA("ITL",'ITL-PIVOT'!$A$3,"KV%",$A193,"Experiment",M$5,"date",M$6)=0,NA(),GETPIVOTDATA("ITL",'ITL-PIVOT'!$A$3,"KV%",$A193,"Experiment",M$5,"date",M$6))</f>
        <v>0.10106962356492293</v>
      </c>
    </row>
    <row r="194" spans="1:13" x14ac:dyDescent="0.25">
      <c r="A194">
        <f>IF('ITL-PIVOT'!A192=0,NA(),'ITL-PIVOT'!A192)</f>
        <v>0.77042547042090703</v>
      </c>
      <c r="B194" t="e">
        <f>IF(GETPIVOTDATA("ITL",'ITL-PIVOT'!$A$3,"KV%",$A194,"Experiment",B$5,"date",B$6)=0,NA(),GETPIVOTDATA("ITL",'ITL-PIVOT'!$A$3,"KV%",$A194,"Experiment",B$5,"date",B$6))</f>
        <v>#N/A</v>
      </c>
      <c r="C194">
        <f>IF(GETPIVOTDATA("ITL",'ITL-PIVOT'!$A$3,"KV%",$A194,"Experiment",C$5,"date",C$6)=0,NA(),GETPIVOTDATA("ITL",'ITL-PIVOT'!$A$3,"KV%",$A194,"Experiment",C$5,"date",C$6))</f>
        <v>4.9184309247364444E-2</v>
      </c>
      <c r="D194" t="e">
        <f>IF(GETPIVOTDATA("ITL",'ITL-PIVOT'!$A$3,"KV%",$A194,"Experiment",D$5,"date",D$6)=0,NA(),GETPIVOTDATA("ITL",'ITL-PIVOT'!$A$3,"KV%",$A194,"Experiment",D$5,"date",D$6))</f>
        <v>#N/A</v>
      </c>
      <c r="E194" t="e">
        <f>IF(GETPIVOTDATA("ITL",'ITL-PIVOT'!$A$3,"KV%",$A194,"Experiment",E$5,"date",E$6)=0,NA(),GETPIVOTDATA("ITL",'ITL-PIVOT'!$A$3,"KV%",$A194,"Experiment",E$5,"date",E$6))</f>
        <v>#N/A</v>
      </c>
      <c r="F194" t="e">
        <f>IF(GETPIVOTDATA("ITL",'ITL-PIVOT'!$A$3,"KV%",$A194,"Experiment",F$5,"date",F$6)=0,NA(),GETPIVOTDATA("ITL",'ITL-PIVOT'!$A$3,"KV%",$A194,"Experiment",F$5,"date",F$6))</f>
        <v>#N/A</v>
      </c>
      <c r="G194" t="e">
        <f>IF(GETPIVOTDATA("ITL",'ITL-PIVOT'!$A$3,"KV%",$A194,"Experiment",G$5,"date",G$6)=0,NA(),GETPIVOTDATA("ITL",'ITL-PIVOT'!$A$3,"KV%",$A194,"Experiment",G$5,"date",G$6))</f>
        <v>#N/A</v>
      </c>
      <c r="H194" t="e">
        <f>IF(GETPIVOTDATA("ITL",'ITL-PIVOT'!$A$3,"KV%",$A194,"Experiment",H$5,"date",H$6)=0,NA(),GETPIVOTDATA("ITL",'ITL-PIVOT'!$A$3,"KV%",$A194,"Experiment",H$5,"date",H$6))</f>
        <v>#N/A</v>
      </c>
      <c r="I194" t="e">
        <f>IF(GETPIVOTDATA("ITL",'ITL-PIVOT'!$A$3,"KV%",$A194,"Experiment",I$5,"date",I$6)=0,NA(),GETPIVOTDATA("ITL",'ITL-PIVOT'!$A$3,"KV%",$A194,"Experiment",I$5,"date",I$6))</f>
        <v>#N/A</v>
      </c>
      <c r="J194" t="e">
        <f>IF(GETPIVOTDATA("ITL",'ITL-PIVOT'!$A$3,"KV%",$A194,"Experiment",J$5,"date",J$6)=0,NA(),GETPIVOTDATA("ITL",'ITL-PIVOT'!$A$3,"KV%",$A194,"Experiment",J$5,"date",J$6))</f>
        <v>#N/A</v>
      </c>
      <c r="K194" t="e">
        <f>IF(GETPIVOTDATA("ITL",'ITL-PIVOT'!$A$3,"KV%",$A194,"Experiment",K$5,"date",K$6)=0,NA(),GETPIVOTDATA("ITL",'ITL-PIVOT'!$A$3,"KV%",$A194,"Experiment",K$5,"date",K$6))</f>
        <v>#N/A</v>
      </c>
      <c r="L194" t="e">
        <f>IF(GETPIVOTDATA("ITL",'ITL-PIVOT'!$A$3,"KV%",$A194,"Experiment",L$5,"date",L$6)=0,NA(),GETPIVOTDATA("ITL",'ITL-PIVOT'!$A$3,"KV%",$A194,"Experiment",L$5,"date",L$6))</f>
        <v>#N/A</v>
      </c>
      <c r="M194" t="e">
        <f>IF(GETPIVOTDATA("ITL",'ITL-PIVOT'!$A$3,"KV%",$A194,"Experiment",M$5,"date",M$6)=0,NA(),GETPIVOTDATA("ITL",'ITL-PIVOT'!$A$3,"KV%",$A194,"Experiment",M$5,"date",M$6))</f>
        <v>#N/A</v>
      </c>
    </row>
    <row r="195" spans="1:13" x14ac:dyDescent="0.25">
      <c r="A195">
        <f>IF('ITL-PIVOT'!A193=0,NA(),'ITL-PIVOT'!A193)</f>
        <v>0.78105896043444534</v>
      </c>
      <c r="B195" t="e">
        <f>IF(GETPIVOTDATA("ITL",'ITL-PIVOT'!$A$3,"KV%",$A195,"Experiment",B$5,"date",B$6)=0,NA(),GETPIVOTDATA("ITL",'ITL-PIVOT'!$A$3,"KV%",$A195,"Experiment",B$5,"date",B$6))</f>
        <v>#N/A</v>
      </c>
      <c r="C195" t="e">
        <f>IF(GETPIVOTDATA("ITL",'ITL-PIVOT'!$A$3,"KV%",$A195,"Experiment",C$5,"date",C$6)=0,NA(),GETPIVOTDATA("ITL",'ITL-PIVOT'!$A$3,"KV%",$A195,"Experiment",C$5,"date",C$6))</f>
        <v>#N/A</v>
      </c>
      <c r="D195" t="e">
        <f>IF(GETPIVOTDATA("ITL",'ITL-PIVOT'!$A$3,"KV%",$A195,"Experiment",D$5,"date",D$6)=0,NA(),GETPIVOTDATA("ITL",'ITL-PIVOT'!$A$3,"KV%",$A195,"Experiment",D$5,"date",D$6))</f>
        <v>#N/A</v>
      </c>
      <c r="E195" t="e">
        <f>IF(GETPIVOTDATA("ITL",'ITL-PIVOT'!$A$3,"KV%",$A195,"Experiment",E$5,"date",E$6)=0,NA(),GETPIVOTDATA("ITL",'ITL-PIVOT'!$A$3,"KV%",$A195,"Experiment",E$5,"date",E$6))</f>
        <v>#N/A</v>
      </c>
      <c r="F195" t="e">
        <f>IF(GETPIVOTDATA("ITL",'ITL-PIVOT'!$A$3,"KV%",$A195,"Experiment",F$5,"date",F$6)=0,NA(),GETPIVOTDATA("ITL",'ITL-PIVOT'!$A$3,"KV%",$A195,"Experiment",F$5,"date",F$6))</f>
        <v>#N/A</v>
      </c>
      <c r="G195" t="e">
        <f>IF(GETPIVOTDATA("ITL",'ITL-PIVOT'!$A$3,"KV%",$A195,"Experiment",G$5,"date",G$6)=0,NA(),GETPIVOTDATA("ITL",'ITL-PIVOT'!$A$3,"KV%",$A195,"Experiment",G$5,"date",G$6))</f>
        <v>#N/A</v>
      </c>
      <c r="H195">
        <f>IF(GETPIVOTDATA("ITL",'ITL-PIVOT'!$A$3,"KV%",$A195,"Experiment",H$5,"date",H$6)=0,NA(),GETPIVOTDATA("ITL",'ITL-PIVOT'!$A$3,"KV%",$A195,"Experiment",H$5,"date",H$6))</f>
        <v>6.0949067151273024E-2</v>
      </c>
      <c r="I195" t="e">
        <f>IF(GETPIVOTDATA("ITL",'ITL-PIVOT'!$A$3,"KV%",$A195,"Experiment",I$5,"date",I$6)=0,NA(),GETPIVOTDATA("ITL",'ITL-PIVOT'!$A$3,"KV%",$A195,"Experiment",I$5,"date",I$6))</f>
        <v>#N/A</v>
      </c>
      <c r="J195" t="e">
        <f>IF(GETPIVOTDATA("ITL",'ITL-PIVOT'!$A$3,"KV%",$A195,"Experiment",J$5,"date",J$6)=0,NA(),GETPIVOTDATA("ITL",'ITL-PIVOT'!$A$3,"KV%",$A195,"Experiment",J$5,"date",J$6))</f>
        <v>#N/A</v>
      </c>
      <c r="K195" t="e">
        <f>IF(GETPIVOTDATA("ITL",'ITL-PIVOT'!$A$3,"KV%",$A195,"Experiment",K$5,"date",K$6)=0,NA(),GETPIVOTDATA("ITL",'ITL-PIVOT'!$A$3,"KV%",$A195,"Experiment",K$5,"date",K$6))</f>
        <v>#N/A</v>
      </c>
      <c r="L195" t="e">
        <f>IF(GETPIVOTDATA("ITL",'ITL-PIVOT'!$A$3,"KV%",$A195,"Experiment",L$5,"date",L$6)=0,NA(),GETPIVOTDATA("ITL",'ITL-PIVOT'!$A$3,"KV%",$A195,"Experiment",L$5,"date",L$6))</f>
        <v>#N/A</v>
      </c>
      <c r="M195" t="e">
        <f>IF(GETPIVOTDATA("ITL",'ITL-PIVOT'!$A$3,"KV%",$A195,"Experiment",M$5,"date",M$6)=0,NA(),GETPIVOTDATA("ITL",'ITL-PIVOT'!$A$3,"KV%",$A195,"Experiment",M$5,"date",M$6))</f>
        <v>#N/A</v>
      </c>
    </row>
    <row r="196" spans="1:13" x14ac:dyDescent="0.25">
      <c r="A196">
        <f>IF('ITL-PIVOT'!A194=0,NA(),'ITL-PIVOT'!A194)</f>
        <v>0.78210499094905606</v>
      </c>
      <c r="B196" t="e">
        <f>IF(GETPIVOTDATA("ITL",'ITL-PIVOT'!$A$3,"KV%",$A196,"Experiment",B$5,"date",B$6)=0,NA(),GETPIVOTDATA("ITL",'ITL-PIVOT'!$A$3,"KV%",$A196,"Experiment",B$5,"date",B$6))</f>
        <v>#N/A</v>
      </c>
      <c r="C196" t="e">
        <f>IF(GETPIVOTDATA("ITL",'ITL-PIVOT'!$A$3,"KV%",$A196,"Experiment",C$5,"date",C$6)=0,NA(),GETPIVOTDATA("ITL",'ITL-PIVOT'!$A$3,"KV%",$A196,"Experiment",C$5,"date",C$6))</f>
        <v>#N/A</v>
      </c>
      <c r="D196" t="e">
        <f>IF(GETPIVOTDATA("ITL",'ITL-PIVOT'!$A$3,"KV%",$A196,"Experiment",D$5,"date",D$6)=0,NA(),GETPIVOTDATA("ITL",'ITL-PIVOT'!$A$3,"KV%",$A196,"Experiment",D$5,"date",D$6))</f>
        <v>#N/A</v>
      </c>
      <c r="E196" t="e">
        <f>IF(GETPIVOTDATA("ITL",'ITL-PIVOT'!$A$3,"KV%",$A196,"Experiment",E$5,"date",E$6)=0,NA(),GETPIVOTDATA("ITL",'ITL-PIVOT'!$A$3,"KV%",$A196,"Experiment",E$5,"date",E$6))</f>
        <v>#N/A</v>
      </c>
      <c r="F196" t="e">
        <f>IF(GETPIVOTDATA("ITL",'ITL-PIVOT'!$A$3,"KV%",$A196,"Experiment",F$5,"date",F$6)=0,NA(),GETPIVOTDATA("ITL",'ITL-PIVOT'!$A$3,"KV%",$A196,"Experiment",F$5,"date",F$6))</f>
        <v>#N/A</v>
      </c>
      <c r="G196" t="e">
        <f>IF(GETPIVOTDATA("ITL",'ITL-PIVOT'!$A$3,"KV%",$A196,"Experiment",G$5,"date",G$6)=0,NA(),GETPIVOTDATA("ITL",'ITL-PIVOT'!$A$3,"KV%",$A196,"Experiment",G$5,"date",G$6))</f>
        <v>#N/A</v>
      </c>
      <c r="H196" t="e">
        <f>IF(GETPIVOTDATA("ITL",'ITL-PIVOT'!$A$3,"KV%",$A196,"Experiment",H$5,"date",H$6)=0,NA(),GETPIVOTDATA("ITL",'ITL-PIVOT'!$A$3,"KV%",$A196,"Experiment",H$5,"date",H$6))</f>
        <v>#N/A</v>
      </c>
      <c r="I196" t="e">
        <f>IF(GETPIVOTDATA("ITL",'ITL-PIVOT'!$A$3,"KV%",$A196,"Experiment",I$5,"date",I$6)=0,NA(),GETPIVOTDATA("ITL",'ITL-PIVOT'!$A$3,"KV%",$A196,"Experiment",I$5,"date",I$6))</f>
        <v>#N/A</v>
      </c>
      <c r="J196" t="e">
        <f>IF(GETPIVOTDATA("ITL",'ITL-PIVOT'!$A$3,"KV%",$A196,"Experiment",J$5,"date",J$6)=0,NA(),GETPIVOTDATA("ITL",'ITL-PIVOT'!$A$3,"KV%",$A196,"Experiment",J$5,"date",J$6))</f>
        <v>#N/A</v>
      </c>
      <c r="K196" t="e">
        <f>IF(GETPIVOTDATA("ITL",'ITL-PIVOT'!$A$3,"KV%",$A196,"Experiment",K$5,"date",K$6)=0,NA(),GETPIVOTDATA("ITL",'ITL-PIVOT'!$A$3,"KV%",$A196,"Experiment",K$5,"date",K$6))</f>
        <v>#N/A</v>
      </c>
      <c r="L196" t="e">
        <f>IF(GETPIVOTDATA("ITL",'ITL-PIVOT'!$A$3,"KV%",$A196,"Experiment",L$5,"date",L$6)=0,NA(),GETPIVOTDATA("ITL",'ITL-PIVOT'!$A$3,"KV%",$A196,"Experiment",L$5,"date",L$6))</f>
        <v>#N/A</v>
      </c>
      <c r="M196">
        <f>IF(GETPIVOTDATA("ITL",'ITL-PIVOT'!$A$3,"KV%",$A196,"Experiment",M$5,"date",M$6)=0,NA(),GETPIVOTDATA("ITL",'ITL-PIVOT'!$A$3,"KV%",$A196,"Experiment",M$5,"date",M$6))</f>
        <v>9.6583568567583281E-2</v>
      </c>
    </row>
    <row r="197" spans="1:13" x14ac:dyDescent="0.25">
      <c r="A197">
        <f>IF('ITL-PIVOT'!A195=0,NA(),'ITL-PIVOT'!A195)</f>
        <v>0.78250581846392542</v>
      </c>
      <c r="B197" t="e">
        <f>IF(GETPIVOTDATA("ITL",'ITL-PIVOT'!$A$3,"KV%",$A197,"Experiment",B$5,"date",B$6)=0,NA(),GETPIVOTDATA("ITL",'ITL-PIVOT'!$A$3,"KV%",$A197,"Experiment",B$5,"date",B$6))</f>
        <v>#N/A</v>
      </c>
      <c r="C197" t="e">
        <f>IF(GETPIVOTDATA("ITL",'ITL-PIVOT'!$A$3,"KV%",$A197,"Experiment",C$5,"date",C$6)=0,NA(),GETPIVOTDATA("ITL",'ITL-PIVOT'!$A$3,"KV%",$A197,"Experiment",C$5,"date",C$6))</f>
        <v>#N/A</v>
      </c>
      <c r="D197" t="e">
        <f>IF(GETPIVOTDATA("ITL",'ITL-PIVOT'!$A$3,"KV%",$A197,"Experiment",D$5,"date",D$6)=0,NA(),GETPIVOTDATA("ITL",'ITL-PIVOT'!$A$3,"KV%",$A197,"Experiment",D$5,"date",D$6))</f>
        <v>#N/A</v>
      </c>
      <c r="E197" t="e">
        <f>IF(GETPIVOTDATA("ITL",'ITL-PIVOT'!$A$3,"KV%",$A197,"Experiment",E$5,"date",E$6)=0,NA(),GETPIVOTDATA("ITL",'ITL-PIVOT'!$A$3,"KV%",$A197,"Experiment",E$5,"date",E$6))</f>
        <v>#N/A</v>
      </c>
      <c r="F197" t="e">
        <f>IF(GETPIVOTDATA("ITL",'ITL-PIVOT'!$A$3,"KV%",$A197,"Experiment",F$5,"date",F$6)=0,NA(),GETPIVOTDATA("ITL",'ITL-PIVOT'!$A$3,"KV%",$A197,"Experiment",F$5,"date",F$6))</f>
        <v>#N/A</v>
      </c>
      <c r="G197" t="e">
        <f>IF(GETPIVOTDATA("ITL",'ITL-PIVOT'!$A$3,"KV%",$A197,"Experiment",G$5,"date",G$6)=0,NA(),GETPIVOTDATA("ITL",'ITL-PIVOT'!$A$3,"KV%",$A197,"Experiment",G$5,"date",G$6))</f>
        <v>#N/A</v>
      </c>
      <c r="H197">
        <f>IF(GETPIVOTDATA("ITL",'ITL-PIVOT'!$A$3,"KV%",$A197,"Experiment",H$5,"date",H$6)=0,NA(),GETPIVOTDATA("ITL",'ITL-PIVOT'!$A$3,"KV%",$A197,"Experiment",H$5,"date",H$6))</f>
        <v>6.0201198214723778E-2</v>
      </c>
      <c r="I197" t="e">
        <f>IF(GETPIVOTDATA("ITL",'ITL-PIVOT'!$A$3,"KV%",$A197,"Experiment",I$5,"date",I$6)=0,NA(),GETPIVOTDATA("ITL",'ITL-PIVOT'!$A$3,"KV%",$A197,"Experiment",I$5,"date",I$6))</f>
        <v>#N/A</v>
      </c>
      <c r="J197" t="e">
        <f>IF(GETPIVOTDATA("ITL",'ITL-PIVOT'!$A$3,"KV%",$A197,"Experiment",J$5,"date",J$6)=0,NA(),GETPIVOTDATA("ITL",'ITL-PIVOT'!$A$3,"KV%",$A197,"Experiment",J$5,"date",J$6))</f>
        <v>#N/A</v>
      </c>
      <c r="K197" t="e">
        <f>IF(GETPIVOTDATA("ITL",'ITL-PIVOT'!$A$3,"KV%",$A197,"Experiment",K$5,"date",K$6)=0,NA(),GETPIVOTDATA("ITL",'ITL-PIVOT'!$A$3,"KV%",$A197,"Experiment",K$5,"date",K$6))</f>
        <v>#N/A</v>
      </c>
      <c r="L197" t="e">
        <f>IF(GETPIVOTDATA("ITL",'ITL-PIVOT'!$A$3,"KV%",$A197,"Experiment",L$5,"date",L$6)=0,NA(),GETPIVOTDATA("ITL",'ITL-PIVOT'!$A$3,"KV%",$A197,"Experiment",L$5,"date",L$6))</f>
        <v>#N/A</v>
      </c>
      <c r="M197" t="e">
        <f>IF(GETPIVOTDATA("ITL",'ITL-PIVOT'!$A$3,"KV%",$A197,"Experiment",M$5,"date",M$6)=0,NA(),GETPIVOTDATA("ITL",'ITL-PIVOT'!$A$3,"KV%",$A197,"Experiment",M$5,"date",M$6))</f>
        <v>#N/A</v>
      </c>
    </row>
    <row r="198" spans="1:13" x14ac:dyDescent="0.25">
      <c r="A198">
        <f>IF('ITL-PIVOT'!A196=0,NA(),'ITL-PIVOT'!A196)</f>
        <v>0.78798716411594616</v>
      </c>
      <c r="B198" t="e">
        <f>IF(GETPIVOTDATA("ITL",'ITL-PIVOT'!$A$3,"KV%",$A198,"Experiment",B$5,"date",B$6)=0,NA(),GETPIVOTDATA("ITL",'ITL-PIVOT'!$A$3,"KV%",$A198,"Experiment",B$5,"date",B$6))</f>
        <v>#N/A</v>
      </c>
      <c r="C198" t="e">
        <f>IF(GETPIVOTDATA("ITL",'ITL-PIVOT'!$A$3,"KV%",$A198,"Experiment",C$5,"date",C$6)=0,NA(),GETPIVOTDATA("ITL",'ITL-PIVOT'!$A$3,"KV%",$A198,"Experiment",C$5,"date",C$6))</f>
        <v>#N/A</v>
      </c>
      <c r="D198" t="e">
        <f>IF(GETPIVOTDATA("ITL",'ITL-PIVOT'!$A$3,"KV%",$A198,"Experiment",D$5,"date",D$6)=0,NA(),GETPIVOTDATA("ITL",'ITL-PIVOT'!$A$3,"KV%",$A198,"Experiment",D$5,"date",D$6))</f>
        <v>#N/A</v>
      </c>
      <c r="E198" t="e">
        <f>IF(GETPIVOTDATA("ITL",'ITL-PIVOT'!$A$3,"KV%",$A198,"Experiment",E$5,"date",E$6)=0,NA(),GETPIVOTDATA("ITL",'ITL-PIVOT'!$A$3,"KV%",$A198,"Experiment",E$5,"date",E$6))</f>
        <v>#N/A</v>
      </c>
      <c r="F198" t="e">
        <f>IF(GETPIVOTDATA("ITL",'ITL-PIVOT'!$A$3,"KV%",$A198,"Experiment",F$5,"date",F$6)=0,NA(),GETPIVOTDATA("ITL",'ITL-PIVOT'!$A$3,"KV%",$A198,"Experiment",F$5,"date",F$6))</f>
        <v>#N/A</v>
      </c>
      <c r="G198" t="e">
        <f>IF(GETPIVOTDATA("ITL",'ITL-PIVOT'!$A$3,"KV%",$A198,"Experiment",G$5,"date",G$6)=0,NA(),GETPIVOTDATA("ITL",'ITL-PIVOT'!$A$3,"KV%",$A198,"Experiment",G$5,"date",G$6))</f>
        <v>#N/A</v>
      </c>
      <c r="H198">
        <f>IF(GETPIVOTDATA("ITL",'ITL-PIVOT'!$A$3,"KV%",$A198,"Experiment",H$5,"date",H$6)=0,NA(),GETPIVOTDATA("ITL",'ITL-PIVOT'!$A$3,"KV%",$A198,"Experiment",H$5,"date",H$6))</f>
        <v>6.2837029255082055E-2</v>
      </c>
      <c r="I198" t="e">
        <f>IF(GETPIVOTDATA("ITL",'ITL-PIVOT'!$A$3,"KV%",$A198,"Experiment",I$5,"date",I$6)=0,NA(),GETPIVOTDATA("ITL",'ITL-PIVOT'!$A$3,"KV%",$A198,"Experiment",I$5,"date",I$6))</f>
        <v>#N/A</v>
      </c>
      <c r="J198" t="e">
        <f>IF(GETPIVOTDATA("ITL",'ITL-PIVOT'!$A$3,"KV%",$A198,"Experiment",J$5,"date",J$6)=0,NA(),GETPIVOTDATA("ITL",'ITL-PIVOT'!$A$3,"KV%",$A198,"Experiment",J$5,"date",J$6))</f>
        <v>#N/A</v>
      </c>
      <c r="K198" t="e">
        <f>IF(GETPIVOTDATA("ITL",'ITL-PIVOT'!$A$3,"KV%",$A198,"Experiment",K$5,"date",K$6)=0,NA(),GETPIVOTDATA("ITL",'ITL-PIVOT'!$A$3,"KV%",$A198,"Experiment",K$5,"date",K$6))</f>
        <v>#N/A</v>
      </c>
      <c r="L198" t="e">
        <f>IF(GETPIVOTDATA("ITL",'ITL-PIVOT'!$A$3,"KV%",$A198,"Experiment",L$5,"date",L$6)=0,NA(),GETPIVOTDATA("ITL",'ITL-PIVOT'!$A$3,"KV%",$A198,"Experiment",L$5,"date",L$6))</f>
        <v>#N/A</v>
      </c>
      <c r="M198" t="e">
        <f>IF(GETPIVOTDATA("ITL",'ITL-PIVOT'!$A$3,"KV%",$A198,"Experiment",M$5,"date",M$6)=0,NA(),GETPIVOTDATA("ITL",'ITL-PIVOT'!$A$3,"KV%",$A198,"Experiment",M$5,"date",M$6))</f>
        <v>#N/A</v>
      </c>
    </row>
    <row r="199" spans="1:13" x14ac:dyDescent="0.25">
      <c r="A199">
        <f>IF('ITL-PIVOT'!A197=0,NA(),'ITL-PIVOT'!A197)</f>
        <v>0.79698991466252911</v>
      </c>
      <c r="B199" t="e">
        <f>IF(GETPIVOTDATA("ITL",'ITL-PIVOT'!$A$3,"KV%",$A199,"Experiment",B$5,"date",B$6)=0,NA(),GETPIVOTDATA("ITL",'ITL-PIVOT'!$A$3,"KV%",$A199,"Experiment",B$5,"date",B$6))</f>
        <v>#N/A</v>
      </c>
      <c r="C199" t="e">
        <f>IF(GETPIVOTDATA("ITL",'ITL-PIVOT'!$A$3,"KV%",$A199,"Experiment",C$5,"date",C$6)=0,NA(),GETPIVOTDATA("ITL",'ITL-PIVOT'!$A$3,"KV%",$A199,"Experiment",C$5,"date",C$6))</f>
        <v>#N/A</v>
      </c>
      <c r="D199" t="e">
        <f>IF(GETPIVOTDATA("ITL",'ITL-PIVOT'!$A$3,"KV%",$A199,"Experiment",D$5,"date",D$6)=0,NA(),GETPIVOTDATA("ITL",'ITL-PIVOT'!$A$3,"KV%",$A199,"Experiment",D$5,"date",D$6))</f>
        <v>#N/A</v>
      </c>
      <c r="E199" t="e">
        <f>IF(GETPIVOTDATA("ITL",'ITL-PIVOT'!$A$3,"KV%",$A199,"Experiment",E$5,"date",E$6)=0,NA(),GETPIVOTDATA("ITL",'ITL-PIVOT'!$A$3,"KV%",$A199,"Experiment",E$5,"date",E$6))</f>
        <v>#N/A</v>
      </c>
      <c r="F199" t="e">
        <f>IF(GETPIVOTDATA("ITL",'ITL-PIVOT'!$A$3,"KV%",$A199,"Experiment",F$5,"date",F$6)=0,NA(),GETPIVOTDATA("ITL",'ITL-PIVOT'!$A$3,"KV%",$A199,"Experiment",F$5,"date",F$6))</f>
        <v>#N/A</v>
      </c>
      <c r="G199" t="e">
        <f>IF(GETPIVOTDATA("ITL",'ITL-PIVOT'!$A$3,"KV%",$A199,"Experiment",G$5,"date",G$6)=0,NA(),GETPIVOTDATA("ITL",'ITL-PIVOT'!$A$3,"KV%",$A199,"Experiment",G$5,"date",G$6))</f>
        <v>#N/A</v>
      </c>
      <c r="H199" t="e">
        <f>IF(GETPIVOTDATA("ITL",'ITL-PIVOT'!$A$3,"KV%",$A199,"Experiment",H$5,"date",H$6)=0,NA(),GETPIVOTDATA("ITL",'ITL-PIVOT'!$A$3,"KV%",$A199,"Experiment",H$5,"date",H$6))</f>
        <v>#N/A</v>
      </c>
      <c r="I199" t="e">
        <f>IF(GETPIVOTDATA("ITL",'ITL-PIVOT'!$A$3,"KV%",$A199,"Experiment",I$5,"date",I$6)=0,NA(),GETPIVOTDATA("ITL",'ITL-PIVOT'!$A$3,"KV%",$A199,"Experiment",I$5,"date",I$6))</f>
        <v>#N/A</v>
      </c>
      <c r="J199" t="e">
        <f>IF(GETPIVOTDATA("ITL",'ITL-PIVOT'!$A$3,"KV%",$A199,"Experiment",J$5,"date",J$6)=0,NA(),GETPIVOTDATA("ITL",'ITL-PIVOT'!$A$3,"KV%",$A199,"Experiment",J$5,"date",J$6))</f>
        <v>#N/A</v>
      </c>
      <c r="K199" t="e">
        <f>IF(GETPIVOTDATA("ITL",'ITL-PIVOT'!$A$3,"KV%",$A199,"Experiment",K$5,"date",K$6)=0,NA(),GETPIVOTDATA("ITL",'ITL-PIVOT'!$A$3,"KV%",$A199,"Experiment",K$5,"date",K$6))</f>
        <v>#N/A</v>
      </c>
      <c r="L199" t="e">
        <f>IF(GETPIVOTDATA("ITL",'ITL-PIVOT'!$A$3,"KV%",$A199,"Experiment",L$5,"date",L$6)=0,NA(),GETPIVOTDATA("ITL",'ITL-PIVOT'!$A$3,"KV%",$A199,"Experiment",L$5,"date",L$6))</f>
        <v>#N/A</v>
      </c>
      <c r="M199">
        <f>IF(GETPIVOTDATA("ITL",'ITL-PIVOT'!$A$3,"KV%",$A199,"Experiment",M$5,"date",M$6)=0,NA(),GETPIVOTDATA("ITL",'ITL-PIVOT'!$A$3,"KV%",$A199,"Experiment",M$5,"date",M$6))</f>
        <v>0.10782964884424413</v>
      </c>
    </row>
    <row r="200" spans="1:13" x14ac:dyDescent="0.25">
      <c r="A200">
        <f>IF('ITL-PIVOT'!A198=0,NA(),'ITL-PIVOT'!A198)</f>
        <v>0.8100524249476927</v>
      </c>
      <c r="B200" t="e">
        <f>IF(GETPIVOTDATA("ITL",'ITL-PIVOT'!$A$3,"KV%",$A200,"Experiment",B$5,"date",B$6)=0,NA(),GETPIVOTDATA("ITL",'ITL-PIVOT'!$A$3,"KV%",$A200,"Experiment",B$5,"date",B$6))</f>
        <v>#N/A</v>
      </c>
      <c r="C200" t="e">
        <f>IF(GETPIVOTDATA("ITL",'ITL-PIVOT'!$A$3,"KV%",$A200,"Experiment",C$5,"date",C$6)=0,NA(),GETPIVOTDATA("ITL",'ITL-PIVOT'!$A$3,"KV%",$A200,"Experiment",C$5,"date",C$6))</f>
        <v>#N/A</v>
      </c>
      <c r="D200" t="e">
        <f>IF(GETPIVOTDATA("ITL",'ITL-PIVOT'!$A$3,"KV%",$A200,"Experiment",D$5,"date",D$6)=0,NA(),GETPIVOTDATA("ITL",'ITL-PIVOT'!$A$3,"KV%",$A200,"Experiment",D$5,"date",D$6))</f>
        <v>#N/A</v>
      </c>
      <c r="E200" t="e">
        <f>IF(GETPIVOTDATA("ITL",'ITL-PIVOT'!$A$3,"KV%",$A200,"Experiment",E$5,"date",E$6)=0,NA(),GETPIVOTDATA("ITL",'ITL-PIVOT'!$A$3,"KV%",$A200,"Experiment",E$5,"date",E$6))</f>
        <v>#N/A</v>
      </c>
      <c r="F200" t="e">
        <f>IF(GETPIVOTDATA("ITL",'ITL-PIVOT'!$A$3,"KV%",$A200,"Experiment",F$5,"date",F$6)=0,NA(),GETPIVOTDATA("ITL",'ITL-PIVOT'!$A$3,"KV%",$A200,"Experiment",F$5,"date",F$6))</f>
        <v>#N/A</v>
      </c>
      <c r="G200" t="e">
        <f>IF(GETPIVOTDATA("ITL",'ITL-PIVOT'!$A$3,"KV%",$A200,"Experiment",G$5,"date",G$6)=0,NA(),GETPIVOTDATA("ITL",'ITL-PIVOT'!$A$3,"KV%",$A200,"Experiment",G$5,"date",G$6))</f>
        <v>#N/A</v>
      </c>
      <c r="H200" t="e">
        <f>IF(GETPIVOTDATA("ITL",'ITL-PIVOT'!$A$3,"KV%",$A200,"Experiment",H$5,"date",H$6)=0,NA(),GETPIVOTDATA("ITL",'ITL-PIVOT'!$A$3,"KV%",$A200,"Experiment",H$5,"date",H$6))</f>
        <v>#N/A</v>
      </c>
      <c r="I200" t="e">
        <f>IF(GETPIVOTDATA("ITL",'ITL-PIVOT'!$A$3,"KV%",$A200,"Experiment",I$5,"date",I$6)=0,NA(),GETPIVOTDATA("ITL",'ITL-PIVOT'!$A$3,"KV%",$A200,"Experiment",I$5,"date",I$6))</f>
        <v>#N/A</v>
      </c>
      <c r="J200" t="e">
        <f>IF(GETPIVOTDATA("ITL",'ITL-PIVOT'!$A$3,"KV%",$A200,"Experiment",J$5,"date",J$6)=0,NA(),GETPIVOTDATA("ITL",'ITL-PIVOT'!$A$3,"KV%",$A200,"Experiment",J$5,"date",J$6))</f>
        <v>#N/A</v>
      </c>
      <c r="K200">
        <f>IF(GETPIVOTDATA("ITL",'ITL-PIVOT'!$A$3,"KV%",$A200,"Experiment",K$5,"date",K$6)=0,NA(),GETPIVOTDATA("ITL",'ITL-PIVOT'!$A$3,"KV%",$A200,"Experiment",K$5,"date",K$6))</f>
        <v>3.8827688708399657E-2</v>
      </c>
      <c r="L200" t="e">
        <f>IF(GETPIVOTDATA("ITL",'ITL-PIVOT'!$A$3,"KV%",$A200,"Experiment",L$5,"date",L$6)=0,NA(),GETPIVOTDATA("ITL",'ITL-PIVOT'!$A$3,"KV%",$A200,"Experiment",L$5,"date",L$6))</f>
        <v>#N/A</v>
      </c>
      <c r="M200" t="e">
        <f>IF(GETPIVOTDATA("ITL",'ITL-PIVOT'!$A$3,"KV%",$A200,"Experiment",M$5,"date",M$6)=0,NA(),GETPIVOTDATA("ITL",'ITL-PIVOT'!$A$3,"KV%",$A200,"Experiment",M$5,"date",M$6))</f>
        <v>#N/A</v>
      </c>
    </row>
    <row r="201" spans="1:13" x14ac:dyDescent="0.25">
      <c r="A201">
        <f>IF('ITL-PIVOT'!A199=0,NA(),'ITL-PIVOT'!A199)</f>
        <v>0.81162910184693704</v>
      </c>
      <c r="B201" t="e">
        <f>IF(GETPIVOTDATA("ITL",'ITL-PIVOT'!$A$3,"KV%",$A201,"Experiment",B$5,"date",B$6)=0,NA(),GETPIVOTDATA("ITL",'ITL-PIVOT'!$A$3,"KV%",$A201,"Experiment",B$5,"date",B$6))</f>
        <v>#N/A</v>
      </c>
      <c r="C201">
        <f>IF(GETPIVOTDATA("ITL",'ITL-PIVOT'!$A$3,"KV%",$A201,"Experiment",C$5,"date",C$6)=0,NA(),GETPIVOTDATA("ITL",'ITL-PIVOT'!$A$3,"KV%",$A201,"Experiment",C$5,"date",C$6))</f>
        <v>4.9659702641519837E-2</v>
      </c>
      <c r="D201" t="e">
        <f>IF(GETPIVOTDATA("ITL",'ITL-PIVOT'!$A$3,"KV%",$A201,"Experiment",D$5,"date",D$6)=0,NA(),GETPIVOTDATA("ITL",'ITL-PIVOT'!$A$3,"KV%",$A201,"Experiment",D$5,"date",D$6))</f>
        <v>#N/A</v>
      </c>
      <c r="E201" t="e">
        <f>IF(GETPIVOTDATA("ITL",'ITL-PIVOT'!$A$3,"KV%",$A201,"Experiment",E$5,"date",E$6)=0,NA(),GETPIVOTDATA("ITL",'ITL-PIVOT'!$A$3,"KV%",$A201,"Experiment",E$5,"date",E$6))</f>
        <v>#N/A</v>
      </c>
      <c r="F201" t="e">
        <f>IF(GETPIVOTDATA("ITL",'ITL-PIVOT'!$A$3,"KV%",$A201,"Experiment",F$5,"date",F$6)=0,NA(),GETPIVOTDATA("ITL",'ITL-PIVOT'!$A$3,"KV%",$A201,"Experiment",F$5,"date",F$6))</f>
        <v>#N/A</v>
      </c>
      <c r="G201" t="e">
        <f>IF(GETPIVOTDATA("ITL",'ITL-PIVOT'!$A$3,"KV%",$A201,"Experiment",G$5,"date",G$6)=0,NA(),GETPIVOTDATA("ITL",'ITL-PIVOT'!$A$3,"KV%",$A201,"Experiment",G$5,"date",G$6))</f>
        <v>#N/A</v>
      </c>
      <c r="H201" t="e">
        <f>IF(GETPIVOTDATA("ITL",'ITL-PIVOT'!$A$3,"KV%",$A201,"Experiment",H$5,"date",H$6)=0,NA(),GETPIVOTDATA("ITL",'ITL-PIVOT'!$A$3,"KV%",$A201,"Experiment",H$5,"date",H$6))</f>
        <v>#N/A</v>
      </c>
      <c r="I201" t="e">
        <f>IF(GETPIVOTDATA("ITL",'ITL-PIVOT'!$A$3,"KV%",$A201,"Experiment",I$5,"date",I$6)=0,NA(),GETPIVOTDATA("ITL",'ITL-PIVOT'!$A$3,"KV%",$A201,"Experiment",I$5,"date",I$6))</f>
        <v>#N/A</v>
      </c>
      <c r="J201" t="e">
        <f>IF(GETPIVOTDATA("ITL",'ITL-PIVOT'!$A$3,"KV%",$A201,"Experiment",J$5,"date",J$6)=0,NA(),GETPIVOTDATA("ITL",'ITL-PIVOT'!$A$3,"KV%",$A201,"Experiment",J$5,"date",J$6))</f>
        <v>#N/A</v>
      </c>
      <c r="K201" t="e">
        <f>IF(GETPIVOTDATA("ITL",'ITL-PIVOT'!$A$3,"KV%",$A201,"Experiment",K$5,"date",K$6)=0,NA(),GETPIVOTDATA("ITL",'ITL-PIVOT'!$A$3,"KV%",$A201,"Experiment",K$5,"date",K$6))</f>
        <v>#N/A</v>
      </c>
      <c r="L201" t="e">
        <f>IF(GETPIVOTDATA("ITL",'ITL-PIVOT'!$A$3,"KV%",$A201,"Experiment",L$5,"date",L$6)=0,NA(),GETPIVOTDATA("ITL",'ITL-PIVOT'!$A$3,"KV%",$A201,"Experiment",L$5,"date",L$6))</f>
        <v>#N/A</v>
      </c>
      <c r="M201" t="e">
        <f>IF(GETPIVOTDATA("ITL",'ITL-PIVOT'!$A$3,"KV%",$A201,"Experiment",M$5,"date",M$6)=0,NA(),GETPIVOTDATA("ITL",'ITL-PIVOT'!$A$3,"KV%",$A201,"Experiment",M$5,"date",M$6))</f>
        <v>#N/A</v>
      </c>
    </row>
    <row r="202" spans="1:13" x14ac:dyDescent="0.25">
      <c r="A202">
        <f>IF('ITL-PIVOT'!A200=0,NA(),'ITL-PIVOT'!A200)</f>
        <v>0.81599065052708442</v>
      </c>
      <c r="B202" t="e">
        <f>IF(GETPIVOTDATA("ITL",'ITL-PIVOT'!$A$3,"KV%",$A202,"Experiment",B$5,"date",B$6)=0,NA(),GETPIVOTDATA("ITL",'ITL-PIVOT'!$A$3,"KV%",$A202,"Experiment",B$5,"date",B$6))</f>
        <v>#N/A</v>
      </c>
      <c r="C202" t="e">
        <f>IF(GETPIVOTDATA("ITL",'ITL-PIVOT'!$A$3,"KV%",$A202,"Experiment",C$5,"date",C$6)=0,NA(),GETPIVOTDATA("ITL",'ITL-PIVOT'!$A$3,"KV%",$A202,"Experiment",C$5,"date",C$6))</f>
        <v>#N/A</v>
      </c>
      <c r="D202" t="e">
        <f>IF(GETPIVOTDATA("ITL",'ITL-PIVOT'!$A$3,"KV%",$A202,"Experiment",D$5,"date",D$6)=0,NA(),GETPIVOTDATA("ITL",'ITL-PIVOT'!$A$3,"KV%",$A202,"Experiment",D$5,"date",D$6))</f>
        <v>#N/A</v>
      </c>
      <c r="E202" t="e">
        <f>IF(GETPIVOTDATA("ITL",'ITL-PIVOT'!$A$3,"KV%",$A202,"Experiment",E$5,"date",E$6)=0,NA(),GETPIVOTDATA("ITL",'ITL-PIVOT'!$A$3,"KV%",$A202,"Experiment",E$5,"date",E$6))</f>
        <v>#N/A</v>
      </c>
      <c r="F202" t="e">
        <f>IF(GETPIVOTDATA("ITL",'ITL-PIVOT'!$A$3,"KV%",$A202,"Experiment",F$5,"date",F$6)=0,NA(),GETPIVOTDATA("ITL",'ITL-PIVOT'!$A$3,"KV%",$A202,"Experiment",F$5,"date",F$6))</f>
        <v>#N/A</v>
      </c>
      <c r="G202" t="e">
        <f>IF(GETPIVOTDATA("ITL",'ITL-PIVOT'!$A$3,"KV%",$A202,"Experiment",G$5,"date",G$6)=0,NA(),GETPIVOTDATA("ITL",'ITL-PIVOT'!$A$3,"KV%",$A202,"Experiment",G$5,"date",G$6))</f>
        <v>#N/A</v>
      </c>
      <c r="H202" t="e">
        <f>IF(GETPIVOTDATA("ITL",'ITL-PIVOT'!$A$3,"KV%",$A202,"Experiment",H$5,"date",H$6)=0,NA(),GETPIVOTDATA("ITL",'ITL-PIVOT'!$A$3,"KV%",$A202,"Experiment",H$5,"date",H$6))</f>
        <v>#N/A</v>
      </c>
      <c r="I202" t="e">
        <f>IF(GETPIVOTDATA("ITL",'ITL-PIVOT'!$A$3,"KV%",$A202,"Experiment",I$5,"date",I$6)=0,NA(),GETPIVOTDATA("ITL",'ITL-PIVOT'!$A$3,"KV%",$A202,"Experiment",I$5,"date",I$6))</f>
        <v>#N/A</v>
      </c>
      <c r="J202" t="e">
        <f>IF(GETPIVOTDATA("ITL",'ITL-PIVOT'!$A$3,"KV%",$A202,"Experiment",J$5,"date",J$6)=0,NA(),GETPIVOTDATA("ITL",'ITL-PIVOT'!$A$3,"KV%",$A202,"Experiment",J$5,"date",J$6))</f>
        <v>#N/A</v>
      </c>
      <c r="K202" t="e">
        <f>IF(GETPIVOTDATA("ITL",'ITL-PIVOT'!$A$3,"KV%",$A202,"Experiment",K$5,"date",K$6)=0,NA(),GETPIVOTDATA("ITL",'ITL-PIVOT'!$A$3,"KV%",$A202,"Experiment",K$5,"date",K$6))</f>
        <v>#N/A</v>
      </c>
      <c r="L202">
        <f>IF(GETPIVOTDATA("ITL",'ITL-PIVOT'!$A$3,"KV%",$A202,"Experiment",L$5,"date",L$6)=0,NA(),GETPIVOTDATA("ITL",'ITL-PIVOT'!$A$3,"KV%",$A202,"Experiment",L$5,"date",L$6))</f>
        <v>3.985327849326771E-2</v>
      </c>
      <c r="M202" t="e">
        <f>IF(GETPIVOTDATA("ITL",'ITL-PIVOT'!$A$3,"KV%",$A202,"Experiment",M$5,"date",M$6)=0,NA(),GETPIVOTDATA("ITL",'ITL-PIVOT'!$A$3,"KV%",$A202,"Experiment",M$5,"date",M$6))</f>
        <v>#N/A</v>
      </c>
    </row>
    <row r="203" spans="1:13" x14ac:dyDescent="0.25">
      <c r="A203">
        <f>IF('ITL-PIVOT'!A201=0,NA(),'ITL-PIVOT'!A201)</f>
        <v>0.82089463290782139</v>
      </c>
      <c r="B203" t="e">
        <f>IF(GETPIVOTDATA("ITL",'ITL-PIVOT'!$A$3,"KV%",$A203,"Experiment",B$5,"date",B$6)=0,NA(),GETPIVOTDATA("ITL",'ITL-PIVOT'!$A$3,"KV%",$A203,"Experiment",B$5,"date",B$6))</f>
        <v>#N/A</v>
      </c>
      <c r="C203" t="e">
        <f>IF(GETPIVOTDATA("ITL",'ITL-PIVOT'!$A$3,"KV%",$A203,"Experiment",C$5,"date",C$6)=0,NA(),GETPIVOTDATA("ITL",'ITL-PIVOT'!$A$3,"KV%",$A203,"Experiment",C$5,"date",C$6))</f>
        <v>#N/A</v>
      </c>
      <c r="D203" t="e">
        <f>IF(GETPIVOTDATA("ITL",'ITL-PIVOT'!$A$3,"KV%",$A203,"Experiment",D$5,"date",D$6)=0,NA(),GETPIVOTDATA("ITL",'ITL-PIVOT'!$A$3,"KV%",$A203,"Experiment",D$5,"date",D$6))</f>
        <v>#N/A</v>
      </c>
      <c r="E203" t="e">
        <f>IF(GETPIVOTDATA("ITL",'ITL-PIVOT'!$A$3,"KV%",$A203,"Experiment",E$5,"date",E$6)=0,NA(),GETPIVOTDATA("ITL",'ITL-PIVOT'!$A$3,"KV%",$A203,"Experiment",E$5,"date",E$6))</f>
        <v>#N/A</v>
      </c>
      <c r="F203" t="e">
        <f>IF(GETPIVOTDATA("ITL",'ITL-PIVOT'!$A$3,"KV%",$A203,"Experiment",F$5,"date",F$6)=0,NA(),GETPIVOTDATA("ITL",'ITL-PIVOT'!$A$3,"KV%",$A203,"Experiment",F$5,"date",F$6))</f>
        <v>#N/A</v>
      </c>
      <c r="G203" t="e">
        <f>IF(GETPIVOTDATA("ITL",'ITL-PIVOT'!$A$3,"KV%",$A203,"Experiment",G$5,"date",G$6)=0,NA(),GETPIVOTDATA("ITL",'ITL-PIVOT'!$A$3,"KV%",$A203,"Experiment",G$5,"date",G$6))</f>
        <v>#N/A</v>
      </c>
      <c r="H203">
        <f>IF(GETPIVOTDATA("ITL",'ITL-PIVOT'!$A$3,"KV%",$A203,"Experiment",H$5,"date",H$6)=0,NA(),GETPIVOTDATA("ITL",'ITL-PIVOT'!$A$3,"KV%",$A203,"Experiment",H$5,"date",H$6))</f>
        <v>6.4225564259963633E-2</v>
      </c>
      <c r="I203" t="e">
        <f>IF(GETPIVOTDATA("ITL",'ITL-PIVOT'!$A$3,"KV%",$A203,"Experiment",I$5,"date",I$6)=0,NA(),GETPIVOTDATA("ITL",'ITL-PIVOT'!$A$3,"KV%",$A203,"Experiment",I$5,"date",I$6))</f>
        <v>#N/A</v>
      </c>
      <c r="J203" t="e">
        <f>IF(GETPIVOTDATA("ITL",'ITL-PIVOT'!$A$3,"KV%",$A203,"Experiment",J$5,"date",J$6)=0,NA(),GETPIVOTDATA("ITL",'ITL-PIVOT'!$A$3,"KV%",$A203,"Experiment",J$5,"date",J$6))</f>
        <v>#N/A</v>
      </c>
      <c r="K203" t="e">
        <f>IF(GETPIVOTDATA("ITL",'ITL-PIVOT'!$A$3,"KV%",$A203,"Experiment",K$5,"date",K$6)=0,NA(),GETPIVOTDATA("ITL",'ITL-PIVOT'!$A$3,"KV%",$A203,"Experiment",K$5,"date",K$6))</f>
        <v>#N/A</v>
      </c>
      <c r="L203" t="e">
        <f>IF(GETPIVOTDATA("ITL",'ITL-PIVOT'!$A$3,"KV%",$A203,"Experiment",L$5,"date",L$6)=0,NA(),GETPIVOTDATA("ITL",'ITL-PIVOT'!$A$3,"KV%",$A203,"Experiment",L$5,"date",L$6))</f>
        <v>#N/A</v>
      </c>
      <c r="M203" t="e">
        <f>IF(GETPIVOTDATA("ITL",'ITL-PIVOT'!$A$3,"KV%",$A203,"Experiment",M$5,"date",M$6)=0,NA(),GETPIVOTDATA("ITL",'ITL-PIVOT'!$A$3,"KV%",$A203,"Experiment",M$5,"date",M$6))</f>
        <v>#N/A</v>
      </c>
    </row>
    <row r="204" spans="1:13" x14ac:dyDescent="0.25">
      <c r="A204">
        <f>IF('ITL-PIVOT'!A202=0,NA(),'ITL-PIVOT'!A202)</f>
        <v>0.82582622187742438</v>
      </c>
      <c r="B204" t="e">
        <f>IF(GETPIVOTDATA("ITL",'ITL-PIVOT'!$A$3,"KV%",$A204,"Experiment",B$5,"date",B$6)=0,NA(),GETPIVOTDATA("ITL",'ITL-PIVOT'!$A$3,"KV%",$A204,"Experiment",B$5,"date",B$6))</f>
        <v>#N/A</v>
      </c>
      <c r="C204" t="e">
        <f>IF(GETPIVOTDATA("ITL",'ITL-PIVOT'!$A$3,"KV%",$A204,"Experiment",C$5,"date",C$6)=0,NA(),GETPIVOTDATA("ITL",'ITL-PIVOT'!$A$3,"KV%",$A204,"Experiment",C$5,"date",C$6))</f>
        <v>#N/A</v>
      </c>
      <c r="D204" t="e">
        <f>IF(GETPIVOTDATA("ITL",'ITL-PIVOT'!$A$3,"KV%",$A204,"Experiment",D$5,"date",D$6)=0,NA(),GETPIVOTDATA("ITL",'ITL-PIVOT'!$A$3,"KV%",$A204,"Experiment",D$5,"date",D$6))</f>
        <v>#N/A</v>
      </c>
      <c r="E204" t="e">
        <f>IF(GETPIVOTDATA("ITL",'ITL-PIVOT'!$A$3,"KV%",$A204,"Experiment",E$5,"date",E$6)=0,NA(),GETPIVOTDATA("ITL",'ITL-PIVOT'!$A$3,"KV%",$A204,"Experiment",E$5,"date",E$6))</f>
        <v>#N/A</v>
      </c>
      <c r="F204" t="e">
        <f>IF(GETPIVOTDATA("ITL",'ITL-PIVOT'!$A$3,"KV%",$A204,"Experiment",F$5,"date",F$6)=0,NA(),GETPIVOTDATA("ITL",'ITL-PIVOT'!$A$3,"KV%",$A204,"Experiment",F$5,"date",F$6))</f>
        <v>#N/A</v>
      </c>
      <c r="G204" t="e">
        <f>IF(GETPIVOTDATA("ITL",'ITL-PIVOT'!$A$3,"KV%",$A204,"Experiment",G$5,"date",G$6)=0,NA(),GETPIVOTDATA("ITL",'ITL-PIVOT'!$A$3,"KV%",$A204,"Experiment",G$5,"date",G$6))</f>
        <v>#N/A</v>
      </c>
      <c r="H204">
        <f>IF(GETPIVOTDATA("ITL",'ITL-PIVOT'!$A$3,"KV%",$A204,"Experiment",H$5,"date",H$6)=0,NA(),GETPIVOTDATA("ITL",'ITL-PIVOT'!$A$3,"KV%",$A204,"Experiment",H$5,"date",H$6))</f>
        <v>6.6213860636296473E-2</v>
      </c>
      <c r="I204" t="e">
        <f>IF(GETPIVOTDATA("ITL",'ITL-PIVOT'!$A$3,"KV%",$A204,"Experiment",I$5,"date",I$6)=0,NA(),GETPIVOTDATA("ITL",'ITL-PIVOT'!$A$3,"KV%",$A204,"Experiment",I$5,"date",I$6))</f>
        <v>#N/A</v>
      </c>
      <c r="J204" t="e">
        <f>IF(GETPIVOTDATA("ITL",'ITL-PIVOT'!$A$3,"KV%",$A204,"Experiment",J$5,"date",J$6)=0,NA(),GETPIVOTDATA("ITL",'ITL-PIVOT'!$A$3,"KV%",$A204,"Experiment",J$5,"date",J$6))</f>
        <v>#N/A</v>
      </c>
      <c r="K204" t="e">
        <f>IF(GETPIVOTDATA("ITL",'ITL-PIVOT'!$A$3,"KV%",$A204,"Experiment",K$5,"date",K$6)=0,NA(),GETPIVOTDATA("ITL",'ITL-PIVOT'!$A$3,"KV%",$A204,"Experiment",K$5,"date",K$6))</f>
        <v>#N/A</v>
      </c>
      <c r="L204" t="e">
        <f>IF(GETPIVOTDATA("ITL",'ITL-PIVOT'!$A$3,"KV%",$A204,"Experiment",L$5,"date",L$6)=0,NA(),GETPIVOTDATA("ITL",'ITL-PIVOT'!$A$3,"KV%",$A204,"Experiment",L$5,"date",L$6))</f>
        <v>#N/A</v>
      </c>
      <c r="M204" t="e">
        <f>IF(GETPIVOTDATA("ITL",'ITL-PIVOT'!$A$3,"KV%",$A204,"Experiment",M$5,"date",M$6)=0,NA(),GETPIVOTDATA("ITL",'ITL-PIVOT'!$A$3,"KV%",$A204,"Experiment",M$5,"date",M$6))</f>
        <v>#N/A</v>
      </c>
    </row>
    <row r="205" spans="1:13" x14ac:dyDescent="0.25">
      <c r="A205">
        <f>IF('ITL-PIVOT'!A203=0,NA(),'ITL-PIVOT'!A203)</f>
        <v>0.84196233083354888</v>
      </c>
      <c r="B205" t="e">
        <f>IF(GETPIVOTDATA("ITL",'ITL-PIVOT'!$A$3,"KV%",$A205,"Experiment",B$5,"date",B$6)=0,NA(),GETPIVOTDATA("ITL",'ITL-PIVOT'!$A$3,"KV%",$A205,"Experiment",B$5,"date",B$6))</f>
        <v>#N/A</v>
      </c>
      <c r="C205" t="e">
        <f>IF(GETPIVOTDATA("ITL",'ITL-PIVOT'!$A$3,"KV%",$A205,"Experiment",C$5,"date",C$6)=0,NA(),GETPIVOTDATA("ITL",'ITL-PIVOT'!$A$3,"KV%",$A205,"Experiment",C$5,"date",C$6))</f>
        <v>#N/A</v>
      </c>
      <c r="D205" t="e">
        <f>IF(GETPIVOTDATA("ITL",'ITL-PIVOT'!$A$3,"KV%",$A205,"Experiment",D$5,"date",D$6)=0,NA(),GETPIVOTDATA("ITL",'ITL-PIVOT'!$A$3,"KV%",$A205,"Experiment",D$5,"date",D$6))</f>
        <v>#N/A</v>
      </c>
      <c r="E205" t="e">
        <f>IF(GETPIVOTDATA("ITL",'ITL-PIVOT'!$A$3,"KV%",$A205,"Experiment",E$5,"date",E$6)=0,NA(),GETPIVOTDATA("ITL",'ITL-PIVOT'!$A$3,"KV%",$A205,"Experiment",E$5,"date",E$6))</f>
        <v>#N/A</v>
      </c>
      <c r="F205" t="e">
        <f>IF(GETPIVOTDATA("ITL",'ITL-PIVOT'!$A$3,"KV%",$A205,"Experiment",F$5,"date",F$6)=0,NA(),GETPIVOTDATA("ITL",'ITL-PIVOT'!$A$3,"KV%",$A205,"Experiment",F$5,"date",F$6))</f>
        <v>#N/A</v>
      </c>
      <c r="G205" t="e">
        <f>IF(GETPIVOTDATA("ITL",'ITL-PIVOT'!$A$3,"KV%",$A205,"Experiment",G$5,"date",G$6)=0,NA(),GETPIVOTDATA("ITL",'ITL-PIVOT'!$A$3,"KV%",$A205,"Experiment",G$5,"date",G$6))</f>
        <v>#N/A</v>
      </c>
      <c r="H205" t="e">
        <f>IF(GETPIVOTDATA("ITL",'ITL-PIVOT'!$A$3,"KV%",$A205,"Experiment",H$5,"date",H$6)=0,NA(),GETPIVOTDATA("ITL",'ITL-PIVOT'!$A$3,"KV%",$A205,"Experiment",H$5,"date",H$6))</f>
        <v>#N/A</v>
      </c>
      <c r="I205" t="e">
        <f>IF(GETPIVOTDATA("ITL",'ITL-PIVOT'!$A$3,"KV%",$A205,"Experiment",I$5,"date",I$6)=0,NA(),GETPIVOTDATA("ITL",'ITL-PIVOT'!$A$3,"KV%",$A205,"Experiment",I$5,"date",I$6))</f>
        <v>#N/A</v>
      </c>
      <c r="J205" t="e">
        <f>IF(GETPIVOTDATA("ITL",'ITL-PIVOT'!$A$3,"KV%",$A205,"Experiment",J$5,"date",J$6)=0,NA(),GETPIVOTDATA("ITL",'ITL-PIVOT'!$A$3,"KV%",$A205,"Experiment",J$5,"date",J$6))</f>
        <v>#N/A</v>
      </c>
      <c r="K205" t="e">
        <f>IF(GETPIVOTDATA("ITL",'ITL-PIVOT'!$A$3,"KV%",$A205,"Experiment",K$5,"date",K$6)=0,NA(),GETPIVOTDATA("ITL",'ITL-PIVOT'!$A$3,"KV%",$A205,"Experiment",K$5,"date",K$6))</f>
        <v>#N/A</v>
      </c>
      <c r="L205">
        <f>IF(GETPIVOTDATA("ITL",'ITL-PIVOT'!$A$3,"KV%",$A205,"Experiment",L$5,"date",L$6)=0,NA(),GETPIVOTDATA("ITL",'ITL-PIVOT'!$A$3,"KV%",$A205,"Experiment",L$5,"date",L$6))</f>
        <v>4.0333052586724066E-2</v>
      </c>
      <c r="M205" t="e">
        <f>IF(GETPIVOTDATA("ITL",'ITL-PIVOT'!$A$3,"KV%",$A205,"Experiment",M$5,"date",M$6)=0,NA(),GETPIVOTDATA("ITL",'ITL-PIVOT'!$A$3,"KV%",$A205,"Experiment",M$5,"date",M$6))</f>
        <v>#N/A</v>
      </c>
    </row>
    <row r="206" spans="1:13" x14ac:dyDescent="0.25">
      <c r="A206">
        <f>IF('ITL-PIVOT'!A204=0,NA(),'ITL-PIVOT'!A204)</f>
        <v>0.84277805204880463</v>
      </c>
      <c r="B206">
        <f>IF(GETPIVOTDATA("ITL",'ITL-PIVOT'!$A$3,"KV%",$A206,"Experiment",B$5,"date",B$6)=0,NA(),GETPIVOTDATA("ITL",'ITL-PIVOT'!$A$3,"KV%",$A206,"Experiment",B$5,"date",B$6))</f>
        <v>5.524709918565901E-2</v>
      </c>
      <c r="C206" t="e">
        <f>IF(GETPIVOTDATA("ITL",'ITL-PIVOT'!$A$3,"KV%",$A206,"Experiment",C$5,"date",C$6)=0,NA(),GETPIVOTDATA("ITL",'ITL-PIVOT'!$A$3,"KV%",$A206,"Experiment",C$5,"date",C$6))</f>
        <v>#N/A</v>
      </c>
      <c r="D206" t="e">
        <f>IF(GETPIVOTDATA("ITL",'ITL-PIVOT'!$A$3,"KV%",$A206,"Experiment",D$5,"date",D$6)=0,NA(),GETPIVOTDATA("ITL",'ITL-PIVOT'!$A$3,"KV%",$A206,"Experiment",D$5,"date",D$6))</f>
        <v>#N/A</v>
      </c>
      <c r="E206" t="e">
        <f>IF(GETPIVOTDATA("ITL",'ITL-PIVOT'!$A$3,"KV%",$A206,"Experiment",E$5,"date",E$6)=0,NA(),GETPIVOTDATA("ITL",'ITL-PIVOT'!$A$3,"KV%",$A206,"Experiment",E$5,"date",E$6))</f>
        <v>#N/A</v>
      </c>
      <c r="F206" t="e">
        <f>IF(GETPIVOTDATA("ITL",'ITL-PIVOT'!$A$3,"KV%",$A206,"Experiment",F$5,"date",F$6)=0,NA(),GETPIVOTDATA("ITL",'ITL-PIVOT'!$A$3,"KV%",$A206,"Experiment",F$5,"date",F$6))</f>
        <v>#N/A</v>
      </c>
      <c r="G206" t="e">
        <f>IF(GETPIVOTDATA("ITL",'ITL-PIVOT'!$A$3,"KV%",$A206,"Experiment",G$5,"date",G$6)=0,NA(),GETPIVOTDATA("ITL",'ITL-PIVOT'!$A$3,"KV%",$A206,"Experiment",G$5,"date",G$6))</f>
        <v>#N/A</v>
      </c>
      <c r="H206" t="e">
        <f>IF(GETPIVOTDATA("ITL",'ITL-PIVOT'!$A$3,"KV%",$A206,"Experiment",H$5,"date",H$6)=0,NA(),GETPIVOTDATA("ITL",'ITL-PIVOT'!$A$3,"KV%",$A206,"Experiment",H$5,"date",H$6))</f>
        <v>#N/A</v>
      </c>
      <c r="I206" t="e">
        <f>IF(GETPIVOTDATA("ITL",'ITL-PIVOT'!$A$3,"KV%",$A206,"Experiment",I$5,"date",I$6)=0,NA(),GETPIVOTDATA("ITL",'ITL-PIVOT'!$A$3,"KV%",$A206,"Experiment",I$5,"date",I$6))</f>
        <v>#N/A</v>
      </c>
      <c r="J206" t="e">
        <f>IF(GETPIVOTDATA("ITL",'ITL-PIVOT'!$A$3,"KV%",$A206,"Experiment",J$5,"date",J$6)=0,NA(),GETPIVOTDATA("ITL",'ITL-PIVOT'!$A$3,"KV%",$A206,"Experiment",J$5,"date",J$6))</f>
        <v>#N/A</v>
      </c>
      <c r="K206" t="e">
        <f>IF(GETPIVOTDATA("ITL",'ITL-PIVOT'!$A$3,"KV%",$A206,"Experiment",K$5,"date",K$6)=0,NA(),GETPIVOTDATA("ITL",'ITL-PIVOT'!$A$3,"KV%",$A206,"Experiment",K$5,"date",K$6))</f>
        <v>#N/A</v>
      </c>
      <c r="L206" t="e">
        <f>IF(GETPIVOTDATA("ITL",'ITL-PIVOT'!$A$3,"KV%",$A206,"Experiment",L$5,"date",L$6)=0,NA(),GETPIVOTDATA("ITL",'ITL-PIVOT'!$A$3,"KV%",$A206,"Experiment",L$5,"date",L$6))</f>
        <v>#N/A</v>
      </c>
      <c r="M206" t="e">
        <f>IF(GETPIVOTDATA("ITL",'ITL-PIVOT'!$A$3,"KV%",$A206,"Experiment",M$5,"date",M$6)=0,NA(),GETPIVOTDATA("ITL",'ITL-PIVOT'!$A$3,"KV%",$A206,"Experiment",M$5,"date",M$6))</f>
        <v>#N/A</v>
      </c>
    </row>
    <row r="207" spans="1:13" x14ac:dyDescent="0.25">
      <c r="A207">
        <f>IF('ITL-PIVOT'!A205=0,NA(),'ITL-PIVOT'!A205)</f>
        <v>0.84485906387380394</v>
      </c>
      <c r="B207" t="e">
        <f>IF(GETPIVOTDATA("ITL",'ITL-PIVOT'!$A$3,"KV%",$A207,"Experiment",B$5,"date",B$6)=0,NA(),GETPIVOTDATA("ITL",'ITL-PIVOT'!$A$3,"KV%",$A207,"Experiment",B$5,"date",B$6))</f>
        <v>#N/A</v>
      </c>
      <c r="C207" t="e">
        <f>IF(GETPIVOTDATA("ITL",'ITL-PIVOT'!$A$3,"KV%",$A207,"Experiment",C$5,"date",C$6)=0,NA(),GETPIVOTDATA("ITL",'ITL-PIVOT'!$A$3,"KV%",$A207,"Experiment",C$5,"date",C$6))</f>
        <v>#N/A</v>
      </c>
      <c r="D207" t="e">
        <f>IF(GETPIVOTDATA("ITL",'ITL-PIVOT'!$A$3,"KV%",$A207,"Experiment",D$5,"date",D$6)=0,NA(),GETPIVOTDATA("ITL",'ITL-PIVOT'!$A$3,"KV%",$A207,"Experiment",D$5,"date",D$6))</f>
        <v>#N/A</v>
      </c>
      <c r="E207" t="e">
        <f>IF(GETPIVOTDATA("ITL",'ITL-PIVOT'!$A$3,"KV%",$A207,"Experiment",E$5,"date",E$6)=0,NA(),GETPIVOTDATA("ITL",'ITL-PIVOT'!$A$3,"KV%",$A207,"Experiment",E$5,"date",E$6))</f>
        <v>#N/A</v>
      </c>
      <c r="F207" t="e">
        <f>IF(GETPIVOTDATA("ITL",'ITL-PIVOT'!$A$3,"KV%",$A207,"Experiment",F$5,"date",F$6)=0,NA(),GETPIVOTDATA("ITL",'ITL-PIVOT'!$A$3,"KV%",$A207,"Experiment",F$5,"date",F$6))</f>
        <v>#N/A</v>
      </c>
      <c r="G207" t="e">
        <f>IF(GETPIVOTDATA("ITL",'ITL-PIVOT'!$A$3,"KV%",$A207,"Experiment",G$5,"date",G$6)=0,NA(),GETPIVOTDATA("ITL",'ITL-PIVOT'!$A$3,"KV%",$A207,"Experiment",G$5,"date",G$6))</f>
        <v>#N/A</v>
      </c>
      <c r="H207" t="e">
        <f>IF(GETPIVOTDATA("ITL",'ITL-PIVOT'!$A$3,"KV%",$A207,"Experiment",H$5,"date",H$6)=0,NA(),GETPIVOTDATA("ITL",'ITL-PIVOT'!$A$3,"KV%",$A207,"Experiment",H$5,"date",H$6))</f>
        <v>#N/A</v>
      </c>
      <c r="I207" t="e">
        <f>IF(GETPIVOTDATA("ITL",'ITL-PIVOT'!$A$3,"KV%",$A207,"Experiment",I$5,"date",I$6)=0,NA(),GETPIVOTDATA("ITL",'ITL-PIVOT'!$A$3,"KV%",$A207,"Experiment",I$5,"date",I$6))</f>
        <v>#N/A</v>
      </c>
      <c r="J207" t="e">
        <f>IF(GETPIVOTDATA("ITL",'ITL-PIVOT'!$A$3,"KV%",$A207,"Experiment",J$5,"date",J$6)=0,NA(),GETPIVOTDATA("ITL",'ITL-PIVOT'!$A$3,"KV%",$A207,"Experiment",J$5,"date",J$6))</f>
        <v>#N/A</v>
      </c>
      <c r="K207" t="e">
        <f>IF(GETPIVOTDATA("ITL",'ITL-PIVOT'!$A$3,"KV%",$A207,"Experiment",K$5,"date",K$6)=0,NA(),GETPIVOTDATA("ITL",'ITL-PIVOT'!$A$3,"KV%",$A207,"Experiment",K$5,"date",K$6))</f>
        <v>#N/A</v>
      </c>
      <c r="L207" t="e">
        <f>IF(GETPIVOTDATA("ITL",'ITL-PIVOT'!$A$3,"KV%",$A207,"Experiment",L$5,"date",L$6)=0,NA(),GETPIVOTDATA("ITL",'ITL-PIVOT'!$A$3,"KV%",$A207,"Experiment",L$5,"date",L$6))</f>
        <v>#N/A</v>
      </c>
      <c r="M207">
        <f>IF(GETPIVOTDATA("ITL",'ITL-PIVOT'!$A$3,"KV%",$A207,"Experiment",M$5,"date",M$6)=0,NA(),GETPIVOTDATA("ITL",'ITL-PIVOT'!$A$3,"KV%",$A207,"Experiment",M$5,"date",M$6))</f>
        <v>0.11063943531066119</v>
      </c>
    </row>
    <row r="208" spans="1:13" x14ac:dyDescent="0.25">
      <c r="A208">
        <f>IF('ITL-PIVOT'!A206=0,NA(),'ITL-PIVOT'!A206)</f>
        <v>0.84791875308554909</v>
      </c>
      <c r="B208" t="e">
        <f>IF(GETPIVOTDATA("ITL",'ITL-PIVOT'!$A$3,"KV%",$A208,"Experiment",B$5,"date",B$6)=0,NA(),GETPIVOTDATA("ITL",'ITL-PIVOT'!$A$3,"KV%",$A208,"Experiment",B$5,"date",B$6))</f>
        <v>#N/A</v>
      </c>
      <c r="C208" t="e">
        <f>IF(GETPIVOTDATA("ITL",'ITL-PIVOT'!$A$3,"KV%",$A208,"Experiment",C$5,"date",C$6)=0,NA(),GETPIVOTDATA("ITL",'ITL-PIVOT'!$A$3,"KV%",$A208,"Experiment",C$5,"date",C$6))</f>
        <v>#N/A</v>
      </c>
      <c r="D208" t="e">
        <f>IF(GETPIVOTDATA("ITL",'ITL-PIVOT'!$A$3,"KV%",$A208,"Experiment",D$5,"date",D$6)=0,NA(),GETPIVOTDATA("ITL",'ITL-PIVOT'!$A$3,"KV%",$A208,"Experiment",D$5,"date",D$6))</f>
        <v>#N/A</v>
      </c>
      <c r="E208" t="e">
        <f>IF(GETPIVOTDATA("ITL",'ITL-PIVOT'!$A$3,"KV%",$A208,"Experiment",E$5,"date",E$6)=0,NA(),GETPIVOTDATA("ITL",'ITL-PIVOT'!$A$3,"KV%",$A208,"Experiment",E$5,"date",E$6))</f>
        <v>#N/A</v>
      </c>
      <c r="F208" t="e">
        <f>IF(GETPIVOTDATA("ITL",'ITL-PIVOT'!$A$3,"KV%",$A208,"Experiment",F$5,"date",F$6)=0,NA(),GETPIVOTDATA("ITL",'ITL-PIVOT'!$A$3,"KV%",$A208,"Experiment",F$5,"date",F$6))</f>
        <v>#N/A</v>
      </c>
      <c r="G208" t="e">
        <f>IF(GETPIVOTDATA("ITL",'ITL-PIVOT'!$A$3,"KV%",$A208,"Experiment",G$5,"date",G$6)=0,NA(),GETPIVOTDATA("ITL",'ITL-PIVOT'!$A$3,"KV%",$A208,"Experiment",G$5,"date",G$6))</f>
        <v>#N/A</v>
      </c>
      <c r="H208">
        <f>IF(GETPIVOTDATA("ITL",'ITL-PIVOT'!$A$3,"KV%",$A208,"Experiment",H$5,"date",H$6)=0,NA(),GETPIVOTDATA("ITL",'ITL-PIVOT'!$A$3,"KV%",$A208,"Experiment",H$5,"date",H$6))</f>
        <v>6.5766690236459535E-2</v>
      </c>
      <c r="I208" t="e">
        <f>IF(GETPIVOTDATA("ITL",'ITL-PIVOT'!$A$3,"KV%",$A208,"Experiment",I$5,"date",I$6)=0,NA(),GETPIVOTDATA("ITL",'ITL-PIVOT'!$A$3,"KV%",$A208,"Experiment",I$5,"date",I$6))</f>
        <v>#N/A</v>
      </c>
      <c r="J208" t="e">
        <f>IF(GETPIVOTDATA("ITL",'ITL-PIVOT'!$A$3,"KV%",$A208,"Experiment",J$5,"date",J$6)=0,NA(),GETPIVOTDATA("ITL",'ITL-PIVOT'!$A$3,"KV%",$A208,"Experiment",J$5,"date",J$6))</f>
        <v>#N/A</v>
      </c>
      <c r="K208" t="e">
        <f>IF(GETPIVOTDATA("ITL",'ITL-PIVOT'!$A$3,"KV%",$A208,"Experiment",K$5,"date",K$6)=0,NA(),GETPIVOTDATA("ITL",'ITL-PIVOT'!$A$3,"KV%",$A208,"Experiment",K$5,"date",K$6))</f>
        <v>#N/A</v>
      </c>
      <c r="L208" t="e">
        <f>IF(GETPIVOTDATA("ITL",'ITL-PIVOT'!$A$3,"KV%",$A208,"Experiment",L$5,"date",L$6)=0,NA(),GETPIVOTDATA("ITL",'ITL-PIVOT'!$A$3,"KV%",$A208,"Experiment",L$5,"date",L$6))</f>
        <v>#N/A</v>
      </c>
      <c r="M208" t="e">
        <f>IF(GETPIVOTDATA("ITL",'ITL-PIVOT'!$A$3,"KV%",$A208,"Experiment",M$5,"date",M$6)=0,NA(),GETPIVOTDATA("ITL",'ITL-PIVOT'!$A$3,"KV%",$A208,"Experiment",M$5,"date",M$6))</f>
        <v>#N/A</v>
      </c>
    </row>
    <row r="209" spans="1:13" x14ac:dyDescent="0.25">
      <c r="A209">
        <f>IF('ITL-PIVOT'!A207=0,NA(),'ITL-PIVOT'!A207)</f>
        <v>0.84901011517574743</v>
      </c>
      <c r="B209">
        <f>IF(GETPIVOTDATA("ITL",'ITL-PIVOT'!$A$3,"KV%",$A209,"Experiment",B$5,"date",B$6)=0,NA(),GETPIVOTDATA("ITL",'ITL-PIVOT'!$A$3,"KV%",$A209,"Experiment",B$5,"date",B$6))</f>
        <v>5.3300864370715025E-2</v>
      </c>
      <c r="C209" t="e">
        <f>IF(GETPIVOTDATA("ITL",'ITL-PIVOT'!$A$3,"KV%",$A209,"Experiment",C$5,"date",C$6)=0,NA(),GETPIVOTDATA("ITL",'ITL-PIVOT'!$A$3,"KV%",$A209,"Experiment",C$5,"date",C$6))</f>
        <v>#N/A</v>
      </c>
      <c r="D209" t="e">
        <f>IF(GETPIVOTDATA("ITL",'ITL-PIVOT'!$A$3,"KV%",$A209,"Experiment",D$5,"date",D$6)=0,NA(),GETPIVOTDATA("ITL",'ITL-PIVOT'!$A$3,"KV%",$A209,"Experiment",D$5,"date",D$6))</f>
        <v>#N/A</v>
      </c>
      <c r="E209" t="e">
        <f>IF(GETPIVOTDATA("ITL",'ITL-PIVOT'!$A$3,"KV%",$A209,"Experiment",E$5,"date",E$6)=0,NA(),GETPIVOTDATA("ITL",'ITL-PIVOT'!$A$3,"KV%",$A209,"Experiment",E$5,"date",E$6))</f>
        <v>#N/A</v>
      </c>
      <c r="F209" t="e">
        <f>IF(GETPIVOTDATA("ITL",'ITL-PIVOT'!$A$3,"KV%",$A209,"Experiment",F$5,"date",F$6)=0,NA(),GETPIVOTDATA("ITL",'ITL-PIVOT'!$A$3,"KV%",$A209,"Experiment",F$5,"date",F$6))</f>
        <v>#N/A</v>
      </c>
      <c r="G209" t="e">
        <f>IF(GETPIVOTDATA("ITL",'ITL-PIVOT'!$A$3,"KV%",$A209,"Experiment",G$5,"date",G$6)=0,NA(),GETPIVOTDATA("ITL",'ITL-PIVOT'!$A$3,"KV%",$A209,"Experiment",G$5,"date",G$6))</f>
        <v>#N/A</v>
      </c>
      <c r="H209" t="e">
        <f>IF(GETPIVOTDATA("ITL",'ITL-PIVOT'!$A$3,"KV%",$A209,"Experiment",H$5,"date",H$6)=0,NA(),GETPIVOTDATA("ITL",'ITL-PIVOT'!$A$3,"KV%",$A209,"Experiment",H$5,"date",H$6))</f>
        <v>#N/A</v>
      </c>
      <c r="I209" t="e">
        <f>IF(GETPIVOTDATA("ITL",'ITL-PIVOT'!$A$3,"KV%",$A209,"Experiment",I$5,"date",I$6)=0,NA(),GETPIVOTDATA("ITL",'ITL-PIVOT'!$A$3,"KV%",$A209,"Experiment",I$5,"date",I$6))</f>
        <v>#N/A</v>
      </c>
      <c r="J209" t="e">
        <f>IF(GETPIVOTDATA("ITL",'ITL-PIVOT'!$A$3,"KV%",$A209,"Experiment",J$5,"date",J$6)=0,NA(),GETPIVOTDATA("ITL",'ITL-PIVOT'!$A$3,"KV%",$A209,"Experiment",J$5,"date",J$6))</f>
        <v>#N/A</v>
      </c>
      <c r="K209" t="e">
        <f>IF(GETPIVOTDATA("ITL",'ITL-PIVOT'!$A$3,"KV%",$A209,"Experiment",K$5,"date",K$6)=0,NA(),GETPIVOTDATA("ITL",'ITL-PIVOT'!$A$3,"KV%",$A209,"Experiment",K$5,"date",K$6))</f>
        <v>#N/A</v>
      </c>
      <c r="L209" t="e">
        <f>IF(GETPIVOTDATA("ITL",'ITL-PIVOT'!$A$3,"KV%",$A209,"Experiment",L$5,"date",L$6)=0,NA(),GETPIVOTDATA("ITL",'ITL-PIVOT'!$A$3,"KV%",$A209,"Experiment",L$5,"date",L$6))</f>
        <v>#N/A</v>
      </c>
      <c r="M209" t="e">
        <f>IF(GETPIVOTDATA("ITL",'ITL-PIVOT'!$A$3,"KV%",$A209,"Experiment",M$5,"date",M$6)=0,NA(),GETPIVOTDATA("ITL",'ITL-PIVOT'!$A$3,"KV%",$A209,"Experiment",M$5,"date",M$6))</f>
        <v>#N/A</v>
      </c>
    </row>
    <row r="210" spans="1:13" x14ac:dyDescent="0.25">
      <c r="A210">
        <f>IF('ITL-PIVOT'!A208=0,NA(),'ITL-PIVOT'!A208)</f>
        <v>0.85145637915226746</v>
      </c>
      <c r="B210">
        <f>IF(GETPIVOTDATA("ITL",'ITL-PIVOT'!$A$3,"KV%",$A210,"Experiment",B$5,"date",B$6)=0,NA(),GETPIVOTDATA("ITL",'ITL-PIVOT'!$A$3,"KV%",$A210,"Experiment",B$5,"date",B$6))</f>
        <v>5.3554148032525548E-2</v>
      </c>
      <c r="C210" t="e">
        <f>IF(GETPIVOTDATA("ITL",'ITL-PIVOT'!$A$3,"KV%",$A210,"Experiment",C$5,"date",C$6)=0,NA(),GETPIVOTDATA("ITL",'ITL-PIVOT'!$A$3,"KV%",$A210,"Experiment",C$5,"date",C$6))</f>
        <v>#N/A</v>
      </c>
      <c r="D210" t="e">
        <f>IF(GETPIVOTDATA("ITL",'ITL-PIVOT'!$A$3,"KV%",$A210,"Experiment",D$5,"date",D$6)=0,NA(),GETPIVOTDATA("ITL",'ITL-PIVOT'!$A$3,"KV%",$A210,"Experiment",D$5,"date",D$6))</f>
        <v>#N/A</v>
      </c>
      <c r="E210" t="e">
        <f>IF(GETPIVOTDATA("ITL",'ITL-PIVOT'!$A$3,"KV%",$A210,"Experiment",E$5,"date",E$6)=0,NA(),GETPIVOTDATA("ITL",'ITL-PIVOT'!$A$3,"KV%",$A210,"Experiment",E$5,"date",E$6))</f>
        <v>#N/A</v>
      </c>
      <c r="F210" t="e">
        <f>IF(GETPIVOTDATA("ITL",'ITL-PIVOT'!$A$3,"KV%",$A210,"Experiment",F$5,"date",F$6)=0,NA(),GETPIVOTDATA("ITL",'ITL-PIVOT'!$A$3,"KV%",$A210,"Experiment",F$5,"date",F$6))</f>
        <v>#N/A</v>
      </c>
      <c r="G210" t="e">
        <f>IF(GETPIVOTDATA("ITL",'ITL-PIVOT'!$A$3,"KV%",$A210,"Experiment",G$5,"date",G$6)=0,NA(),GETPIVOTDATA("ITL",'ITL-PIVOT'!$A$3,"KV%",$A210,"Experiment",G$5,"date",G$6))</f>
        <v>#N/A</v>
      </c>
      <c r="H210" t="e">
        <f>IF(GETPIVOTDATA("ITL",'ITL-PIVOT'!$A$3,"KV%",$A210,"Experiment",H$5,"date",H$6)=0,NA(),GETPIVOTDATA("ITL",'ITL-PIVOT'!$A$3,"KV%",$A210,"Experiment",H$5,"date",H$6))</f>
        <v>#N/A</v>
      </c>
      <c r="I210" t="e">
        <f>IF(GETPIVOTDATA("ITL",'ITL-PIVOT'!$A$3,"KV%",$A210,"Experiment",I$5,"date",I$6)=0,NA(),GETPIVOTDATA("ITL",'ITL-PIVOT'!$A$3,"KV%",$A210,"Experiment",I$5,"date",I$6))</f>
        <v>#N/A</v>
      </c>
      <c r="J210" t="e">
        <f>IF(GETPIVOTDATA("ITL",'ITL-PIVOT'!$A$3,"KV%",$A210,"Experiment",J$5,"date",J$6)=0,NA(),GETPIVOTDATA("ITL",'ITL-PIVOT'!$A$3,"KV%",$A210,"Experiment",J$5,"date",J$6))</f>
        <v>#N/A</v>
      </c>
      <c r="K210" t="e">
        <f>IF(GETPIVOTDATA("ITL",'ITL-PIVOT'!$A$3,"KV%",$A210,"Experiment",K$5,"date",K$6)=0,NA(),GETPIVOTDATA("ITL",'ITL-PIVOT'!$A$3,"KV%",$A210,"Experiment",K$5,"date",K$6))</f>
        <v>#N/A</v>
      </c>
      <c r="L210" t="e">
        <f>IF(GETPIVOTDATA("ITL",'ITL-PIVOT'!$A$3,"KV%",$A210,"Experiment",L$5,"date",L$6)=0,NA(),GETPIVOTDATA("ITL",'ITL-PIVOT'!$A$3,"KV%",$A210,"Experiment",L$5,"date",L$6))</f>
        <v>#N/A</v>
      </c>
      <c r="M210" t="e">
        <f>IF(GETPIVOTDATA("ITL",'ITL-PIVOT'!$A$3,"KV%",$A210,"Experiment",M$5,"date",M$6)=0,NA(),GETPIVOTDATA("ITL",'ITL-PIVOT'!$A$3,"KV%",$A210,"Experiment",M$5,"date",M$6))</f>
        <v>#N/A</v>
      </c>
    </row>
    <row r="211" spans="1:13" x14ac:dyDescent="0.25">
      <c r="A211">
        <f>IF('ITL-PIVOT'!A209=0,NA(),'ITL-PIVOT'!A209)</f>
        <v>0.85300405137488144</v>
      </c>
      <c r="B211" t="e">
        <f>IF(GETPIVOTDATA("ITL",'ITL-PIVOT'!$A$3,"KV%",$A211,"Experiment",B$5,"date",B$6)=0,NA(),GETPIVOTDATA("ITL",'ITL-PIVOT'!$A$3,"KV%",$A211,"Experiment",B$5,"date",B$6))</f>
        <v>#N/A</v>
      </c>
      <c r="C211">
        <f>IF(GETPIVOTDATA("ITL",'ITL-PIVOT'!$A$3,"KV%",$A211,"Experiment",C$5,"date",C$6)=0,NA(),GETPIVOTDATA("ITL",'ITL-PIVOT'!$A$3,"KV%",$A211,"Experiment",C$5,"date",C$6))</f>
        <v>5.4880265473210399E-2</v>
      </c>
      <c r="D211" t="e">
        <f>IF(GETPIVOTDATA("ITL",'ITL-PIVOT'!$A$3,"KV%",$A211,"Experiment",D$5,"date",D$6)=0,NA(),GETPIVOTDATA("ITL",'ITL-PIVOT'!$A$3,"KV%",$A211,"Experiment",D$5,"date",D$6))</f>
        <v>#N/A</v>
      </c>
      <c r="E211" t="e">
        <f>IF(GETPIVOTDATA("ITL",'ITL-PIVOT'!$A$3,"KV%",$A211,"Experiment",E$5,"date",E$6)=0,NA(),GETPIVOTDATA("ITL",'ITL-PIVOT'!$A$3,"KV%",$A211,"Experiment",E$5,"date",E$6))</f>
        <v>#N/A</v>
      </c>
      <c r="F211" t="e">
        <f>IF(GETPIVOTDATA("ITL",'ITL-PIVOT'!$A$3,"KV%",$A211,"Experiment",F$5,"date",F$6)=0,NA(),GETPIVOTDATA("ITL",'ITL-PIVOT'!$A$3,"KV%",$A211,"Experiment",F$5,"date",F$6))</f>
        <v>#N/A</v>
      </c>
      <c r="G211" t="e">
        <f>IF(GETPIVOTDATA("ITL",'ITL-PIVOT'!$A$3,"KV%",$A211,"Experiment",G$5,"date",G$6)=0,NA(),GETPIVOTDATA("ITL",'ITL-PIVOT'!$A$3,"KV%",$A211,"Experiment",G$5,"date",G$6))</f>
        <v>#N/A</v>
      </c>
      <c r="H211" t="e">
        <f>IF(GETPIVOTDATA("ITL",'ITL-PIVOT'!$A$3,"KV%",$A211,"Experiment",H$5,"date",H$6)=0,NA(),GETPIVOTDATA("ITL",'ITL-PIVOT'!$A$3,"KV%",$A211,"Experiment",H$5,"date",H$6))</f>
        <v>#N/A</v>
      </c>
      <c r="I211" t="e">
        <f>IF(GETPIVOTDATA("ITL",'ITL-PIVOT'!$A$3,"KV%",$A211,"Experiment",I$5,"date",I$6)=0,NA(),GETPIVOTDATA("ITL",'ITL-PIVOT'!$A$3,"KV%",$A211,"Experiment",I$5,"date",I$6))</f>
        <v>#N/A</v>
      </c>
      <c r="J211" t="e">
        <f>IF(GETPIVOTDATA("ITL",'ITL-PIVOT'!$A$3,"KV%",$A211,"Experiment",J$5,"date",J$6)=0,NA(),GETPIVOTDATA("ITL",'ITL-PIVOT'!$A$3,"KV%",$A211,"Experiment",J$5,"date",J$6))</f>
        <v>#N/A</v>
      </c>
      <c r="K211" t="e">
        <f>IF(GETPIVOTDATA("ITL",'ITL-PIVOT'!$A$3,"KV%",$A211,"Experiment",K$5,"date",K$6)=0,NA(),GETPIVOTDATA("ITL",'ITL-PIVOT'!$A$3,"KV%",$A211,"Experiment",K$5,"date",K$6))</f>
        <v>#N/A</v>
      </c>
      <c r="L211" t="e">
        <f>IF(GETPIVOTDATA("ITL",'ITL-PIVOT'!$A$3,"KV%",$A211,"Experiment",L$5,"date",L$6)=0,NA(),GETPIVOTDATA("ITL",'ITL-PIVOT'!$A$3,"KV%",$A211,"Experiment",L$5,"date",L$6))</f>
        <v>#N/A</v>
      </c>
      <c r="M211" t="e">
        <f>IF(GETPIVOTDATA("ITL",'ITL-PIVOT'!$A$3,"KV%",$A211,"Experiment",M$5,"date",M$6)=0,NA(),GETPIVOTDATA("ITL",'ITL-PIVOT'!$A$3,"KV%",$A211,"Experiment",M$5,"date",M$6))</f>
        <v>#N/A</v>
      </c>
    </row>
    <row r="212" spans="1:13" x14ac:dyDescent="0.25">
      <c r="A212">
        <f>IF('ITL-PIVOT'!A210=0,NA(),'ITL-PIVOT'!A210)</f>
        <v>0.85536268425135764</v>
      </c>
      <c r="B212">
        <f>IF(GETPIVOTDATA("ITL",'ITL-PIVOT'!$A$3,"KV%",$A212,"Experiment",B$5,"date",B$6)=0,NA(),GETPIVOTDATA("ITL",'ITL-PIVOT'!$A$3,"KV%",$A212,"Experiment",B$5,"date",B$6))</f>
        <v>5.3560281516683059E-2</v>
      </c>
      <c r="C212" t="e">
        <f>IF(GETPIVOTDATA("ITL",'ITL-PIVOT'!$A$3,"KV%",$A212,"Experiment",C$5,"date",C$6)=0,NA(),GETPIVOTDATA("ITL",'ITL-PIVOT'!$A$3,"KV%",$A212,"Experiment",C$5,"date",C$6))</f>
        <v>#N/A</v>
      </c>
      <c r="D212" t="e">
        <f>IF(GETPIVOTDATA("ITL",'ITL-PIVOT'!$A$3,"KV%",$A212,"Experiment",D$5,"date",D$6)=0,NA(),GETPIVOTDATA("ITL",'ITL-PIVOT'!$A$3,"KV%",$A212,"Experiment",D$5,"date",D$6))</f>
        <v>#N/A</v>
      </c>
      <c r="E212" t="e">
        <f>IF(GETPIVOTDATA("ITL",'ITL-PIVOT'!$A$3,"KV%",$A212,"Experiment",E$5,"date",E$6)=0,NA(),GETPIVOTDATA("ITL",'ITL-PIVOT'!$A$3,"KV%",$A212,"Experiment",E$5,"date",E$6))</f>
        <v>#N/A</v>
      </c>
      <c r="F212" t="e">
        <f>IF(GETPIVOTDATA("ITL",'ITL-PIVOT'!$A$3,"KV%",$A212,"Experiment",F$5,"date",F$6)=0,NA(),GETPIVOTDATA("ITL",'ITL-PIVOT'!$A$3,"KV%",$A212,"Experiment",F$5,"date",F$6))</f>
        <v>#N/A</v>
      </c>
      <c r="G212" t="e">
        <f>IF(GETPIVOTDATA("ITL",'ITL-PIVOT'!$A$3,"KV%",$A212,"Experiment",G$5,"date",G$6)=0,NA(),GETPIVOTDATA("ITL",'ITL-PIVOT'!$A$3,"KV%",$A212,"Experiment",G$5,"date",G$6))</f>
        <v>#N/A</v>
      </c>
      <c r="H212" t="e">
        <f>IF(GETPIVOTDATA("ITL",'ITL-PIVOT'!$A$3,"KV%",$A212,"Experiment",H$5,"date",H$6)=0,NA(),GETPIVOTDATA("ITL",'ITL-PIVOT'!$A$3,"KV%",$A212,"Experiment",H$5,"date",H$6))</f>
        <v>#N/A</v>
      </c>
      <c r="I212" t="e">
        <f>IF(GETPIVOTDATA("ITL",'ITL-PIVOT'!$A$3,"KV%",$A212,"Experiment",I$5,"date",I$6)=0,NA(),GETPIVOTDATA("ITL",'ITL-PIVOT'!$A$3,"KV%",$A212,"Experiment",I$5,"date",I$6))</f>
        <v>#N/A</v>
      </c>
      <c r="J212" t="e">
        <f>IF(GETPIVOTDATA("ITL",'ITL-PIVOT'!$A$3,"KV%",$A212,"Experiment",J$5,"date",J$6)=0,NA(),GETPIVOTDATA("ITL",'ITL-PIVOT'!$A$3,"KV%",$A212,"Experiment",J$5,"date",J$6))</f>
        <v>#N/A</v>
      </c>
      <c r="K212" t="e">
        <f>IF(GETPIVOTDATA("ITL",'ITL-PIVOT'!$A$3,"KV%",$A212,"Experiment",K$5,"date",K$6)=0,NA(),GETPIVOTDATA("ITL",'ITL-PIVOT'!$A$3,"KV%",$A212,"Experiment",K$5,"date",K$6))</f>
        <v>#N/A</v>
      </c>
      <c r="L212" t="e">
        <f>IF(GETPIVOTDATA("ITL",'ITL-PIVOT'!$A$3,"KV%",$A212,"Experiment",L$5,"date",L$6)=0,NA(),GETPIVOTDATA("ITL",'ITL-PIVOT'!$A$3,"KV%",$A212,"Experiment",L$5,"date",L$6))</f>
        <v>#N/A</v>
      </c>
      <c r="M212" t="e">
        <f>IF(GETPIVOTDATA("ITL",'ITL-PIVOT'!$A$3,"KV%",$A212,"Experiment",M$5,"date",M$6)=0,NA(),GETPIVOTDATA("ITL",'ITL-PIVOT'!$A$3,"KV%",$A212,"Experiment",M$5,"date",M$6))</f>
        <v>#N/A</v>
      </c>
    </row>
    <row r="213" spans="1:13" x14ac:dyDescent="0.25">
      <c r="A213">
        <f>IF('ITL-PIVOT'!A211=0,NA(),'ITL-PIVOT'!A211)</f>
        <v>0.86249757564003104</v>
      </c>
      <c r="B213" t="e">
        <f>IF(GETPIVOTDATA("ITL",'ITL-PIVOT'!$A$3,"KV%",$A213,"Experiment",B$5,"date",B$6)=0,NA(),GETPIVOTDATA("ITL",'ITL-PIVOT'!$A$3,"KV%",$A213,"Experiment",B$5,"date",B$6))</f>
        <v>#N/A</v>
      </c>
      <c r="C213" t="e">
        <f>IF(GETPIVOTDATA("ITL",'ITL-PIVOT'!$A$3,"KV%",$A213,"Experiment",C$5,"date",C$6)=0,NA(),GETPIVOTDATA("ITL",'ITL-PIVOT'!$A$3,"KV%",$A213,"Experiment",C$5,"date",C$6))</f>
        <v>#N/A</v>
      </c>
      <c r="D213" t="e">
        <f>IF(GETPIVOTDATA("ITL",'ITL-PIVOT'!$A$3,"KV%",$A213,"Experiment",D$5,"date",D$6)=0,NA(),GETPIVOTDATA("ITL",'ITL-PIVOT'!$A$3,"KV%",$A213,"Experiment",D$5,"date",D$6))</f>
        <v>#N/A</v>
      </c>
      <c r="E213" t="e">
        <f>IF(GETPIVOTDATA("ITL",'ITL-PIVOT'!$A$3,"KV%",$A213,"Experiment",E$5,"date",E$6)=0,NA(),GETPIVOTDATA("ITL",'ITL-PIVOT'!$A$3,"KV%",$A213,"Experiment",E$5,"date",E$6))</f>
        <v>#N/A</v>
      </c>
      <c r="F213" t="e">
        <f>IF(GETPIVOTDATA("ITL",'ITL-PIVOT'!$A$3,"KV%",$A213,"Experiment",F$5,"date",F$6)=0,NA(),GETPIVOTDATA("ITL",'ITL-PIVOT'!$A$3,"KV%",$A213,"Experiment",F$5,"date",F$6))</f>
        <v>#N/A</v>
      </c>
      <c r="G213" t="e">
        <f>IF(GETPIVOTDATA("ITL",'ITL-PIVOT'!$A$3,"KV%",$A213,"Experiment",G$5,"date",G$6)=0,NA(),GETPIVOTDATA("ITL",'ITL-PIVOT'!$A$3,"KV%",$A213,"Experiment",G$5,"date",G$6))</f>
        <v>#N/A</v>
      </c>
      <c r="H213" t="e">
        <f>IF(GETPIVOTDATA("ITL",'ITL-PIVOT'!$A$3,"KV%",$A213,"Experiment",H$5,"date",H$6)=0,NA(),GETPIVOTDATA("ITL",'ITL-PIVOT'!$A$3,"KV%",$A213,"Experiment",H$5,"date",H$6))</f>
        <v>#N/A</v>
      </c>
      <c r="I213" t="e">
        <f>IF(GETPIVOTDATA("ITL",'ITL-PIVOT'!$A$3,"KV%",$A213,"Experiment",I$5,"date",I$6)=0,NA(),GETPIVOTDATA("ITL",'ITL-PIVOT'!$A$3,"KV%",$A213,"Experiment",I$5,"date",I$6))</f>
        <v>#N/A</v>
      </c>
      <c r="J213" t="e">
        <f>IF(GETPIVOTDATA("ITL",'ITL-PIVOT'!$A$3,"KV%",$A213,"Experiment",J$5,"date",J$6)=0,NA(),GETPIVOTDATA("ITL",'ITL-PIVOT'!$A$3,"KV%",$A213,"Experiment",J$5,"date",J$6))</f>
        <v>#N/A</v>
      </c>
      <c r="K213" t="e">
        <f>IF(GETPIVOTDATA("ITL",'ITL-PIVOT'!$A$3,"KV%",$A213,"Experiment",K$5,"date",K$6)=0,NA(),GETPIVOTDATA("ITL",'ITL-PIVOT'!$A$3,"KV%",$A213,"Experiment",K$5,"date",K$6))</f>
        <v>#N/A</v>
      </c>
      <c r="L213">
        <f>IF(GETPIVOTDATA("ITL",'ITL-PIVOT'!$A$3,"KV%",$A213,"Experiment",L$5,"date",L$6)=0,NA(),GETPIVOTDATA("ITL",'ITL-PIVOT'!$A$3,"KV%",$A213,"Experiment",L$5,"date",L$6))</f>
        <v>4.0817544585313267E-2</v>
      </c>
      <c r="M213" t="e">
        <f>IF(GETPIVOTDATA("ITL",'ITL-PIVOT'!$A$3,"KV%",$A213,"Experiment",M$5,"date",M$6)=0,NA(),GETPIVOTDATA("ITL",'ITL-PIVOT'!$A$3,"KV%",$A213,"Experiment",M$5,"date",M$6))</f>
        <v>#N/A</v>
      </c>
    </row>
    <row r="214" spans="1:13" x14ac:dyDescent="0.25">
      <c r="A214">
        <f>IF('ITL-PIVOT'!A212=0,NA(),'ITL-PIVOT'!A212)</f>
        <v>0.86774469873286786</v>
      </c>
      <c r="B214" t="e">
        <f>IF(GETPIVOTDATA("ITL",'ITL-PIVOT'!$A$3,"KV%",$A214,"Experiment",B$5,"date",B$6)=0,NA(),GETPIVOTDATA("ITL",'ITL-PIVOT'!$A$3,"KV%",$A214,"Experiment",B$5,"date",B$6))</f>
        <v>#N/A</v>
      </c>
      <c r="C214" t="e">
        <f>IF(GETPIVOTDATA("ITL",'ITL-PIVOT'!$A$3,"KV%",$A214,"Experiment",C$5,"date",C$6)=0,NA(),GETPIVOTDATA("ITL",'ITL-PIVOT'!$A$3,"KV%",$A214,"Experiment",C$5,"date",C$6))</f>
        <v>#N/A</v>
      </c>
      <c r="D214" t="e">
        <f>IF(GETPIVOTDATA("ITL",'ITL-PIVOT'!$A$3,"KV%",$A214,"Experiment",D$5,"date",D$6)=0,NA(),GETPIVOTDATA("ITL",'ITL-PIVOT'!$A$3,"KV%",$A214,"Experiment",D$5,"date",D$6))</f>
        <v>#N/A</v>
      </c>
      <c r="E214" t="e">
        <f>IF(GETPIVOTDATA("ITL",'ITL-PIVOT'!$A$3,"KV%",$A214,"Experiment",E$5,"date",E$6)=0,NA(),GETPIVOTDATA("ITL",'ITL-PIVOT'!$A$3,"KV%",$A214,"Experiment",E$5,"date",E$6))</f>
        <v>#N/A</v>
      </c>
      <c r="F214" t="e">
        <f>IF(GETPIVOTDATA("ITL",'ITL-PIVOT'!$A$3,"KV%",$A214,"Experiment",F$5,"date",F$6)=0,NA(),GETPIVOTDATA("ITL",'ITL-PIVOT'!$A$3,"KV%",$A214,"Experiment",F$5,"date",F$6))</f>
        <v>#N/A</v>
      </c>
      <c r="G214" t="e">
        <f>IF(GETPIVOTDATA("ITL",'ITL-PIVOT'!$A$3,"KV%",$A214,"Experiment",G$5,"date",G$6)=0,NA(),GETPIVOTDATA("ITL",'ITL-PIVOT'!$A$3,"KV%",$A214,"Experiment",G$5,"date",G$6))</f>
        <v>#N/A</v>
      </c>
      <c r="H214" t="e">
        <f>IF(GETPIVOTDATA("ITL",'ITL-PIVOT'!$A$3,"KV%",$A214,"Experiment",H$5,"date",H$6)=0,NA(),GETPIVOTDATA("ITL",'ITL-PIVOT'!$A$3,"KV%",$A214,"Experiment",H$5,"date",H$6))</f>
        <v>#N/A</v>
      </c>
      <c r="I214" t="e">
        <f>IF(GETPIVOTDATA("ITL",'ITL-PIVOT'!$A$3,"KV%",$A214,"Experiment",I$5,"date",I$6)=0,NA(),GETPIVOTDATA("ITL",'ITL-PIVOT'!$A$3,"KV%",$A214,"Experiment",I$5,"date",I$6))</f>
        <v>#N/A</v>
      </c>
      <c r="J214" t="e">
        <f>IF(GETPIVOTDATA("ITL",'ITL-PIVOT'!$A$3,"KV%",$A214,"Experiment",J$5,"date",J$6)=0,NA(),GETPIVOTDATA("ITL",'ITL-PIVOT'!$A$3,"KV%",$A214,"Experiment",J$5,"date",J$6))</f>
        <v>#N/A</v>
      </c>
      <c r="K214" t="e">
        <f>IF(GETPIVOTDATA("ITL",'ITL-PIVOT'!$A$3,"KV%",$A214,"Experiment",K$5,"date",K$6)=0,NA(),GETPIVOTDATA("ITL",'ITL-PIVOT'!$A$3,"KV%",$A214,"Experiment",K$5,"date",K$6))</f>
        <v>#N/A</v>
      </c>
      <c r="L214">
        <f>IF(GETPIVOTDATA("ITL",'ITL-PIVOT'!$A$3,"KV%",$A214,"Experiment",L$5,"date",L$6)=0,NA(),GETPIVOTDATA("ITL",'ITL-PIVOT'!$A$3,"KV%",$A214,"Experiment",L$5,"date",L$6))</f>
        <v>4.0722935856781238E-2</v>
      </c>
      <c r="M214" t="e">
        <f>IF(GETPIVOTDATA("ITL",'ITL-PIVOT'!$A$3,"KV%",$A214,"Experiment",M$5,"date",M$6)=0,NA(),GETPIVOTDATA("ITL",'ITL-PIVOT'!$A$3,"KV%",$A214,"Experiment",M$5,"date",M$6))</f>
        <v>#N/A</v>
      </c>
    </row>
    <row r="215" spans="1:13" x14ac:dyDescent="0.25">
      <c r="A215">
        <f>IF('ITL-PIVOT'!A213=0,NA(),'ITL-PIVOT'!A213)</f>
        <v>0.86822536850271537</v>
      </c>
      <c r="B215" t="e">
        <f>IF(GETPIVOTDATA("ITL",'ITL-PIVOT'!$A$3,"KV%",$A215,"Experiment",B$5,"date",B$6)=0,NA(),GETPIVOTDATA("ITL",'ITL-PIVOT'!$A$3,"KV%",$A215,"Experiment",B$5,"date",B$6))</f>
        <v>#N/A</v>
      </c>
      <c r="C215">
        <f>IF(GETPIVOTDATA("ITL",'ITL-PIVOT'!$A$3,"KV%",$A215,"Experiment",C$5,"date",C$6)=0,NA(),GETPIVOTDATA("ITL",'ITL-PIVOT'!$A$3,"KV%",$A215,"Experiment",C$5,"date",C$6))</f>
        <v>5.5731671260744756E-2</v>
      </c>
      <c r="D215" t="e">
        <f>IF(GETPIVOTDATA("ITL",'ITL-PIVOT'!$A$3,"KV%",$A215,"Experiment",D$5,"date",D$6)=0,NA(),GETPIVOTDATA("ITL",'ITL-PIVOT'!$A$3,"KV%",$A215,"Experiment",D$5,"date",D$6))</f>
        <v>#N/A</v>
      </c>
      <c r="E215" t="e">
        <f>IF(GETPIVOTDATA("ITL",'ITL-PIVOT'!$A$3,"KV%",$A215,"Experiment",E$5,"date",E$6)=0,NA(),GETPIVOTDATA("ITL",'ITL-PIVOT'!$A$3,"KV%",$A215,"Experiment",E$5,"date",E$6))</f>
        <v>#N/A</v>
      </c>
      <c r="F215" t="e">
        <f>IF(GETPIVOTDATA("ITL",'ITL-PIVOT'!$A$3,"KV%",$A215,"Experiment",F$5,"date",F$6)=0,NA(),GETPIVOTDATA("ITL",'ITL-PIVOT'!$A$3,"KV%",$A215,"Experiment",F$5,"date",F$6))</f>
        <v>#N/A</v>
      </c>
      <c r="G215" t="e">
        <f>IF(GETPIVOTDATA("ITL",'ITL-PIVOT'!$A$3,"KV%",$A215,"Experiment",G$5,"date",G$6)=0,NA(),GETPIVOTDATA("ITL",'ITL-PIVOT'!$A$3,"KV%",$A215,"Experiment",G$5,"date",G$6))</f>
        <v>#N/A</v>
      </c>
      <c r="H215" t="e">
        <f>IF(GETPIVOTDATA("ITL",'ITL-PIVOT'!$A$3,"KV%",$A215,"Experiment",H$5,"date",H$6)=0,NA(),GETPIVOTDATA("ITL",'ITL-PIVOT'!$A$3,"KV%",$A215,"Experiment",H$5,"date",H$6))</f>
        <v>#N/A</v>
      </c>
      <c r="I215" t="e">
        <f>IF(GETPIVOTDATA("ITL",'ITL-PIVOT'!$A$3,"KV%",$A215,"Experiment",I$5,"date",I$6)=0,NA(),GETPIVOTDATA("ITL",'ITL-PIVOT'!$A$3,"KV%",$A215,"Experiment",I$5,"date",I$6))</f>
        <v>#N/A</v>
      </c>
      <c r="J215" t="e">
        <f>IF(GETPIVOTDATA("ITL",'ITL-PIVOT'!$A$3,"KV%",$A215,"Experiment",J$5,"date",J$6)=0,NA(),GETPIVOTDATA("ITL",'ITL-PIVOT'!$A$3,"KV%",$A215,"Experiment",J$5,"date",J$6))</f>
        <v>#N/A</v>
      </c>
      <c r="K215" t="e">
        <f>IF(GETPIVOTDATA("ITL",'ITL-PIVOT'!$A$3,"KV%",$A215,"Experiment",K$5,"date",K$6)=0,NA(),GETPIVOTDATA("ITL",'ITL-PIVOT'!$A$3,"KV%",$A215,"Experiment",K$5,"date",K$6))</f>
        <v>#N/A</v>
      </c>
      <c r="L215" t="e">
        <f>IF(GETPIVOTDATA("ITL",'ITL-PIVOT'!$A$3,"KV%",$A215,"Experiment",L$5,"date",L$6)=0,NA(),GETPIVOTDATA("ITL",'ITL-PIVOT'!$A$3,"KV%",$A215,"Experiment",L$5,"date",L$6))</f>
        <v>#N/A</v>
      </c>
      <c r="M215" t="e">
        <f>IF(GETPIVOTDATA("ITL",'ITL-PIVOT'!$A$3,"KV%",$A215,"Experiment",M$5,"date",M$6)=0,NA(),GETPIVOTDATA("ITL",'ITL-PIVOT'!$A$3,"KV%",$A215,"Experiment",M$5,"date",M$6))</f>
        <v>#N/A</v>
      </c>
    </row>
    <row r="216" spans="1:13" x14ac:dyDescent="0.25">
      <c r="A216">
        <f>IF('ITL-PIVOT'!A214=0,NA(),'ITL-PIVOT'!A214)</f>
        <v>0.87014661362483015</v>
      </c>
      <c r="B216" t="e">
        <f>IF(GETPIVOTDATA("ITL",'ITL-PIVOT'!$A$3,"KV%",$A216,"Experiment",B$5,"date",B$6)=0,NA(),GETPIVOTDATA("ITL",'ITL-PIVOT'!$A$3,"KV%",$A216,"Experiment",B$5,"date",B$6))</f>
        <v>#N/A</v>
      </c>
      <c r="C216">
        <f>IF(GETPIVOTDATA("ITL",'ITL-PIVOT'!$A$3,"KV%",$A216,"Experiment",C$5,"date",C$6)=0,NA(),GETPIVOTDATA("ITL",'ITL-PIVOT'!$A$3,"KV%",$A216,"Experiment",C$5,"date",C$6))</f>
        <v>5.603377519936481E-2</v>
      </c>
      <c r="D216" t="e">
        <f>IF(GETPIVOTDATA("ITL",'ITL-PIVOT'!$A$3,"KV%",$A216,"Experiment",D$5,"date",D$6)=0,NA(),GETPIVOTDATA("ITL",'ITL-PIVOT'!$A$3,"KV%",$A216,"Experiment",D$5,"date",D$6))</f>
        <v>#N/A</v>
      </c>
      <c r="E216" t="e">
        <f>IF(GETPIVOTDATA("ITL",'ITL-PIVOT'!$A$3,"KV%",$A216,"Experiment",E$5,"date",E$6)=0,NA(),GETPIVOTDATA("ITL",'ITL-PIVOT'!$A$3,"KV%",$A216,"Experiment",E$5,"date",E$6))</f>
        <v>#N/A</v>
      </c>
      <c r="F216" t="e">
        <f>IF(GETPIVOTDATA("ITL",'ITL-PIVOT'!$A$3,"KV%",$A216,"Experiment",F$5,"date",F$6)=0,NA(),GETPIVOTDATA("ITL",'ITL-PIVOT'!$A$3,"KV%",$A216,"Experiment",F$5,"date",F$6))</f>
        <v>#N/A</v>
      </c>
      <c r="G216" t="e">
        <f>IF(GETPIVOTDATA("ITL",'ITL-PIVOT'!$A$3,"KV%",$A216,"Experiment",G$5,"date",G$6)=0,NA(),GETPIVOTDATA("ITL",'ITL-PIVOT'!$A$3,"KV%",$A216,"Experiment",G$5,"date",G$6))</f>
        <v>#N/A</v>
      </c>
      <c r="H216" t="e">
        <f>IF(GETPIVOTDATA("ITL",'ITL-PIVOT'!$A$3,"KV%",$A216,"Experiment",H$5,"date",H$6)=0,NA(),GETPIVOTDATA("ITL",'ITL-PIVOT'!$A$3,"KV%",$A216,"Experiment",H$5,"date",H$6))</f>
        <v>#N/A</v>
      </c>
      <c r="I216" t="e">
        <f>IF(GETPIVOTDATA("ITL",'ITL-PIVOT'!$A$3,"KV%",$A216,"Experiment",I$5,"date",I$6)=0,NA(),GETPIVOTDATA("ITL",'ITL-PIVOT'!$A$3,"KV%",$A216,"Experiment",I$5,"date",I$6))</f>
        <v>#N/A</v>
      </c>
      <c r="J216" t="e">
        <f>IF(GETPIVOTDATA("ITL",'ITL-PIVOT'!$A$3,"KV%",$A216,"Experiment",J$5,"date",J$6)=0,NA(),GETPIVOTDATA("ITL",'ITL-PIVOT'!$A$3,"KV%",$A216,"Experiment",J$5,"date",J$6))</f>
        <v>#N/A</v>
      </c>
      <c r="K216" t="e">
        <f>IF(GETPIVOTDATA("ITL",'ITL-PIVOT'!$A$3,"KV%",$A216,"Experiment",K$5,"date",K$6)=0,NA(),GETPIVOTDATA("ITL",'ITL-PIVOT'!$A$3,"KV%",$A216,"Experiment",K$5,"date",K$6))</f>
        <v>#N/A</v>
      </c>
      <c r="L216" t="e">
        <f>IF(GETPIVOTDATA("ITL",'ITL-PIVOT'!$A$3,"KV%",$A216,"Experiment",L$5,"date",L$6)=0,NA(),GETPIVOTDATA("ITL",'ITL-PIVOT'!$A$3,"KV%",$A216,"Experiment",L$5,"date",L$6))</f>
        <v>#N/A</v>
      </c>
      <c r="M216" t="e">
        <f>IF(GETPIVOTDATA("ITL",'ITL-PIVOT'!$A$3,"KV%",$A216,"Experiment",M$5,"date",M$6)=0,NA(),GETPIVOTDATA("ITL",'ITL-PIVOT'!$A$3,"KV%",$A216,"Experiment",M$5,"date",M$6))</f>
        <v>#N/A</v>
      </c>
    </row>
    <row r="217" spans="1:13" x14ac:dyDescent="0.25">
      <c r="A217">
        <f>IF('ITL-PIVOT'!A215=0,NA(),'ITL-PIVOT'!A215)</f>
        <v>0.87177630395430672</v>
      </c>
      <c r="B217" t="e">
        <f>IF(GETPIVOTDATA("ITL",'ITL-PIVOT'!$A$3,"KV%",$A217,"Experiment",B$5,"date",B$6)=0,NA(),GETPIVOTDATA("ITL",'ITL-PIVOT'!$A$3,"KV%",$A217,"Experiment",B$5,"date",B$6))</f>
        <v>#N/A</v>
      </c>
      <c r="C217">
        <f>IF(GETPIVOTDATA("ITL",'ITL-PIVOT'!$A$3,"KV%",$A217,"Experiment",C$5,"date",C$6)=0,NA(),GETPIVOTDATA("ITL",'ITL-PIVOT'!$A$3,"KV%",$A217,"Experiment",C$5,"date",C$6))</f>
        <v>5.2149953802764624E-2</v>
      </c>
      <c r="D217" t="e">
        <f>IF(GETPIVOTDATA("ITL",'ITL-PIVOT'!$A$3,"KV%",$A217,"Experiment",D$5,"date",D$6)=0,NA(),GETPIVOTDATA("ITL",'ITL-PIVOT'!$A$3,"KV%",$A217,"Experiment",D$5,"date",D$6))</f>
        <v>#N/A</v>
      </c>
      <c r="E217" t="e">
        <f>IF(GETPIVOTDATA("ITL",'ITL-PIVOT'!$A$3,"KV%",$A217,"Experiment",E$5,"date",E$6)=0,NA(),GETPIVOTDATA("ITL",'ITL-PIVOT'!$A$3,"KV%",$A217,"Experiment",E$5,"date",E$6))</f>
        <v>#N/A</v>
      </c>
      <c r="F217" t="e">
        <f>IF(GETPIVOTDATA("ITL",'ITL-PIVOT'!$A$3,"KV%",$A217,"Experiment",F$5,"date",F$6)=0,NA(),GETPIVOTDATA("ITL",'ITL-PIVOT'!$A$3,"KV%",$A217,"Experiment",F$5,"date",F$6))</f>
        <v>#N/A</v>
      </c>
      <c r="G217" t="e">
        <f>IF(GETPIVOTDATA("ITL",'ITL-PIVOT'!$A$3,"KV%",$A217,"Experiment",G$5,"date",G$6)=0,NA(),GETPIVOTDATA("ITL",'ITL-PIVOT'!$A$3,"KV%",$A217,"Experiment",G$5,"date",G$6))</f>
        <v>#N/A</v>
      </c>
      <c r="H217" t="e">
        <f>IF(GETPIVOTDATA("ITL",'ITL-PIVOT'!$A$3,"KV%",$A217,"Experiment",H$5,"date",H$6)=0,NA(),GETPIVOTDATA("ITL",'ITL-PIVOT'!$A$3,"KV%",$A217,"Experiment",H$5,"date",H$6))</f>
        <v>#N/A</v>
      </c>
      <c r="I217" t="e">
        <f>IF(GETPIVOTDATA("ITL",'ITL-PIVOT'!$A$3,"KV%",$A217,"Experiment",I$5,"date",I$6)=0,NA(),GETPIVOTDATA("ITL",'ITL-PIVOT'!$A$3,"KV%",$A217,"Experiment",I$5,"date",I$6))</f>
        <v>#N/A</v>
      </c>
      <c r="J217" t="e">
        <f>IF(GETPIVOTDATA("ITL",'ITL-PIVOT'!$A$3,"KV%",$A217,"Experiment",J$5,"date",J$6)=0,NA(),GETPIVOTDATA("ITL",'ITL-PIVOT'!$A$3,"KV%",$A217,"Experiment",J$5,"date",J$6))</f>
        <v>#N/A</v>
      </c>
      <c r="K217" t="e">
        <f>IF(GETPIVOTDATA("ITL",'ITL-PIVOT'!$A$3,"KV%",$A217,"Experiment",K$5,"date",K$6)=0,NA(),GETPIVOTDATA("ITL",'ITL-PIVOT'!$A$3,"KV%",$A217,"Experiment",K$5,"date",K$6))</f>
        <v>#N/A</v>
      </c>
      <c r="L217" t="e">
        <f>IF(GETPIVOTDATA("ITL",'ITL-PIVOT'!$A$3,"KV%",$A217,"Experiment",L$5,"date",L$6)=0,NA(),GETPIVOTDATA("ITL",'ITL-PIVOT'!$A$3,"KV%",$A217,"Experiment",L$5,"date",L$6))</f>
        <v>#N/A</v>
      </c>
      <c r="M217" t="e">
        <f>IF(GETPIVOTDATA("ITL",'ITL-PIVOT'!$A$3,"KV%",$A217,"Experiment",M$5,"date",M$6)=0,NA(),GETPIVOTDATA("ITL",'ITL-PIVOT'!$A$3,"KV%",$A217,"Experiment",M$5,"date",M$6))</f>
        <v>#N/A</v>
      </c>
    </row>
    <row r="218" spans="1:13" x14ac:dyDescent="0.25">
      <c r="A218">
        <f>IF('ITL-PIVOT'!A216=0,NA(),'ITL-PIVOT'!A216)</f>
        <v>0.8748298029030479</v>
      </c>
      <c r="B218" t="e">
        <f>IF(GETPIVOTDATA("ITL",'ITL-PIVOT'!$A$3,"KV%",$A218,"Experiment",B$5,"date",B$6)=0,NA(),GETPIVOTDATA("ITL",'ITL-PIVOT'!$A$3,"KV%",$A218,"Experiment",B$5,"date",B$6))</f>
        <v>#N/A</v>
      </c>
      <c r="C218">
        <f>IF(GETPIVOTDATA("ITL",'ITL-PIVOT'!$A$3,"KV%",$A218,"Experiment",C$5,"date",C$6)=0,NA(),GETPIVOTDATA("ITL",'ITL-PIVOT'!$A$3,"KV%",$A218,"Experiment",C$5,"date",C$6))</f>
        <v>5.2832270464367087E-2</v>
      </c>
      <c r="D218" t="e">
        <f>IF(GETPIVOTDATA("ITL",'ITL-PIVOT'!$A$3,"KV%",$A218,"Experiment",D$5,"date",D$6)=0,NA(),GETPIVOTDATA("ITL",'ITL-PIVOT'!$A$3,"KV%",$A218,"Experiment",D$5,"date",D$6))</f>
        <v>#N/A</v>
      </c>
      <c r="E218" t="e">
        <f>IF(GETPIVOTDATA("ITL",'ITL-PIVOT'!$A$3,"KV%",$A218,"Experiment",E$5,"date",E$6)=0,NA(),GETPIVOTDATA("ITL",'ITL-PIVOT'!$A$3,"KV%",$A218,"Experiment",E$5,"date",E$6))</f>
        <v>#N/A</v>
      </c>
      <c r="F218" t="e">
        <f>IF(GETPIVOTDATA("ITL",'ITL-PIVOT'!$A$3,"KV%",$A218,"Experiment",F$5,"date",F$6)=0,NA(),GETPIVOTDATA("ITL",'ITL-PIVOT'!$A$3,"KV%",$A218,"Experiment",F$5,"date",F$6))</f>
        <v>#N/A</v>
      </c>
      <c r="G218" t="e">
        <f>IF(GETPIVOTDATA("ITL",'ITL-PIVOT'!$A$3,"KV%",$A218,"Experiment",G$5,"date",G$6)=0,NA(),GETPIVOTDATA("ITL",'ITL-PIVOT'!$A$3,"KV%",$A218,"Experiment",G$5,"date",G$6))</f>
        <v>#N/A</v>
      </c>
      <c r="H218" t="e">
        <f>IF(GETPIVOTDATA("ITL",'ITL-PIVOT'!$A$3,"KV%",$A218,"Experiment",H$5,"date",H$6)=0,NA(),GETPIVOTDATA("ITL",'ITL-PIVOT'!$A$3,"KV%",$A218,"Experiment",H$5,"date",H$6))</f>
        <v>#N/A</v>
      </c>
      <c r="I218" t="e">
        <f>IF(GETPIVOTDATA("ITL",'ITL-PIVOT'!$A$3,"KV%",$A218,"Experiment",I$5,"date",I$6)=0,NA(),GETPIVOTDATA("ITL",'ITL-PIVOT'!$A$3,"KV%",$A218,"Experiment",I$5,"date",I$6))</f>
        <v>#N/A</v>
      </c>
      <c r="J218" t="e">
        <f>IF(GETPIVOTDATA("ITL",'ITL-PIVOT'!$A$3,"KV%",$A218,"Experiment",J$5,"date",J$6)=0,NA(),GETPIVOTDATA("ITL",'ITL-PIVOT'!$A$3,"KV%",$A218,"Experiment",J$5,"date",J$6))</f>
        <v>#N/A</v>
      </c>
      <c r="K218" t="e">
        <f>IF(GETPIVOTDATA("ITL",'ITL-PIVOT'!$A$3,"KV%",$A218,"Experiment",K$5,"date",K$6)=0,NA(),GETPIVOTDATA("ITL",'ITL-PIVOT'!$A$3,"KV%",$A218,"Experiment",K$5,"date",K$6))</f>
        <v>#N/A</v>
      </c>
      <c r="L218" t="e">
        <f>IF(GETPIVOTDATA("ITL",'ITL-PIVOT'!$A$3,"KV%",$A218,"Experiment",L$5,"date",L$6)=0,NA(),GETPIVOTDATA("ITL",'ITL-PIVOT'!$A$3,"KV%",$A218,"Experiment",L$5,"date",L$6))</f>
        <v>#N/A</v>
      </c>
      <c r="M218" t="e">
        <f>IF(GETPIVOTDATA("ITL",'ITL-PIVOT'!$A$3,"KV%",$A218,"Experiment",M$5,"date",M$6)=0,NA(),GETPIVOTDATA("ITL",'ITL-PIVOT'!$A$3,"KV%",$A218,"Experiment",M$5,"date",M$6))</f>
        <v>#N/A</v>
      </c>
    </row>
    <row r="219" spans="1:13" x14ac:dyDescent="0.25">
      <c r="A219">
        <f>IF('ITL-PIVOT'!A217=0,NA(),'ITL-PIVOT'!A217)</f>
        <v>0.87529748645382954</v>
      </c>
      <c r="B219" t="e">
        <f>IF(GETPIVOTDATA("ITL",'ITL-PIVOT'!$A$3,"KV%",$A219,"Experiment",B$5,"date",B$6)=0,NA(),GETPIVOTDATA("ITL",'ITL-PIVOT'!$A$3,"KV%",$A219,"Experiment",B$5,"date",B$6))</f>
        <v>#N/A</v>
      </c>
      <c r="C219">
        <f>IF(GETPIVOTDATA("ITL",'ITL-PIVOT'!$A$3,"KV%",$A219,"Experiment",C$5,"date",C$6)=0,NA(),GETPIVOTDATA("ITL",'ITL-PIVOT'!$A$3,"KV%",$A219,"Experiment",C$5,"date",C$6))</f>
        <v>5.4148147401154513E-2</v>
      </c>
      <c r="D219" t="e">
        <f>IF(GETPIVOTDATA("ITL",'ITL-PIVOT'!$A$3,"KV%",$A219,"Experiment",D$5,"date",D$6)=0,NA(),GETPIVOTDATA("ITL",'ITL-PIVOT'!$A$3,"KV%",$A219,"Experiment",D$5,"date",D$6))</f>
        <v>#N/A</v>
      </c>
      <c r="E219" t="e">
        <f>IF(GETPIVOTDATA("ITL",'ITL-PIVOT'!$A$3,"KV%",$A219,"Experiment",E$5,"date",E$6)=0,NA(),GETPIVOTDATA("ITL",'ITL-PIVOT'!$A$3,"KV%",$A219,"Experiment",E$5,"date",E$6))</f>
        <v>#N/A</v>
      </c>
      <c r="F219" t="e">
        <f>IF(GETPIVOTDATA("ITL",'ITL-PIVOT'!$A$3,"KV%",$A219,"Experiment",F$5,"date",F$6)=0,NA(),GETPIVOTDATA("ITL",'ITL-PIVOT'!$A$3,"KV%",$A219,"Experiment",F$5,"date",F$6))</f>
        <v>#N/A</v>
      </c>
      <c r="G219" t="e">
        <f>IF(GETPIVOTDATA("ITL",'ITL-PIVOT'!$A$3,"KV%",$A219,"Experiment",G$5,"date",G$6)=0,NA(),GETPIVOTDATA("ITL",'ITL-PIVOT'!$A$3,"KV%",$A219,"Experiment",G$5,"date",G$6))</f>
        <v>#N/A</v>
      </c>
      <c r="H219" t="e">
        <f>IF(GETPIVOTDATA("ITL",'ITL-PIVOT'!$A$3,"KV%",$A219,"Experiment",H$5,"date",H$6)=0,NA(),GETPIVOTDATA("ITL",'ITL-PIVOT'!$A$3,"KV%",$A219,"Experiment",H$5,"date",H$6))</f>
        <v>#N/A</v>
      </c>
      <c r="I219" t="e">
        <f>IF(GETPIVOTDATA("ITL",'ITL-PIVOT'!$A$3,"KV%",$A219,"Experiment",I$5,"date",I$6)=0,NA(),GETPIVOTDATA("ITL",'ITL-PIVOT'!$A$3,"KV%",$A219,"Experiment",I$5,"date",I$6))</f>
        <v>#N/A</v>
      </c>
      <c r="J219" t="e">
        <f>IF(GETPIVOTDATA("ITL",'ITL-PIVOT'!$A$3,"KV%",$A219,"Experiment",J$5,"date",J$6)=0,NA(),GETPIVOTDATA("ITL",'ITL-PIVOT'!$A$3,"KV%",$A219,"Experiment",J$5,"date",J$6))</f>
        <v>#N/A</v>
      </c>
      <c r="K219" t="e">
        <f>IF(GETPIVOTDATA("ITL",'ITL-PIVOT'!$A$3,"KV%",$A219,"Experiment",K$5,"date",K$6)=0,NA(),GETPIVOTDATA("ITL",'ITL-PIVOT'!$A$3,"KV%",$A219,"Experiment",K$5,"date",K$6))</f>
        <v>#N/A</v>
      </c>
      <c r="L219" t="e">
        <f>IF(GETPIVOTDATA("ITL",'ITL-PIVOT'!$A$3,"KV%",$A219,"Experiment",L$5,"date",L$6)=0,NA(),GETPIVOTDATA("ITL",'ITL-PIVOT'!$A$3,"KV%",$A219,"Experiment",L$5,"date",L$6))</f>
        <v>#N/A</v>
      </c>
      <c r="M219" t="e">
        <f>IF(GETPIVOTDATA("ITL",'ITL-PIVOT'!$A$3,"KV%",$A219,"Experiment",M$5,"date",M$6)=0,NA(),GETPIVOTDATA("ITL",'ITL-PIVOT'!$A$3,"KV%",$A219,"Experiment",M$5,"date",M$6))</f>
        <v>#N/A</v>
      </c>
    </row>
    <row r="220" spans="1:13" x14ac:dyDescent="0.25">
      <c r="A220">
        <f>IF('ITL-PIVOT'!A218=0,NA(),'ITL-PIVOT'!A218)</f>
        <v>0.88144787395175306</v>
      </c>
      <c r="B220" t="e">
        <f>IF(GETPIVOTDATA("ITL",'ITL-PIVOT'!$A$3,"KV%",$A220,"Experiment",B$5,"date",B$6)=0,NA(),GETPIVOTDATA("ITL",'ITL-PIVOT'!$A$3,"KV%",$A220,"Experiment",B$5,"date",B$6))</f>
        <v>#N/A</v>
      </c>
      <c r="C220">
        <f>IF(GETPIVOTDATA("ITL",'ITL-PIVOT'!$A$3,"KV%",$A220,"Experiment",C$5,"date",C$6)=0,NA(),GETPIVOTDATA("ITL",'ITL-PIVOT'!$A$3,"KV%",$A220,"Experiment",C$5,"date",C$6))</f>
        <v>5.398782987364837E-2</v>
      </c>
      <c r="D220" t="e">
        <f>IF(GETPIVOTDATA("ITL",'ITL-PIVOT'!$A$3,"KV%",$A220,"Experiment",D$5,"date",D$6)=0,NA(),GETPIVOTDATA("ITL",'ITL-PIVOT'!$A$3,"KV%",$A220,"Experiment",D$5,"date",D$6))</f>
        <v>#N/A</v>
      </c>
      <c r="E220" t="e">
        <f>IF(GETPIVOTDATA("ITL",'ITL-PIVOT'!$A$3,"KV%",$A220,"Experiment",E$5,"date",E$6)=0,NA(),GETPIVOTDATA("ITL",'ITL-PIVOT'!$A$3,"KV%",$A220,"Experiment",E$5,"date",E$6))</f>
        <v>#N/A</v>
      </c>
      <c r="F220" t="e">
        <f>IF(GETPIVOTDATA("ITL",'ITL-PIVOT'!$A$3,"KV%",$A220,"Experiment",F$5,"date",F$6)=0,NA(),GETPIVOTDATA("ITL",'ITL-PIVOT'!$A$3,"KV%",$A220,"Experiment",F$5,"date",F$6))</f>
        <v>#N/A</v>
      </c>
      <c r="G220" t="e">
        <f>IF(GETPIVOTDATA("ITL",'ITL-PIVOT'!$A$3,"KV%",$A220,"Experiment",G$5,"date",G$6)=0,NA(),GETPIVOTDATA("ITL",'ITL-PIVOT'!$A$3,"KV%",$A220,"Experiment",G$5,"date",G$6))</f>
        <v>#N/A</v>
      </c>
      <c r="H220" t="e">
        <f>IF(GETPIVOTDATA("ITL",'ITL-PIVOT'!$A$3,"KV%",$A220,"Experiment",H$5,"date",H$6)=0,NA(),GETPIVOTDATA("ITL",'ITL-PIVOT'!$A$3,"KV%",$A220,"Experiment",H$5,"date",H$6))</f>
        <v>#N/A</v>
      </c>
      <c r="I220" t="e">
        <f>IF(GETPIVOTDATA("ITL",'ITL-PIVOT'!$A$3,"KV%",$A220,"Experiment",I$5,"date",I$6)=0,NA(),GETPIVOTDATA("ITL",'ITL-PIVOT'!$A$3,"KV%",$A220,"Experiment",I$5,"date",I$6))</f>
        <v>#N/A</v>
      </c>
      <c r="J220" t="e">
        <f>IF(GETPIVOTDATA("ITL",'ITL-PIVOT'!$A$3,"KV%",$A220,"Experiment",J$5,"date",J$6)=0,NA(),GETPIVOTDATA("ITL",'ITL-PIVOT'!$A$3,"KV%",$A220,"Experiment",J$5,"date",J$6))</f>
        <v>#N/A</v>
      </c>
      <c r="K220" t="e">
        <f>IF(GETPIVOTDATA("ITL",'ITL-PIVOT'!$A$3,"KV%",$A220,"Experiment",K$5,"date",K$6)=0,NA(),GETPIVOTDATA("ITL",'ITL-PIVOT'!$A$3,"KV%",$A220,"Experiment",K$5,"date",K$6))</f>
        <v>#N/A</v>
      </c>
      <c r="L220" t="e">
        <f>IF(GETPIVOTDATA("ITL",'ITL-PIVOT'!$A$3,"KV%",$A220,"Experiment",L$5,"date",L$6)=0,NA(),GETPIVOTDATA("ITL",'ITL-PIVOT'!$A$3,"KV%",$A220,"Experiment",L$5,"date",L$6))</f>
        <v>#N/A</v>
      </c>
      <c r="M220" t="e">
        <f>IF(GETPIVOTDATA("ITL",'ITL-PIVOT'!$A$3,"KV%",$A220,"Experiment",M$5,"date",M$6)=0,NA(),GETPIVOTDATA("ITL",'ITL-PIVOT'!$A$3,"KV%",$A220,"Experiment",M$5,"date",M$6))</f>
        <v>#N/A</v>
      </c>
    </row>
    <row r="221" spans="1:13" x14ac:dyDescent="0.25">
      <c r="A221">
        <f>IF('ITL-PIVOT'!A219=0,NA(),'ITL-PIVOT'!A219)</f>
        <v>0.90006702220761503</v>
      </c>
      <c r="B221" t="e">
        <f>IF(GETPIVOTDATA("ITL",'ITL-PIVOT'!$A$3,"KV%",$A221,"Experiment",B$5,"date",B$6)=0,NA(),GETPIVOTDATA("ITL",'ITL-PIVOT'!$A$3,"KV%",$A221,"Experiment",B$5,"date",B$6))</f>
        <v>#N/A</v>
      </c>
      <c r="C221">
        <f>IF(GETPIVOTDATA("ITL",'ITL-PIVOT'!$A$3,"KV%",$A221,"Experiment",C$5,"date",C$6)=0,NA(),GETPIVOTDATA("ITL",'ITL-PIVOT'!$A$3,"KV%",$A221,"Experiment",C$5,"date",C$6))</f>
        <v>5.2854428180746427E-2</v>
      </c>
      <c r="D221" t="e">
        <f>IF(GETPIVOTDATA("ITL",'ITL-PIVOT'!$A$3,"KV%",$A221,"Experiment",D$5,"date",D$6)=0,NA(),GETPIVOTDATA("ITL",'ITL-PIVOT'!$A$3,"KV%",$A221,"Experiment",D$5,"date",D$6))</f>
        <v>#N/A</v>
      </c>
      <c r="E221" t="e">
        <f>IF(GETPIVOTDATA("ITL",'ITL-PIVOT'!$A$3,"KV%",$A221,"Experiment",E$5,"date",E$6)=0,NA(),GETPIVOTDATA("ITL",'ITL-PIVOT'!$A$3,"KV%",$A221,"Experiment",E$5,"date",E$6))</f>
        <v>#N/A</v>
      </c>
      <c r="F221" t="e">
        <f>IF(GETPIVOTDATA("ITL",'ITL-PIVOT'!$A$3,"KV%",$A221,"Experiment",F$5,"date",F$6)=0,NA(),GETPIVOTDATA("ITL",'ITL-PIVOT'!$A$3,"KV%",$A221,"Experiment",F$5,"date",F$6))</f>
        <v>#N/A</v>
      </c>
      <c r="G221" t="e">
        <f>IF(GETPIVOTDATA("ITL",'ITL-PIVOT'!$A$3,"KV%",$A221,"Experiment",G$5,"date",G$6)=0,NA(),GETPIVOTDATA("ITL",'ITL-PIVOT'!$A$3,"KV%",$A221,"Experiment",G$5,"date",G$6))</f>
        <v>#N/A</v>
      </c>
      <c r="H221" t="e">
        <f>IF(GETPIVOTDATA("ITL",'ITL-PIVOT'!$A$3,"KV%",$A221,"Experiment",H$5,"date",H$6)=0,NA(),GETPIVOTDATA("ITL",'ITL-PIVOT'!$A$3,"KV%",$A221,"Experiment",H$5,"date",H$6))</f>
        <v>#N/A</v>
      </c>
      <c r="I221" t="e">
        <f>IF(GETPIVOTDATA("ITL",'ITL-PIVOT'!$A$3,"KV%",$A221,"Experiment",I$5,"date",I$6)=0,NA(),GETPIVOTDATA("ITL",'ITL-PIVOT'!$A$3,"KV%",$A221,"Experiment",I$5,"date",I$6))</f>
        <v>#N/A</v>
      </c>
      <c r="J221" t="e">
        <f>IF(GETPIVOTDATA("ITL",'ITL-PIVOT'!$A$3,"KV%",$A221,"Experiment",J$5,"date",J$6)=0,NA(),GETPIVOTDATA("ITL",'ITL-PIVOT'!$A$3,"KV%",$A221,"Experiment",J$5,"date",J$6))</f>
        <v>#N/A</v>
      </c>
      <c r="K221" t="e">
        <f>IF(GETPIVOTDATA("ITL",'ITL-PIVOT'!$A$3,"KV%",$A221,"Experiment",K$5,"date",K$6)=0,NA(),GETPIVOTDATA("ITL",'ITL-PIVOT'!$A$3,"KV%",$A221,"Experiment",K$5,"date",K$6))</f>
        <v>#N/A</v>
      </c>
      <c r="L221" t="e">
        <f>IF(GETPIVOTDATA("ITL",'ITL-PIVOT'!$A$3,"KV%",$A221,"Experiment",L$5,"date",L$6)=0,NA(),GETPIVOTDATA("ITL",'ITL-PIVOT'!$A$3,"KV%",$A221,"Experiment",L$5,"date",L$6))</f>
        <v>#N/A</v>
      </c>
      <c r="M221" t="e">
        <f>IF(GETPIVOTDATA("ITL",'ITL-PIVOT'!$A$3,"KV%",$A221,"Experiment",M$5,"date",M$6)=0,NA(),GETPIVOTDATA("ITL",'ITL-PIVOT'!$A$3,"KV%",$A221,"Experiment",M$5,"date",M$6))</f>
        <v>#N/A</v>
      </c>
    </row>
    <row r="222" spans="1:13" x14ac:dyDescent="0.25">
      <c r="A222">
        <f>IF('ITL-PIVOT'!A220=0,NA(),'ITL-PIVOT'!A220)</f>
        <v>0.90925288049880759</v>
      </c>
      <c r="B222" t="e">
        <f>IF(GETPIVOTDATA("ITL",'ITL-PIVOT'!$A$3,"KV%",$A222,"Experiment",B$5,"date",B$6)=0,NA(),GETPIVOTDATA("ITL",'ITL-PIVOT'!$A$3,"KV%",$A222,"Experiment",B$5,"date",B$6))</f>
        <v>#N/A</v>
      </c>
      <c r="C222">
        <f>IF(GETPIVOTDATA("ITL",'ITL-PIVOT'!$A$3,"KV%",$A222,"Experiment",C$5,"date",C$6)=0,NA(),GETPIVOTDATA("ITL",'ITL-PIVOT'!$A$3,"KV%",$A222,"Experiment",C$5,"date",C$6))</f>
        <v>5.4345286202558019E-2</v>
      </c>
      <c r="D222" t="e">
        <f>IF(GETPIVOTDATA("ITL",'ITL-PIVOT'!$A$3,"KV%",$A222,"Experiment",D$5,"date",D$6)=0,NA(),GETPIVOTDATA("ITL",'ITL-PIVOT'!$A$3,"KV%",$A222,"Experiment",D$5,"date",D$6))</f>
        <v>#N/A</v>
      </c>
      <c r="E222" t="e">
        <f>IF(GETPIVOTDATA("ITL",'ITL-PIVOT'!$A$3,"KV%",$A222,"Experiment",E$5,"date",E$6)=0,NA(),GETPIVOTDATA("ITL",'ITL-PIVOT'!$A$3,"KV%",$A222,"Experiment",E$5,"date",E$6))</f>
        <v>#N/A</v>
      </c>
      <c r="F222" t="e">
        <f>IF(GETPIVOTDATA("ITL",'ITL-PIVOT'!$A$3,"KV%",$A222,"Experiment",F$5,"date",F$6)=0,NA(),GETPIVOTDATA("ITL",'ITL-PIVOT'!$A$3,"KV%",$A222,"Experiment",F$5,"date",F$6))</f>
        <v>#N/A</v>
      </c>
      <c r="G222" t="e">
        <f>IF(GETPIVOTDATA("ITL",'ITL-PIVOT'!$A$3,"KV%",$A222,"Experiment",G$5,"date",G$6)=0,NA(),GETPIVOTDATA("ITL",'ITL-PIVOT'!$A$3,"KV%",$A222,"Experiment",G$5,"date",G$6))</f>
        <v>#N/A</v>
      </c>
      <c r="H222" t="e">
        <f>IF(GETPIVOTDATA("ITL",'ITL-PIVOT'!$A$3,"KV%",$A222,"Experiment",H$5,"date",H$6)=0,NA(),GETPIVOTDATA("ITL",'ITL-PIVOT'!$A$3,"KV%",$A222,"Experiment",H$5,"date",H$6))</f>
        <v>#N/A</v>
      </c>
      <c r="I222" t="e">
        <f>IF(GETPIVOTDATA("ITL",'ITL-PIVOT'!$A$3,"KV%",$A222,"Experiment",I$5,"date",I$6)=0,NA(),GETPIVOTDATA("ITL",'ITL-PIVOT'!$A$3,"KV%",$A222,"Experiment",I$5,"date",I$6))</f>
        <v>#N/A</v>
      </c>
      <c r="J222" t="e">
        <f>IF(GETPIVOTDATA("ITL",'ITL-PIVOT'!$A$3,"KV%",$A222,"Experiment",J$5,"date",J$6)=0,NA(),GETPIVOTDATA("ITL",'ITL-PIVOT'!$A$3,"KV%",$A222,"Experiment",J$5,"date",J$6))</f>
        <v>#N/A</v>
      </c>
      <c r="K222" t="e">
        <f>IF(GETPIVOTDATA("ITL",'ITL-PIVOT'!$A$3,"KV%",$A222,"Experiment",K$5,"date",K$6)=0,NA(),GETPIVOTDATA("ITL",'ITL-PIVOT'!$A$3,"KV%",$A222,"Experiment",K$5,"date",K$6))</f>
        <v>#N/A</v>
      </c>
      <c r="L222" t="e">
        <f>IF(GETPIVOTDATA("ITL",'ITL-PIVOT'!$A$3,"KV%",$A222,"Experiment",L$5,"date",L$6)=0,NA(),GETPIVOTDATA("ITL",'ITL-PIVOT'!$A$3,"KV%",$A222,"Experiment",L$5,"date",L$6))</f>
        <v>#N/A</v>
      </c>
      <c r="M222" t="e">
        <f>IF(GETPIVOTDATA("ITL",'ITL-PIVOT'!$A$3,"KV%",$A222,"Experiment",M$5,"date",M$6)=0,NA(),GETPIVOTDATA("ITL",'ITL-PIVOT'!$A$3,"KV%",$A222,"Experiment",M$5,"date",M$6))</f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J220"/>
  <sheetViews>
    <sheetView tabSelected="1" zoomScale="110" zoomScaleNormal="110" workbookViewId="0">
      <pane xSplit="4" ySplit="5" topLeftCell="G99" activePane="bottomRight" state="frozen"/>
      <selection pane="topRight" activeCell="E1" sqref="E1"/>
      <selection pane="bottomLeft" activeCell="A6" sqref="A6"/>
      <selection pane="bottomRight" activeCell="T101" sqref="T101"/>
    </sheetView>
  </sheetViews>
  <sheetFormatPr defaultRowHeight="15" x14ac:dyDescent="0.25"/>
  <cols>
    <col min="1" max="1" width="11.5703125" style="3" bestFit="1" customWidth="1"/>
    <col min="2" max="2" width="10.7109375" style="3" bestFit="1" customWidth="1"/>
    <col min="3" max="3" width="6.7109375" style="5" bestFit="1" customWidth="1"/>
    <col min="4" max="4" width="6.7109375" style="5" customWidth="1"/>
    <col min="5" max="5" width="12.85546875" style="5" bestFit="1" customWidth="1"/>
    <col min="6" max="6" width="11" style="5" bestFit="1" customWidth="1"/>
    <col min="7" max="7" width="8.140625" style="5" bestFit="1" customWidth="1"/>
    <col min="8" max="8" width="9.7109375" style="10" bestFit="1" customWidth="1"/>
    <col min="9" max="9" width="9.5703125" style="5" bestFit="1" customWidth="1"/>
    <col min="10" max="10" width="10" style="5" bestFit="1" customWidth="1"/>
    <col min="11" max="12" width="14.140625" style="5" bestFit="1" customWidth="1"/>
    <col min="13" max="13" width="9" style="10" bestFit="1" customWidth="1"/>
    <col min="14" max="14" width="11.7109375" style="5" bestFit="1" customWidth="1"/>
    <col min="15" max="15" width="11.28515625" style="3" bestFit="1" customWidth="1"/>
    <col min="16" max="16" width="10.28515625" style="3" bestFit="1" customWidth="1"/>
    <col min="17" max="17" width="9.140625" style="5" bestFit="1" customWidth="1"/>
    <col min="18" max="18" width="10.85546875" style="5" bestFit="1" customWidth="1"/>
    <col min="19" max="19" width="10.5703125" style="5" bestFit="1" customWidth="1"/>
    <col min="20" max="20" width="14.42578125" style="5" bestFit="1" customWidth="1"/>
    <col min="21" max="21" width="9" style="20" bestFit="1" customWidth="1"/>
    <col min="22" max="22" width="10.42578125" style="3" bestFit="1" customWidth="1"/>
    <col min="23" max="23" width="8" style="3" bestFit="1" customWidth="1"/>
    <col min="24" max="24" width="9.42578125" style="3" bestFit="1" customWidth="1"/>
    <col min="25" max="26" width="11.5703125" style="3" bestFit="1" customWidth="1"/>
    <col min="27" max="27" width="12.28515625" style="3" bestFit="1" customWidth="1"/>
    <col min="28" max="28" width="10.140625" style="3" bestFit="1" customWidth="1"/>
    <col min="29" max="29" width="14.42578125" style="3" bestFit="1" customWidth="1"/>
    <col min="30" max="30" width="14.42578125" style="3" customWidth="1"/>
    <col min="31" max="31" width="18.42578125" style="3" bestFit="1" customWidth="1"/>
    <col min="32" max="32" width="9.28515625" style="22" bestFit="1" customWidth="1"/>
    <col min="33" max="33" width="10.42578125" style="5" bestFit="1" customWidth="1"/>
    <col min="34" max="34" width="9.5703125" style="5" bestFit="1" customWidth="1"/>
    <col min="35" max="35" width="9.5703125" style="5" customWidth="1"/>
    <col min="36" max="36" width="11.140625" style="10" customWidth="1"/>
    <col min="37" max="37" width="8" style="10" bestFit="1" customWidth="1"/>
    <col min="38" max="38" width="10.5703125" style="5" bestFit="1" customWidth="1"/>
    <col min="39" max="39" width="9.42578125" style="5" bestFit="1" customWidth="1"/>
    <col min="40" max="42" width="9.42578125" style="5" customWidth="1"/>
    <col min="43" max="43" width="11.85546875" style="5" bestFit="1" customWidth="1"/>
    <col min="44" max="44" width="8.5703125" style="5" bestFit="1" customWidth="1"/>
    <col min="45" max="46" width="10.5703125" style="5" bestFit="1" customWidth="1"/>
    <col min="47" max="47" width="7.5703125" style="5" bestFit="1" customWidth="1"/>
    <col min="48" max="48" width="8.42578125" style="5" bestFit="1" customWidth="1"/>
    <col min="49" max="49" width="8.5703125" style="5" bestFit="1" customWidth="1"/>
    <col min="50" max="50" width="10.140625" style="5" bestFit="1" customWidth="1"/>
    <col min="51" max="51" width="9.42578125" style="5" bestFit="1" customWidth="1"/>
    <col min="52" max="52" width="11" style="5" bestFit="1" customWidth="1"/>
    <col min="53" max="66" width="11.140625" style="5" customWidth="1"/>
    <col min="67" max="67" width="11.140625" style="172" customWidth="1"/>
    <col min="68" max="78" width="11.140625" style="5" customWidth="1"/>
    <col min="80" max="80" width="12.5703125" style="3" bestFit="1" customWidth="1"/>
    <col min="81" max="82" width="11.5703125" style="3" bestFit="1" customWidth="1"/>
    <col min="83" max="84" width="9.5703125" style="3" bestFit="1" customWidth="1"/>
    <col min="85" max="85" width="8" style="5" bestFit="1" customWidth="1"/>
    <col min="86" max="86" width="11.140625" style="5" bestFit="1" customWidth="1"/>
    <col min="87" max="87" width="9.7109375" style="5" bestFit="1" customWidth="1"/>
    <col min="88" max="88" width="10.42578125" style="5" bestFit="1" customWidth="1"/>
    <col min="89" max="89" width="16.85546875" style="3" bestFit="1" customWidth="1"/>
    <col min="90" max="90" width="16.85546875" style="5" bestFit="1" customWidth="1"/>
    <col min="91" max="91" width="14.28515625" style="5" bestFit="1" customWidth="1"/>
    <col min="92" max="92" width="11.5703125" style="5" bestFit="1" customWidth="1"/>
    <col min="93" max="93" width="11.28515625" style="5" bestFit="1" customWidth="1"/>
    <col min="94" max="94" width="11.7109375" style="5" bestFit="1" customWidth="1"/>
    <col min="95" max="95" width="4.5703125" style="5" bestFit="1" customWidth="1"/>
    <col min="96" max="96" width="14" style="5" bestFit="1" customWidth="1"/>
    <col min="97" max="100" width="11.5703125" style="5" bestFit="1" customWidth="1"/>
    <col min="101" max="101" width="8.5703125" style="5" bestFit="1" customWidth="1"/>
    <col min="102" max="103" width="11.28515625" style="5" bestFit="1" customWidth="1"/>
    <col min="104" max="104" width="15.85546875" style="5" bestFit="1" customWidth="1"/>
    <col min="105" max="192" width="9.140625" style="5"/>
  </cols>
  <sheetData>
    <row r="1" spans="1:192" ht="45" x14ac:dyDescent="0.25">
      <c r="S1" s="59" t="s">
        <v>62</v>
      </c>
      <c r="V1" s="40" t="s">
        <v>48</v>
      </c>
      <c r="AA1" s="40" t="s">
        <v>69</v>
      </c>
      <c r="AB1" s="40"/>
      <c r="AC1" s="62" t="s">
        <v>69</v>
      </c>
      <c r="AD1" s="62"/>
      <c r="AE1" s="62"/>
      <c r="AF1" s="21"/>
      <c r="AJ1" s="10" t="s">
        <v>68</v>
      </c>
      <c r="BB1" s="59" t="s">
        <v>82</v>
      </c>
      <c r="CA1" s="3"/>
      <c r="CF1" s="5"/>
      <c r="CJ1" s="3"/>
      <c r="CK1" s="5"/>
      <c r="GJ1"/>
    </row>
    <row r="2" spans="1:192" x14ac:dyDescent="0.25">
      <c r="D2" s="5">
        <f ca="1">AVERAGE(INDIRECT("Table1[["&amp;D$5&amp;"]]"))</f>
        <v>0.40966158640875577</v>
      </c>
      <c r="H2" s="5">
        <f t="shared" ref="H2" ca="1" si="0">AVERAGE(INDIRECT("Table1[["&amp;H$5&amp;"]]"))</f>
        <v>2.1156207564703666</v>
      </c>
      <c r="I2" s="5">
        <f ca="1">AVERAGE(INDIRECT("Table1[["&amp;I$5&amp;"]]"))</f>
        <v>0.37342867123376361</v>
      </c>
      <c r="J2" s="5">
        <f t="shared" ref="J2:R2" ca="1" si="1">AVERAGE(INDIRECT("Table1[["&amp;J$5&amp;"]]"))</f>
        <v>2.7171721752018931</v>
      </c>
      <c r="K2" s="5">
        <f t="shared" ca="1" si="1"/>
        <v>5.706161720632581</v>
      </c>
      <c r="L2" s="5">
        <f t="shared" ca="1" si="1"/>
        <v>6.2199587529001317</v>
      </c>
      <c r="M2" s="5">
        <f t="shared" ca="1" si="1"/>
        <v>2.9235323389494125E-2</v>
      </c>
      <c r="N2" s="5">
        <f t="shared" ca="1" si="1"/>
        <v>13.596276323399106</v>
      </c>
      <c r="O2" s="5">
        <f t="shared" ca="1" si="1"/>
        <v>18604.56737467381</v>
      </c>
      <c r="P2" s="5">
        <f t="shared" ca="1" si="1"/>
        <v>1235.7389097972921</v>
      </c>
      <c r="Q2" s="5">
        <f t="shared" ca="1" si="1"/>
        <v>27.345886294164085</v>
      </c>
      <c r="R2" s="5">
        <f t="shared" ca="1" si="1"/>
        <v>42.86279069767442</v>
      </c>
      <c r="S2" s="41">
        <v>0.8</v>
      </c>
      <c r="V2" s="63">
        <v>0.5</v>
      </c>
      <c r="Y2" s="3">
        <f>MAX(Table1[Ratio])</f>
        <v>60</v>
      </c>
      <c r="AA2" s="3">
        <f>AVERAGE(Table1[MaxTok(N)])</f>
        <v>481946.05445911485</v>
      </c>
      <c r="AC2" s="12">
        <f>AVERAGE(Table1[MaxTok(Run)])</f>
        <v>387912.26199255529</v>
      </c>
      <c r="AD2" s="12"/>
      <c r="AE2" s="50">
        <f>AVERAGE(Table1[MaxTok(MaxRun)])</f>
        <v>387879.61725342408</v>
      </c>
      <c r="AF2" s="21"/>
      <c r="AI2" s="4">
        <f>AVERAGE(Table1[GPSestErr])</f>
        <v>0.87289793131650706</v>
      </c>
      <c r="AO2" s="189" t="s">
        <v>163</v>
      </c>
      <c r="BB2" s="4">
        <v>0.75</v>
      </c>
      <c r="BP2" s="3">
        <v>1000</v>
      </c>
      <c r="BQ2" s="5">
        <v>5.0000000000000001E-3</v>
      </c>
      <c r="BR2" s="4">
        <v>0.1</v>
      </c>
      <c r="BS2" s="4">
        <v>0.01</v>
      </c>
      <c r="BT2" s="5">
        <v>1</v>
      </c>
      <c r="BU2" s="5">
        <v>5</v>
      </c>
      <c r="BV2" s="5">
        <v>1000</v>
      </c>
      <c r="CA2" s="3"/>
      <c r="CF2" s="5"/>
      <c r="CJ2" s="3"/>
      <c r="CK2" s="5"/>
      <c r="GJ2"/>
    </row>
    <row r="3" spans="1:192" ht="15.75" thickBot="1" x14ac:dyDescent="0.3">
      <c r="A3" s="3">
        <f t="shared" ref="A3:C3" ca="1" si="2">COUNTA(INDIRECT("Table1[["&amp;A$5&amp;"]]"))</f>
        <v>215</v>
      </c>
      <c r="B3" s="3">
        <f t="shared" ca="1" si="2"/>
        <v>215</v>
      </c>
      <c r="C3" s="3">
        <f t="shared" ca="1" si="2"/>
        <v>215</v>
      </c>
      <c r="D3" s="3">
        <f t="shared" ref="D3:H3" ca="1" si="3">COUNTA(INDIRECT("Table1[["&amp;D$5&amp;"]]"))</f>
        <v>215</v>
      </c>
      <c r="E3" s="3">
        <f t="shared" ca="1" si="3"/>
        <v>215</v>
      </c>
      <c r="F3" s="3">
        <f t="shared" ca="1" si="3"/>
        <v>215</v>
      </c>
      <c r="G3" s="3">
        <f t="shared" ca="1" si="3"/>
        <v>69</v>
      </c>
      <c r="H3" s="3">
        <f t="shared" ca="1" si="3"/>
        <v>215</v>
      </c>
      <c r="I3" s="3">
        <f ca="1">COUNTA(INDIRECT("Table1[["&amp;I$5&amp;"]]"))</f>
        <v>215</v>
      </c>
      <c r="J3" s="3">
        <f t="shared" ref="J3:R3" ca="1" si="4">COUNTA(INDIRECT("Table1[["&amp;J$5&amp;"]]"))</f>
        <v>215</v>
      </c>
      <c r="K3" s="3">
        <f t="shared" ca="1" si="4"/>
        <v>215</v>
      </c>
      <c r="L3" s="3">
        <f t="shared" ca="1" si="4"/>
        <v>215</v>
      </c>
      <c r="M3" s="3">
        <f t="shared" ca="1" si="4"/>
        <v>215</v>
      </c>
      <c r="N3" s="3">
        <f t="shared" ca="1" si="4"/>
        <v>215</v>
      </c>
      <c r="O3" s="3">
        <f t="shared" ca="1" si="4"/>
        <v>215</v>
      </c>
      <c r="P3" s="3">
        <f t="shared" ca="1" si="4"/>
        <v>215</v>
      </c>
      <c r="Q3" s="3">
        <f t="shared" ca="1" si="4"/>
        <v>215</v>
      </c>
      <c r="R3" s="3">
        <f t="shared" ca="1" si="4"/>
        <v>215</v>
      </c>
      <c r="U3" s="129"/>
      <c r="Y3" s="20"/>
      <c r="AA3" s="3">
        <f>_xlfn.STDEV.S(Table1[MaxTok(N)])</f>
        <v>101714.19990567397</v>
      </c>
      <c r="AC3" s="3">
        <f>_xlfn.STDEV.S(Table1[MaxTok(Run)])</f>
        <v>1495.9741181153638</v>
      </c>
      <c r="AE3" s="3">
        <f>_xlfn.STDEV.S(Table1[MaxTok(MaxRun)])</f>
        <v>2978.5082523303822</v>
      </c>
      <c r="AI3" s="4">
        <f>_xlfn.STDEV.S(Table1[GPSestErr])</f>
        <v>0.13935028637395006</v>
      </c>
      <c r="BP3" s="189" t="s">
        <v>118</v>
      </c>
      <c r="BQ3" s="189" t="s">
        <v>117</v>
      </c>
      <c r="BR3" s="189" t="s">
        <v>116</v>
      </c>
      <c r="BS3" s="189" t="s">
        <v>116</v>
      </c>
      <c r="BT3" s="189" t="s">
        <v>128</v>
      </c>
      <c r="BU3" s="189" t="s">
        <v>132</v>
      </c>
      <c r="BV3" s="5" t="s">
        <v>135</v>
      </c>
      <c r="CA3" s="3"/>
      <c r="CF3" s="5"/>
      <c r="CJ3" s="3"/>
      <c r="CK3" s="5"/>
      <c r="GJ3"/>
    </row>
    <row r="4" spans="1:192" ht="15.75" thickBot="1" x14ac:dyDescent="0.3">
      <c r="A4" s="227" t="s">
        <v>47</v>
      </c>
      <c r="B4" s="228"/>
      <c r="C4" s="229"/>
      <c r="D4" s="46"/>
      <c r="G4" s="23"/>
      <c r="U4" s="227" t="s">
        <v>42</v>
      </c>
      <c r="V4" s="228"/>
      <c r="W4" s="228"/>
      <c r="X4" s="229"/>
      <c r="Y4" s="127"/>
      <c r="Z4" s="227" t="s">
        <v>76</v>
      </c>
      <c r="AA4" s="228"/>
      <c r="AB4" s="228"/>
      <c r="AC4" s="228"/>
      <c r="AD4" s="228"/>
      <c r="AE4" s="229"/>
      <c r="AF4" s="230" t="s">
        <v>50</v>
      </c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2"/>
      <c r="BP4" s="5" t="s">
        <v>119</v>
      </c>
      <c r="CA4" s="3"/>
      <c r="CF4" s="5"/>
      <c r="CH4" s="6"/>
      <c r="CI4" s="6"/>
      <c r="CJ4" s="13"/>
      <c r="CK4" s="6"/>
      <c r="CL4" s="6"/>
      <c r="CM4" s="6"/>
      <c r="CN4" s="6"/>
      <c r="CO4" s="6"/>
      <c r="CP4" s="6"/>
      <c r="CQ4" s="6">
        <v>0.5</v>
      </c>
      <c r="CR4" s="6">
        <v>388142</v>
      </c>
      <c r="CS4" s="6">
        <v>387973</v>
      </c>
      <c r="CT4" s="6">
        <v>311323</v>
      </c>
      <c r="CU4" s="6">
        <v>388142</v>
      </c>
      <c r="CV4" s="6">
        <v>0.8</v>
      </c>
      <c r="CW4" s="6"/>
      <c r="CX4" s="6"/>
      <c r="CY4" s="6"/>
      <c r="GJ4"/>
    </row>
    <row r="5" spans="1:192" s="1" customFormat="1" x14ac:dyDescent="0.25">
      <c r="A5" s="79" t="s">
        <v>0</v>
      </c>
      <c r="B5" s="80" t="s">
        <v>1</v>
      </c>
      <c r="C5" s="84" t="s">
        <v>2</v>
      </c>
      <c r="D5" s="28" t="s">
        <v>81</v>
      </c>
      <c r="E5" s="7" t="s">
        <v>136</v>
      </c>
      <c r="F5" s="7" t="s">
        <v>157</v>
      </c>
      <c r="G5" s="28" t="s">
        <v>3</v>
      </c>
      <c r="H5" s="11" t="s">
        <v>4</v>
      </c>
      <c r="I5" s="7" t="s">
        <v>5</v>
      </c>
      <c r="J5" s="7" t="s">
        <v>6</v>
      </c>
      <c r="K5" s="7" t="s">
        <v>7</v>
      </c>
      <c r="L5" s="7" t="s">
        <v>8</v>
      </c>
      <c r="M5" s="11" t="s">
        <v>9</v>
      </c>
      <c r="N5" s="7" t="s">
        <v>10</v>
      </c>
      <c r="O5" s="12" t="s">
        <v>11</v>
      </c>
      <c r="P5" s="12" t="s">
        <v>12</v>
      </c>
      <c r="Q5" s="7" t="s">
        <v>13</v>
      </c>
      <c r="R5" s="7" t="s">
        <v>14</v>
      </c>
      <c r="S5" s="7" t="s">
        <v>15</v>
      </c>
      <c r="T5" s="7" t="s">
        <v>16</v>
      </c>
      <c r="U5" s="27" t="s">
        <v>43</v>
      </c>
      <c r="V5" s="24" t="s">
        <v>44</v>
      </c>
      <c r="W5" s="24" t="s">
        <v>45</v>
      </c>
      <c r="X5" s="36" t="s">
        <v>46</v>
      </c>
      <c r="Y5" s="27" t="s">
        <v>75</v>
      </c>
      <c r="Z5" s="79" t="s">
        <v>70</v>
      </c>
      <c r="AA5" s="80" t="s">
        <v>71</v>
      </c>
      <c r="AB5" s="80" t="s">
        <v>72</v>
      </c>
      <c r="AC5" s="128" t="s">
        <v>73</v>
      </c>
      <c r="AD5" s="80" t="s">
        <v>77</v>
      </c>
      <c r="AE5" s="80" t="s">
        <v>78</v>
      </c>
      <c r="AF5" s="81" t="s">
        <v>65</v>
      </c>
      <c r="AG5" s="82" t="s">
        <v>66</v>
      </c>
      <c r="AH5" s="82" t="s">
        <v>26</v>
      </c>
      <c r="AI5" s="82" t="s">
        <v>160</v>
      </c>
      <c r="AJ5" s="83" t="s">
        <v>54</v>
      </c>
      <c r="AK5" s="83" t="s">
        <v>51</v>
      </c>
      <c r="AL5" s="82" t="s">
        <v>53</v>
      </c>
      <c r="AM5" s="82" t="s">
        <v>52</v>
      </c>
      <c r="AN5" s="82" t="s">
        <v>147</v>
      </c>
      <c r="AO5" s="82" t="s">
        <v>161</v>
      </c>
      <c r="AP5" s="82" t="s">
        <v>162</v>
      </c>
      <c r="AQ5" s="82" t="s">
        <v>130</v>
      </c>
      <c r="AR5" s="82" t="s">
        <v>131</v>
      </c>
      <c r="AS5" s="82" t="s">
        <v>79</v>
      </c>
      <c r="AT5" s="82" t="s">
        <v>55</v>
      </c>
      <c r="AU5" s="82" t="s">
        <v>56</v>
      </c>
      <c r="AV5" s="82" t="s">
        <v>57</v>
      </c>
      <c r="AW5" s="82" t="s">
        <v>58</v>
      </c>
      <c r="AX5" s="82" t="s">
        <v>59</v>
      </c>
      <c r="AY5" s="82" t="s">
        <v>60</v>
      </c>
      <c r="AZ5" s="84" t="s">
        <v>61</v>
      </c>
      <c r="BA5" s="7" t="s">
        <v>106</v>
      </c>
      <c r="BB5" s="7" t="s">
        <v>37</v>
      </c>
      <c r="BC5" s="7" t="s">
        <v>102</v>
      </c>
      <c r="BD5" s="7" t="s">
        <v>107</v>
      </c>
      <c r="BE5" s="7" t="s">
        <v>108</v>
      </c>
      <c r="BF5" s="7" t="s">
        <v>109</v>
      </c>
      <c r="BG5" s="7" t="s">
        <v>110</v>
      </c>
      <c r="BH5" s="7" t="s">
        <v>111</v>
      </c>
      <c r="BI5" s="7" t="s">
        <v>112</v>
      </c>
      <c r="BJ5" s="7" t="s">
        <v>113</v>
      </c>
      <c r="BK5" s="7" t="s">
        <v>114</v>
      </c>
      <c r="BL5" s="7" t="s">
        <v>103</v>
      </c>
      <c r="BM5" s="7" t="s">
        <v>104</v>
      </c>
      <c r="BN5" s="7" t="s">
        <v>115</v>
      </c>
      <c r="BO5" s="173" t="s">
        <v>105</v>
      </c>
      <c r="BP5" s="7" t="s">
        <v>120</v>
      </c>
      <c r="BQ5" s="7" t="s">
        <v>121</v>
      </c>
      <c r="BR5" s="7" t="s">
        <v>122</v>
      </c>
      <c r="BS5" s="7" t="s">
        <v>123</v>
      </c>
      <c r="BT5" s="7" t="s">
        <v>129</v>
      </c>
      <c r="BU5" s="7" t="s">
        <v>133</v>
      </c>
      <c r="BV5" s="7" t="s">
        <v>134</v>
      </c>
      <c r="BW5" s="7" t="s">
        <v>124</v>
      </c>
      <c r="BX5" s="7" t="s">
        <v>125</v>
      </c>
      <c r="BY5" s="7" t="s">
        <v>126</v>
      </c>
      <c r="BZ5" s="7" t="s">
        <v>127</v>
      </c>
      <c r="CA5" s="12" t="s">
        <v>17</v>
      </c>
      <c r="CB5" s="12" t="s">
        <v>18</v>
      </c>
      <c r="CC5" s="12" t="s">
        <v>19</v>
      </c>
      <c r="CD5" s="12" t="s">
        <v>20</v>
      </c>
      <c r="CE5" s="12" t="s">
        <v>21</v>
      </c>
      <c r="CF5" s="7" t="s">
        <v>22</v>
      </c>
      <c r="CG5" s="7" t="s">
        <v>31</v>
      </c>
      <c r="CH5" s="96" t="s">
        <v>23</v>
      </c>
      <c r="CI5" s="96" t="s">
        <v>24</v>
      </c>
      <c r="CJ5" s="97" t="s">
        <v>25</v>
      </c>
      <c r="CK5" s="96" t="s">
        <v>49</v>
      </c>
      <c r="CL5" s="96" t="s">
        <v>27</v>
      </c>
      <c r="CM5" s="96" t="s">
        <v>28</v>
      </c>
      <c r="CN5" s="96" t="s">
        <v>29</v>
      </c>
      <c r="CO5" s="96" t="s">
        <v>30</v>
      </c>
      <c r="CP5" s="96" t="s">
        <v>41</v>
      </c>
      <c r="CQ5" s="96" t="s">
        <v>32</v>
      </c>
      <c r="CR5" s="96" t="s">
        <v>33</v>
      </c>
      <c r="CS5" s="96" t="s">
        <v>34</v>
      </c>
      <c r="CT5" s="96" t="s">
        <v>35</v>
      </c>
      <c r="CU5" s="96" t="s">
        <v>36</v>
      </c>
      <c r="CV5" s="96" t="s">
        <v>80</v>
      </c>
      <c r="CW5" s="96" t="s">
        <v>38</v>
      </c>
      <c r="CX5" s="96" t="s">
        <v>39</v>
      </c>
      <c r="CY5" s="96" t="s">
        <v>40</v>
      </c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</row>
    <row r="6" spans="1:192" hidden="1" x14ac:dyDescent="0.25">
      <c r="A6" s="3">
        <v>1000</v>
      </c>
      <c r="B6" s="3">
        <v>300</v>
      </c>
      <c r="C6">
        <v>2</v>
      </c>
      <c r="D6" s="199">
        <f>Table1[[#This Row],[Kvcache]]</f>
        <v>1.0150557507719928E-2</v>
      </c>
      <c r="E6" s="202" t="s">
        <v>137</v>
      </c>
      <c r="F6" s="219">
        <v>46092</v>
      </c>
      <c r="G6" s="10"/>
      <c r="H6" s="10">
        <v>3.7026038223119916E-2</v>
      </c>
      <c r="I6" s="10">
        <v>3.2088905166513686E-2</v>
      </c>
      <c r="J6" s="10">
        <v>0.59547004836481088</v>
      </c>
      <c r="K6" s="10">
        <v>0.7305008967717489</v>
      </c>
      <c r="L6" s="10">
        <v>0.97615059534708548</v>
      </c>
      <c r="M6" s="10">
        <v>6.596198861928409E-3</v>
      </c>
      <c r="N6" s="10">
        <v>2.0093213791123161</v>
      </c>
      <c r="O6" s="47">
        <v>2261.5283333333332</v>
      </c>
      <c r="P6" s="47">
        <v>633.58861111111116</v>
      </c>
      <c r="Q6" s="5">
        <v>3.4068627450980391</v>
      </c>
      <c r="R6" s="5">
        <v>8</v>
      </c>
      <c r="S6" s="170">
        <v>1.0150557507719928E-2</v>
      </c>
      <c r="T6" s="164">
        <v>2.4075510731833449E-2</v>
      </c>
      <c r="U6" s="98">
        <f>(Table1[[#This Row],[In-Tok]]+Table1[[#This Row],[Out-Tok]])*Table1[[#This Row],[RPS]]</f>
        <v>2600</v>
      </c>
      <c r="V6" s="99">
        <f>Table1[[#This Row],[In-Tok]]+AvgOutLoad*Table1[[#This Row],[Out-Tok]]</f>
        <v>1150</v>
      </c>
      <c r="W6" s="99">
        <f>Table1[[#This Row],[In-Tok]]*Table1[[#This Row],[RPS]]</f>
        <v>2000</v>
      </c>
      <c r="X6" s="102">
        <f>Table1[[#This Row],[Out-Tok]]*Table1[[#This Row],[RPS]]</f>
        <v>600</v>
      </c>
      <c r="Y6" s="103">
        <f>Table1[[#This Row],[In-Tok]]/Table1[[#This Row],[Out-Tok]]</f>
        <v>3.3333333333333335</v>
      </c>
      <c r="Z6" s="98">
        <f>Table1[[#This Row],[In-Tok]]*Table1[[#This Row],[N]]+AvgOutLoad*Table1[[#This Row],[Out-Tok]]*Table1[[#This Row],[Ndecode]]</f>
        <v>4878.7379150929173</v>
      </c>
      <c r="AA6" s="99">
        <f>Table1[[#This Row],[tok(N)]]/Table1[[#This Row],[Kvcache]]</f>
        <v>480637.43408994342</v>
      </c>
      <c r="AB6" s="99">
        <f>Table1[[#This Row],[tok/req]]*Table1[[#This Row],[Run]]</f>
        <v>3917.8921568627447</v>
      </c>
      <c r="AC6" s="99">
        <f>Table1[[#This Row],[tok(Run)]]/Table1[[#This Row],[Kvcache]]</f>
        <v>385978.02671262366</v>
      </c>
      <c r="AD6" s="99">
        <f>Table1[[#This Row],[tok/req]]*Table1[[#This Row],[MaxRun]]</f>
        <v>9200</v>
      </c>
      <c r="AE6" s="99">
        <f>Table1[[#This Row],[tok(MaxRun)]]/Table1[[#This Row],[MaxKvcache]]</f>
        <v>382131.04189044063</v>
      </c>
      <c r="AF6" s="103">
        <f>Table1[[#This Row],[PPS]]*Table1[[#This Row],[Prefill]]/Table1[[#This Row],[In-Tok]]</f>
        <v>7.2569968219717076E-2</v>
      </c>
      <c r="AG6" s="100">
        <f>Table1[[#This Row],[GPS]]*Table1[[#This Row],[ITL]]</f>
        <v>4.1792764755419132</v>
      </c>
      <c r="AH6" s="100">
        <f>Table1[[#This Row],[Nprefill]]+Table1[[#This Row],[Ndecode]]</f>
        <v>4.2518464437616306</v>
      </c>
      <c r="AI6" s="104">
        <f>Table1[[#This Row],[Run]]/Table1[[#This Row],[ITL]]/Table1[[#This Row],[GPS]]</f>
        <v>0.81518003535678563</v>
      </c>
      <c r="AJ6" s="101">
        <f>Table1[[#This Row],[Prefill]]+Table1[[#This Row],[ITL]]</f>
        <v>3.8685104028442094E-2</v>
      </c>
      <c r="AK6" s="104">
        <f>Table1[[#This Row],[TTFT]]/Table1[[#This Row],[estTTFT]]</f>
        <v>0.95711357518639739</v>
      </c>
      <c r="AL6" s="100">
        <f>Table1[[#This Row],[In-Tok]]*Table1[[#This Row],[RPS]]/Table1[[#This Row],[PPS]]</f>
        <v>0.88435770205546849</v>
      </c>
      <c r="AM6" s="104">
        <f>Table1[[#This Row],[Prefill]]/Table1[[#This Row],[estPrefill]]</f>
        <v>3.6284984109858538E-2</v>
      </c>
      <c r="AN6" s="104">
        <f>Table1[[#This Row],[Prefill]]/Table1[[#This Row],[TTFT]]</f>
        <v>0.86665780911111978</v>
      </c>
      <c r="AO6" s="101">
        <f>Table1[[#This Row],[Run]]/(Table1[[#This Row],[Out-Tok]]*Table1[[#This Row],[RPS]])</f>
        <v>5.6781045751633985E-3</v>
      </c>
      <c r="AP6" s="104">
        <f>Table1[[#This Row],[ITL]]/Table1[[#This Row],[estITL]]</f>
        <v>1.1616902743885429</v>
      </c>
      <c r="AQ6" s="105">
        <f>Table1[[#This Row],[E2E]]-Table1[[#This Row],[TTFT]]+Table1[[#This Row],[ITL]]</f>
        <v>1.9788915397511244</v>
      </c>
      <c r="AR6" s="104">
        <f>Table1[[#This Row],[estDecode]]/Table1[[#This Row],[Run]]</f>
        <v>0.58085449512119336</v>
      </c>
      <c r="AS6" s="105">
        <f>Table1[[#This Row],[Prefill]]+Table1[[#This Row],[Out-Tok]]*Table1[[#This Row],[ITL]]</f>
        <v>2.0109485637450364</v>
      </c>
      <c r="AT6" s="100">
        <f>Table1[[#This Row],[estPrefill]]+Table1[[#This Row],[Out-Tok]]*Table1[[#This Row],[ITL]]</f>
        <v>2.8632173606339912</v>
      </c>
      <c r="AU6" s="104">
        <f>Table1[[#This Row],[E2E]]/Table1[[#This Row],[estE2E]]</f>
        <v>0.70177046519004049</v>
      </c>
      <c r="AV6" s="100">
        <f>Table1[[#This Row],[N]]/Table1[[#This Row],[estE2E]]</f>
        <v>1.4849890553961158</v>
      </c>
      <c r="AW6" s="100">
        <f>Table1[[#This Row],[PPS]]/Table1[[#This Row],[In-Tok]]</f>
        <v>2.2615283333333331</v>
      </c>
      <c r="AX6" s="104">
        <f>Table1[[#This Row],[RPS]]/Table1[[#This Row],[RPS(IL)]]</f>
        <v>0.88435770205546849</v>
      </c>
      <c r="AY6" s="100">
        <f>Table1[[#This Row],[GPS]]/Table1[[#This Row],[Out-Tok]]</f>
        <v>2.1119620370370371</v>
      </c>
      <c r="AZ6" s="106">
        <f>Table1[[#This Row],[RPS]]/Table1[[#This Row],[RPS(OL)]]</f>
        <v>0.94698671894968645</v>
      </c>
      <c r="BA6" s="130">
        <f>MaxTok/Table1[[#This Row],[tok/req]]</f>
        <v>337.31501042830894</v>
      </c>
      <c r="BB6" s="104">
        <f>Table1[[#This Row],[N]]/Table1[[#This Row],[N-max]]</f>
        <v>1.2604972539949551E-2</v>
      </c>
      <c r="BC6" s="105">
        <f>Table1[[#This Row],[RPS]]</f>
        <v>2</v>
      </c>
      <c r="BD6" s="151">
        <f>Table1[[#This Row],[PPS]]/Table1[[#This Row],[RPS success]]</f>
        <v>1130.7641666666666</v>
      </c>
      <c r="BE6" s="104">
        <f>ABS(Table1[[#This Row],[est-In-Tok3]]-Table1[[#This Row],[In-Tok]])/Table1[[#This Row],[In-Tok]]</f>
        <v>0.1307641666666666</v>
      </c>
      <c r="BF6" s="151">
        <f>Table1[[#This Row],[GPS]]/Table1[[#This Row],[RPS success]]</f>
        <v>316.79430555555558</v>
      </c>
      <c r="BG6" s="104">
        <f>ABS(Table1[[#This Row],[est-Out-Tok3]]-Table1[[#This Row],[Out-Tok]])/Table1[[#This Row],[Out-Tok]]</f>
        <v>5.5981018518518603E-2</v>
      </c>
      <c r="BH6" s="156">
        <f>Table1[[#This Row],[est-In-Tok3]]+AvgOutLoad*Table1[[#This Row],[est-Out-Tok3]]</f>
        <v>1289.1613194444444</v>
      </c>
      <c r="BI6" s="104">
        <f>ABS(Table1[[#This Row],[est-Tok/Req3]]-Table1[[#This Row],[tok/req]])/Table1[[#This Row],[tok/req]]</f>
        <v>0.12100984299516905</v>
      </c>
      <c r="BJ6" s="156">
        <f>MaxTok/Table1[[#This Row],[est-Tok/Req3]]</f>
        <v>300.90280878092398</v>
      </c>
      <c r="BK6" s="104">
        <f>ABS(Table1[[#This Row],[est-N-max3]]-Table1[[#This Row],[N-max]])/Table1[[#This Row],[N-max]]</f>
        <v>0.10794717258846626</v>
      </c>
      <c r="BL6" s="105">
        <f>MaxTok*Table1[[#This Row],[Kvcache]]/Table1[[#This Row],[Run]]</f>
        <v>1155.7629461212243</v>
      </c>
      <c r="BM6" s="164">
        <f>ABS(Table1[[#This Row],[est-Tok/Req]]-Table1[[#This Row],[tok/req]])/Table1[[#This Row],[tok/req]]</f>
        <v>5.0112574967168099E-3</v>
      </c>
      <c r="BN6" s="105">
        <f>MaxTok/Table1[[#This Row],[est-Tok/Req]]</f>
        <v>335.63306670662928</v>
      </c>
      <c r="BO6" s="174">
        <f>Table1[[#This Row],[Run]]/Table1[[#This Row],[Kvcache]]</f>
        <v>335.63306670662928</v>
      </c>
      <c r="BP6" s="99" cm="1">
        <f t="array" aca="1" ref="BP6" ca="1">_xlfn.CEILING.MATH(INDIRECT("Table1"&amp;BP$3)/BP$2)*BP$2</f>
        <v>2000</v>
      </c>
      <c r="BQ6" s="101" cm="1">
        <f t="array" aca="1" ref="BQ6" ca="1">_xlfn.CEILING.MATH(INDIRECT("Table1"&amp;BQ$3)/BQ$2)*BQ$2</f>
        <v>0.01</v>
      </c>
      <c r="BR6" s="104" cm="1">
        <f t="array" aca="1" ref="BR6" ca="1">_xlfn.CEILING.MATH(INDIRECT("Table1"&amp;BR$3)/BR$2)*BR$2</f>
        <v>0.1</v>
      </c>
      <c r="BS6" s="104" cm="1">
        <f t="array" aca="1" ref="BS6" ca="1">_xlfn.CEILING.MATH(INDIRECT("Table1"&amp;BS$3)/BS$2)*BS$2</f>
        <v>0.02</v>
      </c>
      <c r="BT6" s="99" cm="1">
        <f t="array" aca="1" ref="BT6" ca="1">_xlfn.CEILING.MATH(INDIRECT("Table1"&amp;BT$3)/BT$2)*BT$2</f>
        <v>4</v>
      </c>
      <c r="BU6" s="99" cm="1">
        <f t="array" aca="1" ref="BU6" ca="1">_xlfn.CEILING.MATH(INDIRECT("Table1"&amp;BU$3)/BU$2)*BU$2</f>
        <v>5</v>
      </c>
      <c r="BV6" s="99" cm="1">
        <f t="array" aca="1" ref="BV6" ca="1">_xlfn.CEILING.MATH(INDIRECT("Table1"&amp;BV$3)/BV$2)*BV$2</f>
        <v>1000</v>
      </c>
      <c r="BW6" s="104"/>
      <c r="BX6" s="104"/>
      <c r="BY6" s="190">
        <v>2.4075510731833449E-2</v>
      </c>
      <c r="BZ6" s="104"/>
      <c r="CA6" s="80">
        <f>(Table1[[#This Row],[In-Tok]]+Table1[[#This Row],[Out-Tok]])*Table1[[#This Row],[RPS]]</f>
        <v>2600</v>
      </c>
      <c r="CB6" s="99">
        <f t="shared" ref="CB6:CB37" si="5">R6*(A6+B6/2)/T6</f>
        <v>382131.04189044063</v>
      </c>
      <c r="CC6" s="99">
        <f>Table1[[#This Row],[Supply]]/(Table1[[#This Row],[Prefill]]+Table1[[#This Row],[Out-Tok]]*Table1[[#This Row],[ITL]])</f>
        <v>190025.26905948756</v>
      </c>
      <c r="CD6" s="99">
        <f>Table1[[#This Row],[MaxRun]]/Table1[[#This Row],[ITL]]</f>
        <v>1212.819711390749</v>
      </c>
      <c r="CE6" s="99">
        <f>Table1[[#This Row],[Out-Tok]]*Table1[[#This Row],[RPS]]</f>
        <v>600</v>
      </c>
      <c r="CF6" s="100">
        <f>Table1[[#This Row],[Supply]]/Table1[[#This Row],[Demand-T]]</f>
        <v>146.97347765016949</v>
      </c>
      <c r="CG6" s="100"/>
      <c r="CH6" s="107">
        <f>Table1[[#This Row],[Prefill]]+Table1[[#This Row],[Out-Tok]]*Table1[[#This Row],[ITL]]</f>
        <v>2.0109485637450364</v>
      </c>
      <c r="CI6" s="107">
        <f>Table1[[#This Row],[GPS]]*Table1[[#This Row],[ITL]]</f>
        <v>4.1792764755419132</v>
      </c>
      <c r="CJ6" s="108">
        <f>Table1[[#This Row],[PPS]]*Table1[[#This Row],[Prefill]]/Table1[[#This Row],[In-Tok]]</f>
        <v>7.2569968219717076E-2</v>
      </c>
      <c r="CK6" s="107">
        <f t="shared" ref="CK6:CK35" si="6">CI6+CJ6</f>
        <v>4.2518464437616306</v>
      </c>
      <c r="CL6" s="107">
        <f>Table1[[#This Row],[PPS]]/Table1[[#This Row],[In-Tok]]</f>
        <v>2.2615283333333331</v>
      </c>
      <c r="CM6" s="107">
        <f>Table1[[#This Row],[GPS]]/Table1[[#This Row],[Out-Tok]]</f>
        <v>2.1119620370370371</v>
      </c>
      <c r="CN6" s="107">
        <f>Table1[[#This Row],[Run]]/Table1[[#This Row],[E2E]]</f>
        <v>1.6955290380691281</v>
      </c>
      <c r="CO6" s="107">
        <f>Table1[[#This Row],[N2]]/Table1[[#This Row],[E2E]]</f>
        <v>2.1160609188561086</v>
      </c>
      <c r="CP6" s="107"/>
      <c r="CQ6" s="107">
        <f>Table1[[#This Row],[In-Tok]]+AvgOutLoad*Table1[[#This Row],[Out-Tok]]</f>
        <v>1150</v>
      </c>
      <c r="CR6" s="107">
        <f t="shared" ref="CR6:CR35" si="7">CD6*CQ6/CF6</f>
        <v>9489.7575426443145</v>
      </c>
      <c r="CS6" s="107" t="e">
        <f t="shared" ref="CS6:CS35" si="8">CE6*CQ6/CG6</f>
        <v>#DIV/0!</v>
      </c>
      <c r="CT6" s="107" t="e">
        <f t="shared" ref="CT6:CT37" si="9">(CJ6*M6+CI6*CQ6)/CG6</f>
        <v>#DIV/0!</v>
      </c>
      <c r="CU6" s="107">
        <f t="shared" ref="CU6:CU35" si="10">$CL$4/CQ6</f>
        <v>0</v>
      </c>
      <c r="CV6" s="107" t="e">
        <f t="shared" ref="CV6:CV35" si="11">CK6/CU6</f>
        <v>#DIV/0!</v>
      </c>
      <c r="CW6" s="107">
        <f>Table1[[#This Row],[N(maxT)]]/Table1[[#This Row],[e2e sat]]</f>
        <v>0</v>
      </c>
      <c r="CX6" s="107" t="e">
        <f>Table1[[#This Row],[RPS]]/CW6</f>
        <v>#DIV/0!</v>
      </c>
      <c r="CY6" s="109" t="e">
        <f>Table1[[#This Row],[Kvcache]]/$T$4</f>
        <v>#DIV/0!</v>
      </c>
      <c r="GJ6"/>
    </row>
    <row r="7" spans="1:192" hidden="1" x14ac:dyDescent="0.25">
      <c r="A7" s="3">
        <v>2000</v>
      </c>
      <c r="B7" s="3">
        <v>300</v>
      </c>
      <c r="C7">
        <v>2</v>
      </c>
      <c r="D7" s="199">
        <f>Table1[[#This Row],[Kvcache]]</f>
        <v>1.9997642191089005E-2</v>
      </c>
      <c r="E7" s="203" t="s">
        <v>137</v>
      </c>
      <c r="F7" s="219">
        <v>46092</v>
      </c>
      <c r="G7" s="10"/>
      <c r="H7" s="10">
        <v>6.0708237632462643E-2</v>
      </c>
      <c r="I7" s="10">
        <v>5.4781456020521681E-2</v>
      </c>
      <c r="J7" s="10">
        <v>0.61998406863458533</v>
      </c>
      <c r="K7" s="10">
        <v>0.76988332271575921</v>
      </c>
      <c r="L7" s="10">
        <v>0.84733685811360682</v>
      </c>
      <c r="M7" s="10">
        <v>7.280404097911467E-3</v>
      </c>
      <c r="N7" s="10">
        <v>2.2369354792963563</v>
      </c>
      <c r="O7" s="47">
        <v>4844.9033333333336</v>
      </c>
      <c r="P7" s="47">
        <v>679.7208333333333</v>
      </c>
      <c r="Q7" s="5">
        <v>3.5821078431372548</v>
      </c>
      <c r="R7" s="5">
        <v>7.666666666666667</v>
      </c>
      <c r="S7" s="170">
        <v>1.9997642191089005E-2</v>
      </c>
      <c r="T7" s="165">
        <v>4.2487716576157242E-2</v>
      </c>
      <c r="U7" s="26">
        <f>(Table1[[#This Row],[In-Tok]]+Table1[[#This Row],[Out-Tok]])*Table1[[#This Row],[RPS]]</f>
        <v>4600</v>
      </c>
      <c r="V7" s="54">
        <f>Table1[[#This Row],[In-Tok]]+AvgOutLoad*Table1[[#This Row],[Out-Tok]]</f>
        <v>2150</v>
      </c>
      <c r="W7" s="20">
        <f>Table1[[#This Row],[In-Tok]]*Table1[[#This Row],[RPS]]</f>
        <v>4000</v>
      </c>
      <c r="X7" s="35">
        <f>Table1[[#This Row],[Out-Tok]]*Table1[[#This Row],[RPS]]</f>
        <v>600</v>
      </c>
      <c r="Y7" s="75">
        <f>Table1[[#This Row],[In-Tok]]/Table1[[#This Row],[Out-Tok]]</f>
        <v>6.666666666666667</v>
      </c>
      <c r="Z7" s="26">
        <f>Table1[[#This Row],[In-Tok]]*Table1[[#This Row],[N]]+AvgOutLoad*Table1[[#This Row],[Out-Tok]]*Table1[[#This Row],[Ndecode]]</f>
        <v>10904.991890815643</v>
      </c>
      <c r="AA7" s="20">
        <f>Table1[[#This Row],[tok(N)]]/Table1[[#This Row],[Kvcache]]</f>
        <v>545313.88183727639</v>
      </c>
      <c r="AB7" s="20">
        <f>Table1[[#This Row],[tok/req]]*Table1[[#This Row],[Run]]</f>
        <v>7701.5318627450979</v>
      </c>
      <c r="AC7" s="20">
        <f>Table1[[#This Row],[tok(Run)]]/Table1[[#This Row],[Kvcache]]</f>
        <v>385121.99534087663</v>
      </c>
      <c r="AD7" s="20">
        <f>Table1[[#This Row],[tok/req]]*Table1[[#This Row],[MaxRun]]</f>
        <v>16483.333333333336</v>
      </c>
      <c r="AE7" s="20">
        <f>Table1[[#This Row],[tok(MaxRun)]]/Table1[[#This Row],[MaxKvcache]]</f>
        <v>387955.26475958608</v>
      </c>
      <c r="AF7" s="75">
        <f>Table1[[#This Row],[PPS]]*Table1[[#This Row],[Prefill]]/Table1[[#This Row],[In-Tok]]</f>
        <v>0.13270542943933947</v>
      </c>
      <c r="AG7" s="22">
        <f>Table1[[#This Row],[GPS]]*Table1[[#This Row],[ITL]]</f>
        <v>4.9486423404357973</v>
      </c>
      <c r="AH7" s="22">
        <f>Table1[[#This Row],[Nprefill]]+Table1[[#This Row],[Ndecode]]</f>
        <v>5.081347769875137</v>
      </c>
      <c r="AI7" s="34">
        <f>Table1[[#This Row],[Run]]/Table1[[#This Row],[ITL]]/Table1[[#This Row],[GPS]]</f>
        <v>0.72385668567468142</v>
      </c>
      <c r="AJ7" s="64">
        <f>Table1[[#This Row],[Prefill]]+Table1[[#This Row],[ITL]]</f>
        <v>6.2061860118433149E-2</v>
      </c>
      <c r="AK7" s="34">
        <f>Table1[[#This Row],[TTFT]]/Table1[[#This Row],[estTTFT]]</f>
        <v>0.97818914090896769</v>
      </c>
      <c r="AL7" s="22">
        <f>Table1[[#This Row],[In-Tok]]*Table1[[#This Row],[RPS]]/Table1[[#This Row],[PPS]]</f>
        <v>0.82560986768913858</v>
      </c>
      <c r="AM7" s="34">
        <f>Table1[[#This Row],[Prefill]]/Table1[[#This Row],[estPrefill]]</f>
        <v>6.6352714719669734E-2</v>
      </c>
      <c r="AN7" s="34">
        <f>Table1[[#This Row],[Prefill]]/Table1[[#This Row],[TTFT]]</f>
        <v>0.90237269531982389</v>
      </c>
      <c r="AO7" s="64">
        <f>Table1[[#This Row],[Run]]/(Table1[[#This Row],[Out-Tok]]*Table1[[#This Row],[RPS]])</f>
        <v>5.9701797385620916E-3</v>
      </c>
      <c r="AP7" s="34">
        <f>Table1[[#This Row],[ITL]]/Table1[[#This Row],[estITL]]</f>
        <v>1.2194614595749074</v>
      </c>
      <c r="AQ7" s="69">
        <f>Table1[[#This Row],[E2E]]-Table1[[#This Row],[TTFT]]+Table1[[#This Row],[ITL]]</f>
        <v>2.183507645761805</v>
      </c>
      <c r="AR7" s="34">
        <f>Table1[[#This Row],[estDecode]]/Table1[[#This Row],[Run]]</f>
        <v>0.60955943857052097</v>
      </c>
      <c r="AS7" s="69">
        <f>Table1[[#This Row],[Prefill]]+Table1[[#This Row],[Out-Tok]]*Table1[[#This Row],[ITL]]</f>
        <v>2.2389026853939615</v>
      </c>
      <c r="AT7" s="22">
        <f>Table1[[#This Row],[estPrefill]]+Table1[[#This Row],[Out-Tok]]*Table1[[#This Row],[ITL]]</f>
        <v>3.0097310970625788</v>
      </c>
      <c r="AU7" s="34">
        <f>Table1[[#This Row],[E2E]]/Table1[[#This Row],[estE2E]]</f>
        <v>0.7432343312927685</v>
      </c>
      <c r="AV7" s="22">
        <f>Table1[[#This Row],[N]]/Table1[[#This Row],[estE2E]]</f>
        <v>1.6883062326845091</v>
      </c>
      <c r="AW7" s="22">
        <f>Table1[[#This Row],[PPS]]/Table1[[#This Row],[In-Tok]]</f>
        <v>2.4224516666666669</v>
      </c>
      <c r="AX7" s="34">
        <f>Table1[[#This Row],[RPS]]/Table1[[#This Row],[RPS(IL)]]</f>
        <v>0.82560986768913858</v>
      </c>
      <c r="AY7" s="22">
        <f>Table1[[#This Row],[GPS]]/Table1[[#This Row],[Out-Tok]]</f>
        <v>2.265736111111111</v>
      </c>
      <c r="AZ7" s="89">
        <f>Table1[[#This Row],[RPS]]/Table1[[#This Row],[RPS(OL)]]</f>
        <v>0.882715330435902</v>
      </c>
      <c r="BA7" s="131">
        <f>MaxTok/Table1[[#This Row],[tok/req]]</f>
        <v>180.42430790351409</v>
      </c>
      <c r="BB7" s="34">
        <f>Table1[[#This Row],[N]]/Table1[[#This Row],[N-max]]</f>
        <v>2.8163321389003196E-2</v>
      </c>
      <c r="BC7" s="69">
        <f>Table1[[#This Row],[RPS]]</f>
        <v>2</v>
      </c>
      <c r="BD7" s="48">
        <f>Table1[[#This Row],[PPS]]/Table1[[#This Row],[RPS success]]</f>
        <v>2422.4516666666668</v>
      </c>
      <c r="BE7" s="34">
        <f>ABS(Table1[[#This Row],[est-In-Tok3]]-Table1[[#This Row],[In-Tok]])/Table1[[#This Row],[In-Tok]]</f>
        <v>0.21122583333333342</v>
      </c>
      <c r="BF7" s="48">
        <f>Table1[[#This Row],[GPS]]/Table1[[#This Row],[RPS success]]</f>
        <v>339.86041666666665</v>
      </c>
      <c r="BG7" s="34">
        <f>ABS(Table1[[#This Row],[est-Out-Tok3]]-Table1[[#This Row],[Out-Tok]])/Table1[[#This Row],[Out-Tok]]</f>
        <v>0.1328680555555555</v>
      </c>
      <c r="BH7" s="157">
        <f>Table1[[#This Row],[est-In-Tok3]]+AvgOutLoad*Table1[[#This Row],[est-Out-Tok3]]</f>
        <v>2592.381875</v>
      </c>
      <c r="BI7" s="34">
        <f>ABS(Table1[[#This Row],[est-Tok/Req3]]-Table1[[#This Row],[tok/req]])/Table1[[#This Row],[tok/req]]</f>
        <v>0.205759011627907</v>
      </c>
      <c r="BJ7" s="157">
        <f>MaxTok/Table1[[#This Row],[est-Tok/Req3]]</f>
        <v>149.63546294372827</v>
      </c>
      <c r="BK7" s="34">
        <f>ABS(Table1[[#This Row],[est-N-max3]]-Table1[[#This Row],[N-max]])/Table1[[#This Row],[N-max]]</f>
        <v>0.17064687855835278</v>
      </c>
      <c r="BL7" s="69">
        <f>MaxTok*Table1[[#This Row],[Kvcache]]/Table1[[#This Row],[Run]]</f>
        <v>2165.5770726514834</v>
      </c>
      <c r="BM7" s="165">
        <f>ABS(Table1[[#This Row],[est-Tok/Req]]-Table1[[#This Row],[tok/req]])/Table1[[#This Row],[tok/req]]</f>
        <v>7.2451500704573844E-3</v>
      </c>
      <c r="BN7" s="69">
        <f>MaxTok/Table1[[#This Row],[est-Tok/Req]]</f>
        <v>179.12650946087285</v>
      </c>
      <c r="BO7" s="175">
        <f>Table1[[#This Row],[Run]]/Table1[[#This Row],[Kvcache]]</f>
        <v>179.12650946087285</v>
      </c>
      <c r="BP7" s="131" cm="1">
        <f t="array" aca="1" ref="BP7" ca="1">_xlfn.CEILING.MATH(INDIRECT("Table1"&amp;BP$3)/BP$2)*BP$2</f>
        <v>3000</v>
      </c>
      <c r="BQ7" s="182" cm="1">
        <f t="array" aca="1" ref="BQ7" ca="1">_xlfn.CEILING.MATH(INDIRECT("Table1"&amp;BQ$3)/BQ$2)*BQ$2</f>
        <v>0.01</v>
      </c>
      <c r="BR7" s="34" cm="1">
        <f t="array" aca="1" ref="BR7" ca="1">_xlfn.CEILING.MATH(INDIRECT("Table1"&amp;BR$3)/BR$2)*BR$2</f>
        <v>0.1</v>
      </c>
      <c r="BS7" s="34" cm="1">
        <f t="array" aca="1" ref="BS7" ca="1">_xlfn.CEILING.MATH(INDIRECT("Table1"&amp;BS$3)/BS$2)*BS$2</f>
        <v>0.02</v>
      </c>
      <c r="BT7" s="20" cm="1">
        <f t="array" aca="1" ref="BT7" ca="1">_xlfn.CEILING.MATH(INDIRECT("Table1"&amp;BT$3)/BT$2)*BT$2</f>
        <v>4</v>
      </c>
      <c r="BU7" s="131" cm="1">
        <f t="array" aca="1" ref="BU7" ca="1">_xlfn.CEILING.MATH(INDIRECT("Table1"&amp;BU$3)/BU$2)*BU$2</f>
        <v>10</v>
      </c>
      <c r="BV7" s="131" cm="1">
        <f t="array" aca="1" ref="BV7" ca="1">_xlfn.CEILING.MATH(INDIRECT("Table1"&amp;BV$3)/BV$2)*BV$2</f>
        <v>2000</v>
      </c>
      <c r="BW7" s="34"/>
      <c r="BX7" s="34"/>
      <c r="BY7" s="190">
        <v>4.2487716576157242E-2</v>
      </c>
      <c r="BZ7" s="34"/>
      <c r="CA7" s="24">
        <f>(Table1[[#This Row],[In-Tok]]+Table1[[#This Row],[Out-Tok]])*Table1[[#This Row],[RPS]]</f>
        <v>4600</v>
      </c>
      <c r="CB7" s="20">
        <f t="shared" si="5"/>
        <v>387955.26475958608</v>
      </c>
      <c r="CC7" s="20">
        <f>Table1[[#This Row],[Supply]]/(Table1[[#This Row],[Prefill]]+Table1[[#This Row],[Out-Tok]]*Table1[[#This Row],[ITL]])</f>
        <v>173279.19935533989</v>
      </c>
      <c r="CD7" s="20">
        <f>Table1[[#This Row],[MaxRun]]/Table1[[#This Row],[ITL]]</f>
        <v>1053.0551001785748</v>
      </c>
      <c r="CE7" s="20">
        <f>Table1[[#This Row],[Out-Tok]]*Table1[[#This Row],[RPS]]</f>
        <v>600</v>
      </c>
      <c r="CF7" s="22">
        <f>Table1[[#This Row],[Supply]]/Table1[[#This Row],[Demand-T]]</f>
        <v>84.338101034692627</v>
      </c>
      <c r="CG7" s="22"/>
      <c r="CH7" s="71">
        <f>Table1[[#This Row],[Prefill]]+Table1[[#This Row],[Out-Tok]]*Table1[[#This Row],[ITL]]</f>
        <v>2.2389026853939615</v>
      </c>
      <c r="CI7" s="71">
        <f>Table1[[#This Row],[GPS]]*Table1[[#This Row],[ITL]]</f>
        <v>4.9486423404357973</v>
      </c>
      <c r="CJ7" s="72">
        <f>Table1[[#This Row],[PPS]]*Table1[[#This Row],[Prefill]]/Table1[[#This Row],[In-Tok]]</f>
        <v>0.13270542943933947</v>
      </c>
      <c r="CK7" s="71">
        <f t="shared" si="6"/>
        <v>5.081347769875137</v>
      </c>
      <c r="CL7" s="71">
        <f>Table1[[#This Row],[PPS]]/Table1[[#This Row],[In-Tok]]</f>
        <v>2.4224516666666669</v>
      </c>
      <c r="CM7" s="71">
        <f>Table1[[#This Row],[GPS]]/Table1[[#This Row],[Out-Tok]]</f>
        <v>2.265736111111111</v>
      </c>
      <c r="CN7" s="71">
        <f>Table1[[#This Row],[Run]]/Table1[[#This Row],[E2E]]</f>
        <v>1.601346072021725</v>
      </c>
      <c r="CO7" s="71">
        <f>Table1[[#This Row],[N2]]/Table1[[#This Row],[E2E]]</f>
        <v>2.2715665323854179</v>
      </c>
      <c r="CP7" s="71"/>
      <c r="CQ7" s="71">
        <f>Table1[[#This Row],[In-Tok]]+AvgOutLoad*Table1[[#This Row],[Out-Tok]]</f>
        <v>2150</v>
      </c>
      <c r="CR7" s="71">
        <f t="shared" si="7"/>
        <v>26845.143981278488</v>
      </c>
      <c r="CS7" s="71" t="e">
        <f t="shared" si="8"/>
        <v>#DIV/0!</v>
      </c>
      <c r="CT7" s="71" t="e">
        <f t="shared" si="9"/>
        <v>#DIV/0!</v>
      </c>
      <c r="CU7" s="71">
        <f t="shared" si="10"/>
        <v>0</v>
      </c>
      <c r="CV7" s="71" t="e">
        <f t="shared" si="11"/>
        <v>#DIV/0!</v>
      </c>
      <c r="CW7" s="71">
        <f>Table1[[#This Row],[N(maxT)]]/Table1[[#This Row],[e2e sat]]</f>
        <v>0</v>
      </c>
      <c r="CX7" s="71" t="e">
        <f>Table1[[#This Row],[RPS]]/CW7</f>
        <v>#DIV/0!</v>
      </c>
      <c r="CY7" s="110" t="e">
        <f>Table1[[#This Row],[Kvcache]]/$T$4</f>
        <v>#DIV/0!</v>
      </c>
      <c r="GJ7"/>
    </row>
    <row r="8" spans="1:192" hidden="1" x14ac:dyDescent="0.25">
      <c r="A8" s="3">
        <v>3000</v>
      </c>
      <c r="B8" s="3">
        <v>300</v>
      </c>
      <c r="C8">
        <v>2</v>
      </c>
      <c r="D8" s="199">
        <f>Table1[[#This Row],[Kvcache]]</f>
        <v>3.9849347419340118E-2</v>
      </c>
      <c r="E8" s="203" t="s">
        <v>137</v>
      </c>
      <c r="F8" s="219">
        <v>46092</v>
      </c>
      <c r="G8" s="10"/>
      <c r="H8" s="10">
        <v>8.9187976034611885E-2</v>
      </c>
      <c r="I8" s="10">
        <v>8.1037995716015873E-2</v>
      </c>
      <c r="J8" s="10">
        <v>0.68898616983040506</v>
      </c>
      <c r="K8" s="10">
        <v>0.89063829183578491</v>
      </c>
      <c r="L8" s="10">
        <v>0.99142997741699224</v>
      </c>
      <c r="M8" s="10">
        <v>8.2483981479025952E-3</v>
      </c>
      <c r="N8" s="10">
        <v>2.5531481923543735</v>
      </c>
      <c r="O8" s="47">
        <v>7408.6961111111113</v>
      </c>
      <c r="P8" s="47">
        <v>691.59111111111122</v>
      </c>
      <c r="Q8" s="5">
        <v>4.8786764705882355</v>
      </c>
      <c r="R8" s="5">
        <v>11</v>
      </c>
      <c r="S8" s="170">
        <v>3.9849347419340118E-2</v>
      </c>
      <c r="T8" s="165">
        <v>8.9604344453064352E-2</v>
      </c>
      <c r="U8" s="26">
        <f>(Table1[[#This Row],[In-Tok]]+Table1[[#This Row],[Out-Tok]])*Table1[[#This Row],[RPS]]</f>
        <v>6600</v>
      </c>
      <c r="V8" s="54">
        <f>Table1[[#This Row],[In-Tok]]+AvgOutLoad*Table1[[#This Row],[Out-Tok]]</f>
        <v>3150</v>
      </c>
      <c r="W8" s="20">
        <f>Table1[[#This Row],[In-Tok]]*Table1[[#This Row],[RPS]]</f>
        <v>6000</v>
      </c>
      <c r="X8" s="35">
        <f>Table1[[#This Row],[Out-Tok]]*Table1[[#This Row],[RPS]]</f>
        <v>600</v>
      </c>
      <c r="Y8" s="75">
        <f>Table1[[#This Row],[In-Tok]]/Table1[[#This Row],[Out-Tok]]</f>
        <v>10</v>
      </c>
      <c r="Z8" s="26">
        <f>Table1[[#This Row],[In-Tok]]*Table1[[#This Row],[N]]+AvgOutLoad*Table1[[#This Row],[Out-Tok]]*Table1[[#This Row],[Ndecode]]</f>
        <v>18569.620229697066</v>
      </c>
      <c r="AA8" s="20">
        <f>Table1[[#This Row],[tok(N)]]/Table1[[#This Row],[Kvcache]]</f>
        <v>465995.59170408535</v>
      </c>
      <c r="AB8" s="20">
        <f>Table1[[#This Row],[tok/req]]*Table1[[#This Row],[Run]]</f>
        <v>15367.830882352942</v>
      </c>
      <c r="AC8" s="20">
        <f>Table1[[#This Row],[tok(Run)]]/Table1[[#This Row],[Kvcache]]</f>
        <v>385648.24464087607</v>
      </c>
      <c r="AD8" s="20">
        <f>Table1[[#This Row],[tok/req]]*Table1[[#This Row],[MaxRun]]</f>
        <v>34650</v>
      </c>
      <c r="AE8" s="20">
        <f>Table1[[#This Row],[tok(MaxRun)]]/Table1[[#This Row],[MaxKvcache]]</f>
        <v>386700.00000000017</v>
      </c>
      <c r="AF8" s="75">
        <f>Table1[[#This Row],[PPS]]*Table1[[#This Row],[Prefill]]/Table1[[#This Row],[In-Tok]]</f>
        <v>0.20012862790449523</v>
      </c>
      <c r="AG8" s="22">
        <f>Table1[[#This Row],[GPS]]*Table1[[#This Row],[ITL]]</f>
        <v>5.7045188399947877</v>
      </c>
      <c r="AH8" s="22">
        <f>Table1[[#This Row],[Nprefill]]+Table1[[#This Row],[Ndecode]]</f>
        <v>5.9046474678992826</v>
      </c>
      <c r="AI8" s="34">
        <f>Table1[[#This Row],[Run]]/Table1[[#This Row],[ITL]]/Table1[[#This Row],[GPS]]</f>
        <v>0.85523014428201849</v>
      </c>
      <c r="AJ8" s="64">
        <f>Table1[[#This Row],[Prefill]]+Table1[[#This Row],[ITL]]</f>
        <v>8.928639386391847E-2</v>
      </c>
      <c r="AK8" s="34">
        <f>Table1[[#This Row],[TTFT]]/Table1[[#This Row],[estTTFT]]</f>
        <v>0.99889772870145721</v>
      </c>
      <c r="AL8" s="22">
        <f>Table1[[#This Row],[In-Tok]]*Table1[[#This Row],[RPS]]/Table1[[#This Row],[PPS]]</f>
        <v>0.80985910476224898</v>
      </c>
      <c r="AM8" s="34">
        <f>Table1[[#This Row],[Prefill]]/Table1[[#This Row],[estPrefill]]</f>
        <v>0.10006431395224762</v>
      </c>
      <c r="AN8" s="34">
        <f>Table1[[#This Row],[Prefill]]/Table1[[#This Row],[TTFT]]</f>
        <v>0.90862018984001625</v>
      </c>
      <c r="AO8" s="64">
        <f>Table1[[#This Row],[Run]]/(Table1[[#This Row],[Out-Tok]]*Table1[[#This Row],[RPS]])</f>
        <v>8.1311274509803921E-3</v>
      </c>
      <c r="AP8" s="34">
        <f>Table1[[#This Row],[ITL]]/Table1[[#This Row],[estITL]]</f>
        <v>1.0144224398927684</v>
      </c>
      <c r="AQ8" s="69">
        <f>Table1[[#This Row],[E2E]]-Table1[[#This Row],[TTFT]]+Table1[[#This Row],[ITL]]</f>
        <v>2.4722086144676645</v>
      </c>
      <c r="AR8" s="34">
        <f>Table1[[#This Row],[estDecode]]/Table1[[#This Row],[Run]]</f>
        <v>0.50673756076503751</v>
      </c>
      <c r="AS8" s="69">
        <f>Table1[[#This Row],[Prefill]]+Table1[[#This Row],[Out-Tok]]*Table1[[#This Row],[ITL]]</f>
        <v>2.5555574400867944</v>
      </c>
      <c r="AT8" s="22">
        <f>Table1[[#This Row],[estPrefill]]+Table1[[#This Row],[Out-Tok]]*Table1[[#This Row],[ITL]]</f>
        <v>3.2843785491330277</v>
      </c>
      <c r="AU8" s="34">
        <f>Table1[[#This Row],[E2E]]/Table1[[#This Row],[estE2E]]</f>
        <v>0.77736112149079895</v>
      </c>
      <c r="AV8" s="22">
        <f>Table1[[#This Row],[N]]/Table1[[#This Row],[estE2E]]</f>
        <v>1.7977974766209344</v>
      </c>
      <c r="AW8" s="22">
        <f>Table1[[#This Row],[PPS]]/Table1[[#This Row],[In-Tok]]</f>
        <v>2.4695653703703706</v>
      </c>
      <c r="AX8" s="34">
        <f>Table1[[#This Row],[RPS]]/Table1[[#This Row],[RPS(IL)]]</f>
        <v>0.80985910476224887</v>
      </c>
      <c r="AY8" s="22">
        <f>Table1[[#This Row],[GPS]]/Table1[[#This Row],[Out-Tok]]</f>
        <v>2.3053037037037041</v>
      </c>
      <c r="AZ8" s="89">
        <f>Table1[[#This Row],[RPS]]/Table1[[#This Row],[RPS(OL)]]</f>
        <v>0.86756464963240953</v>
      </c>
      <c r="BA8" s="131">
        <f>MaxTok/Table1[[#This Row],[tok/req]]</f>
        <v>123.14674983890644</v>
      </c>
      <c r="BB8" s="34">
        <f>Table1[[#This Row],[N]]/Table1[[#This Row],[N-max]]</f>
        <v>4.7948057708574569E-2</v>
      </c>
      <c r="BC8" s="69">
        <f>Table1[[#This Row],[RPS]]</f>
        <v>2</v>
      </c>
      <c r="BD8" s="48">
        <f>Table1[[#This Row],[PPS]]/Table1[[#This Row],[RPS success]]</f>
        <v>3704.3480555555557</v>
      </c>
      <c r="BE8" s="34">
        <f>ABS(Table1[[#This Row],[est-In-Tok3]]-Table1[[#This Row],[In-Tok]])/Table1[[#This Row],[In-Tok]]</f>
        <v>0.23478268518518522</v>
      </c>
      <c r="BF8" s="48">
        <f>Table1[[#This Row],[GPS]]/Table1[[#This Row],[RPS success]]</f>
        <v>345.79555555555561</v>
      </c>
      <c r="BG8" s="34">
        <f>ABS(Table1[[#This Row],[est-Out-Tok3]]-Table1[[#This Row],[Out-Tok]])/Table1[[#This Row],[Out-Tok]]</f>
        <v>0.15265185185185204</v>
      </c>
      <c r="BH8" s="157">
        <f>Table1[[#This Row],[est-In-Tok3]]+AvgOutLoad*Table1[[#This Row],[est-Out-Tok3]]</f>
        <v>3877.2458333333334</v>
      </c>
      <c r="BI8" s="34">
        <f>ABS(Table1[[#This Row],[est-Tok/Req3]]-Table1[[#This Row],[tok/req]])/Table1[[#This Row],[tok/req]]</f>
        <v>0.23087169312169314</v>
      </c>
      <c r="BJ8" s="157">
        <f>MaxTok/Table1[[#This Row],[est-Tok/Req3]]</f>
        <v>100.04840514821331</v>
      </c>
      <c r="BK8" s="34">
        <f>ABS(Table1[[#This Row],[est-N-max3]]-Table1[[#This Row],[N-max]])/Table1[[#This Row],[N-max]]</f>
        <v>0.18756763553166508</v>
      </c>
      <c r="BL8" s="69">
        <f>MaxTok*Table1[[#This Row],[Kvcache]]/Table1[[#This Row],[Run]]</f>
        <v>3168.4926413043336</v>
      </c>
      <c r="BM8" s="165">
        <f>ABS(Table1[[#This Row],[est-Tok/Req]]-Table1[[#This Row],[tok/req]])/Table1[[#This Row],[tok/req]]</f>
        <v>5.8706797791535153E-3</v>
      </c>
      <c r="BN8" s="69">
        <f>MaxTok/Table1[[#This Row],[est-Tok/Req]]</f>
        <v>122.42801417170668</v>
      </c>
      <c r="BO8" s="175">
        <f>Table1[[#This Row],[Run]]/Table1[[#This Row],[Kvcache]]</f>
        <v>122.42801417170669</v>
      </c>
      <c r="BP8" s="131" cm="1">
        <f t="array" aca="1" ref="BP8" ca="1">_xlfn.CEILING.MATH(INDIRECT("Table1"&amp;BP$3)/BP$2)*BP$2</f>
        <v>4000</v>
      </c>
      <c r="BQ8" s="182" cm="1">
        <f t="array" aca="1" ref="BQ8" ca="1">_xlfn.CEILING.MATH(INDIRECT("Table1"&amp;BQ$3)/BQ$2)*BQ$2</f>
        <v>0.01</v>
      </c>
      <c r="BR8" s="34" cm="1">
        <f t="array" aca="1" ref="BR8" ca="1">_xlfn.CEILING.MATH(INDIRECT("Table1"&amp;BR$3)/BR$2)*BR$2</f>
        <v>0.1</v>
      </c>
      <c r="BS8" s="34" cm="1">
        <f t="array" aca="1" ref="BS8" ca="1">_xlfn.CEILING.MATH(INDIRECT("Table1"&amp;BS$3)/BS$2)*BS$2</f>
        <v>0.04</v>
      </c>
      <c r="BT8" s="20" cm="1">
        <f t="array" aca="1" ref="BT8" ca="1">_xlfn.CEILING.MATH(INDIRECT("Table1"&amp;BT$3)/BT$2)*BT$2</f>
        <v>5</v>
      </c>
      <c r="BU8" s="131" cm="1">
        <f t="array" aca="1" ref="BU8" ca="1">_xlfn.CEILING.MATH(INDIRECT("Table1"&amp;BU$3)/BU$2)*BU$2</f>
        <v>10</v>
      </c>
      <c r="BV8" s="131" cm="1">
        <f t="array" aca="1" ref="BV8" ca="1">_xlfn.CEILING.MATH(INDIRECT("Table1"&amp;BV$3)/BV$2)*BV$2</f>
        <v>3000</v>
      </c>
      <c r="BW8" s="34"/>
      <c r="BX8" s="34"/>
      <c r="BY8" s="190">
        <v>8.9604344453064352E-2</v>
      </c>
      <c r="BZ8" s="34"/>
      <c r="CA8" s="24">
        <f>(Table1[[#This Row],[In-Tok]]+Table1[[#This Row],[Out-Tok]])*Table1[[#This Row],[RPS]]</f>
        <v>6600</v>
      </c>
      <c r="CB8" s="20">
        <f t="shared" si="5"/>
        <v>386700.00000000017</v>
      </c>
      <c r="CC8" s="20">
        <f>Table1[[#This Row],[Supply]]/(Table1[[#This Row],[Prefill]]+Table1[[#This Row],[Out-Tok]]*Table1[[#This Row],[ITL]])</f>
        <v>151317.27971916244</v>
      </c>
      <c r="CD8" s="20">
        <f>Table1[[#This Row],[MaxRun]]/Table1[[#This Row],[ITL]]</f>
        <v>1333.5922687967097</v>
      </c>
      <c r="CE8" s="20">
        <f>Table1[[#This Row],[Out-Tok]]*Table1[[#This Row],[RPS]]</f>
        <v>600</v>
      </c>
      <c r="CF8" s="22">
        <f>Table1[[#This Row],[Supply]]/Table1[[#This Row],[Demand-T]]</f>
        <v>58.590909090909115</v>
      </c>
      <c r="CG8" s="22"/>
      <c r="CH8" s="71">
        <f>Table1[[#This Row],[Prefill]]+Table1[[#This Row],[Out-Tok]]*Table1[[#This Row],[ITL]]</f>
        <v>2.5555574400867944</v>
      </c>
      <c r="CI8" s="71">
        <f>Table1[[#This Row],[GPS]]*Table1[[#This Row],[ITL]]</f>
        <v>5.7045188399947877</v>
      </c>
      <c r="CJ8" s="72">
        <f>Table1[[#This Row],[PPS]]*Table1[[#This Row],[Prefill]]/Table1[[#This Row],[In-Tok]]</f>
        <v>0.20012862790449523</v>
      </c>
      <c r="CK8" s="71">
        <f t="shared" si="6"/>
        <v>5.9046474678992826</v>
      </c>
      <c r="CL8" s="71">
        <f>Table1[[#This Row],[PPS]]/Table1[[#This Row],[In-Tok]]</f>
        <v>2.4695653703703706</v>
      </c>
      <c r="CM8" s="71">
        <f>Table1[[#This Row],[GPS]]/Table1[[#This Row],[Out-Tok]]</f>
        <v>2.3053037037037041</v>
      </c>
      <c r="CN8" s="71">
        <f>Table1[[#This Row],[Run]]/Table1[[#This Row],[E2E]]</f>
        <v>1.9108473551194014</v>
      </c>
      <c r="CO8" s="71">
        <f>Table1[[#This Row],[N2]]/Table1[[#This Row],[E2E]]</f>
        <v>2.3126928102259274</v>
      </c>
      <c r="CP8" s="71"/>
      <c r="CQ8" s="71">
        <f>Table1[[#This Row],[In-Tok]]+AvgOutLoad*Table1[[#This Row],[Out-Tok]]</f>
        <v>3150</v>
      </c>
      <c r="CR8" s="71">
        <f t="shared" si="7"/>
        <v>71697.396607922376</v>
      </c>
      <c r="CS8" s="71" t="e">
        <f t="shared" si="8"/>
        <v>#DIV/0!</v>
      </c>
      <c r="CT8" s="71" t="e">
        <f t="shared" si="9"/>
        <v>#DIV/0!</v>
      </c>
      <c r="CU8" s="71">
        <f t="shared" si="10"/>
        <v>0</v>
      </c>
      <c r="CV8" s="71" t="e">
        <f t="shared" si="11"/>
        <v>#DIV/0!</v>
      </c>
      <c r="CW8" s="71">
        <f>Table1[[#This Row],[N(maxT)]]/Table1[[#This Row],[e2e sat]]</f>
        <v>0</v>
      </c>
      <c r="CX8" s="71" t="e">
        <f>Table1[[#This Row],[RPS]]/CW8</f>
        <v>#DIV/0!</v>
      </c>
      <c r="CY8" s="110" t="e">
        <f>Table1[[#This Row],[Kvcache]]/$T$4</f>
        <v>#DIV/0!</v>
      </c>
      <c r="GJ8"/>
    </row>
    <row r="9" spans="1:192" hidden="1" x14ac:dyDescent="0.25">
      <c r="A9" s="3">
        <v>4000</v>
      </c>
      <c r="B9" s="3">
        <v>300</v>
      </c>
      <c r="C9">
        <v>2</v>
      </c>
      <c r="D9" s="199">
        <f>Table1[[#This Row],[Kvcache]]</f>
        <v>5.5108173991085967E-2</v>
      </c>
      <c r="E9" s="203" t="s">
        <v>137</v>
      </c>
      <c r="F9" s="219">
        <v>46092</v>
      </c>
      <c r="G9" s="10"/>
      <c r="H9" s="10">
        <v>0.12017994891764257</v>
      </c>
      <c r="I9" s="10">
        <v>0.10961615169575983</v>
      </c>
      <c r="J9" s="10">
        <v>0.74510267118587248</v>
      </c>
      <c r="K9" s="10">
        <v>1.019898557662964</v>
      </c>
      <c r="L9" s="10">
        <v>1.2181447839736934</v>
      </c>
      <c r="M9" s="10">
        <v>9.0297684207135426E-3</v>
      </c>
      <c r="N9" s="10">
        <v>2.8195524820219489</v>
      </c>
      <c r="O9" s="47">
        <v>9242.0788888888874</v>
      </c>
      <c r="P9" s="47">
        <v>646.99833333333333</v>
      </c>
      <c r="Q9" s="5">
        <v>5.132352941176471</v>
      </c>
      <c r="R9" s="5">
        <v>10.666666666666666</v>
      </c>
      <c r="S9" s="170">
        <v>5.5108173991085967E-2</v>
      </c>
      <c r="T9" s="165">
        <v>0.11567106283941038</v>
      </c>
      <c r="U9" s="26">
        <f>(Table1[[#This Row],[In-Tok]]+Table1[[#This Row],[Out-Tok]])*Table1[[#This Row],[RPS]]</f>
        <v>8600</v>
      </c>
      <c r="V9" s="54">
        <f>Table1[[#This Row],[In-Tok]]+AvgOutLoad*Table1[[#This Row],[Out-Tok]]</f>
        <v>4150</v>
      </c>
      <c r="W9" s="20">
        <f>Table1[[#This Row],[In-Tok]]*Table1[[#This Row],[RPS]]</f>
        <v>8000</v>
      </c>
      <c r="X9" s="35">
        <f>Table1[[#This Row],[Out-Tok]]*Table1[[#This Row],[RPS]]</f>
        <v>600</v>
      </c>
      <c r="Y9" s="75">
        <f>Table1[[#This Row],[In-Tok]]/Table1[[#This Row],[Out-Tok]]</f>
        <v>13.333333333333334</v>
      </c>
      <c r="Z9" s="26">
        <f>Table1[[#This Row],[In-Tok]]*Table1[[#This Row],[N]]+AvgOutLoad*Table1[[#This Row],[Out-Tok]]*Table1[[#This Row],[Ndecode]]</f>
        <v>25258.398363607277</v>
      </c>
      <c r="AA9" s="20">
        <f>Table1[[#This Row],[tok(N)]]/Table1[[#This Row],[Kvcache]]</f>
        <v>458342.13936562213</v>
      </c>
      <c r="AB9" s="20">
        <f>Table1[[#This Row],[tok/req]]*Table1[[#This Row],[Run]]</f>
        <v>21299.264705882353</v>
      </c>
      <c r="AC9" s="20">
        <f>Table1[[#This Row],[tok(Run)]]/Table1[[#This Row],[Kvcache]]</f>
        <v>386499.19174109487</v>
      </c>
      <c r="AD9" s="20">
        <f>Table1[[#This Row],[tok/req]]*Table1[[#This Row],[MaxRun]]</f>
        <v>44266.666666666664</v>
      </c>
      <c r="AE9" s="20">
        <f>Table1[[#This Row],[tok(MaxRun)]]/Table1[[#This Row],[MaxKvcache]]</f>
        <v>382694.38855354354</v>
      </c>
      <c r="AF9" s="75">
        <f>Table1[[#This Row],[PPS]]*Table1[[#This Row],[Prefill]]/Table1[[#This Row],[In-Tok]]</f>
        <v>0.25327028036715593</v>
      </c>
      <c r="AG9" s="22">
        <f>Table1[[#This Row],[GPS]]*Table1[[#This Row],[ITL]]</f>
        <v>5.8422451185876279</v>
      </c>
      <c r="AH9" s="22">
        <f>Table1[[#This Row],[Nprefill]]+Table1[[#This Row],[Ndecode]]</f>
        <v>6.0955153989547837</v>
      </c>
      <c r="AI9" s="34">
        <f>Table1[[#This Row],[Run]]/Table1[[#This Row],[ITL]]/Table1[[#This Row],[GPS]]</f>
        <v>0.8784898334456096</v>
      </c>
      <c r="AJ9" s="64">
        <f>Table1[[#This Row],[Prefill]]+Table1[[#This Row],[ITL]]</f>
        <v>0.11864592011647337</v>
      </c>
      <c r="AK9" s="34">
        <f>Table1[[#This Row],[TTFT]]/Table1[[#This Row],[estTTFT]]</f>
        <v>1.0129294694639583</v>
      </c>
      <c r="AL9" s="22">
        <f>Table1[[#This Row],[In-Tok]]*Table1[[#This Row],[RPS]]/Table1[[#This Row],[PPS]]</f>
        <v>0.86560611483395222</v>
      </c>
      <c r="AM9" s="34">
        <f>Table1[[#This Row],[Prefill]]/Table1[[#This Row],[estPrefill]]</f>
        <v>0.12663514018357797</v>
      </c>
      <c r="AN9" s="34">
        <f>Table1[[#This Row],[Prefill]]/Table1[[#This Row],[TTFT]]</f>
        <v>0.91210016881333555</v>
      </c>
      <c r="AO9" s="64">
        <f>Table1[[#This Row],[Run]]/(Table1[[#This Row],[Out-Tok]]*Table1[[#This Row],[RPS]])</f>
        <v>8.5539215686274515E-3</v>
      </c>
      <c r="AP9" s="34">
        <f>Table1[[#This Row],[ITL]]/Table1[[#This Row],[estITL]]</f>
        <v>1.055629087579119</v>
      </c>
      <c r="AQ9" s="69">
        <f>Table1[[#This Row],[E2E]]-Table1[[#This Row],[TTFT]]+Table1[[#This Row],[ITL]]</f>
        <v>2.70840230152502</v>
      </c>
      <c r="AR9" s="34">
        <f>Table1[[#This Row],[estDecode]]/Table1[[#This Row],[Run]]</f>
        <v>0.52771162321977461</v>
      </c>
      <c r="AS9" s="69">
        <f>Table1[[#This Row],[Prefill]]+Table1[[#This Row],[Out-Tok]]*Table1[[#This Row],[ITL]]</f>
        <v>2.8185466779098225</v>
      </c>
      <c r="AT9" s="22">
        <f>Table1[[#This Row],[estPrefill]]+Table1[[#This Row],[Out-Tok]]*Table1[[#This Row],[ITL]]</f>
        <v>3.5745366410480148</v>
      </c>
      <c r="AU9" s="34">
        <f>Table1[[#This Row],[E2E]]/Table1[[#This Row],[estE2E]]</f>
        <v>0.78878824450804541</v>
      </c>
      <c r="AV9" s="22">
        <f>Table1[[#This Row],[N]]/Table1[[#This Row],[estE2E]]</f>
        <v>1.7052602927487814</v>
      </c>
      <c r="AW9" s="22">
        <f>Table1[[#This Row],[PPS]]/Table1[[#This Row],[In-Tok]]</f>
        <v>2.3105197222222218</v>
      </c>
      <c r="AX9" s="34">
        <f>Table1[[#This Row],[RPS]]/Table1[[#This Row],[RPS(IL)]]</f>
        <v>0.86560611483395222</v>
      </c>
      <c r="AY9" s="22">
        <f>Table1[[#This Row],[GPS]]/Table1[[#This Row],[Out-Tok]]</f>
        <v>2.1566611111111111</v>
      </c>
      <c r="AZ9" s="89">
        <f>Table1[[#This Row],[RPS]]/Table1[[#This Row],[RPS(OL)]]</f>
        <v>0.92735942132772109</v>
      </c>
      <c r="BA9" s="131">
        <f>MaxTok/Table1[[#This Row],[tok/req]]</f>
        <v>93.472834215073561</v>
      </c>
      <c r="BB9" s="34">
        <f>Table1[[#This Row],[N]]/Table1[[#This Row],[N-max]]</f>
        <v>6.5211624854869463E-2</v>
      </c>
      <c r="BC9" s="69">
        <f>Table1[[#This Row],[RPS]]</f>
        <v>2</v>
      </c>
      <c r="BD9" s="48">
        <f>Table1[[#This Row],[PPS]]/Table1[[#This Row],[RPS success]]</f>
        <v>4621.0394444444437</v>
      </c>
      <c r="BE9" s="34">
        <f>ABS(Table1[[#This Row],[est-In-Tok3]]-Table1[[#This Row],[In-Tok]])/Table1[[#This Row],[In-Tok]]</f>
        <v>0.15525986111111093</v>
      </c>
      <c r="BF9" s="48">
        <f>Table1[[#This Row],[GPS]]/Table1[[#This Row],[RPS success]]</f>
        <v>323.49916666666667</v>
      </c>
      <c r="BG9" s="34">
        <f>ABS(Table1[[#This Row],[est-Out-Tok3]]-Table1[[#This Row],[Out-Tok]])/Table1[[#This Row],[Out-Tok]]</f>
        <v>7.8330555555555556E-2</v>
      </c>
      <c r="BH9" s="157">
        <f>Table1[[#This Row],[est-In-Tok3]]+AvgOutLoad*Table1[[#This Row],[est-Out-Tok3]]</f>
        <v>4782.7890277777769</v>
      </c>
      <c r="BI9" s="34">
        <f>ABS(Table1[[#This Row],[est-Tok/Req3]]-Table1[[#This Row],[tok/req]])/Table1[[#This Row],[tok/req]]</f>
        <v>0.15247928380187395</v>
      </c>
      <c r="BJ9" s="157">
        <f>MaxTok/Table1[[#This Row],[est-Tok/Req3]]</f>
        <v>81.105869345190541</v>
      </c>
      <c r="BK9" s="34">
        <f>ABS(Table1[[#This Row],[est-N-max3]]-Table1[[#This Row],[N-max]])/Table1[[#This Row],[N-max]]</f>
        <v>0.13230544439711348</v>
      </c>
      <c r="BL9" s="69">
        <f>MaxTok*Table1[[#This Row],[Kvcache]]/Table1[[#This Row],[Run]]</f>
        <v>4165.1727136016598</v>
      </c>
      <c r="BM9" s="165">
        <f>ABS(Table1[[#This Row],[est-Tok/Req]]-Table1[[#This Row],[tok/req]])/Table1[[#This Row],[tok/req]]</f>
        <v>3.656075566665007E-3</v>
      </c>
      <c r="BN9" s="69">
        <f>MaxTok/Table1[[#This Row],[est-Tok/Req]]</f>
        <v>93.132335359299972</v>
      </c>
      <c r="BO9" s="175">
        <f>Table1[[#This Row],[Run]]/Table1[[#This Row],[Kvcache]]</f>
        <v>93.132335359299972</v>
      </c>
      <c r="BP9" s="131" cm="1">
        <f t="array" aca="1" ref="BP9" ca="1">_xlfn.CEILING.MATH(INDIRECT("Table1"&amp;BP$3)/BP$2)*BP$2</f>
        <v>5000</v>
      </c>
      <c r="BQ9" s="182" cm="1">
        <f t="array" aca="1" ref="BQ9" ca="1">_xlfn.CEILING.MATH(INDIRECT("Table1"&amp;BQ$3)/BQ$2)*BQ$2</f>
        <v>0.01</v>
      </c>
      <c r="BR9" s="34" cm="1">
        <f t="array" aca="1" ref="BR9" ca="1">_xlfn.CEILING.MATH(INDIRECT("Table1"&amp;BR$3)/BR$2)*BR$2</f>
        <v>0.1</v>
      </c>
      <c r="BS9" s="34" cm="1">
        <f t="array" aca="1" ref="BS9" ca="1">_xlfn.CEILING.MATH(INDIRECT("Table1"&amp;BS$3)/BS$2)*BS$2</f>
        <v>0.06</v>
      </c>
      <c r="BT9" s="20" cm="1">
        <f t="array" aca="1" ref="BT9" ca="1">_xlfn.CEILING.MATH(INDIRECT("Table1"&amp;BT$3)/BT$2)*BT$2</f>
        <v>6</v>
      </c>
      <c r="BU9" s="131" cm="1">
        <f t="array" aca="1" ref="BU9" ca="1">_xlfn.CEILING.MATH(INDIRECT("Table1"&amp;BU$3)/BU$2)*BU$2</f>
        <v>15</v>
      </c>
      <c r="BV9" s="131" cm="1">
        <f t="array" aca="1" ref="BV9" ca="1">_xlfn.CEILING.MATH(INDIRECT("Table1"&amp;BV$3)/BV$2)*BV$2</f>
        <v>4000</v>
      </c>
      <c r="BW9" s="34"/>
      <c r="BX9" s="34"/>
      <c r="BY9" s="190">
        <v>0.11567106283941038</v>
      </c>
      <c r="BZ9" s="34"/>
      <c r="CA9" s="24">
        <f>(Table1[[#This Row],[In-Tok]]+Table1[[#This Row],[Out-Tok]])*Table1[[#This Row],[RPS]]</f>
        <v>8600</v>
      </c>
      <c r="CB9" s="20">
        <f t="shared" si="5"/>
        <v>382694.38855354354</v>
      </c>
      <c r="CC9" s="20">
        <f>Table1[[#This Row],[Supply]]/(Table1[[#This Row],[Prefill]]+Table1[[#This Row],[Out-Tok]]*Table1[[#This Row],[ITL]])</f>
        <v>135777.20445536208</v>
      </c>
      <c r="CD9" s="20">
        <f>Table1[[#This Row],[MaxRun]]/Table1[[#This Row],[ITL]]</f>
        <v>1181.2779873953593</v>
      </c>
      <c r="CE9" s="20">
        <f>Table1[[#This Row],[Out-Tok]]*Table1[[#This Row],[RPS]]</f>
        <v>600</v>
      </c>
      <c r="CF9" s="22">
        <f>Table1[[#This Row],[Supply]]/Table1[[#This Row],[Demand-T]]</f>
        <v>44.499347506225995</v>
      </c>
      <c r="CG9" s="22"/>
      <c r="CH9" s="71">
        <f>Table1[[#This Row],[Prefill]]+Table1[[#This Row],[Out-Tok]]*Table1[[#This Row],[ITL]]</f>
        <v>2.8185466779098225</v>
      </c>
      <c r="CI9" s="71">
        <f>Table1[[#This Row],[GPS]]*Table1[[#This Row],[ITL]]</f>
        <v>5.8422451185876279</v>
      </c>
      <c r="CJ9" s="72">
        <f>Table1[[#This Row],[PPS]]*Table1[[#This Row],[Prefill]]/Table1[[#This Row],[In-Tok]]</f>
        <v>0.25327028036715593</v>
      </c>
      <c r="CK9" s="71">
        <f t="shared" si="6"/>
        <v>6.0955153989547837</v>
      </c>
      <c r="CL9" s="71">
        <f>Table1[[#This Row],[PPS]]/Table1[[#This Row],[In-Tok]]</f>
        <v>2.3105197222222218</v>
      </c>
      <c r="CM9" s="71">
        <f>Table1[[#This Row],[GPS]]/Table1[[#This Row],[Out-Tok]]</f>
        <v>2.1566611111111111</v>
      </c>
      <c r="CN9" s="71">
        <f>Table1[[#This Row],[Run]]/Table1[[#This Row],[E2E]]</f>
        <v>1.8202721793268319</v>
      </c>
      <c r="CO9" s="71">
        <f>Table1[[#This Row],[N2]]/Table1[[#This Row],[E2E]]</f>
        <v>2.1618733603368101</v>
      </c>
      <c r="CP9" s="71"/>
      <c r="CQ9" s="71">
        <f>Table1[[#This Row],[In-Tok]]+AvgOutLoad*Table1[[#This Row],[Out-Tok]]</f>
        <v>4150</v>
      </c>
      <c r="CR9" s="71">
        <f t="shared" si="7"/>
        <v>110165.74225059929</v>
      </c>
      <c r="CS9" s="71" t="e">
        <f t="shared" si="8"/>
        <v>#DIV/0!</v>
      </c>
      <c r="CT9" s="71" t="e">
        <f t="shared" si="9"/>
        <v>#DIV/0!</v>
      </c>
      <c r="CU9" s="71">
        <f t="shared" si="10"/>
        <v>0</v>
      </c>
      <c r="CV9" s="71" t="e">
        <f t="shared" si="11"/>
        <v>#DIV/0!</v>
      </c>
      <c r="CW9" s="71">
        <f>Table1[[#This Row],[N(maxT)]]/Table1[[#This Row],[e2e sat]]</f>
        <v>0</v>
      </c>
      <c r="CX9" s="71" t="e">
        <f>Table1[[#This Row],[RPS]]/CW9</f>
        <v>#DIV/0!</v>
      </c>
      <c r="CY9" s="110" t="e">
        <f>Table1[[#This Row],[Kvcache]]/$T$4</f>
        <v>#DIV/0!</v>
      </c>
      <c r="GJ9"/>
    </row>
    <row r="10" spans="1:192" hidden="1" x14ac:dyDescent="0.25">
      <c r="A10" s="3">
        <v>5000</v>
      </c>
      <c r="B10" s="3">
        <v>300</v>
      </c>
      <c r="C10">
        <v>2</v>
      </c>
      <c r="D10" s="199">
        <f>Table1[[#This Row],[Kvcache]]</f>
        <v>7.817315444408951E-2</v>
      </c>
      <c r="E10" s="203" t="s">
        <v>137</v>
      </c>
      <c r="F10" s="219">
        <v>46092</v>
      </c>
      <c r="G10" s="10"/>
      <c r="H10" s="10">
        <v>0.15427486259356141</v>
      </c>
      <c r="I10" s="10">
        <v>0.14188560392014285</v>
      </c>
      <c r="J10" s="10">
        <v>0.84892997103396572</v>
      </c>
      <c r="K10" s="10">
        <v>1.3430427153905231</v>
      </c>
      <c r="L10" s="10">
        <v>1.5120748329162597</v>
      </c>
      <c r="M10" s="10">
        <v>1.0746412006416907E-2</v>
      </c>
      <c r="N10" s="10">
        <v>3.3648584072407979</v>
      </c>
      <c r="O10" s="47">
        <v>12072.108611111114</v>
      </c>
      <c r="P10" s="47">
        <v>673.46</v>
      </c>
      <c r="Q10" s="5">
        <v>5.875</v>
      </c>
      <c r="R10" s="5">
        <v>12.666666666666666</v>
      </c>
      <c r="S10" s="170">
        <v>7.817315444408951E-2</v>
      </c>
      <c r="T10" s="165">
        <v>0.16894233255753818</v>
      </c>
      <c r="U10" s="26">
        <f>(Table1[[#This Row],[In-Tok]]+Table1[[#This Row],[Out-Tok]])*Table1[[#This Row],[RPS]]</f>
        <v>10600</v>
      </c>
      <c r="V10" s="54">
        <f>Table1[[#This Row],[In-Tok]]+AvgOutLoad*Table1[[#This Row],[Out-Tok]]</f>
        <v>5150</v>
      </c>
      <c r="W10" s="20">
        <f>Table1[[#This Row],[In-Tok]]*Table1[[#This Row],[RPS]]</f>
        <v>10000</v>
      </c>
      <c r="X10" s="35">
        <f>Table1[[#This Row],[Out-Tok]]*Table1[[#This Row],[RPS]]</f>
        <v>600</v>
      </c>
      <c r="Y10" s="75">
        <f>Table1[[#This Row],[In-Tok]]/Table1[[#This Row],[Out-Tok]]</f>
        <v>16.666666666666668</v>
      </c>
      <c r="Z10" s="26">
        <f>Table1[[#This Row],[In-Tok]]*Table1[[#This Row],[N]]+AvgOutLoad*Table1[[#This Row],[Out-Tok]]*Table1[[#This Row],[Ndecode]]</f>
        <v>38984.843364560948</v>
      </c>
      <c r="AA10" s="20">
        <f>Table1[[#This Row],[tok(N)]]/Table1[[#This Row],[Kvcache]]</f>
        <v>498698.60877167789</v>
      </c>
      <c r="AB10" s="20">
        <f>Table1[[#This Row],[tok/req]]*Table1[[#This Row],[Run]]</f>
        <v>30256.25</v>
      </c>
      <c r="AC10" s="20">
        <f>Table1[[#This Row],[tok(Run)]]/Table1[[#This Row],[Kvcache]]</f>
        <v>387041.4366051926</v>
      </c>
      <c r="AD10" s="20">
        <f>Table1[[#This Row],[tok/req]]*Table1[[#This Row],[MaxRun]]</f>
        <v>65233.333333333328</v>
      </c>
      <c r="AE10" s="20">
        <f>Table1[[#This Row],[tok(MaxRun)]]/Table1[[#This Row],[MaxKvcache]]</f>
        <v>386127.81264350208</v>
      </c>
      <c r="AF10" s="75">
        <f>Table1[[#This Row],[PPS]]*Table1[[#This Row],[Prefill]]/Table1[[#This Row],[In-Tok]]</f>
        <v>0.34257168417541145</v>
      </c>
      <c r="AG10" s="22">
        <f>Table1[[#This Row],[GPS]]*Table1[[#This Row],[ITL]]</f>
        <v>7.2372786298415308</v>
      </c>
      <c r="AH10" s="22">
        <f>Table1[[#This Row],[Nprefill]]+Table1[[#This Row],[Ndecode]]</f>
        <v>7.5798503140169426</v>
      </c>
      <c r="AI10" s="34">
        <f>Table1[[#This Row],[Run]]/Table1[[#This Row],[ITL]]/Table1[[#This Row],[GPS]]</f>
        <v>0.81176921609395603</v>
      </c>
      <c r="AJ10" s="64">
        <f>Table1[[#This Row],[Prefill]]+Table1[[#This Row],[ITL]]</f>
        <v>0.15263201592655976</v>
      </c>
      <c r="AK10" s="34">
        <f>Table1[[#This Row],[TTFT]]/Table1[[#This Row],[estTTFT]]</f>
        <v>1.0107634473477185</v>
      </c>
      <c r="AL10" s="22">
        <f>Table1[[#This Row],[In-Tok]]*Table1[[#This Row],[RPS]]/Table1[[#This Row],[PPS]]</f>
        <v>0.8283557017368155</v>
      </c>
      <c r="AM10" s="34">
        <f>Table1[[#This Row],[Prefill]]/Table1[[#This Row],[estPrefill]]</f>
        <v>0.17128584208770573</v>
      </c>
      <c r="AN10" s="34">
        <f>Table1[[#This Row],[Prefill]]/Table1[[#This Row],[TTFT]]</f>
        <v>0.91969360098502773</v>
      </c>
      <c r="AO10" s="64">
        <f>Table1[[#This Row],[Run]]/(Table1[[#This Row],[Out-Tok]]*Table1[[#This Row],[RPS]])</f>
        <v>9.7916666666666673E-3</v>
      </c>
      <c r="AP10" s="34">
        <f>Table1[[#This Row],[ITL]]/Table1[[#This Row],[estITL]]</f>
        <v>1.0975059070383224</v>
      </c>
      <c r="AQ10" s="69">
        <f>Table1[[#This Row],[E2E]]-Table1[[#This Row],[TTFT]]+Table1[[#This Row],[ITL]]</f>
        <v>3.2213299566536535</v>
      </c>
      <c r="AR10" s="34">
        <f>Table1[[#This Row],[estDecode]]/Table1[[#This Row],[Run]]</f>
        <v>0.54831148198360058</v>
      </c>
      <c r="AS10" s="69">
        <f>Table1[[#This Row],[Prefill]]+Table1[[#This Row],[Out-Tok]]*Table1[[#This Row],[ITL]]</f>
        <v>3.3658092058452151</v>
      </c>
      <c r="AT10" s="22">
        <f>Table1[[#This Row],[estPrefill]]+Table1[[#This Row],[Out-Tok]]*Table1[[#This Row],[ITL]]</f>
        <v>4.0522793036618872</v>
      </c>
      <c r="AU10" s="34">
        <f>Table1[[#This Row],[E2E]]/Table1[[#This Row],[estE2E]]</f>
        <v>0.83036191611967769</v>
      </c>
      <c r="AV10" s="22">
        <f>Table1[[#This Row],[N]]/Table1[[#This Row],[estE2E]]</f>
        <v>1.8705152695588694</v>
      </c>
      <c r="AW10" s="22">
        <f>Table1[[#This Row],[PPS]]/Table1[[#This Row],[In-Tok]]</f>
        <v>2.4144217222222228</v>
      </c>
      <c r="AX10" s="34">
        <f>Table1[[#This Row],[RPS]]/Table1[[#This Row],[RPS(IL)]]</f>
        <v>0.8283557017368155</v>
      </c>
      <c r="AY10" s="22">
        <f>Table1[[#This Row],[GPS]]/Table1[[#This Row],[Out-Tok]]</f>
        <v>2.2448666666666668</v>
      </c>
      <c r="AZ10" s="89">
        <f>Table1[[#This Row],[RPS]]/Table1[[#This Row],[RPS(OL)]]</f>
        <v>0.8909215098149853</v>
      </c>
      <c r="BA10" s="131">
        <f>MaxTok/Table1[[#This Row],[tok/req]]</f>
        <v>75.322769318942775</v>
      </c>
      <c r="BB10" s="34">
        <f>Table1[[#This Row],[N]]/Table1[[#This Row],[N-max]]</f>
        <v>0.10063159364097758</v>
      </c>
      <c r="BC10" s="69">
        <f>Table1[[#This Row],[RPS]]</f>
        <v>2</v>
      </c>
      <c r="BD10" s="48">
        <f>Table1[[#This Row],[PPS]]/Table1[[#This Row],[RPS success]]</f>
        <v>6036.0543055555572</v>
      </c>
      <c r="BE10" s="34">
        <f>ABS(Table1[[#This Row],[est-In-Tok3]]-Table1[[#This Row],[In-Tok]])/Table1[[#This Row],[In-Tok]]</f>
        <v>0.20721086111111145</v>
      </c>
      <c r="BF10" s="48">
        <f>Table1[[#This Row],[GPS]]/Table1[[#This Row],[RPS success]]</f>
        <v>336.73</v>
      </c>
      <c r="BG10" s="34">
        <f>ABS(Table1[[#This Row],[est-Out-Tok3]]-Table1[[#This Row],[Out-Tok]])/Table1[[#This Row],[Out-Tok]]</f>
        <v>0.12243333333333339</v>
      </c>
      <c r="BH10" s="157">
        <f>Table1[[#This Row],[est-In-Tok3]]+AvgOutLoad*Table1[[#This Row],[est-Out-Tok3]]</f>
        <v>6204.419305555557</v>
      </c>
      <c r="BI10" s="34">
        <f>ABS(Table1[[#This Row],[est-Tok/Req3]]-Table1[[#This Row],[tok/req]])/Table1[[#This Row],[tok/req]]</f>
        <v>0.20474161272923436</v>
      </c>
      <c r="BJ10" s="157">
        <f>MaxTok/Table1[[#This Row],[est-Tok/Req3]]</f>
        <v>62.5219287879546</v>
      </c>
      <c r="BK10" s="34">
        <f>ABS(Table1[[#This Row],[est-N-max3]]-Table1[[#This Row],[N-max]])/Table1[[#This Row],[N-max]]</f>
        <v>0.16994649356006772</v>
      </c>
      <c r="BL10" s="69">
        <f>MaxTok*Table1[[#This Row],[Kvcache]]/Table1[[#This Row],[Run]]</f>
        <v>5161.5872625532147</v>
      </c>
      <c r="BM10" s="165">
        <f>ABS(Table1[[#This Row],[est-Tok/Req]]-Table1[[#This Row],[tok/req]])/Table1[[#This Row],[tok/req]]</f>
        <v>2.2499538938280999E-3</v>
      </c>
      <c r="BN10" s="69">
        <f>MaxTok/Table1[[#This Row],[est-Tok/Req]]</f>
        <v>75.153677010717018</v>
      </c>
      <c r="BO10" s="175">
        <f>Table1[[#This Row],[Run]]/Table1[[#This Row],[Kvcache]]</f>
        <v>75.153677010717004</v>
      </c>
      <c r="BP10" s="131" cm="1">
        <f t="array" aca="1" ref="BP10" ca="1">_xlfn.CEILING.MATH(INDIRECT("Table1"&amp;BP$3)/BP$2)*BP$2</f>
        <v>6000</v>
      </c>
      <c r="BQ10" s="182" cm="1">
        <f t="array" aca="1" ref="BQ10" ca="1">_xlfn.CEILING.MATH(INDIRECT("Table1"&amp;BQ$3)/BQ$2)*BQ$2</f>
        <v>1.4999999999999999E-2</v>
      </c>
      <c r="BR10" s="34" cm="1">
        <f t="array" aca="1" ref="BR10" ca="1">_xlfn.CEILING.MATH(INDIRECT("Table1"&amp;BR$3)/BR$2)*BR$2</f>
        <v>0.1</v>
      </c>
      <c r="BS10" s="34" cm="1">
        <f t="array" aca="1" ref="BS10" ca="1">_xlfn.CEILING.MATH(INDIRECT("Table1"&amp;BS$3)/BS$2)*BS$2</f>
        <v>0.08</v>
      </c>
      <c r="BT10" s="20" cm="1">
        <f t="array" aca="1" ref="BT10" ca="1">_xlfn.CEILING.MATH(INDIRECT("Table1"&amp;BT$3)/BT$2)*BT$2</f>
        <v>6</v>
      </c>
      <c r="BU10" s="131" cm="1">
        <f t="array" aca="1" ref="BU10" ca="1">_xlfn.CEILING.MATH(INDIRECT("Table1"&amp;BU$3)/BU$2)*BU$2</f>
        <v>20</v>
      </c>
      <c r="BV10" s="131" cm="1">
        <f t="array" aca="1" ref="BV10" ca="1">_xlfn.CEILING.MATH(INDIRECT("Table1"&amp;BV$3)/BV$2)*BV$2</f>
        <v>5000</v>
      </c>
      <c r="BW10" s="34"/>
      <c r="BX10" s="34"/>
      <c r="BY10" s="190">
        <v>0.16894233255753818</v>
      </c>
      <c r="BZ10" s="34"/>
      <c r="CA10" s="24">
        <f>(Table1[[#This Row],[In-Tok]]+Table1[[#This Row],[Out-Tok]])*Table1[[#This Row],[RPS]]</f>
        <v>10600</v>
      </c>
      <c r="CB10" s="20">
        <f t="shared" si="5"/>
        <v>386127.81264350208</v>
      </c>
      <c r="CC10" s="20">
        <f>Table1[[#This Row],[Supply]]/(Table1[[#This Row],[Prefill]]+Table1[[#This Row],[Out-Tok]]*Table1[[#This Row],[ITL]])</f>
        <v>114720.64785280616</v>
      </c>
      <c r="CD10" s="20">
        <f>Table1[[#This Row],[MaxRun]]/Table1[[#This Row],[ITL]]</f>
        <v>1178.687980611867</v>
      </c>
      <c r="CE10" s="20">
        <f>Table1[[#This Row],[Out-Tok]]*Table1[[#This Row],[RPS]]</f>
        <v>600</v>
      </c>
      <c r="CF10" s="22">
        <f>Table1[[#This Row],[Supply]]/Table1[[#This Row],[Demand-T]]</f>
        <v>36.427152136179444</v>
      </c>
      <c r="CG10" s="22"/>
      <c r="CH10" s="71">
        <f>Table1[[#This Row],[Prefill]]+Table1[[#This Row],[Out-Tok]]*Table1[[#This Row],[ITL]]</f>
        <v>3.3658092058452151</v>
      </c>
      <c r="CI10" s="71">
        <f>Table1[[#This Row],[GPS]]*Table1[[#This Row],[ITL]]</f>
        <v>7.2372786298415308</v>
      </c>
      <c r="CJ10" s="72">
        <f>Table1[[#This Row],[PPS]]*Table1[[#This Row],[Prefill]]/Table1[[#This Row],[In-Tok]]</f>
        <v>0.34257168417541145</v>
      </c>
      <c r="CK10" s="71">
        <f t="shared" si="6"/>
        <v>7.5798503140169426</v>
      </c>
      <c r="CL10" s="71">
        <f>Table1[[#This Row],[PPS]]/Table1[[#This Row],[In-Tok]]</f>
        <v>2.4144217222222228</v>
      </c>
      <c r="CM10" s="71">
        <f>Table1[[#This Row],[GPS]]/Table1[[#This Row],[Out-Tok]]</f>
        <v>2.2448666666666668</v>
      </c>
      <c r="CN10" s="71">
        <f>Table1[[#This Row],[Run]]/Table1[[#This Row],[E2E]]</f>
        <v>1.7459872865252395</v>
      </c>
      <c r="CO10" s="71">
        <f>Table1[[#This Row],[N2]]/Table1[[#This Row],[E2E]]</f>
        <v>2.2526506011979448</v>
      </c>
      <c r="CP10" s="71"/>
      <c r="CQ10" s="71">
        <f>Table1[[#This Row],[In-Tok]]+AvgOutLoad*Table1[[#This Row],[Out-Tok]]</f>
        <v>5150</v>
      </c>
      <c r="CR10" s="71">
        <f t="shared" si="7"/>
        <v>166640.6167975495</v>
      </c>
      <c r="CS10" s="71" t="e">
        <f t="shared" si="8"/>
        <v>#DIV/0!</v>
      </c>
      <c r="CT10" s="71" t="e">
        <f t="shared" si="9"/>
        <v>#DIV/0!</v>
      </c>
      <c r="CU10" s="71">
        <f t="shared" si="10"/>
        <v>0</v>
      </c>
      <c r="CV10" s="71" t="e">
        <f t="shared" si="11"/>
        <v>#DIV/0!</v>
      </c>
      <c r="CW10" s="71">
        <f>Table1[[#This Row],[N(maxT)]]/Table1[[#This Row],[e2e sat]]</f>
        <v>0</v>
      </c>
      <c r="CX10" s="71" t="e">
        <f>Table1[[#This Row],[RPS]]/CW10</f>
        <v>#DIV/0!</v>
      </c>
      <c r="CY10" s="110" t="e">
        <f>Table1[[#This Row],[Kvcache]]/$T$4</f>
        <v>#DIV/0!</v>
      </c>
      <c r="GJ10"/>
    </row>
    <row r="11" spans="1:192" hidden="1" x14ac:dyDescent="0.25">
      <c r="A11" s="3">
        <v>6000</v>
      </c>
      <c r="B11" s="3">
        <v>300</v>
      </c>
      <c r="C11">
        <v>2</v>
      </c>
      <c r="D11" s="199">
        <f>Table1[[#This Row],[Kvcache]]</f>
        <v>0.13567259668284176</v>
      </c>
      <c r="E11" s="203" t="s">
        <v>137</v>
      </c>
      <c r="F11" s="219">
        <v>46092</v>
      </c>
      <c r="G11" s="10"/>
      <c r="H11" s="10">
        <v>0.18643617367521356</v>
      </c>
      <c r="I11" s="10">
        <v>0.1726471811842305</v>
      </c>
      <c r="J11" s="10">
        <v>1.2661953933336647</v>
      </c>
      <c r="K11" s="10">
        <v>2.3803513328234325</v>
      </c>
      <c r="L11" s="10">
        <v>2.7856695540746053</v>
      </c>
      <c r="M11" s="10">
        <v>1.3768167139153839E-2</v>
      </c>
      <c r="N11" s="10">
        <v>4.2964526845535014</v>
      </c>
      <c r="O11" s="47">
        <v>16270.848174603176</v>
      </c>
      <c r="P11" s="47">
        <v>751.3536507936509</v>
      </c>
      <c r="Q11" s="5">
        <v>8.5368464052287578</v>
      </c>
      <c r="R11" s="5">
        <v>18</v>
      </c>
      <c r="S11" s="170">
        <v>0.13567259668284176</v>
      </c>
      <c r="T11" s="165">
        <v>0.28603568657874323</v>
      </c>
      <c r="U11" s="26">
        <f>(Table1[[#This Row],[In-Tok]]+Table1[[#This Row],[Out-Tok]])*Table1[[#This Row],[RPS]]</f>
        <v>12600</v>
      </c>
      <c r="V11" s="54">
        <f>Table1[[#This Row],[In-Tok]]+AvgOutLoad*Table1[[#This Row],[Out-Tok]]</f>
        <v>6150</v>
      </c>
      <c r="W11" s="20">
        <f>Table1[[#This Row],[In-Tok]]*Table1[[#This Row],[RPS]]</f>
        <v>12000</v>
      </c>
      <c r="X11" s="35">
        <f>Table1[[#This Row],[Out-Tok]]*Table1[[#This Row],[RPS]]</f>
        <v>600</v>
      </c>
      <c r="Y11" s="75">
        <f>Table1[[#This Row],[In-Tok]]/Table1[[#This Row],[Out-Tok]]</f>
        <v>20</v>
      </c>
      <c r="Z11" s="26">
        <f>Table1[[#This Row],[In-Tok]]*Table1[[#This Row],[N]]+AvgOutLoad*Table1[[#This Row],[Out-Tok]]*Table1[[#This Row],[Ndecode]]</f>
        <v>66429.406337975364</v>
      </c>
      <c r="AA11" s="20">
        <f>Table1[[#This Row],[tok(N)]]/Table1[[#This Row],[Kvcache]]</f>
        <v>489630.24193651741</v>
      </c>
      <c r="AB11" s="20">
        <f>Table1[[#This Row],[tok/req]]*Table1[[#This Row],[Run]]</f>
        <v>52501.60539215686</v>
      </c>
      <c r="AC11" s="20">
        <f>Table1[[#This Row],[tok(Run)]]/Table1[[#This Row],[Kvcache]]</f>
        <v>386972.80567931099</v>
      </c>
      <c r="AD11" s="20">
        <f>Table1[[#This Row],[tok/req]]*Table1[[#This Row],[MaxRun]]</f>
        <v>110700</v>
      </c>
      <c r="AE11" s="20">
        <f>Table1[[#This Row],[tok(MaxRun)]]/Table1[[#This Row],[MaxKvcache]]</f>
        <v>387014.64605370216</v>
      </c>
      <c r="AF11" s="75">
        <f>Table1[[#This Row],[PPS]]*Table1[[#This Row],[Prefill]]/Table1[[#This Row],[In-Tok]]</f>
        <v>0.46818601213697009</v>
      </c>
      <c r="AG11" s="22">
        <f>Table1[[#This Row],[GPS]]*Table1[[#This Row],[ITL]]</f>
        <v>10.344762644740413</v>
      </c>
      <c r="AH11" s="22">
        <f>Table1[[#This Row],[Nprefill]]+Table1[[#This Row],[Ndecode]]</f>
        <v>10.812948656877383</v>
      </c>
      <c r="AI11" s="34">
        <f>Table1[[#This Row],[Run]]/Table1[[#This Row],[ITL]]/Table1[[#This Row],[GPS]]</f>
        <v>0.82523366638761364</v>
      </c>
      <c r="AJ11" s="64">
        <f>Table1[[#This Row],[Prefill]]+Table1[[#This Row],[ITL]]</f>
        <v>0.18641534832338436</v>
      </c>
      <c r="AK11" s="34">
        <f>Table1[[#This Row],[TTFT]]/Table1[[#This Row],[estTTFT]]</f>
        <v>1.0001117147918157</v>
      </c>
      <c r="AL11" s="22">
        <f>Table1[[#This Row],[In-Tok]]*Table1[[#This Row],[RPS]]/Table1[[#This Row],[PPS]]</f>
        <v>0.73751533240476963</v>
      </c>
      <c r="AM11" s="34">
        <f>Table1[[#This Row],[Prefill]]/Table1[[#This Row],[estPrefill]]</f>
        <v>0.23409300606848504</v>
      </c>
      <c r="AN11" s="34">
        <f>Table1[[#This Row],[Prefill]]/Table1[[#This Row],[TTFT]]</f>
        <v>0.92603907160739862</v>
      </c>
      <c r="AO11" s="64">
        <f>Table1[[#This Row],[Run]]/(Table1[[#This Row],[Out-Tok]]*Table1[[#This Row],[RPS]])</f>
        <v>1.422807734204793E-2</v>
      </c>
      <c r="AP11" s="34">
        <f>Table1[[#This Row],[ITL]]/Table1[[#This Row],[estITL]]</f>
        <v>0.96767587131854216</v>
      </c>
      <c r="AQ11" s="69">
        <f>Table1[[#This Row],[E2E]]-Table1[[#This Row],[TTFT]]+Table1[[#This Row],[ITL]]</f>
        <v>4.1237846780174419</v>
      </c>
      <c r="AR11" s="34">
        <f>Table1[[#This Row],[estDecode]]/Table1[[#This Row],[Run]]</f>
        <v>0.48305714806953221</v>
      </c>
      <c r="AS11" s="69">
        <f>Table1[[#This Row],[Prefill]]+Table1[[#This Row],[Out-Tok]]*Table1[[#This Row],[ITL]]</f>
        <v>4.3030973229303822</v>
      </c>
      <c r="AT11" s="22">
        <f>Table1[[#This Row],[estPrefill]]+Table1[[#This Row],[Out-Tok]]*Table1[[#This Row],[ITL]]</f>
        <v>4.8679654741509211</v>
      </c>
      <c r="AU11" s="34">
        <f>Table1[[#This Row],[E2E]]/Table1[[#This Row],[estE2E]]</f>
        <v>0.88259719740573883</v>
      </c>
      <c r="AV11" s="22">
        <f>Table1[[#This Row],[N]]/Table1[[#This Row],[estE2E]]</f>
        <v>2.2212459628759786</v>
      </c>
      <c r="AW11" s="22">
        <f>Table1[[#This Row],[PPS]]/Table1[[#This Row],[In-Tok]]</f>
        <v>2.7118080291005291</v>
      </c>
      <c r="AX11" s="34">
        <f>Table1[[#This Row],[RPS]]/Table1[[#This Row],[RPS(IL)]]</f>
        <v>0.73751533240476963</v>
      </c>
      <c r="AY11" s="22">
        <f>Table1[[#This Row],[GPS]]/Table1[[#This Row],[Out-Tok]]</f>
        <v>2.5045121693121697</v>
      </c>
      <c r="AZ11" s="89">
        <f>Table1[[#This Row],[RPS]]/Table1[[#This Row],[RPS(OL)]]</f>
        <v>0.79855870716302924</v>
      </c>
      <c r="BA11" s="131">
        <f>MaxTok/Table1[[#This Row],[tok/req]]</f>
        <v>63.075164551635005</v>
      </c>
      <c r="BB11" s="34">
        <f>Table1[[#This Row],[N]]/Table1[[#This Row],[N-max]]</f>
        <v>0.17142957507507756</v>
      </c>
      <c r="BC11" s="69">
        <f>Table1[[#This Row],[RPS]]</f>
        <v>2</v>
      </c>
      <c r="BD11" s="48">
        <f>Table1[[#This Row],[PPS]]/Table1[[#This Row],[RPS success]]</f>
        <v>8135.4240873015879</v>
      </c>
      <c r="BE11" s="34">
        <f>ABS(Table1[[#This Row],[est-In-Tok3]]-Table1[[#This Row],[In-Tok]])/Table1[[#This Row],[In-Tok]]</f>
        <v>0.35590401455026466</v>
      </c>
      <c r="BF11" s="48">
        <f>Table1[[#This Row],[GPS]]/Table1[[#This Row],[RPS success]]</f>
        <v>375.67682539682545</v>
      </c>
      <c r="BG11" s="34">
        <f>ABS(Table1[[#This Row],[est-Out-Tok3]]-Table1[[#This Row],[Out-Tok]])/Table1[[#This Row],[Out-Tok]]</f>
        <v>0.25225608465608484</v>
      </c>
      <c r="BH11" s="157">
        <f>Table1[[#This Row],[est-In-Tok3]]+AvgOutLoad*Table1[[#This Row],[est-Out-Tok3]]</f>
        <v>8323.2625000000007</v>
      </c>
      <c r="BI11" s="34">
        <f>ABS(Table1[[#This Row],[est-Tok/Req3]]-Table1[[#This Row],[tok/req]])/Table1[[#This Row],[tok/req]]</f>
        <v>0.35337601626016274</v>
      </c>
      <c r="BJ11" s="157">
        <f>MaxTok/Table1[[#This Row],[est-Tok/Req3]]</f>
        <v>46.605794541810411</v>
      </c>
      <c r="BK11" s="34">
        <f>ABS(Table1[[#This Row],[est-N-max3]]-Table1[[#This Row],[N-max]])/Table1[[#This Row],[N-max]]</f>
        <v>0.26110704786734767</v>
      </c>
      <c r="BL11" s="69">
        <f>MaxTok*Table1[[#This Row],[Kvcache]]/Table1[[#This Row],[Run]]</f>
        <v>6164.9303936650276</v>
      </c>
      <c r="BM11" s="165">
        <f>ABS(Table1[[#This Row],[est-Tok/Req]]-Table1[[#This Row],[tok/req]])/Table1[[#This Row],[tok/req]]</f>
        <v>2.4277062869963615E-3</v>
      </c>
      <c r="BN11" s="69">
        <f>MaxTok/Table1[[#This Row],[est-Tok/Req]]</f>
        <v>62.922407427530246</v>
      </c>
      <c r="BO11" s="175">
        <f>Table1[[#This Row],[Run]]/Table1[[#This Row],[Kvcache]]</f>
        <v>62.922407427530246</v>
      </c>
      <c r="BP11" s="131" cm="1">
        <f t="array" aca="1" ref="BP11" ca="1">_xlfn.CEILING.MATH(INDIRECT("Table1"&amp;BP$3)/BP$2)*BP$2</f>
        <v>7000</v>
      </c>
      <c r="BQ11" s="182" cm="1">
        <f t="array" aca="1" ref="BQ11" ca="1">_xlfn.CEILING.MATH(INDIRECT("Table1"&amp;BQ$3)/BQ$2)*BQ$2</f>
        <v>1.4999999999999999E-2</v>
      </c>
      <c r="BR11" s="34" cm="1">
        <f t="array" aca="1" ref="BR11" ca="1">_xlfn.CEILING.MATH(INDIRECT("Table1"&amp;BR$3)/BR$2)*BR$2</f>
        <v>0.2</v>
      </c>
      <c r="BS11" s="34" cm="1">
        <f t="array" aca="1" ref="BS11" ca="1">_xlfn.CEILING.MATH(INDIRECT("Table1"&amp;BS$3)/BS$2)*BS$2</f>
        <v>0.14000000000000001</v>
      </c>
      <c r="BT11" s="20" cm="1">
        <f t="array" aca="1" ref="BT11" ca="1">_xlfn.CEILING.MATH(INDIRECT("Table1"&amp;BT$3)/BT$2)*BT$2</f>
        <v>9</v>
      </c>
      <c r="BU11" s="131" cm="1">
        <f t="array" aca="1" ref="BU11" ca="1">_xlfn.CEILING.MATH(INDIRECT("Table1"&amp;BU$3)/BU$2)*BU$2</f>
        <v>20</v>
      </c>
      <c r="BV11" s="131" cm="1">
        <f t="array" aca="1" ref="BV11" ca="1">_xlfn.CEILING.MATH(INDIRECT("Table1"&amp;BV$3)/BV$2)*BV$2</f>
        <v>6000</v>
      </c>
      <c r="BW11" s="34"/>
      <c r="BX11" s="34"/>
      <c r="BY11" s="190">
        <v>0.28603568657874323</v>
      </c>
      <c r="BZ11" s="34"/>
      <c r="CA11" s="24">
        <f>(Table1[[#This Row],[In-Tok]]+Table1[[#This Row],[Out-Tok]])*Table1[[#This Row],[RPS]]</f>
        <v>12600</v>
      </c>
      <c r="CB11" s="20">
        <f t="shared" si="5"/>
        <v>387014.64605370216</v>
      </c>
      <c r="CC11" s="20">
        <f>Table1[[#This Row],[Supply]]/(Table1[[#This Row],[Prefill]]+Table1[[#This Row],[Out-Tok]]*Table1[[#This Row],[ITL]])</f>
        <v>89938.62258038533</v>
      </c>
      <c r="CD11" s="20">
        <f>Table1[[#This Row],[MaxRun]]/Table1[[#This Row],[ITL]]</f>
        <v>1307.3635595846085</v>
      </c>
      <c r="CE11" s="20">
        <f>Table1[[#This Row],[Out-Tok]]*Table1[[#This Row],[RPS]]</f>
        <v>600</v>
      </c>
      <c r="CF11" s="22">
        <f>Table1[[#This Row],[Supply]]/Table1[[#This Row],[Demand-T]]</f>
        <v>30.715448099500172</v>
      </c>
      <c r="CG11" s="22"/>
      <c r="CH11" s="71">
        <f>Table1[[#This Row],[Prefill]]+Table1[[#This Row],[Out-Tok]]*Table1[[#This Row],[ITL]]</f>
        <v>4.3030973229303822</v>
      </c>
      <c r="CI11" s="71">
        <f>Table1[[#This Row],[GPS]]*Table1[[#This Row],[ITL]]</f>
        <v>10.344762644740413</v>
      </c>
      <c r="CJ11" s="72">
        <f>Table1[[#This Row],[PPS]]*Table1[[#This Row],[Prefill]]/Table1[[#This Row],[In-Tok]]</f>
        <v>0.46818601213697009</v>
      </c>
      <c r="CK11" s="71">
        <f t="shared" si="6"/>
        <v>10.812948656877383</v>
      </c>
      <c r="CL11" s="71">
        <f>Table1[[#This Row],[PPS]]/Table1[[#This Row],[In-Tok]]</f>
        <v>2.7118080291005291</v>
      </c>
      <c r="CM11" s="71">
        <f>Table1[[#This Row],[GPS]]/Table1[[#This Row],[Out-Tok]]</f>
        <v>2.5045121693121697</v>
      </c>
      <c r="CN11" s="71">
        <f>Table1[[#This Row],[Run]]/Table1[[#This Row],[E2E]]</f>
        <v>1.9869522678371889</v>
      </c>
      <c r="CO11" s="71">
        <f>Table1[[#This Row],[N2]]/Table1[[#This Row],[E2E]]</f>
        <v>2.5167154047225573</v>
      </c>
      <c r="CP11" s="71"/>
      <c r="CQ11" s="71">
        <f>Table1[[#This Row],[In-Tok]]+AvgOutLoad*Table1[[#This Row],[Out-Tok]]</f>
        <v>6150</v>
      </c>
      <c r="CR11" s="71">
        <f t="shared" si="7"/>
        <v>261766.84336166922</v>
      </c>
      <c r="CS11" s="71" t="e">
        <f t="shared" si="8"/>
        <v>#DIV/0!</v>
      </c>
      <c r="CT11" s="71" t="e">
        <f t="shared" si="9"/>
        <v>#DIV/0!</v>
      </c>
      <c r="CU11" s="71">
        <f t="shared" si="10"/>
        <v>0</v>
      </c>
      <c r="CV11" s="71" t="e">
        <f t="shared" si="11"/>
        <v>#DIV/0!</v>
      </c>
      <c r="CW11" s="71">
        <f>Table1[[#This Row],[N(maxT)]]/Table1[[#This Row],[e2e sat]]</f>
        <v>0</v>
      </c>
      <c r="CX11" s="71" t="e">
        <f>Table1[[#This Row],[RPS]]/CW11</f>
        <v>#DIV/0!</v>
      </c>
      <c r="CY11" s="110" t="e">
        <f>Table1[[#This Row],[Kvcache]]/$T$4</f>
        <v>#DIV/0!</v>
      </c>
      <c r="GJ11"/>
    </row>
    <row r="12" spans="1:192" hidden="1" x14ac:dyDescent="0.25">
      <c r="A12" s="3">
        <v>7000</v>
      </c>
      <c r="B12" s="3">
        <v>300</v>
      </c>
      <c r="C12">
        <v>2</v>
      </c>
      <c r="D12" s="199">
        <f>Table1[[#This Row],[Kvcache]]</f>
        <v>0.18465843461770537</v>
      </c>
      <c r="E12" s="203" t="s">
        <v>137</v>
      </c>
      <c r="F12" s="219">
        <v>46092</v>
      </c>
      <c r="G12" s="10"/>
      <c r="H12" s="10">
        <v>0.23248837006197501</v>
      </c>
      <c r="I12" s="10">
        <v>0.21039942635422862</v>
      </c>
      <c r="J12" s="10">
        <v>1.3972520149492091</v>
      </c>
      <c r="K12" s="10">
        <v>3.0287375291188536</v>
      </c>
      <c r="L12" s="10">
        <v>3.3220549392700192</v>
      </c>
      <c r="M12" s="10">
        <v>1.6170001649484025E-2</v>
      </c>
      <c r="N12" s="10">
        <v>4.9579540108612274</v>
      </c>
      <c r="O12" s="47">
        <v>18386.626031746029</v>
      </c>
      <c r="P12" s="47">
        <v>703.13619047619034</v>
      </c>
      <c r="Q12" s="5">
        <v>9.9930555555555571</v>
      </c>
      <c r="R12" s="5">
        <v>19</v>
      </c>
      <c r="S12" s="170">
        <v>0.18465843461770537</v>
      </c>
      <c r="T12" s="165">
        <v>0.35277993276441683</v>
      </c>
      <c r="U12" s="26">
        <f>(Table1[[#This Row],[In-Tok]]+Table1[[#This Row],[Out-Tok]])*Table1[[#This Row],[RPS]]</f>
        <v>14600</v>
      </c>
      <c r="V12" s="54">
        <f>Table1[[#This Row],[In-Tok]]+AvgOutLoad*Table1[[#This Row],[Out-Tok]]</f>
        <v>7150</v>
      </c>
      <c r="W12" s="20">
        <f>Table1[[#This Row],[In-Tok]]*Table1[[#This Row],[RPS]]</f>
        <v>14000</v>
      </c>
      <c r="X12" s="35">
        <f>Table1[[#This Row],[Out-Tok]]*Table1[[#This Row],[RPS]]</f>
        <v>600</v>
      </c>
      <c r="Y12" s="75">
        <f>Table1[[#This Row],[In-Tok]]/Table1[[#This Row],[Out-Tok]]</f>
        <v>23.333333333333332</v>
      </c>
      <c r="Z12" s="26">
        <f>Table1[[#This Row],[In-Tok]]*Table1[[#This Row],[N]]+AvgOutLoad*Table1[[#This Row],[Out-Tok]]*Table1[[#This Row],[Ndecode]]</f>
        <v>85161.986092324252</v>
      </c>
      <c r="AA12" s="20">
        <f>Table1[[#This Row],[tok(N)]]/Table1[[#This Row],[Kvcache]]</f>
        <v>461186.548389373</v>
      </c>
      <c r="AB12" s="20">
        <f>Table1[[#This Row],[tok/req]]*Table1[[#This Row],[Run]]</f>
        <v>71450.347222222234</v>
      </c>
      <c r="AC12" s="20">
        <f>Table1[[#This Row],[tok(Run)]]/Table1[[#This Row],[Kvcache]]</f>
        <v>386932.48629635817</v>
      </c>
      <c r="AD12" s="20">
        <f>Table1[[#This Row],[tok/req]]*Table1[[#This Row],[MaxRun]]</f>
        <v>135850</v>
      </c>
      <c r="AE12" s="20">
        <f>Table1[[#This Row],[tok(MaxRun)]]/Table1[[#This Row],[MaxKvcache]]</f>
        <v>385084.26183844014</v>
      </c>
      <c r="AF12" s="75">
        <f>Table1[[#This Row],[PPS]]*Table1[[#This Row],[Prefill]]/Table1[[#This Row],[In-Tok]]</f>
        <v>0.55264793852415595</v>
      </c>
      <c r="AG12" s="22">
        <f>Table1[[#This Row],[GPS]]*Table1[[#This Row],[ITL]]</f>
        <v>11.369713359811911</v>
      </c>
      <c r="AH12" s="22">
        <f>Table1[[#This Row],[Nprefill]]+Table1[[#This Row],[Ndecode]]</f>
        <v>11.922361298336067</v>
      </c>
      <c r="AI12" s="34">
        <f>Table1[[#This Row],[Run]]/Table1[[#This Row],[ITL]]/Table1[[#This Row],[GPS]]</f>
        <v>0.87891886447002487</v>
      </c>
      <c r="AJ12" s="64">
        <f>Table1[[#This Row],[Prefill]]+Table1[[#This Row],[ITL]]</f>
        <v>0.22656942800371266</v>
      </c>
      <c r="AK12" s="34">
        <f>Table1[[#This Row],[TTFT]]/Table1[[#This Row],[estTTFT]]</f>
        <v>1.0261241867908382</v>
      </c>
      <c r="AL12" s="22">
        <f>Table1[[#This Row],[In-Tok]]*Table1[[#This Row],[RPS]]/Table1[[#This Row],[PPS]]</f>
        <v>0.76142300255782891</v>
      </c>
      <c r="AM12" s="34">
        <f>Table1[[#This Row],[Prefill]]/Table1[[#This Row],[estPrefill]]</f>
        <v>0.27632396926207797</v>
      </c>
      <c r="AN12" s="34">
        <f>Table1[[#This Row],[Prefill]]/Table1[[#This Row],[TTFT]]</f>
        <v>0.90498903793829311</v>
      </c>
      <c r="AO12" s="64">
        <f>Table1[[#This Row],[Run]]/(Table1[[#This Row],[Out-Tok]]*Table1[[#This Row],[RPS]])</f>
        <v>1.6655092592592596E-2</v>
      </c>
      <c r="AP12" s="34">
        <f>Table1[[#This Row],[ITL]]/Table1[[#This Row],[estITL]]</f>
        <v>0.9708743172449058</v>
      </c>
      <c r="AQ12" s="69">
        <f>Table1[[#This Row],[E2E]]-Table1[[#This Row],[TTFT]]+Table1[[#This Row],[ITL]]</f>
        <v>4.7416356424487365</v>
      </c>
      <c r="AR12" s="34">
        <f>Table1[[#This Row],[estDecode]]/Table1[[#This Row],[Run]]</f>
        <v>0.47449307332357049</v>
      </c>
      <c r="AS12" s="69">
        <f>Table1[[#This Row],[Prefill]]+Table1[[#This Row],[Out-Tok]]*Table1[[#This Row],[ITL]]</f>
        <v>5.0613999211994365</v>
      </c>
      <c r="AT12" s="22">
        <f>Table1[[#This Row],[estPrefill]]+Table1[[#This Row],[Out-Tok]]*Table1[[#This Row],[ITL]]</f>
        <v>5.6124234974030367</v>
      </c>
      <c r="AU12" s="34">
        <f>Table1[[#This Row],[E2E]]/Table1[[#This Row],[estE2E]]</f>
        <v>0.8833891478708541</v>
      </c>
      <c r="AV12" s="22">
        <f>Table1[[#This Row],[N]]/Table1[[#This Row],[estE2E]]</f>
        <v>2.1242804118136749</v>
      </c>
      <c r="AW12" s="22">
        <f>Table1[[#This Row],[PPS]]/Table1[[#This Row],[In-Tok]]</f>
        <v>2.6266608616780043</v>
      </c>
      <c r="AX12" s="34">
        <f>Table1[[#This Row],[RPS]]/Table1[[#This Row],[RPS(IL)]]</f>
        <v>0.76142300255782891</v>
      </c>
      <c r="AY12" s="22">
        <f>Table1[[#This Row],[GPS]]/Table1[[#This Row],[Out-Tok]]</f>
        <v>2.3437873015873012</v>
      </c>
      <c r="AZ12" s="89">
        <f>Table1[[#This Row],[RPS]]/Table1[[#This Row],[RPS(OL)]]</f>
        <v>0.85331975245600333</v>
      </c>
      <c r="BA12" s="131">
        <f>MaxTok/Table1[[#This Row],[tok/req]]</f>
        <v>54.253463215741995</v>
      </c>
      <c r="BB12" s="34">
        <f>Table1[[#This Row],[N]]/Table1[[#This Row],[N-max]]</f>
        <v>0.21975299993156414</v>
      </c>
      <c r="BC12" s="69">
        <f>Table1[[#This Row],[RPS]]</f>
        <v>2</v>
      </c>
      <c r="BD12" s="48">
        <f>Table1[[#This Row],[PPS]]/Table1[[#This Row],[RPS success]]</f>
        <v>9193.3130158730146</v>
      </c>
      <c r="BE12" s="34">
        <f>ABS(Table1[[#This Row],[est-In-Tok3]]-Table1[[#This Row],[In-Tok]])/Table1[[#This Row],[In-Tok]]</f>
        <v>0.31333043083900208</v>
      </c>
      <c r="BF12" s="48">
        <f>Table1[[#This Row],[GPS]]/Table1[[#This Row],[RPS success]]</f>
        <v>351.56809523809517</v>
      </c>
      <c r="BG12" s="34">
        <f>ABS(Table1[[#This Row],[est-Out-Tok3]]-Table1[[#This Row],[Out-Tok]])/Table1[[#This Row],[Out-Tok]]</f>
        <v>0.17189365079365057</v>
      </c>
      <c r="BH12" s="157">
        <f>Table1[[#This Row],[est-In-Tok3]]+AvgOutLoad*Table1[[#This Row],[est-Out-Tok3]]</f>
        <v>9369.0970634920614</v>
      </c>
      <c r="BI12" s="34">
        <f>ABS(Table1[[#This Row],[est-Tok/Req3]]-Table1[[#This Row],[tok/req]])/Table1[[#This Row],[tok/req]]</f>
        <v>0.31036322566322538</v>
      </c>
      <c r="BJ12" s="157">
        <f>MaxTok/Table1[[#This Row],[est-Tok/Req3]]</f>
        <v>41.403377440085158</v>
      </c>
      <c r="BK12" s="34">
        <f>ABS(Table1[[#This Row],[est-N-max3]]-Table1[[#This Row],[N-max]])/Table1[[#This Row],[N-max]]</f>
        <v>0.236852820336238</v>
      </c>
      <c r="BL12" s="69">
        <f>MaxTok*Table1[[#This Row],[Kvcache]]/Table1[[#This Row],[Run]]</f>
        <v>7168.1049575207899</v>
      </c>
      <c r="BM12" s="165">
        <f>ABS(Table1[[#This Row],[est-Tok/Req]]-Table1[[#This Row],[tok/req]])/Table1[[#This Row],[tok/req]]</f>
        <v>2.5321618910195617E-3</v>
      </c>
      <c r="BN12" s="69">
        <f>MaxTok/Table1[[#This Row],[est-Tok/Req]]</f>
        <v>54.116431649840308</v>
      </c>
      <c r="BO12" s="175">
        <f>Table1[[#This Row],[Run]]/Table1[[#This Row],[Kvcache]]</f>
        <v>54.116431649840301</v>
      </c>
      <c r="BP12" s="131" cm="1">
        <f t="array" aca="1" ref="BP12" ca="1">_xlfn.CEILING.MATH(INDIRECT("Table1"&amp;BP$3)/BP$2)*BP$2</f>
        <v>8000</v>
      </c>
      <c r="BQ12" s="182" cm="1">
        <f t="array" aca="1" ref="BQ12" ca="1">_xlfn.CEILING.MATH(INDIRECT("Table1"&amp;BQ$3)/BQ$2)*BQ$2</f>
        <v>0.02</v>
      </c>
      <c r="BR12" s="34" cm="1">
        <f t="array" aca="1" ref="BR12" ca="1">_xlfn.CEILING.MATH(INDIRECT("Table1"&amp;BR$3)/BR$2)*BR$2</f>
        <v>0.2</v>
      </c>
      <c r="BS12" s="34" cm="1">
        <f t="array" aca="1" ref="BS12" ca="1">_xlfn.CEILING.MATH(INDIRECT("Table1"&amp;BS$3)/BS$2)*BS$2</f>
        <v>0.19</v>
      </c>
      <c r="BT12" s="20" cm="1">
        <f t="array" aca="1" ref="BT12" ca="1">_xlfn.CEILING.MATH(INDIRECT("Table1"&amp;BT$3)/BT$2)*BT$2</f>
        <v>10</v>
      </c>
      <c r="BU12" s="131" cm="1">
        <f t="array" aca="1" ref="BU12" ca="1">_xlfn.CEILING.MATH(INDIRECT("Table1"&amp;BU$3)/BU$2)*BU$2</f>
        <v>25</v>
      </c>
      <c r="BV12" s="131" cm="1">
        <f t="array" aca="1" ref="BV12" ca="1">_xlfn.CEILING.MATH(INDIRECT("Table1"&amp;BV$3)/BV$2)*BV$2</f>
        <v>7000</v>
      </c>
      <c r="BW12" s="34"/>
      <c r="BX12" s="34"/>
      <c r="BY12" s="190">
        <v>0.35277993276441683</v>
      </c>
      <c r="BZ12" s="34"/>
      <c r="CA12" s="24">
        <f>(Table1[[#This Row],[In-Tok]]+Table1[[#This Row],[Out-Tok]])*Table1[[#This Row],[RPS]]</f>
        <v>14600</v>
      </c>
      <c r="CB12" s="20">
        <f t="shared" si="5"/>
        <v>385084.26183844014</v>
      </c>
      <c r="CC12" s="20">
        <f>Table1[[#This Row],[Supply]]/(Table1[[#This Row],[Prefill]]+Table1[[#This Row],[Out-Tok]]*Table1[[#This Row],[ITL]])</f>
        <v>76082.559733233633</v>
      </c>
      <c r="CD12" s="20">
        <f>Table1[[#This Row],[MaxRun]]/Table1[[#This Row],[ITL]]</f>
        <v>1175.0153408677158</v>
      </c>
      <c r="CE12" s="20">
        <f>Table1[[#This Row],[Out-Tok]]*Table1[[#This Row],[RPS]]</f>
        <v>600</v>
      </c>
      <c r="CF12" s="22">
        <f>Table1[[#This Row],[Supply]]/Table1[[#This Row],[Demand-T]]</f>
        <v>26.375634372495899</v>
      </c>
      <c r="CG12" s="22"/>
      <c r="CH12" s="71">
        <f>Table1[[#This Row],[Prefill]]+Table1[[#This Row],[Out-Tok]]*Table1[[#This Row],[ITL]]</f>
        <v>5.0613999211994365</v>
      </c>
      <c r="CI12" s="71">
        <f>Table1[[#This Row],[GPS]]*Table1[[#This Row],[ITL]]</f>
        <v>11.369713359811911</v>
      </c>
      <c r="CJ12" s="72">
        <f>Table1[[#This Row],[PPS]]*Table1[[#This Row],[Prefill]]/Table1[[#This Row],[In-Tok]]</f>
        <v>0.55264793852415595</v>
      </c>
      <c r="CK12" s="71">
        <f t="shared" si="6"/>
        <v>11.922361298336067</v>
      </c>
      <c r="CL12" s="71">
        <f>Table1[[#This Row],[PPS]]/Table1[[#This Row],[In-Tok]]</f>
        <v>2.6266608616780043</v>
      </c>
      <c r="CM12" s="71">
        <f>Table1[[#This Row],[GPS]]/Table1[[#This Row],[Out-Tok]]</f>
        <v>2.3437873015873012</v>
      </c>
      <c r="CN12" s="71">
        <f>Table1[[#This Row],[Run]]/Table1[[#This Row],[E2E]]</f>
        <v>2.015560356885945</v>
      </c>
      <c r="CO12" s="71">
        <f>Table1[[#This Row],[N2]]/Table1[[#This Row],[E2E]]</f>
        <v>2.404693805593626</v>
      </c>
      <c r="CP12" s="71"/>
      <c r="CQ12" s="71">
        <f>Table1[[#This Row],[In-Tok]]+AvgOutLoad*Table1[[#This Row],[Out-Tok]]</f>
        <v>7150</v>
      </c>
      <c r="CR12" s="71">
        <f t="shared" si="7"/>
        <v>318527.30321303575</v>
      </c>
      <c r="CS12" s="71" t="e">
        <f t="shared" si="8"/>
        <v>#DIV/0!</v>
      </c>
      <c r="CT12" s="71" t="e">
        <f t="shared" si="9"/>
        <v>#DIV/0!</v>
      </c>
      <c r="CU12" s="71">
        <f t="shared" si="10"/>
        <v>0</v>
      </c>
      <c r="CV12" s="71" t="e">
        <f t="shared" si="11"/>
        <v>#DIV/0!</v>
      </c>
      <c r="CW12" s="71">
        <f>Table1[[#This Row],[N(maxT)]]/Table1[[#This Row],[e2e sat]]</f>
        <v>0</v>
      </c>
      <c r="CX12" s="71" t="e">
        <f>Table1[[#This Row],[RPS]]/CW12</f>
        <v>#DIV/0!</v>
      </c>
      <c r="CY12" s="110" t="e">
        <f>Table1[[#This Row],[Kvcache]]/$T$4</f>
        <v>#DIV/0!</v>
      </c>
      <c r="GJ12"/>
    </row>
    <row r="13" spans="1:192" hidden="1" x14ac:dyDescent="0.25">
      <c r="A13" s="3">
        <v>8000</v>
      </c>
      <c r="B13" s="3">
        <v>300</v>
      </c>
      <c r="C13">
        <v>2</v>
      </c>
      <c r="D13" s="199">
        <f>Table1[[#This Row],[Kvcache]]</f>
        <v>0.27561761917076111</v>
      </c>
      <c r="E13" s="203" t="s">
        <v>137</v>
      </c>
      <c r="F13" s="219">
        <v>46092</v>
      </c>
      <c r="G13" s="10"/>
      <c r="H13" s="10">
        <v>0.28995406362148374</v>
      </c>
      <c r="I13" s="10">
        <v>0.24747104080859131</v>
      </c>
      <c r="J13" s="10">
        <v>1.4878297557159534</v>
      </c>
      <c r="K13" s="10">
        <v>2.3848671595255535</v>
      </c>
      <c r="L13" s="10">
        <v>2.6166748650868734</v>
      </c>
      <c r="M13" s="10">
        <v>2.0987859075821697E-2</v>
      </c>
      <c r="N13" s="10">
        <v>6.5415801912347034</v>
      </c>
      <c r="O13" s="47">
        <v>21109.800952380956</v>
      </c>
      <c r="P13" s="47">
        <v>715.05142857142857</v>
      </c>
      <c r="Q13" s="5">
        <v>13.111111111111109</v>
      </c>
      <c r="R13" s="5">
        <v>27.666666666666668</v>
      </c>
      <c r="S13" s="170">
        <v>0.27561761917076111</v>
      </c>
      <c r="T13" s="165">
        <v>0.58376002068787169</v>
      </c>
      <c r="U13" s="26">
        <f>(Table1[[#This Row],[In-Tok]]+Table1[[#This Row],[Out-Tok]])*Table1[[#This Row],[RPS]]</f>
        <v>16600</v>
      </c>
      <c r="V13" s="54">
        <f>Table1[[#This Row],[In-Tok]]+AvgOutLoad*Table1[[#This Row],[Out-Tok]]</f>
        <v>8150</v>
      </c>
      <c r="W13" s="20">
        <f>Table1[[#This Row],[In-Tok]]*Table1[[#This Row],[RPS]]</f>
        <v>16000</v>
      </c>
      <c r="X13" s="35">
        <f>Table1[[#This Row],[Out-Tok]]*Table1[[#This Row],[RPS]]</f>
        <v>600</v>
      </c>
      <c r="Y13" s="75">
        <f>Table1[[#This Row],[In-Tok]]/Table1[[#This Row],[Out-Tok]]</f>
        <v>26.666666666666668</v>
      </c>
      <c r="Z13" s="26">
        <f>Table1[[#This Row],[In-Tok]]*Table1[[#This Row],[N]]+AvgOutLoad*Table1[[#This Row],[Out-Tok]]*Table1[[#This Row],[Ndecode]]</f>
        <v>127534.36312374825</v>
      </c>
      <c r="AA13" s="20">
        <f>Table1[[#This Row],[tok(N)]]/Table1[[#This Row],[Kvcache]]</f>
        <v>462722.0984908563</v>
      </c>
      <c r="AB13" s="20">
        <f>Table1[[#This Row],[tok/req]]*Table1[[#This Row],[Run]]</f>
        <v>106855.55555555553</v>
      </c>
      <c r="AC13" s="20">
        <f>Table1[[#This Row],[tok(Run)]]/Table1[[#This Row],[Kvcache]]</f>
        <v>387694.93719975976</v>
      </c>
      <c r="AD13" s="20">
        <f>Table1[[#This Row],[tok/req]]*Table1[[#This Row],[MaxRun]]</f>
        <v>225483.33333333334</v>
      </c>
      <c r="AE13" s="20">
        <f>Table1[[#This Row],[tok(MaxRun)]]/Table1[[#This Row],[MaxKvcache]]</f>
        <v>386260.32160893065</v>
      </c>
      <c r="AF13" s="75">
        <f>Table1[[#This Row],[PPS]]*Table1[[#This Row],[Prefill]]/Table1[[#This Row],[In-Tok]]</f>
        <v>0.65300805161848841</v>
      </c>
      <c r="AG13" s="22">
        <f>Table1[[#This Row],[GPS]]*Table1[[#This Row],[ITL]]</f>
        <v>15.007398614822128</v>
      </c>
      <c r="AH13" s="22">
        <f>Table1[[#This Row],[Nprefill]]+Table1[[#This Row],[Ndecode]]</f>
        <v>15.660406666440617</v>
      </c>
      <c r="AI13" s="34">
        <f>Table1[[#This Row],[Run]]/Table1[[#This Row],[ITL]]/Table1[[#This Row],[GPS]]</f>
        <v>0.87364315745980525</v>
      </c>
      <c r="AJ13" s="64">
        <f>Table1[[#This Row],[Prefill]]+Table1[[#This Row],[ITL]]</f>
        <v>0.26845889988441302</v>
      </c>
      <c r="AK13" s="34">
        <f>Table1[[#This Row],[TTFT]]/Table1[[#This Row],[estTTFT]]</f>
        <v>1.0800687321088094</v>
      </c>
      <c r="AL13" s="22">
        <f>Table1[[#This Row],[In-Tok]]*Table1[[#This Row],[RPS]]/Table1[[#This Row],[PPS]]</f>
        <v>0.75794177482262681</v>
      </c>
      <c r="AM13" s="34">
        <f>Table1[[#This Row],[Prefill]]/Table1[[#This Row],[estPrefill]]</f>
        <v>0.3265040258092442</v>
      </c>
      <c r="AN13" s="34">
        <f>Table1[[#This Row],[Prefill]]/Table1[[#This Row],[TTFT]]</f>
        <v>0.85348360949908508</v>
      </c>
      <c r="AO13" s="64">
        <f>Table1[[#This Row],[Run]]/(Table1[[#This Row],[Out-Tok]]*Table1[[#This Row],[RPS]])</f>
        <v>2.1851851851851848E-2</v>
      </c>
      <c r="AP13" s="34">
        <f>Table1[[#This Row],[ITL]]/Table1[[#This Row],[estITL]]</f>
        <v>0.96046134753760326</v>
      </c>
      <c r="AQ13" s="69">
        <f>Table1[[#This Row],[E2E]]-Table1[[#This Row],[TTFT]]+Table1[[#This Row],[ITL]]</f>
        <v>6.2726139866890414</v>
      </c>
      <c r="AR13" s="34">
        <f>Table1[[#This Row],[estDecode]]/Table1[[#This Row],[Run]]</f>
        <v>0.47841971084916424</v>
      </c>
      <c r="AS13" s="69">
        <f>Table1[[#This Row],[Prefill]]+Table1[[#This Row],[Out-Tok]]*Table1[[#This Row],[ITL]]</f>
        <v>6.5438287635551005</v>
      </c>
      <c r="AT13" s="22">
        <f>Table1[[#This Row],[estPrefill]]+Table1[[#This Row],[Out-Tok]]*Table1[[#This Row],[ITL]]</f>
        <v>7.0542994975691364</v>
      </c>
      <c r="AU13" s="34">
        <f>Table1[[#This Row],[E2E]]/Table1[[#This Row],[estE2E]]</f>
        <v>0.9273181828314615</v>
      </c>
      <c r="AV13" s="22">
        <f>Table1[[#This Row],[N]]/Table1[[#This Row],[estE2E]]</f>
        <v>2.2199804065360547</v>
      </c>
      <c r="AW13" s="22">
        <f>Table1[[#This Row],[PPS]]/Table1[[#This Row],[In-Tok]]</f>
        <v>2.6387251190476193</v>
      </c>
      <c r="AX13" s="34">
        <f>Table1[[#This Row],[RPS]]/Table1[[#This Row],[RPS(IL)]]</f>
        <v>0.75794177482262692</v>
      </c>
      <c r="AY13" s="22">
        <f>Table1[[#This Row],[GPS]]/Table1[[#This Row],[Out-Tok]]</f>
        <v>2.3835047619047618</v>
      </c>
      <c r="AZ13" s="89">
        <f>Table1[[#This Row],[RPS]]/Table1[[#This Row],[RPS(OL)]]</f>
        <v>0.83910048428085093</v>
      </c>
      <c r="BA13" s="131">
        <f>MaxTok/Table1[[#This Row],[tok/req]]</f>
        <v>47.596596563503716</v>
      </c>
      <c r="BB13" s="34">
        <f>Table1[[#This Row],[N]]/Table1[[#This Row],[N-max]]</f>
        <v>0.32902366549562828</v>
      </c>
      <c r="BC13" s="69">
        <f>Table1[[#This Row],[RPS]]</f>
        <v>2</v>
      </c>
      <c r="BD13" s="48">
        <f>Table1[[#This Row],[PPS]]/Table1[[#This Row],[RPS success]]</f>
        <v>10554.900476190478</v>
      </c>
      <c r="BE13" s="34">
        <f>ABS(Table1[[#This Row],[est-In-Tok3]]-Table1[[#This Row],[In-Tok]])/Table1[[#This Row],[In-Tok]]</f>
        <v>0.31936255952380976</v>
      </c>
      <c r="BF13" s="48">
        <f>Table1[[#This Row],[GPS]]/Table1[[#This Row],[RPS success]]</f>
        <v>357.52571428571429</v>
      </c>
      <c r="BG13" s="34">
        <f>ABS(Table1[[#This Row],[est-Out-Tok3]]-Table1[[#This Row],[Out-Tok]])/Table1[[#This Row],[Out-Tok]]</f>
        <v>0.19175238095238095</v>
      </c>
      <c r="BH13" s="157">
        <f>Table1[[#This Row],[est-In-Tok3]]+AvgOutLoad*Table1[[#This Row],[est-Out-Tok3]]</f>
        <v>10733.663333333336</v>
      </c>
      <c r="BI13" s="34">
        <f>ABS(Table1[[#This Row],[est-Tok/Req3]]-Table1[[#This Row],[tok/req]])/Table1[[#This Row],[tok/req]]</f>
        <v>0.31701390593047063</v>
      </c>
      <c r="BJ13" s="157">
        <f>MaxTok/Table1[[#This Row],[est-Tok/Req3]]</f>
        <v>36.139782844492224</v>
      </c>
      <c r="BK13" s="34">
        <f>ABS(Table1[[#This Row],[est-N-max3]]-Table1[[#This Row],[N-max]])/Table1[[#This Row],[N-max]]</f>
        <v>0.24070657454941616</v>
      </c>
      <c r="BL13" s="69">
        <f>MaxTok*Table1[[#This Row],[Kvcache]]/Table1[[#This Row],[Run]]</f>
        <v>8154.5685328626578</v>
      </c>
      <c r="BM13" s="165">
        <f>ABS(Table1[[#This Row],[est-Tok/Req]]-Table1[[#This Row],[tok/req]])/Table1[[#This Row],[tok/req]]</f>
        <v>5.6055617946721174E-4</v>
      </c>
      <c r="BN13" s="69">
        <f>MaxTok/Table1[[#This Row],[est-Tok/Req]]</f>
        <v>47.569930944755804</v>
      </c>
      <c r="BO13" s="175">
        <f>Table1[[#This Row],[Run]]/Table1[[#This Row],[Kvcache]]</f>
        <v>47.569930944755804</v>
      </c>
      <c r="BP13" s="131" cm="1">
        <f t="array" aca="1" ref="BP13" ca="1">_xlfn.CEILING.MATH(INDIRECT("Table1"&amp;BP$3)/BP$2)*BP$2</f>
        <v>9000</v>
      </c>
      <c r="BQ13" s="182" cm="1">
        <f t="array" aca="1" ref="BQ13" ca="1">_xlfn.CEILING.MATH(INDIRECT("Table1"&amp;BQ$3)/BQ$2)*BQ$2</f>
        <v>2.5000000000000001E-2</v>
      </c>
      <c r="BR13" s="34" cm="1">
        <f t="array" aca="1" ref="BR13" ca="1">_xlfn.CEILING.MATH(INDIRECT("Table1"&amp;BR$3)/BR$2)*BR$2</f>
        <v>0.30000000000000004</v>
      </c>
      <c r="BS13" s="34" cm="1">
        <f t="array" aca="1" ref="BS13" ca="1">_xlfn.CEILING.MATH(INDIRECT("Table1"&amp;BS$3)/BS$2)*BS$2</f>
        <v>0.28000000000000003</v>
      </c>
      <c r="BT13" s="20" cm="1">
        <f t="array" aca="1" ref="BT13" ca="1">_xlfn.CEILING.MATH(INDIRECT("Table1"&amp;BT$3)/BT$2)*BT$2</f>
        <v>14</v>
      </c>
      <c r="BU13" s="131" cm="1">
        <f t="array" aca="1" ref="BU13" ca="1">_xlfn.CEILING.MATH(INDIRECT("Table1"&amp;BU$3)/BU$2)*BU$2</f>
        <v>30</v>
      </c>
      <c r="BV13" s="131" cm="1">
        <f t="array" aca="1" ref="BV13" ca="1">_xlfn.CEILING.MATH(INDIRECT("Table1"&amp;BV$3)/BV$2)*BV$2</f>
        <v>8000</v>
      </c>
      <c r="BW13" s="34"/>
      <c r="BX13" s="34"/>
      <c r="BY13" s="190">
        <v>0.58376002068787169</v>
      </c>
      <c r="BZ13" s="34"/>
      <c r="CA13" s="24">
        <f>(Table1[[#This Row],[In-Tok]]+Table1[[#This Row],[Out-Tok]])*Table1[[#This Row],[RPS]]</f>
        <v>16600</v>
      </c>
      <c r="CB13" s="20">
        <f t="shared" si="5"/>
        <v>386260.32160893065</v>
      </c>
      <c r="CC13" s="20">
        <f>Table1[[#This Row],[Supply]]/(Table1[[#This Row],[Prefill]]+Table1[[#This Row],[Out-Tok]]*Table1[[#This Row],[ITL]])</f>
        <v>59026.654817154013</v>
      </c>
      <c r="CD13" s="20">
        <f>Table1[[#This Row],[MaxRun]]/Table1[[#This Row],[ITL]]</f>
        <v>1318.2224335849028</v>
      </c>
      <c r="CE13" s="20">
        <f>Table1[[#This Row],[Out-Tok]]*Table1[[#This Row],[RPS]]</f>
        <v>600</v>
      </c>
      <c r="CF13" s="22">
        <f>Table1[[#This Row],[Supply]]/Table1[[#This Row],[Demand-T]]</f>
        <v>23.268694072827149</v>
      </c>
      <c r="CG13" s="22"/>
      <c r="CH13" s="71">
        <f>Table1[[#This Row],[Prefill]]+Table1[[#This Row],[Out-Tok]]*Table1[[#This Row],[ITL]]</f>
        <v>6.5438287635551005</v>
      </c>
      <c r="CI13" s="71">
        <f>Table1[[#This Row],[GPS]]*Table1[[#This Row],[ITL]]</f>
        <v>15.007398614822128</v>
      </c>
      <c r="CJ13" s="72">
        <f>Table1[[#This Row],[PPS]]*Table1[[#This Row],[Prefill]]/Table1[[#This Row],[In-Tok]]</f>
        <v>0.65300805161848841</v>
      </c>
      <c r="CK13" s="71">
        <f t="shared" si="6"/>
        <v>15.660406666440617</v>
      </c>
      <c r="CL13" s="71">
        <f>Table1[[#This Row],[PPS]]/Table1[[#This Row],[In-Tok]]</f>
        <v>2.6387251190476193</v>
      </c>
      <c r="CM13" s="71">
        <f>Table1[[#This Row],[GPS]]/Table1[[#This Row],[Out-Tok]]</f>
        <v>2.3835047619047618</v>
      </c>
      <c r="CN13" s="71">
        <f>Table1[[#This Row],[Run]]/Table1[[#This Row],[E2E]]</f>
        <v>2.0042727793323016</v>
      </c>
      <c r="CO13" s="71">
        <f>Table1[[#This Row],[N2]]/Table1[[#This Row],[E2E]]</f>
        <v>2.3939791623168594</v>
      </c>
      <c r="CP13" s="71"/>
      <c r="CQ13" s="71">
        <f>Table1[[#This Row],[In-Tok]]+AvgOutLoad*Table1[[#This Row],[Out-Tok]]</f>
        <v>8150</v>
      </c>
      <c r="CR13" s="71">
        <f t="shared" si="7"/>
        <v>461715.33306044358</v>
      </c>
      <c r="CS13" s="71" t="e">
        <f t="shared" si="8"/>
        <v>#DIV/0!</v>
      </c>
      <c r="CT13" s="71" t="e">
        <f t="shared" si="9"/>
        <v>#DIV/0!</v>
      </c>
      <c r="CU13" s="71">
        <f t="shared" si="10"/>
        <v>0</v>
      </c>
      <c r="CV13" s="71" t="e">
        <f t="shared" si="11"/>
        <v>#DIV/0!</v>
      </c>
      <c r="CW13" s="71">
        <f>Table1[[#This Row],[N(maxT)]]/Table1[[#This Row],[e2e sat]]</f>
        <v>0</v>
      </c>
      <c r="CX13" s="71" t="e">
        <f>Table1[[#This Row],[RPS]]/CW13</f>
        <v>#DIV/0!</v>
      </c>
      <c r="CY13" s="110" t="e">
        <f>Table1[[#This Row],[Kvcache]]/$T$4</f>
        <v>#DIV/0!</v>
      </c>
      <c r="GJ13"/>
    </row>
    <row r="14" spans="1:192" hidden="1" x14ac:dyDescent="0.25">
      <c r="A14" s="3">
        <v>9000</v>
      </c>
      <c r="B14" s="3">
        <v>300</v>
      </c>
      <c r="C14">
        <v>2</v>
      </c>
      <c r="D14" s="199">
        <f>Table1[[#This Row],[Kvcache]]</f>
        <v>0.33464087147659677</v>
      </c>
      <c r="E14" s="203" t="s">
        <v>137</v>
      </c>
      <c r="F14" s="219">
        <v>46092</v>
      </c>
      <c r="G14" s="10"/>
      <c r="H14" s="10">
        <v>0.31103301268871292</v>
      </c>
      <c r="I14" s="10">
        <v>0.27097875811431282</v>
      </c>
      <c r="J14" s="10">
        <v>1.4434405831504122</v>
      </c>
      <c r="K14" s="10">
        <v>2.1836857676506036</v>
      </c>
      <c r="L14" s="10">
        <v>2.3837302366892499</v>
      </c>
      <c r="M14" s="10">
        <v>2.4980285222803156E-2</v>
      </c>
      <c r="N14" s="10">
        <v>7.8049970651244811</v>
      </c>
      <c r="O14" s="47">
        <v>21954.551111111112</v>
      </c>
      <c r="P14" s="47">
        <v>664.26222222222225</v>
      </c>
      <c r="Q14" s="5">
        <v>14.166666666666666</v>
      </c>
      <c r="R14" s="5">
        <v>25</v>
      </c>
      <c r="S14" s="170">
        <v>0.33464087147659677</v>
      </c>
      <c r="T14" s="165">
        <v>0.59260408585466773</v>
      </c>
      <c r="U14" s="26">
        <f>(Table1[[#This Row],[In-Tok]]+Table1[[#This Row],[Out-Tok]])*Table1[[#This Row],[RPS]]</f>
        <v>18600</v>
      </c>
      <c r="V14" s="54">
        <f>Table1[[#This Row],[In-Tok]]+AvgOutLoad*Table1[[#This Row],[Out-Tok]]</f>
        <v>9150</v>
      </c>
      <c r="W14" s="20">
        <f>Table1[[#This Row],[In-Tok]]*Table1[[#This Row],[RPS]]</f>
        <v>18000</v>
      </c>
      <c r="X14" s="35">
        <f>Table1[[#This Row],[Out-Tok]]*Table1[[#This Row],[RPS]]</f>
        <v>600</v>
      </c>
      <c r="Y14" s="75">
        <f>Table1[[#This Row],[In-Tok]]/Table1[[#This Row],[Out-Tok]]</f>
        <v>30</v>
      </c>
      <c r="Z14" s="26">
        <f>Table1[[#This Row],[In-Tok]]*Table1[[#This Row],[N]]+AvgOutLoad*Table1[[#This Row],[Out-Tok]]*Table1[[#This Row],[Ndecode]]</f>
        <v>157779.3739257202</v>
      </c>
      <c r="AA14" s="20">
        <f>Table1[[#This Row],[tok(N)]]/Table1[[#This Row],[Kvcache]]</f>
        <v>471488.6535811408</v>
      </c>
      <c r="AB14" s="20">
        <f>Table1[[#This Row],[tok/req]]*Table1[[#This Row],[Run]]</f>
        <v>129625</v>
      </c>
      <c r="AC14" s="20">
        <f>Table1[[#This Row],[tok(Run)]]/Table1[[#This Row],[Kvcache]]</f>
        <v>387355.55351631751</v>
      </c>
      <c r="AD14" s="20">
        <f>Table1[[#This Row],[tok/req]]*Table1[[#This Row],[MaxRun]]</f>
        <v>228750</v>
      </c>
      <c r="AE14" s="20">
        <f>Table1[[#This Row],[tok(MaxRun)]]/Table1[[#This Row],[MaxKvcache]]</f>
        <v>386008.13841857214</v>
      </c>
      <c r="AF14" s="75">
        <f>Table1[[#This Row],[PPS]]*Table1[[#This Row],[Prefill]]/Table1[[#This Row],[In-Tok]]</f>
        <v>0.66102411056067734</v>
      </c>
      <c r="AG14" s="22">
        <f>Table1[[#This Row],[GPS]]*Table1[[#This Row],[ITL]]</f>
        <v>16.593459773844163</v>
      </c>
      <c r="AH14" s="22">
        <f>Table1[[#This Row],[Nprefill]]+Table1[[#This Row],[Ndecode]]</f>
        <v>17.254483884404841</v>
      </c>
      <c r="AI14" s="34">
        <f>Table1[[#This Row],[Run]]/Table1[[#This Row],[ITL]]/Table1[[#This Row],[GPS]]</f>
        <v>0.85375002318667814</v>
      </c>
      <c r="AJ14" s="64">
        <f>Table1[[#This Row],[Prefill]]+Table1[[#This Row],[ITL]]</f>
        <v>0.29595904333711598</v>
      </c>
      <c r="AK14" s="34">
        <f>Table1[[#This Row],[TTFT]]/Table1[[#This Row],[estTTFT]]</f>
        <v>1.0509326195328546</v>
      </c>
      <c r="AL14" s="22">
        <f>Table1[[#This Row],[In-Tok]]*Table1[[#This Row],[RPS]]/Table1[[#This Row],[PPS]]</f>
        <v>0.81987556515743432</v>
      </c>
      <c r="AM14" s="34">
        <f>Table1[[#This Row],[Prefill]]/Table1[[#This Row],[estPrefill]]</f>
        <v>0.33051205528033867</v>
      </c>
      <c r="AN14" s="34">
        <f>Table1[[#This Row],[Prefill]]/Table1[[#This Row],[TTFT]]</f>
        <v>0.87122185446440992</v>
      </c>
      <c r="AO14" s="64">
        <f>Table1[[#This Row],[Run]]/(Table1[[#This Row],[Out-Tok]]*Table1[[#This Row],[RPS]])</f>
        <v>2.361111111111111E-2</v>
      </c>
      <c r="AP14" s="34">
        <f>Table1[[#This Row],[ITL]]/Table1[[#This Row],[estITL]]</f>
        <v>1.0579885506128395</v>
      </c>
      <c r="AQ14" s="69">
        <f>Table1[[#This Row],[E2E]]-Table1[[#This Row],[TTFT]]+Table1[[#This Row],[ITL]]</f>
        <v>7.5189443376585707</v>
      </c>
      <c r="AR14" s="34">
        <f>Table1[[#This Row],[estDecode]]/Table1[[#This Row],[Run]]</f>
        <v>0.53074901207001679</v>
      </c>
      <c r="AS14" s="69">
        <f>Table1[[#This Row],[Prefill]]+Table1[[#This Row],[Out-Tok]]*Table1[[#This Row],[ITL]]</f>
        <v>7.7650643249552598</v>
      </c>
      <c r="AT14" s="22">
        <f>Table1[[#This Row],[estPrefill]]+Table1[[#This Row],[Out-Tok]]*Table1[[#This Row],[ITL]]</f>
        <v>8.313961131998381</v>
      </c>
      <c r="AU14" s="34">
        <f>Table1[[#This Row],[E2E]]/Table1[[#This Row],[estE2E]]</f>
        <v>0.93878200068616835</v>
      </c>
      <c r="AV14" s="22">
        <f>Table1[[#This Row],[N]]/Table1[[#This Row],[estE2E]]</f>
        <v>2.0753625871543466</v>
      </c>
      <c r="AW14" s="22">
        <f>Table1[[#This Row],[PPS]]/Table1[[#This Row],[In-Tok]]</f>
        <v>2.4393945679012345</v>
      </c>
      <c r="AX14" s="34">
        <f>Table1[[#This Row],[RPS]]/Table1[[#This Row],[RPS(IL)]]</f>
        <v>0.81987556515743432</v>
      </c>
      <c r="AY14" s="22">
        <f>Table1[[#This Row],[GPS]]/Table1[[#This Row],[Out-Tok]]</f>
        <v>2.2142074074074074</v>
      </c>
      <c r="AZ14" s="89">
        <f>Table1[[#This Row],[RPS]]/Table1[[#This Row],[RPS(OL)]]</f>
        <v>0.90325774961695182</v>
      </c>
      <c r="BA14" s="131">
        <f>MaxTok/Table1[[#This Row],[tok/req]]</f>
        <v>42.394782731426808</v>
      </c>
      <c r="BB14" s="34">
        <f>Table1[[#This Row],[N]]/Table1[[#This Row],[N-max]]</f>
        <v>0.40699545492927536</v>
      </c>
      <c r="BC14" s="69">
        <f>Table1[[#This Row],[RPS]]</f>
        <v>2</v>
      </c>
      <c r="BD14" s="48">
        <f>Table1[[#This Row],[PPS]]/Table1[[#This Row],[RPS success]]</f>
        <v>10977.275555555556</v>
      </c>
      <c r="BE14" s="34">
        <f>ABS(Table1[[#This Row],[est-In-Tok3]]-Table1[[#This Row],[In-Tok]])/Table1[[#This Row],[In-Tok]]</f>
        <v>0.21969728395061733</v>
      </c>
      <c r="BF14" s="48">
        <f>Table1[[#This Row],[GPS]]/Table1[[#This Row],[RPS success]]</f>
        <v>332.13111111111112</v>
      </c>
      <c r="BG14" s="34">
        <f>ABS(Table1[[#This Row],[est-Out-Tok3]]-Table1[[#This Row],[Out-Tok]])/Table1[[#This Row],[Out-Tok]]</f>
        <v>0.10710370370370374</v>
      </c>
      <c r="BH14" s="157">
        <f>Table1[[#This Row],[est-In-Tok3]]+AvgOutLoad*Table1[[#This Row],[est-Out-Tok3]]</f>
        <v>11143.341111111111</v>
      </c>
      <c r="BI14" s="34">
        <f>ABS(Table1[[#This Row],[est-Tok/Req3]]-Table1[[#This Row],[tok/req]])/Table1[[#This Row],[tok/req]]</f>
        <v>0.21785148755312686</v>
      </c>
      <c r="BJ14" s="157">
        <f>MaxTok/Table1[[#This Row],[est-Tok/Req3]]</f>
        <v>34.811126943405242</v>
      </c>
      <c r="BK14" s="34">
        <f>ABS(Table1[[#This Row],[est-N-max3]]-Table1[[#This Row],[N-max]])/Table1[[#This Row],[N-max]]</f>
        <v>0.1788818175119431</v>
      </c>
      <c r="BL14" s="69">
        <f>MaxTok*Table1[[#This Row],[Kvcache]]/Table1[[#This Row],[Run]]</f>
        <v>9163.1504053868211</v>
      </c>
      <c r="BM14" s="165">
        <f>ABS(Table1[[#This Row],[est-Tok/Req]]-Table1[[#This Row],[tok/req]])/Table1[[#This Row],[tok/req]]</f>
        <v>1.4372027745159725E-3</v>
      </c>
      <c r="BN14" s="69">
        <f>MaxTok/Table1[[#This Row],[est-Tok/Req]]</f>
        <v>42.333940275007372</v>
      </c>
      <c r="BO14" s="175">
        <f>Table1[[#This Row],[Run]]/Table1[[#This Row],[Kvcache]]</f>
        <v>42.333940275007372</v>
      </c>
      <c r="BP14" s="131" cm="1">
        <f t="array" aca="1" ref="BP14" ca="1">_xlfn.CEILING.MATH(INDIRECT("Table1"&amp;BP$3)/BP$2)*BP$2</f>
        <v>10000</v>
      </c>
      <c r="BQ14" s="182" cm="1">
        <f t="array" aca="1" ref="BQ14" ca="1">_xlfn.CEILING.MATH(INDIRECT("Table1"&amp;BQ$3)/BQ$2)*BQ$2</f>
        <v>2.5000000000000001E-2</v>
      </c>
      <c r="BR14" s="34" cm="1">
        <f t="array" aca="1" ref="BR14" ca="1">_xlfn.CEILING.MATH(INDIRECT("Table1"&amp;BR$3)/BR$2)*BR$2</f>
        <v>0.4</v>
      </c>
      <c r="BS14" s="34" cm="1">
        <f t="array" aca="1" ref="BS14" ca="1">_xlfn.CEILING.MATH(INDIRECT("Table1"&amp;BS$3)/BS$2)*BS$2</f>
        <v>0.34</v>
      </c>
      <c r="BT14" s="20" cm="1">
        <f t="array" aca="1" ref="BT14" ca="1">_xlfn.CEILING.MATH(INDIRECT("Table1"&amp;BT$3)/BT$2)*BT$2</f>
        <v>15</v>
      </c>
      <c r="BU14" s="131" cm="1">
        <f t="array" aca="1" ref="BU14" ca="1">_xlfn.CEILING.MATH(INDIRECT("Table1"&amp;BU$3)/BU$2)*BU$2</f>
        <v>30</v>
      </c>
      <c r="BV14" s="131" cm="1">
        <f t="array" aca="1" ref="BV14" ca="1">_xlfn.CEILING.MATH(INDIRECT("Table1"&amp;BV$3)/BV$2)*BV$2</f>
        <v>9000</v>
      </c>
      <c r="BW14" s="34"/>
      <c r="BX14" s="34"/>
      <c r="BY14" s="190">
        <v>0.59260408585466773</v>
      </c>
      <c r="BZ14" s="34"/>
      <c r="CA14" s="24">
        <f>(Table1[[#This Row],[In-Tok]]+Table1[[#This Row],[Out-Tok]])*Table1[[#This Row],[RPS]]</f>
        <v>18600</v>
      </c>
      <c r="CB14" s="20">
        <f t="shared" si="5"/>
        <v>386008.13841857214</v>
      </c>
      <c r="CC14" s="20">
        <f>Table1[[#This Row],[Supply]]/(Table1[[#This Row],[Prefill]]+Table1[[#This Row],[Out-Tok]]*Table1[[#This Row],[ITL]])</f>
        <v>49710.874535581679</v>
      </c>
      <c r="CD14" s="20">
        <f>Table1[[#This Row],[MaxRun]]/Table1[[#This Row],[ITL]]</f>
        <v>1000.7892134545705</v>
      </c>
      <c r="CE14" s="20">
        <f>Table1[[#This Row],[Out-Tok]]*Table1[[#This Row],[RPS]]</f>
        <v>600</v>
      </c>
      <c r="CF14" s="22">
        <f>Table1[[#This Row],[Supply]]/Table1[[#This Row],[Demand-T]]</f>
        <v>20.75312572142861</v>
      </c>
      <c r="CG14" s="22"/>
      <c r="CH14" s="71">
        <f>Table1[[#This Row],[Prefill]]+Table1[[#This Row],[Out-Tok]]*Table1[[#This Row],[ITL]]</f>
        <v>7.7650643249552598</v>
      </c>
      <c r="CI14" s="71">
        <f>Table1[[#This Row],[GPS]]*Table1[[#This Row],[ITL]]</f>
        <v>16.593459773844163</v>
      </c>
      <c r="CJ14" s="72">
        <f>Table1[[#This Row],[PPS]]*Table1[[#This Row],[Prefill]]/Table1[[#This Row],[In-Tok]]</f>
        <v>0.66102411056067734</v>
      </c>
      <c r="CK14" s="71">
        <f t="shared" si="6"/>
        <v>17.254483884404841</v>
      </c>
      <c r="CL14" s="71">
        <f>Table1[[#This Row],[PPS]]/Table1[[#This Row],[In-Tok]]</f>
        <v>2.4393945679012345</v>
      </c>
      <c r="CM14" s="71">
        <f>Table1[[#This Row],[GPS]]/Table1[[#This Row],[Out-Tok]]</f>
        <v>2.2142074074074074</v>
      </c>
      <c r="CN14" s="71">
        <f>Table1[[#This Row],[Run]]/Table1[[#This Row],[E2E]]</f>
        <v>1.8150764886214243</v>
      </c>
      <c r="CO14" s="71">
        <f>Table1[[#This Row],[N2]]/Table1[[#This Row],[E2E]]</f>
        <v>2.2106970368386234</v>
      </c>
      <c r="CP14" s="71"/>
      <c r="CQ14" s="71">
        <f>Table1[[#This Row],[In-Tok]]+AvgOutLoad*Table1[[#This Row],[Out-Tok]]</f>
        <v>9150</v>
      </c>
      <c r="CR14" s="71">
        <f t="shared" si="7"/>
        <v>441245.40206750855</v>
      </c>
      <c r="CS14" s="71" t="e">
        <f t="shared" si="8"/>
        <v>#DIV/0!</v>
      </c>
      <c r="CT14" s="71" t="e">
        <f t="shared" si="9"/>
        <v>#DIV/0!</v>
      </c>
      <c r="CU14" s="71">
        <f t="shared" si="10"/>
        <v>0</v>
      </c>
      <c r="CV14" s="71" t="e">
        <f t="shared" si="11"/>
        <v>#DIV/0!</v>
      </c>
      <c r="CW14" s="71">
        <f>Table1[[#This Row],[N(maxT)]]/Table1[[#This Row],[e2e sat]]</f>
        <v>0</v>
      </c>
      <c r="CX14" s="71" t="e">
        <f>Table1[[#This Row],[RPS]]/CW14</f>
        <v>#DIV/0!</v>
      </c>
      <c r="CY14" s="110" t="e">
        <f>Table1[[#This Row],[Kvcache]]/$T$4</f>
        <v>#DIV/0!</v>
      </c>
      <c r="GJ14"/>
    </row>
    <row r="15" spans="1:192" hidden="1" x14ac:dyDescent="0.25">
      <c r="A15" s="3">
        <v>10000</v>
      </c>
      <c r="B15" s="3">
        <v>300</v>
      </c>
      <c r="C15">
        <v>2</v>
      </c>
      <c r="D15" s="199">
        <f>Table1[[#This Row],[Kvcache]]</f>
        <v>0.63176008533747097</v>
      </c>
      <c r="E15" s="203" t="s">
        <v>137</v>
      </c>
      <c r="F15" s="219">
        <v>46092</v>
      </c>
      <c r="G15" s="10"/>
      <c r="H15" s="10">
        <v>1.3162716745102527</v>
      </c>
      <c r="I15" s="10">
        <v>0.34317679329223766</v>
      </c>
      <c r="J15" s="10">
        <v>2.6800668145139266</v>
      </c>
      <c r="K15" s="10">
        <v>5.513361426194507</v>
      </c>
      <c r="L15" s="10">
        <v>6.1796992651621503</v>
      </c>
      <c r="M15" s="10">
        <v>4.3304766797038811E-2</v>
      </c>
      <c r="N15" s="10">
        <v>14.064873900700087</v>
      </c>
      <c r="O15" s="47">
        <v>25051.397142857142</v>
      </c>
      <c r="P15" s="47">
        <v>670.7022222222223</v>
      </c>
      <c r="Q15" s="5">
        <v>24.093055555555555</v>
      </c>
      <c r="R15" s="5">
        <v>36.666666666666664</v>
      </c>
      <c r="S15" s="170">
        <v>0.63176008533747097</v>
      </c>
      <c r="T15" s="165">
        <v>0.96374450478407037</v>
      </c>
      <c r="U15" s="26">
        <f>(Table1[[#This Row],[In-Tok]]+Table1[[#This Row],[Out-Tok]])*Table1[[#This Row],[RPS]]</f>
        <v>20600</v>
      </c>
      <c r="V15" s="54">
        <f>Table1[[#This Row],[In-Tok]]+AvgOutLoad*Table1[[#This Row],[Out-Tok]]</f>
        <v>10150</v>
      </c>
      <c r="W15" s="20">
        <f>Table1[[#This Row],[In-Tok]]*Table1[[#This Row],[RPS]]</f>
        <v>20000</v>
      </c>
      <c r="X15" s="35">
        <f>Table1[[#This Row],[Out-Tok]]*Table1[[#This Row],[RPS]]</f>
        <v>600</v>
      </c>
      <c r="Y15" s="75">
        <f>Table1[[#This Row],[In-Tok]]/Table1[[#This Row],[Out-Tok]]</f>
        <v>33.333333333333336</v>
      </c>
      <c r="Z15" s="26">
        <f>Table1[[#This Row],[In-Tok]]*Table1[[#This Row],[N]]+AvgOutLoad*Table1[[#This Row],[Out-Tok]]*Table1[[#This Row],[Ndecode]]</f>
        <v>303399.78187340481</v>
      </c>
      <c r="AA15" s="20">
        <f>Table1[[#This Row],[tok(N)]]/Table1[[#This Row],[Kvcache]]</f>
        <v>480245.25277081406</v>
      </c>
      <c r="AB15" s="20">
        <f>Table1[[#This Row],[tok/req]]*Table1[[#This Row],[Run]]</f>
        <v>244544.51388888888</v>
      </c>
      <c r="AC15" s="20">
        <f>Table1[[#This Row],[tok(Run)]]/Table1[[#This Row],[Kvcache]]</f>
        <v>387084.46380916756</v>
      </c>
      <c r="AD15" s="20">
        <f>Table1[[#This Row],[tok/req]]*Table1[[#This Row],[MaxRun]]</f>
        <v>372166.66666666663</v>
      </c>
      <c r="AE15" s="20">
        <f>Table1[[#This Row],[tok(MaxRun)]]/Table1[[#This Row],[MaxKvcache]]</f>
        <v>386167.35537190078</v>
      </c>
      <c r="AF15" s="75">
        <f>Table1[[#This Row],[PPS]]*Table1[[#This Row],[Prefill]]/Table1[[#This Row],[In-Tok]]</f>
        <v>0.85970581389760392</v>
      </c>
      <c r="AG15" s="22">
        <f>Table1[[#This Row],[GPS]]*Table1[[#This Row],[ITL]]</f>
        <v>29.04460332358904</v>
      </c>
      <c r="AH15" s="22">
        <f>Table1[[#This Row],[Nprefill]]+Table1[[#This Row],[Ndecode]]</f>
        <v>29.904309137486646</v>
      </c>
      <c r="AI15" s="34">
        <f>Table1[[#This Row],[Run]]/Table1[[#This Row],[ITL]]/Table1[[#This Row],[GPS]]</f>
        <v>0.82951918079693632</v>
      </c>
      <c r="AJ15" s="64">
        <f>Table1[[#This Row],[Prefill]]+Table1[[#This Row],[ITL]]</f>
        <v>0.38648156008927648</v>
      </c>
      <c r="AK15" s="34">
        <f>Table1[[#This Row],[TTFT]]/Table1[[#This Row],[estTTFT]]</f>
        <v>3.4057813112899789</v>
      </c>
      <c r="AL15" s="22">
        <f>Table1[[#This Row],[In-Tok]]*Table1[[#This Row],[RPS]]/Table1[[#This Row],[PPS]]</f>
        <v>0.79835866582405612</v>
      </c>
      <c r="AM15" s="34">
        <f>Table1[[#This Row],[Prefill]]/Table1[[#This Row],[estPrefill]]</f>
        <v>0.42985290694880196</v>
      </c>
      <c r="AN15" s="34">
        <f>Table1[[#This Row],[Prefill]]/Table1[[#This Row],[TTFT]]</f>
        <v>0.2607188165922692</v>
      </c>
      <c r="AO15" s="64">
        <f>Table1[[#This Row],[Run]]/(Table1[[#This Row],[Out-Tok]]*Table1[[#This Row],[RPS]])</f>
        <v>4.0155092592592589E-2</v>
      </c>
      <c r="AP15" s="34">
        <f>Table1[[#This Row],[ITL]]/Table1[[#This Row],[estITL]]</f>
        <v>1.0784377273488654</v>
      </c>
      <c r="AQ15" s="69">
        <f>Table1[[#This Row],[E2E]]-Table1[[#This Row],[TTFT]]+Table1[[#This Row],[ITL]]</f>
        <v>12.791906992986874</v>
      </c>
      <c r="AR15" s="34">
        <f>Table1[[#This Row],[estDecode]]/Table1[[#This Row],[Run]]</f>
        <v>0.53093751282357471</v>
      </c>
      <c r="AS15" s="69">
        <f>Table1[[#This Row],[Prefill]]+Table1[[#This Row],[Out-Tok]]*Table1[[#This Row],[ITL]]</f>
        <v>13.33460683240388</v>
      </c>
      <c r="AT15" s="22">
        <f>Table1[[#This Row],[estPrefill]]+Table1[[#This Row],[Out-Tok]]*Table1[[#This Row],[ITL]]</f>
        <v>13.789788704935699</v>
      </c>
      <c r="AU15" s="34">
        <f>Table1[[#This Row],[E2E]]/Table1[[#This Row],[estE2E]]</f>
        <v>1.0199484706872941</v>
      </c>
      <c r="AV15" s="22">
        <f>Table1[[#This Row],[N]]/Table1[[#This Row],[estE2E]]</f>
        <v>2.1685835640674589</v>
      </c>
      <c r="AW15" s="22">
        <f>Table1[[#This Row],[PPS]]/Table1[[#This Row],[In-Tok]]</f>
        <v>2.5051397142857144</v>
      </c>
      <c r="AX15" s="34">
        <f>Table1[[#This Row],[RPS]]/Table1[[#This Row],[RPS(IL)]]</f>
        <v>0.79835866582405612</v>
      </c>
      <c r="AY15" s="22">
        <f>Table1[[#This Row],[GPS]]/Table1[[#This Row],[Out-Tok]]</f>
        <v>2.2356740740740744</v>
      </c>
      <c r="AZ15" s="89">
        <f>Table1[[#This Row],[RPS]]/Table1[[#This Row],[RPS(OL)]]</f>
        <v>0.89458478013094056</v>
      </c>
      <c r="BA15" s="131">
        <f>MaxTok/Table1[[#This Row],[tok/req]]</f>
        <v>38.217956846557172</v>
      </c>
      <c r="BB15" s="34">
        <f>Table1[[#This Row],[N]]/Table1[[#This Row],[N-max]]</f>
        <v>0.78246749970310214</v>
      </c>
      <c r="BC15" s="69">
        <f>Table1[[#This Row],[RPS]]</f>
        <v>2</v>
      </c>
      <c r="BD15" s="48">
        <f>Table1[[#This Row],[PPS]]/Table1[[#This Row],[RPS success]]</f>
        <v>12525.698571428571</v>
      </c>
      <c r="BE15" s="34">
        <f>ABS(Table1[[#This Row],[est-In-Tok3]]-Table1[[#This Row],[In-Tok]])/Table1[[#This Row],[In-Tok]]</f>
        <v>0.25256985714285712</v>
      </c>
      <c r="BF15" s="48">
        <f>Table1[[#This Row],[GPS]]/Table1[[#This Row],[RPS success]]</f>
        <v>335.35111111111115</v>
      </c>
      <c r="BG15" s="34">
        <f>ABS(Table1[[#This Row],[est-Out-Tok3]]-Table1[[#This Row],[Out-Tok]])/Table1[[#This Row],[Out-Tok]]</f>
        <v>0.11783703703703717</v>
      </c>
      <c r="BH15" s="157">
        <f>Table1[[#This Row],[est-In-Tok3]]+AvgOutLoad*Table1[[#This Row],[est-Out-Tok3]]</f>
        <v>12693.374126984127</v>
      </c>
      <c r="BI15" s="34">
        <f>ABS(Table1[[#This Row],[est-Tok/Req3]]-Table1[[#This Row],[tok/req]])/Table1[[#This Row],[tok/req]]</f>
        <v>0.25057873172257406</v>
      </c>
      <c r="BJ15" s="157">
        <f>MaxTok/Table1[[#This Row],[est-Tok/Req3]]</f>
        <v>30.560216543835615</v>
      </c>
      <c r="BK15" s="34">
        <f>ABS(Table1[[#This Row],[est-N-max3]]-Table1[[#This Row],[N-max]])/Table1[[#This Row],[N-max]]</f>
        <v>0.20037021689743723</v>
      </c>
      <c r="BL15" s="69">
        <f>MaxTok*Table1[[#This Row],[Kvcache]]/Table1[[#This Row],[Run]]</f>
        <v>10171.706248498591</v>
      </c>
      <c r="BM15" s="165">
        <f>ABS(Table1[[#This Row],[est-Tok/Req]]-Table1[[#This Row],[tok/req]])/Table1[[#This Row],[tok/req]]</f>
        <v>2.1385466501074746E-3</v>
      </c>
      <c r="BN15" s="69">
        <f>MaxTok/Table1[[#This Row],[est-Tok/Req]]</f>
        <v>38.136400375287444</v>
      </c>
      <c r="BO15" s="175">
        <f>Table1[[#This Row],[Run]]/Table1[[#This Row],[Kvcache]]</f>
        <v>38.136400375287444</v>
      </c>
      <c r="BP15" s="131" cm="1">
        <f t="array" aca="1" ref="BP15" ca="1">_xlfn.CEILING.MATH(INDIRECT("Table1"&amp;BP$3)/BP$2)*BP$2</f>
        <v>11000</v>
      </c>
      <c r="BQ15" s="182" cm="1">
        <f t="array" aca="1" ref="BQ15" ca="1">_xlfn.CEILING.MATH(INDIRECT("Table1"&amp;BQ$3)/BQ$2)*BQ$2</f>
        <v>4.4999999999999998E-2</v>
      </c>
      <c r="BR15" s="34" cm="1">
        <f t="array" aca="1" ref="BR15" ca="1">_xlfn.CEILING.MATH(INDIRECT("Table1"&amp;BR$3)/BR$2)*BR$2</f>
        <v>0.70000000000000007</v>
      </c>
      <c r="BS15" s="34" cm="1">
        <f t="array" aca="1" ref="BS15" ca="1">_xlfn.CEILING.MATH(INDIRECT("Table1"&amp;BS$3)/BS$2)*BS$2</f>
        <v>0.64</v>
      </c>
      <c r="BT15" s="20" cm="1">
        <f t="array" aca="1" ref="BT15" ca="1">_xlfn.CEILING.MATH(INDIRECT("Table1"&amp;BT$3)/BT$2)*BT$2</f>
        <v>25</v>
      </c>
      <c r="BU15" s="131" cm="1">
        <f t="array" aca="1" ref="BU15" ca="1">_xlfn.CEILING.MATH(INDIRECT("Table1"&amp;BU$3)/BU$2)*BU$2</f>
        <v>35</v>
      </c>
      <c r="BV15" s="131" cm="1">
        <f t="array" aca="1" ref="BV15" ca="1">_xlfn.CEILING.MATH(INDIRECT("Table1"&amp;BV$3)/BV$2)*BV$2</f>
        <v>10000</v>
      </c>
      <c r="BW15" s="34"/>
      <c r="BX15" s="34"/>
      <c r="BY15" s="190">
        <v>0.96374450478407037</v>
      </c>
      <c r="BZ15" s="34"/>
      <c r="CA15" s="24">
        <f>(Table1[[#This Row],[In-Tok]]+Table1[[#This Row],[Out-Tok]])*Table1[[#This Row],[RPS]]</f>
        <v>20600</v>
      </c>
      <c r="CB15" s="20">
        <f t="shared" si="5"/>
        <v>386167.35537190078</v>
      </c>
      <c r="CC15" s="20">
        <f>Table1[[#This Row],[Supply]]/(Table1[[#This Row],[Prefill]]+Table1[[#This Row],[Out-Tok]]*Table1[[#This Row],[ITL]])</f>
        <v>28959.785633386007</v>
      </c>
      <c r="CD15" s="20">
        <f>Table1[[#This Row],[MaxRun]]/Table1[[#This Row],[ITL]]</f>
        <v>846.71202222416628</v>
      </c>
      <c r="CE15" s="20">
        <f>Table1[[#This Row],[Out-Tok]]*Table1[[#This Row],[RPS]]</f>
        <v>600</v>
      </c>
      <c r="CF15" s="22">
        <f>Table1[[#This Row],[Supply]]/Table1[[#This Row],[Demand-T]]</f>
        <v>18.745988124849553</v>
      </c>
      <c r="CG15" s="22"/>
      <c r="CH15" s="71">
        <f>Table1[[#This Row],[Prefill]]+Table1[[#This Row],[Out-Tok]]*Table1[[#This Row],[ITL]]</f>
        <v>13.33460683240388</v>
      </c>
      <c r="CI15" s="71">
        <f>Table1[[#This Row],[GPS]]*Table1[[#This Row],[ITL]]</f>
        <v>29.04460332358904</v>
      </c>
      <c r="CJ15" s="72">
        <f>Table1[[#This Row],[PPS]]*Table1[[#This Row],[Prefill]]/Table1[[#This Row],[In-Tok]]</f>
        <v>0.85970581389760392</v>
      </c>
      <c r="CK15" s="71">
        <f t="shared" si="6"/>
        <v>29.904309137486646</v>
      </c>
      <c r="CL15" s="71">
        <f>Table1[[#This Row],[PPS]]/Table1[[#This Row],[In-Tok]]</f>
        <v>2.5051397142857144</v>
      </c>
      <c r="CM15" s="71">
        <f>Table1[[#This Row],[GPS]]/Table1[[#This Row],[Out-Tok]]</f>
        <v>2.2356740740740744</v>
      </c>
      <c r="CN15" s="71">
        <f>Table1[[#This Row],[Run]]/Table1[[#This Row],[E2E]]</f>
        <v>1.7129947787414084</v>
      </c>
      <c r="CO15" s="71">
        <f>Table1[[#This Row],[N2]]/Table1[[#This Row],[E2E]]</f>
        <v>2.1261697295414885</v>
      </c>
      <c r="CP15" s="71"/>
      <c r="CQ15" s="71">
        <f>Table1[[#This Row],[In-Tok]]+AvgOutLoad*Table1[[#This Row],[Out-Tok]]</f>
        <v>10150</v>
      </c>
      <c r="CR15" s="71">
        <f t="shared" si="7"/>
        <v>458451.53471440496</v>
      </c>
      <c r="CS15" s="71" t="e">
        <f t="shared" si="8"/>
        <v>#DIV/0!</v>
      </c>
      <c r="CT15" s="71" t="e">
        <f t="shared" si="9"/>
        <v>#DIV/0!</v>
      </c>
      <c r="CU15" s="71">
        <f t="shared" si="10"/>
        <v>0</v>
      </c>
      <c r="CV15" s="71" t="e">
        <f t="shared" si="11"/>
        <v>#DIV/0!</v>
      </c>
      <c r="CW15" s="71">
        <f>Table1[[#This Row],[N(maxT)]]/Table1[[#This Row],[e2e sat]]</f>
        <v>0</v>
      </c>
      <c r="CX15" s="71" t="e">
        <f>Table1[[#This Row],[RPS]]/CW15</f>
        <v>#DIV/0!</v>
      </c>
      <c r="CY15" s="110" t="e">
        <f>Table1[[#This Row],[Kvcache]]/$T$4</f>
        <v>#DIV/0!</v>
      </c>
      <c r="GJ15"/>
    </row>
    <row r="16" spans="1:192" hidden="1" x14ac:dyDescent="0.25">
      <c r="A16" s="3">
        <v>11000</v>
      </c>
      <c r="B16" s="3">
        <v>300</v>
      </c>
      <c r="C16">
        <v>2</v>
      </c>
      <c r="D16" s="199">
        <f>Table1[[#This Row],[Kvcache]]</f>
        <v>0.71907486423584166</v>
      </c>
      <c r="E16" s="203" t="s">
        <v>137</v>
      </c>
      <c r="F16" s="219">
        <v>46092</v>
      </c>
      <c r="G16" s="10"/>
      <c r="H16" s="10">
        <v>1.7155508230327792</v>
      </c>
      <c r="I16" s="10">
        <v>0.38150473381773814</v>
      </c>
      <c r="J16" s="10">
        <v>3.1402686691967703</v>
      </c>
      <c r="K16" s="10">
        <v>5.7949740290641758</v>
      </c>
      <c r="L16" s="10">
        <v>6.3687061834335319</v>
      </c>
      <c r="M16" s="10">
        <v>4.7299661496975204E-2</v>
      </c>
      <c r="N16" s="10">
        <v>15.093951099967761</v>
      </c>
      <c r="O16" s="47">
        <v>27245.546666666673</v>
      </c>
      <c r="P16" s="47">
        <v>646.85777777777787</v>
      </c>
      <c r="Q16" s="5">
        <v>24.979166666666668</v>
      </c>
      <c r="R16" s="5">
        <v>34</v>
      </c>
      <c r="S16" s="170">
        <v>0.71907486423584166</v>
      </c>
      <c r="T16" s="165">
        <v>0.98143263511766232</v>
      </c>
      <c r="U16" s="26">
        <f>(Table1[[#This Row],[In-Tok]]+Table1[[#This Row],[Out-Tok]])*Table1[[#This Row],[RPS]]</f>
        <v>22600</v>
      </c>
      <c r="V16" s="54">
        <f>Table1[[#This Row],[In-Tok]]+AvgOutLoad*Table1[[#This Row],[Out-Tok]]</f>
        <v>11150</v>
      </c>
      <c r="W16" s="20">
        <f>Table1[[#This Row],[In-Tok]]*Table1[[#This Row],[RPS]]</f>
        <v>22000</v>
      </c>
      <c r="X16" s="35">
        <f>Table1[[#This Row],[Out-Tok]]*Table1[[#This Row],[RPS]]</f>
        <v>600</v>
      </c>
      <c r="Y16" s="75">
        <f>Table1[[#This Row],[In-Tok]]/Table1[[#This Row],[Out-Tok]]</f>
        <v>36.666666666666664</v>
      </c>
      <c r="Z16" s="26">
        <f>Table1[[#This Row],[In-Tok]]*Table1[[#This Row],[N]]+AvgOutLoad*Table1[[#This Row],[Out-Tok]]*Table1[[#This Row],[Ndecode]]</f>
        <v>351541.42129894113</v>
      </c>
      <c r="AA16" s="20">
        <f>Table1[[#This Row],[tok(N)]]/Table1[[#This Row],[Kvcache]]</f>
        <v>488880.14139184653</v>
      </c>
      <c r="AB16" s="20">
        <f>Table1[[#This Row],[tok/req]]*Table1[[#This Row],[Run]]</f>
        <v>278517.70833333337</v>
      </c>
      <c r="AC16" s="20">
        <f>Table1[[#This Row],[tok(Run)]]/Table1[[#This Row],[Kvcache]]</f>
        <v>387327.83217129024</v>
      </c>
      <c r="AD16" s="20">
        <f>Table1[[#This Row],[tok/req]]*Table1[[#This Row],[MaxRun]]</f>
        <v>379100</v>
      </c>
      <c r="AE16" s="20">
        <f>Table1[[#This Row],[tok(MaxRun)]]/Table1[[#This Row],[MaxKvcache]]</f>
        <v>386272.05417369306</v>
      </c>
      <c r="AF16" s="75">
        <f>Table1[[#This Row],[PPS]]*Table1[[#This Row],[Prefill]]/Table1[[#This Row],[In-Tok]]</f>
        <v>0.94493682079867558</v>
      </c>
      <c r="AG16" s="22">
        <f>Table1[[#This Row],[GPS]]*Table1[[#This Row],[ITL]]</f>
        <v>30.596153925574502</v>
      </c>
      <c r="AH16" s="22">
        <f>Table1[[#This Row],[Nprefill]]+Table1[[#This Row],[Ndecode]]</f>
        <v>31.541090746373179</v>
      </c>
      <c r="AI16" s="34">
        <f>Table1[[#This Row],[Run]]/Table1[[#This Row],[ITL]]/Table1[[#This Row],[GPS]]</f>
        <v>0.81641525034253581</v>
      </c>
      <c r="AJ16" s="64">
        <f>Table1[[#This Row],[Prefill]]+Table1[[#This Row],[ITL]]</f>
        <v>0.42880439531471337</v>
      </c>
      <c r="AK16" s="34">
        <f>Table1[[#This Row],[TTFT]]/Table1[[#This Row],[estTTFT]]</f>
        <v>4.0007771416934315</v>
      </c>
      <c r="AL16" s="22">
        <f>Table1[[#This Row],[In-Tok]]*Table1[[#This Row],[RPS]]/Table1[[#This Row],[PPS]]</f>
        <v>0.80747141061829786</v>
      </c>
      <c r="AM16" s="34">
        <f>Table1[[#This Row],[Prefill]]/Table1[[#This Row],[estPrefill]]</f>
        <v>0.47246841039933779</v>
      </c>
      <c r="AN16" s="34">
        <f>Table1[[#This Row],[Prefill]]/Table1[[#This Row],[TTFT]]</f>
        <v>0.22238031581210035</v>
      </c>
      <c r="AO16" s="64">
        <f>Table1[[#This Row],[Run]]/(Table1[[#This Row],[Out-Tok]]*Table1[[#This Row],[RPS]])</f>
        <v>4.1631944444444444E-2</v>
      </c>
      <c r="AP16" s="34">
        <f>Table1[[#This Row],[ITL]]/Table1[[#This Row],[estITL]]</f>
        <v>1.1361386581425237</v>
      </c>
      <c r="AQ16" s="69">
        <f>Table1[[#This Row],[E2E]]-Table1[[#This Row],[TTFT]]+Table1[[#This Row],[ITL]]</f>
        <v>13.425699938431958</v>
      </c>
      <c r="AR16" s="34">
        <f>Table1[[#This Row],[estDecode]]/Table1[[#This Row],[Run]]</f>
        <v>0.53747589411570806</v>
      </c>
      <c r="AS16" s="69">
        <f>Table1[[#This Row],[Prefill]]+Table1[[#This Row],[Out-Tok]]*Table1[[#This Row],[ITL]]</f>
        <v>14.5714031829103</v>
      </c>
      <c r="AT16" s="22">
        <f>Table1[[#This Row],[estPrefill]]+Table1[[#This Row],[Out-Tok]]*Table1[[#This Row],[ITL]]</f>
        <v>14.99736985971086</v>
      </c>
      <c r="AU16" s="34">
        <f>Table1[[#This Row],[E2E]]/Table1[[#This Row],[estE2E]]</f>
        <v>1.0064398785360598</v>
      </c>
      <c r="AV16" s="22">
        <f>Table1[[#This Row],[N]]/Table1[[#This Row],[estE2E]]</f>
        <v>2.1031081477229949</v>
      </c>
      <c r="AW16" s="22">
        <f>Table1[[#This Row],[PPS]]/Table1[[#This Row],[In-Tok]]</f>
        <v>2.4768678787878793</v>
      </c>
      <c r="AX16" s="34">
        <f>Table1[[#This Row],[RPS]]/Table1[[#This Row],[RPS(IL)]]</f>
        <v>0.80747141061829786</v>
      </c>
      <c r="AY16" s="22">
        <f>Table1[[#This Row],[GPS]]/Table1[[#This Row],[Out-Tok]]</f>
        <v>2.1561925925925931</v>
      </c>
      <c r="AZ16" s="89">
        <f>Table1[[#This Row],[RPS]]/Table1[[#This Row],[RPS(OL)]]</f>
        <v>0.92756092701126103</v>
      </c>
      <c r="BA16" s="131">
        <f>MaxTok/Table1[[#This Row],[tok/req]]</f>
        <v>34.790337398435454</v>
      </c>
      <c r="BB16" s="34">
        <f>Table1[[#This Row],[N]]/Table1[[#This Row],[N-max]]</f>
        <v>0.90660491116109743</v>
      </c>
      <c r="BC16" s="69">
        <f>Table1[[#This Row],[RPS]]</f>
        <v>2</v>
      </c>
      <c r="BD16" s="48">
        <f>Table1[[#This Row],[PPS]]/Table1[[#This Row],[RPS success]]</f>
        <v>13622.773333333336</v>
      </c>
      <c r="BE16" s="34">
        <f>ABS(Table1[[#This Row],[est-In-Tok3]]-Table1[[#This Row],[In-Tok]])/Table1[[#This Row],[In-Tok]]</f>
        <v>0.23843393939393967</v>
      </c>
      <c r="BF16" s="48">
        <f>Table1[[#This Row],[GPS]]/Table1[[#This Row],[RPS success]]</f>
        <v>323.42888888888893</v>
      </c>
      <c r="BG16" s="34">
        <f>ABS(Table1[[#This Row],[est-Out-Tok3]]-Table1[[#This Row],[Out-Tok]])/Table1[[#This Row],[Out-Tok]]</f>
        <v>7.8096296296296455E-2</v>
      </c>
      <c r="BH16" s="157">
        <f>Table1[[#This Row],[est-In-Tok3]]+AvgOutLoad*Table1[[#This Row],[est-Out-Tok3]]</f>
        <v>13784.48777777778</v>
      </c>
      <c r="BI16" s="34">
        <f>ABS(Table1[[#This Row],[est-Tok/Req3]]-Table1[[#This Row],[tok/req]])/Table1[[#This Row],[tok/req]]</f>
        <v>0.2362769307424018</v>
      </c>
      <c r="BJ16" s="157">
        <f>MaxTok/Table1[[#This Row],[est-Tok/Req3]]</f>
        <v>28.141217014818324</v>
      </c>
      <c r="BK16" s="34">
        <f>ABS(Table1[[#This Row],[est-N-max3]]-Table1[[#This Row],[N-max]])/Table1[[#This Row],[N-max]]</f>
        <v>0.1911197441826519</v>
      </c>
      <c r="BL16" s="69">
        <f>MaxTok*Table1[[#This Row],[Kvcache]]/Table1[[#This Row],[Run]]</f>
        <v>11166.823971751723</v>
      </c>
      <c r="BM16" s="165">
        <f>ABS(Table1[[#This Row],[est-Tok/Req]]-Table1[[#This Row],[tok/req]])/Table1[[#This Row],[tok/req]]</f>
        <v>1.5088763902890258E-3</v>
      </c>
      <c r="BN16" s="69">
        <f>MaxTok/Table1[[#This Row],[est-Tok/Req]]</f>
        <v>34.737922167828714</v>
      </c>
      <c r="BO16" s="175">
        <f>Table1[[#This Row],[Run]]/Table1[[#This Row],[Kvcache]]</f>
        <v>34.737922167828714</v>
      </c>
      <c r="BP16" s="131" cm="1">
        <f t="array" aca="1" ref="BP16" ca="1">_xlfn.CEILING.MATH(INDIRECT("Table1"&amp;BP$3)/BP$2)*BP$2</f>
        <v>12000</v>
      </c>
      <c r="BQ16" s="182" cm="1">
        <f t="array" aca="1" ref="BQ16" ca="1">_xlfn.CEILING.MATH(INDIRECT("Table1"&amp;BQ$3)/BQ$2)*BQ$2</f>
        <v>0.05</v>
      </c>
      <c r="BR16" s="34" cm="1">
        <f t="array" aca="1" ref="BR16" ca="1">_xlfn.CEILING.MATH(INDIRECT("Table1"&amp;BR$3)/BR$2)*BR$2</f>
        <v>0.8</v>
      </c>
      <c r="BS16" s="34" cm="1">
        <f t="array" aca="1" ref="BS16" ca="1">_xlfn.CEILING.MATH(INDIRECT("Table1"&amp;BS$3)/BS$2)*BS$2</f>
        <v>0.72</v>
      </c>
      <c r="BT16" s="20" cm="1">
        <f t="array" aca="1" ref="BT16" ca="1">_xlfn.CEILING.MATH(INDIRECT("Table1"&amp;BT$3)/BT$2)*BT$2</f>
        <v>25</v>
      </c>
      <c r="BU16" s="131" cm="1">
        <f t="array" aca="1" ref="BU16" ca="1">_xlfn.CEILING.MATH(INDIRECT("Table1"&amp;BU$3)/BU$2)*BU$2</f>
        <v>40</v>
      </c>
      <c r="BV16" s="131" cm="1">
        <f t="array" aca="1" ref="BV16" ca="1">_xlfn.CEILING.MATH(INDIRECT("Table1"&amp;BV$3)/BV$2)*BV$2</f>
        <v>11000</v>
      </c>
      <c r="BW16" s="34"/>
      <c r="BX16" s="34"/>
      <c r="BY16" s="190">
        <v>0.98143263511766232</v>
      </c>
      <c r="BZ16" s="34"/>
      <c r="CA16" s="24">
        <f>(Table1[[#This Row],[In-Tok]]+Table1[[#This Row],[Out-Tok]])*Table1[[#This Row],[RPS]]</f>
        <v>22600</v>
      </c>
      <c r="CB16" s="20">
        <f t="shared" si="5"/>
        <v>386272.05417369306</v>
      </c>
      <c r="CC16" s="20">
        <f>Table1[[#This Row],[Supply]]/(Table1[[#This Row],[Prefill]]+Table1[[#This Row],[Out-Tok]]*Table1[[#This Row],[ITL]])</f>
        <v>26508.912650685721</v>
      </c>
      <c r="CD16" s="20">
        <f>Table1[[#This Row],[MaxRun]]/Table1[[#This Row],[ITL]]</f>
        <v>718.82121190601515</v>
      </c>
      <c r="CE16" s="20">
        <f>Table1[[#This Row],[Out-Tok]]*Table1[[#This Row],[RPS]]</f>
        <v>600</v>
      </c>
      <c r="CF16" s="22">
        <f>Table1[[#This Row],[Supply]]/Table1[[#This Row],[Demand-T]]</f>
        <v>17.091683812995267</v>
      </c>
      <c r="CG16" s="22"/>
      <c r="CH16" s="71">
        <f>Table1[[#This Row],[Prefill]]+Table1[[#This Row],[Out-Tok]]*Table1[[#This Row],[ITL]]</f>
        <v>14.5714031829103</v>
      </c>
      <c r="CI16" s="71">
        <f>Table1[[#This Row],[GPS]]*Table1[[#This Row],[ITL]]</f>
        <v>30.596153925574502</v>
      </c>
      <c r="CJ16" s="72">
        <f>Table1[[#This Row],[PPS]]*Table1[[#This Row],[Prefill]]/Table1[[#This Row],[In-Tok]]</f>
        <v>0.94493682079867558</v>
      </c>
      <c r="CK16" s="71">
        <f t="shared" si="6"/>
        <v>31.541090746373179</v>
      </c>
      <c r="CL16" s="71">
        <f>Table1[[#This Row],[PPS]]/Table1[[#This Row],[In-Tok]]</f>
        <v>2.4768678787878793</v>
      </c>
      <c r="CM16" s="71">
        <f>Table1[[#This Row],[GPS]]/Table1[[#This Row],[Out-Tok]]</f>
        <v>2.1561925925925931</v>
      </c>
      <c r="CN16" s="71">
        <f>Table1[[#This Row],[Run]]/Table1[[#This Row],[E2E]]</f>
        <v>1.6549123884944892</v>
      </c>
      <c r="CO16" s="71">
        <f>Table1[[#This Row],[N2]]/Table1[[#This Row],[E2E]]</f>
        <v>2.0896510487860627</v>
      </c>
      <c r="CP16" s="71"/>
      <c r="CQ16" s="71">
        <f>Table1[[#This Row],[In-Tok]]+AvgOutLoad*Table1[[#This Row],[Out-Tok]]</f>
        <v>11150</v>
      </c>
      <c r="CR16" s="71">
        <f t="shared" si="7"/>
        <v>468933.11393100768</v>
      </c>
      <c r="CS16" s="71" t="e">
        <f t="shared" si="8"/>
        <v>#DIV/0!</v>
      </c>
      <c r="CT16" s="71" t="e">
        <f t="shared" si="9"/>
        <v>#DIV/0!</v>
      </c>
      <c r="CU16" s="71">
        <f t="shared" si="10"/>
        <v>0</v>
      </c>
      <c r="CV16" s="71" t="e">
        <f t="shared" si="11"/>
        <v>#DIV/0!</v>
      </c>
      <c r="CW16" s="71">
        <f>Table1[[#This Row],[N(maxT)]]/Table1[[#This Row],[e2e sat]]</f>
        <v>0</v>
      </c>
      <c r="CX16" s="71" t="e">
        <f>Table1[[#This Row],[RPS]]/CW16</f>
        <v>#DIV/0!</v>
      </c>
      <c r="CY16" s="110" t="e">
        <f>Table1[[#This Row],[Kvcache]]/$T$4</f>
        <v>#DIV/0!</v>
      </c>
      <c r="GJ16"/>
    </row>
    <row r="17" spans="1:192" hidden="1" x14ac:dyDescent="0.25">
      <c r="A17" s="3">
        <v>12000</v>
      </c>
      <c r="B17" s="3">
        <v>300</v>
      </c>
      <c r="C17">
        <v>2</v>
      </c>
      <c r="D17" s="199">
        <f>Table1[[#This Row],[Kvcache]]</f>
        <v>0.77042547042090703</v>
      </c>
      <c r="E17" s="203" t="s">
        <v>137</v>
      </c>
      <c r="F17" s="219">
        <v>46092</v>
      </c>
      <c r="G17" s="10"/>
      <c r="H17" s="10">
        <v>3.5051964294542088</v>
      </c>
      <c r="I17" s="10">
        <v>0.55509771442608835</v>
      </c>
      <c r="J17" s="10">
        <v>5.0868831865476398</v>
      </c>
      <c r="K17" s="10">
        <v>11.410244663556417</v>
      </c>
      <c r="L17" s="10">
        <v>12.340481330553688</v>
      </c>
      <c r="M17" s="10">
        <v>4.9184309247364444E-2</v>
      </c>
      <c r="N17" s="10">
        <v>18.024079743383879</v>
      </c>
      <c r="O17" s="47">
        <v>27444.966666666664</v>
      </c>
      <c r="P17" s="47">
        <v>617.19999999999993</v>
      </c>
      <c r="Q17" s="5">
        <v>24.549019607843135</v>
      </c>
      <c r="R17" s="5">
        <v>31.666666666666668</v>
      </c>
      <c r="S17" s="170">
        <v>0.77042547042090703</v>
      </c>
      <c r="T17" s="165">
        <v>0.99200930954228095</v>
      </c>
      <c r="U17" s="26">
        <f>(Table1[[#This Row],[In-Tok]]+Table1[[#This Row],[Out-Tok]])*Table1[[#This Row],[RPS]]</f>
        <v>24600</v>
      </c>
      <c r="V17" s="54">
        <f>Table1[[#This Row],[In-Tok]]+AvgOutLoad*Table1[[#This Row],[Out-Tok]]</f>
        <v>12150</v>
      </c>
      <c r="W17" s="20">
        <f>Table1[[#This Row],[In-Tok]]*Table1[[#This Row],[RPS]]</f>
        <v>24000</v>
      </c>
      <c r="X17" s="35">
        <f>Table1[[#This Row],[Out-Tok]]*Table1[[#This Row],[RPS]]</f>
        <v>600</v>
      </c>
      <c r="Y17" s="75">
        <f>Table1[[#This Row],[In-Tok]]/Table1[[#This Row],[Out-Tok]]</f>
        <v>40</v>
      </c>
      <c r="Z17" s="26">
        <f>Table1[[#This Row],[In-Tok]]*Table1[[#This Row],[N]]+AvgOutLoad*Table1[[#This Row],[Out-Tok]]*Table1[[#This Row],[Ndecode]]</f>
        <v>384066.78962896782</v>
      </c>
      <c r="AA17" s="20">
        <f>Table1[[#This Row],[tok(N)]]/Table1[[#This Row],[Kvcache]]</f>
        <v>498512.58087189193</v>
      </c>
      <c r="AB17" s="20">
        <f>Table1[[#This Row],[tok/req]]*Table1[[#This Row],[Run]]</f>
        <v>298270.5882352941</v>
      </c>
      <c r="AC17" s="20">
        <f>Table1[[#This Row],[tok(Run)]]/Table1[[#This Row],[Kvcache]]</f>
        <v>387150.476829822</v>
      </c>
      <c r="AD17" s="20">
        <f>Table1[[#This Row],[tok/req]]*Table1[[#This Row],[MaxRun]]</f>
        <v>384750</v>
      </c>
      <c r="AE17" s="20">
        <f>Table1[[#This Row],[tok(MaxRun)]]/Table1[[#This Row],[MaxKvcache]]</f>
        <v>387849.18276374438</v>
      </c>
      <c r="AF17" s="75">
        <f>Table1[[#This Row],[PPS]]*Table1[[#This Row],[Prefill]]/Table1[[#This Row],[In-Tok]]</f>
        <v>1.2695531890972371</v>
      </c>
      <c r="AG17" s="22">
        <f>Table1[[#This Row],[GPS]]*Table1[[#This Row],[ITL]]</f>
        <v>30.35655566747333</v>
      </c>
      <c r="AH17" s="22">
        <f>Table1[[#This Row],[Nprefill]]+Table1[[#This Row],[Ndecode]]</f>
        <v>31.626108856570568</v>
      </c>
      <c r="AI17" s="34">
        <f>Table1[[#This Row],[Run]]/Table1[[#This Row],[ITL]]/Table1[[#This Row],[GPS]]</f>
        <v>0.80868922933002907</v>
      </c>
      <c r="AJ17" s="64">
        <f>Table1[[#This Row],[Prefill]]+Table1[[#This Row],[ITL]]</f>
        <v>0.60428202367345274</v>
      </c>
      <c r="AK17" s="34">
        <f>Table1[[#This Row],[TTFT]]/Table1[[#This Row],[estTTFT]]</f>
        <v>5.8005968937252019</v>
      </c>
      <c r="AL17" s="22">
        <f>Table1[[#This Row],[In-Tok]]*Table1[[#This Row],[RPS]]/Table1[[#This Row],[PPS]]</f>
        <v>0.87447728727429086</v>
      </c>
      <c r="AM17" s="34">
        <f>Table1[[#This Row],[Prefill]]/Table1[[#This Row],[estPrefill]]</f>
        <v>0.63477659454861857</v>
      </c>
      <c r="AN17" s="34">
        <f>Table1[[#This Row],[Prefill]]/Table1[[#This Row],[TTFT]]</f>
        <v>0.15836422454433521</v>
      </c>
      <c r="AO17" s="64">
        <f>Table1[[#This Row],[Run]]/(Table1[[#This Row],[Out-Tok]]*Table1[[#This Row],[RPS]])</f>
        <v>4.0915032679738561E-2</v>
      </c>
      <c r="AP17" s="34">
        <f>Table1[[#This Row],[ITL]]/Table1[[#This Row],[estITL]]</f>
        <v>1.2021085167486838</v>
      </c>
      <c r="AQ17" s="69">
        <f>Table1[[#This Row],[E2E]]-Table1[[#This Row],[TTFT]]+Table1[[#This Row],[ITL]]</f>
        <v>14.568067623177035</v>
      </c>
      <c r="AR17" s="34">
        <f>Table1[[#This Row],[estDecode]]/Table1[[#This Row],[Run]]</f>
        <v>0.59342767474602942</v>
      </c>
      <c r="AS17" s="69">
        <f>Table1[[#This Row],[Prefill]]+Table1[[#This Row],[Out-Tok]]*Table1[[#This Row],[ITL]]</f>
        <v>15.310390488635422</v>
      </c>
      <c r="AT17" s="22">
        <f>Table1[[#This Row],[estPrefill]]+Table1[[#This Row],[Out-Tok]]*Table1[[#This Row],[ITL]]</f>
        <v>15.629770061483624</v>
      </c>
      <c r="AU17" s="34">
        <f>Table1[[#This Row],[E2E]]/Table1[[#This Row],[estE2E]]</f>
        <v>1.153189053484577</v>
      </c>
      <c r="AV17" s="22">
        <f>Table1[[#This Row],[N]]/Table1[[#This Row],[estE2E]]</f>
        <v>2.0234532390535067</v>
      </c>
      <c r="AW17" s="22">
        <f>Table1[[#This Row],[PPS]]/Table1[[#This Row],[In-Tok]]</f>
        <v>2.2870805555555553</v>
      </c>
      <c r="AX17" s="34">
        <f>Table1[[#This Row],[RPS]]/Table1[[#This Row],[RPS(IL)]]</f>
        <v>0.87447728727429086</v>
      </c>
      <c r="AY17" s="22">
        <f>Table1[[#This Row],[GPS]]/Table1[[#This Row],[Out-Tok]]</f>
        <v>2.0573333333333332</v>
      </c>
      <c r="AZ17" s="89">
        <f>Table1[[#This Row],[RPS]]/Table1[[#This Row],[RPS(OL)]]</f>
        <v>0.97213220998055738</v>
      </c>
      <c r="BA17" s="131">
        <f>MaxTok/Table1[[#This Row],[tok/req]]</f>
        <v>31.926935143420188</v>
      </c>
      <c r="BB17" s="34">
        <f>Table1[[#This Row],[N]]/Table1[[#This Row],[N-max]]</f>
        <v>0.99057766473674136</v>
      </c>
      <c r="BC17" s="69">
        <f>Table1[[#This Row],[RPS]]</f>
        <v>2</v>
      </c>
      <c r="BD17" s="48">
        <f>Table1[[#This Row],[PPS]]/Table1[[#This Row],[RPS success]]</f>
        <v>13722.483333333332</v>
      </c>
      <c r="BE17" s="34">
        <f>ABS(Table1[[#This Row],[est-In-Tok3]]-Table1[[#This Row],[In-Tok]])/Table1[[#This Row],[In-Tok]]</f>
        <v>0.14354027777777764</v>
      </c>
      <c r="BF17" s="48">
        <f>Table1[[#This Row],[GPS]]/Table1[[#This Row],[RPS success]]</f>
        <v>308.59999999999997</v>
      </c>
      <c r="BG17" s="34">
        <f>ABS(Table1[[#This Row],[est-Out-Tok3]]-Table1[[#This Row],[Out-Tok]])/Table1[[#This Row],[Out-Tok]]</f>
        <v>2.8666666666666552E-2</v>
      </c>
      <c r="BH17" s="157">
        <f>Table1[[#This Row],[est-In-Tok3]]+AvgOutLoad*Table1[[#This Row],[est-Out-Tok3]]</f>
        <v>13876.783333333331</v>
      </c>
      <c r="BI17" s="34">
        <f>ABS(Table1[[#This Row],[est-Tok/Req3]]-Table1[[#This Row],[tok/req]])/Table1[[#This Row],[tok/req]]</f>
        <v>0.14212208504801077</v>
      </c>
      <c r="BJ17" s="157">
        <f>MaxTok/Table1[[#This Row],[est-Tok/Req3]]</f>
        <v>27.95404761136205</v>
      </c>
      <c r="BK17" s="34">
        <f>ABS(Table1[[#This Row],[est-N-max3]]-Table1[[#This Row],[N-max]])/Table1[[#This Row],[N-max]]</f>
        <v>0.12443685916644928</v>
      </c>
      <c r="BL17" s="69">
        <f>MaxTok*Table1[[#This Row],[Kvcache]]/Table1[[#This Row],[Run]]</f>
        <v>12173.907215104058</v>
      </c>
      <c r="BM17" s="165">
        <f>ABS(Table1[[#This Row],[est-Tok/Req]]-Table1[[#This Row],[tok/req]])/Table1[[#This Row],[tok/req]]</f>
        <v>1.9676720250253661E-3</v>
      </c>
      <c r="BN17" s="69">
        <f>MaxTok/Table1[[#This Row],[est-Tok/Req]]</f>
        <v>31.864236776117039</v>
      </c>
      <c r="BO17" s="175">
        <f>Table1[[#This Row],[Run]]/Table1[[#This Row],[Kvcache]]</f>
        <v>31.864236776117039</v>
      </c>
      <c r="BP17" s="131" cm="1">
        <f t="array" aca="1" ref="BP17" ca="1">_xlfn.CEILING.MATH(INDIRECT("Table1"&amp;BP$3)/BP$2)*BP$2</f>
        <v>13000</v>
      </c>
      <c r="BQ17" s="182" cm="1">
        <f t="array" aca="1" ref="BQ17" ca="1">_xlfn.CEILING.MATH(INDIRECT("Table1"&amp;BQ$3)/BQ$2)*BQ$2</f>
        <v>0.05</v>
      </c>
      <c r="BR17" s="34" cm="1">
        <f t="array" aca="1" ref="BR17" ca="1">_xlfn.CEILING.MATH(INDIRECT("Table1"&amp;BR$3)/BR$2)*BR$2</f>
        <v>0.8</v>
      </c>
      <c r="BS17" s="34" cm="1">
        <f t="array" aca="1" ref="BS17" ca="1">_xlfn.CEILING.MATH(INDIRECT("Table1"&amp;BS$3)/BS$2)*BS$2</f>
        <v>0.78</v>
      </c>
      <c r="BT17" s="20" cm="1">
        <f t="array" aca="1" ref="BT17" ca="1">_xlfn.CEILING.MATH(INDIRECT("Table1"&amp;BT$3)/BT$2)*BT$2</f>
        <v>25</v>
      </c>
      <c r="BU17" s="131" cm="1">
        <f t="array" aca="1" ref="BU17" ca="1">_xlfn.CEILING.MATH(INDIRECT("Table1"&amp;BU$3)/BU$2)*BU$2</f>
        <v>40</v>
      </c>
      <c r="BV17" s="131" cm="1">
        <f t="array" aca="1" ref="BV17" ca="1">_xlfn.CEILING.MATH(INDIRECT("Table1"&amp;BV$3)/BV$2)*BV$2</f>
        <v>12000</v>
      </c>
      <c r="BW17" s="34"/>
      <c r="BX17" s="34"/>
      <c r="BY17" s="190">
        <v>0.99200930954228095</v>
      </c>
      <c r="BZ17" s="34"/>
      <c r="CA17" s="24">
        <f>(Table1[[#This Row],[In-Tok]]+Table1[[#This Row],[Out-Tok]])*Table1[[#This Row],[RPS]]</f>
        <v>24600</v>
      </c>
      <c r="CB17" s="20">
        <f t="shared" si="5"/>
        <v>387849.18276374438</v>
      </c>
      <c r="CC17" s="20">
        <f>Table1[[#This Row],[Supply]]/(Table1[[#This Row],[Prefill]]+Table1[[#This Row],[Out-Tok]]*Table1[[#This Row],[ITL]])</f>
        <v>25332.41611646918</v>
      </c>
      <c r="CD17" s="20">
        <f>Table1[[#This Row],[MaxRun]]/Table1[[#This Row],[ITL]]</f>
        <v>643.83676727885597</v>
      </c>
      <c r="CE17" s="20">
        <f>Table1[[#This Row],[Out-Tok]]*Table1[[#This Row],[RPS]]</f>
        <v>600</v>
      </c>
      <c r="CF17" s="22">
        <f>Table1[[#This Row],[Supply]]/Table1[[#This Row],[Demand-T]]</f>
        <v>15.766226941615626</v>
      </c>
      <c r="CG17" s="22"/>
      <c r="CH17" s="71">
        <f>Table1[[#This Row],[Prefill]]+Table1[[#This Row],[Out-Tok]]*Table1[[#This Row],[ITL]]</f>
        <v>15.310390488635422</v>
      </c>
      <c r="CI17" s="71">
        <f>Table1[[#This Row],[GPS]]*Table1[[#This Row],[ITL]]</f>
        <v>30.35655566747333</v>
      </c>
      <c r="CJ17" s="72">
        <f>Table1[[#This Row],[PPS]]*Table1[[#This Row],[Prefill]]/Table1[[#This Row],[In-Tok]]</f>
        <v>1.2695531890972371</v>
      </c>
      <c r="CK17" s="71">
        <f t="shared" si="6"/>
        <v>31.626108856570568</v>
      </c>
      <c r="CL17" s="71">
        <f>Table1[[#This Row],[PPS]]/Table1[[#This Row],[In-Tok]]</f>
        <v>2.2870805555555553</v>
      </c>
      <c r="CM17" s="71">
        <f>Table1[[#This Row],[GPS]]/Table1[[#This Row],[Out-Tok]]</f>
        <v>2.0573333333333332</v>
      </c>
      <c r="CN17" s="71">
        <f>Table1[[#This Row],[Run]]/Table1[[#This Row],[E2E]]</f>
        <v>1.3620123721908395</v>
      </c>
      <c r="CO17" s="71">
        <f>Table1[[#This Row],[N2]]/Table1[[#This Row],[E2E]]</f>
        <v>1.7546587291470235</v>
      </c>
      <c r="CP17" s="71"/>
      <c r="CQ17" s="71">
        <f>Table1[[#This Row],[In-Tok]]+AvgOutLoad*Table1[[#This Row],[Out-Tok]]</f>
        <v>12150</v>
      </c>
      <c r="CR17" s="71">
        <f t="shared" si="7"/>
        <v>496162.88991692557</v>
      </c>
      <c r="CS17" s="71" t="e">
        <f t="shared" si="8"/>
        <v>#DIV/0!</v>
      </c>
      <c r="CT17" s="71" t="e">
        <f t="shared" si="9"/>
        <v>#DIV/0!</v>
      </c>
      <c r="CU17" s="71">
        <f t="shared" si="10"/>
        <v>0</v>
      </c>
      <c r="CV17" s="71" t="e">
        <f t="shared" si="11"/>
        <v>#DIV/0!</v>
      </c>
      <c r="CW17" s="71">
        <f>Table1[[#This Row],[N(maxT)]]/Table1[[#This Row],[e2e sat]]</f>
        <v>0</v>
      </c>
      <c r="CX17" s="71" t="e">
        <f>Table1[[#This Row],[RPS]]/CW17</f>
        <v>#DIV/0!</v>
      </c>
      <c r="CY17" s="110" t="e">
        <f>Table1[[#This Row],[Kvcache]]/$T$4</f>
        <v>#DIV/0!</v>
      </c>
      <c r="GJ17"/>
    </row>
    <row r="18" spans="1:192" hidden="1" x14ac:dyDescent="0.25">
      <c r="A18" s="3">
        <v>13000</v>
      </c>
      <c r="B18" s="3">
        <v>300</v>
      </c>
      <c r="C18">
        <v>2</v>
      </c>
      <c r="D18" s="199">
        <f>Table1[[#This Row],[Kvcache]]</f>
        <v>0.85300405137488144</v>
      </c>
      <c r="E18" s="203" t="s">
        <v>137</v>
      </c>
      <c r="F18" s="219">
        <v>46092</v>
      </c>
      <c r="G18" s="10"/>
      <c r="H18" s="10">
        <v>9.1159876795979198</v>
      </c>
      <c r="I18" s="10">
        <v>0.65528987854474108</v>
      </c>
      <c r="J18" s="10">
        <v>10.95463573470102</v>
      </c>
      <c r="K18" s="10">
        <v>19.046502681573234</v>
      </c>
      <c r="L18" s="10">
        <v>19.775371034940083</v>
      </c>
      <c r="M18" s="10">
        <v>5.4880265473210399E-2</v>
      </c>
      <c r="N18" s="10">
        <v>24.280004303179297</v>
      </c>
      <c r="O18" s="47">
        <v>28724.251960784317</v>
      </c>
      <c r="P18" s="47">
        <v>573.86274509803923</v>
      </c>
      <c r="Q18" s="5">
        <v>25.11655773420479</v>
      </c>
      <c r="R18" s="5">
        <v>29</v>
      </c>
      <c r="S18" s="170">
        <v>0.85300405137488144</v>
      </c>
      <c r="T18" s="165">
        <v>0.98924230669769864</v>
      </c>
      <c r="U18" s="26">
        <f>(Table1[[#This Row],[In-Tok]]+Table1[[#This Row],[Out-Tok]])*Table1[[#This Row],[RPS]]</f>
        <v>26600</v>
      </c>
      <c r="V18" s="54">
        <f>Table1[[#This Row],[In-Tok]]+AvgOutLoad*Table1[[#This Row],[Out-Tok]]</f>
        <v>13150</v>
      </c>
      <c r="W18" s="20">
        <f>Table1[[#This Row],[In-Tok]]*Table1[[#This Row],[RPS]]</f>
        <v>26000</v>
      </c>
      <c r="X18" s="35">
        <f>Table1[[#This Row],[Out-Tok]]*Table1[[#This Row],[RPS]]</f>
        <v>600</v>
      </c>
      <c r="Y18" s="75">
        <f>Table1[[#This Row],[In-Tok]]/Table1[[#This Row],[Out-Tok]]</f>
        <v>43.333333333333336</v>
      </c>
      <c r="Z18" s="26">
        <f>Table1[[#This Row],[In-Tok]]*Table1[[#This Row],[N]]+AvgOutLoad*Table1[[#This Row],[Out-Tok]]*Table1[[#This Row],[Ndecode]]</f>
        <v>432965.38989824936</v>
      </c>
      <c r="AA18" s="20">
        <f>Table1[[#This Row],[tok(N)]]/Table1[[#This Row],[Kvcache]]</f>
        <v>507577.17879579926</v>
      </c>
      <c r="AB18" s="20">
        <f>Table1[[#This Row],[tok/req]]*Table1[[#This Row],[Run]]</f>
        <v>330282.734204793</v>
      </c>
      <c r="AC18" s="20">
        <f>Table1[[#This Row],[tok(Run)]]/Table1[[#This Row],[Kvcache]]</f>
        <v>387199.49063833826</v>
      </c>
      <c r="AD18" s="20">
        <f>Table1[[#This Row],[tok/req]]*Table1[[#This Row],[MaxRun]]</f>
        <v>381350</v>
      </c>
      <c r="AE18" s="20">
        <f>Table1[[#This Row],[tok(MaxRun)]]/Table1[[#This Row],[MaxKvcache]]</f>
        <v>385497.0591310712</v>
      </c>
      <c r="AF18" s="75">
        <f>Table1[[#This Row],[PPS]]*Table1[[#This Row],[Prefill]]/Table1[[#This Row],[In-Tok]]</f>
        <v>1.4479008906669921</v>
      </c>
      <c r="AG18" s="22">
        <f>Table1[[#This Row],[GPS]]*Table1[[#This Row],[ITL]]</f>
        <v>31.493739796165663</v>
      </c>
      <c r="AH18" s="22">
        <f>Table1[[#This Row],[Nprefill]]+Table1[[#This Row],[Ndecode]]</f>
        <v>32.941640686832656</v>
      </c>
      <c r="AI18" s="34">
        <f>Table1[[#This Row],[Run]]/Table1[[#This Row],[ITL]]/Table1[[#This Row],[GPS]]</f>
        <v>0.79750953353792264</v>
      </c>
      <c r="AJ18" s="64">
        <f>Table1[[#This Row],[Prefill]]+Table1[[#This Row],[ITL]]</f>
        <v>0.71017014401795153</v>
      </c>
      <c r="AK18" s="34">
        <f>Table1[[#This Row],[TTFT]]/Table1[[#This Row],[estTTFT]]</f>
        <v>12.836343172668617</v>
      </c>
      <c r="AL18" s="22">
        <f>Table1[[#This Row],[In-Tok]]*Table1[[#This Row],[RPS]]/Table1[[#This Row],[PPS]]</f>
        <v>0.90515847150680917</v>
      </c>
      <c r="AM18" s="34">
        <f>Table1[[#This Row],[Prefill]]/Table1[[#This Row],[estPrefill]]</f>
        <v>0.72395044533349606</v>
      </c>
      <c r="AN18" s="34">
        <f>Table1[[#This Row],[Prefill]]/Table1[[#This Row],[TTFT]]</f>
        <v>7.1883585364130725E-2</v>
      </c>
      <c r="AO18" s="64">
        <f>Table1[[#This Row],[Run]]/(Table1[[#This Row],[Out-Tok]]*Table1[[#This Row],[RPS]])</f>
        <v>4.186092955700798E-2</v>
      </c>
      <c r="AP18" s="34">
        <f>Table1[[#This Row],[ITL]]/Table1[[#This Row],[estITL]]</f>
        <v>1.3110140184171528</v>
      </c>
      <c r="AQ18" s="69">
        <f>Table1[[#This Row],[E2E]]-Table1[[#This Row],[TTFT]]+Table1[[#This Row],[ITL]]</f>
        <v>15.218896889054587</v>
      </c>
      <c r="AR18" s="34">
        <f>Table1[[#This Row],[estDecode]]/Table1[[#This Row],[Run]]</f>
        <v>0.60593083853719532</v>
      </c>
      <c r="AS18" s="69">
        <f>Table1[[#This Row],[Prefill]]+Table1[[#This Row],[Out-Tok]]*Table1[[#This Row],[ITL]]</f>
        <v>17.119369520507863</v>
      </c>
      <c r="AT18" s="22">
        <f>Table1[[#This Row],[estPrefill]]+Table1[[#This Row],[Out-Tok]]*Table1[[#This Row],[ITL]]</f>
        <v>17.36923811346993</v>
      </c>
      <c r="AU18" s="34">
        <f>Table1[[#This Row],[E2E]]/Table1[[#This Row],[estE2E]]</f>
        <v>1.3978738816615124</v>
      </c>
      <c r="AV18" s="22">
        <f>Table1[[#This Row],[N]]/Table1[[#This Row],[estE2E]]</f>
        <v>1.8965506990940639</v>
      </c>
      <c r="AW18" s="22">
        <f>Table1[[#This Row],[PPS]]/Table1[[#This Row],[In-Tok]]</f>
        <v>2.2095578431372553</v>
      </c>
      <c r="AX18" s="34">
        <f>Table1[[#This Row],[RPS]]/Table1[[#This Row],[RPS(IL)]]</f>
        <v>0.90515847150680917</v>
      </c>
      <c r="AY18" s="22">
        <f>Table1[[#This Row],[GPS]]/Table1[[#This Row],[Out-Tok]]</f>
        <v>1.9128758169934641</v>
      </c>
      <c r="AZ18" s="89">
        <f>Table1[[#This Row],[RPS]]/Table1[[#This Row],[RPS(OL)]]</f>
        <v>1.045546178289541</v>
      </c>
      <c r="BA18" s="131">
        <f>MaxTok/Table1[[#This Row],[tok/req]]</f>
        <v>29.499031330232341</v>
      </c>
      <c r="BB18" s="34">
        <f>Table1[[#This Row],[N]]/Table1[[#This Row],[N-max]]</f>
        <v>1.1167024543301571</v>
      </c>
      <c r="BC18" s="69">
        <f>Table1[[#This Row],[RPS]]</f>
        <v>2</v>
      </c>
      <c r="BD18" s="48">
        <f>Table1[[#This Row],[PPS]]/Table1[[#This Row],[RPS success]]</f>
        <v>14362.125980392158</v>
      </c>
      <c r="BE18" s="34">
        <f>ABS(Table1[[#This Row],[est-In-Tok3]]-Table1[[#This Row],[In-Tok]])/Table1[[#This Row],[In-Tok]]</f>
        <v>0.10477892156862757</v>
      </c>
      <c r="BF18" s="48">
        <f>Table1[[#This Row],[GPS]]/Table1[[#This Row],[RPS success]]</f>
        <v>286.93137254901961</v>
      </c>
      <c r="BG18" s="34">
        <f>ABS(Table1[[#This Row],[est-Out-Tok3]]-Table1[[#This Row],[Out-Tok]])/Table1[[#This Row],[Out-Tok]]</f>
        <v>4.3562091503267952E-2</v>
      </c>
      <c r="BH18" s="157">
        <f>Table1[[#This Row],[est-In-Tok3]]+AvgOutLoad*Table1[[#This Row],[est-Out-Tok3]]</f>
        <v>14505.591666666669</v>
      </c>
      <c r="BI18" s="34">
        <f>ABS(Table1[[#This Row],[est-Tok/Req3]]-Table1[[#This Row],[tok/req]])/Table1[[#This Row],[tok/req]]</f>
        <v>0.1030868187579216</v>
      </c>
      <c r="BJ18" s="157">
        <f>MaxTok/Table1[[#This Row],[est-Tok/Req3]]</f>
        <v>26.742257117575136</v>
      </c>
      <c r="BK18" s="34">
        <f>ABS(Table1[[#This Row],[est-N-max3]]-Table1[[#This Row],[N-max]])/Table1[[#This Row],[N-max]]</f>
        <v>9.3453041959106684E-2</v>
      </c>
      <c r="BL18" s="69">
        <f>MaxTok*Table1[[#This Row],[Kvcache]]/Table1[[#This Row],[Run]]</f>
        <v>13174.207013528097</v>
      </c>
      <c r="BM18" s="165">
        <f>ABS(Table1[[#This Row],[est-Tok/Req]]-Table1[[#This Row],[tok/req]])/Table1[[#This Row],[tok/req]]</f>
        <v>1.8408375306537929E-3</v>
      </c>
      <c r="BN18" s="69">
        <f>MaxTok/Table1[[#This Row],[est-Tok/Req]]</f>
        <v>29.44482818542496</v>
      </c>
      <c r="BO18" s="175">
        <f>Table1[[#This Row],[Run]]/Table1[[#This Row],[Kvcache]]</f>
        <v>29.44482818542496</v>
      </c>
      <c r="BP18" s="131" cm="1">
        <f t="array" aca="1" ref="BP18" ca="1">_xlfn.CEILING.MATH(INDIRECT("Table1"&amp;BP$3)/BP$2)*BP$2</f>
        <v>14000</v>
      </c>
      <c r="BQ18" s="182" cm="1">
        <f t="array" aca="1" ref="BQ18" ca="1">_xlfn.CEILING.MATH(INDIRECT("Table1"&amp;BQ$3)/BQ$2)*BQ$2</f>
        <v>5.5E-2</v>
      </c>
      <c r="BR18" s="34" cm="1">
        <f t="array" aca="1" ref="BR18" ca="1">_xlfn.CEILING.MATH(INDIRECT("Table1"&amp;BR$3)/BR$2)*BR$2</f>
        <v>0.9</v>
      </c>
      <c r="BS18" s="34" cm="1">
        <f t="array" aca="1" ref="BS18" ca="1">_xlfn.CEILING.MATH(INDIRECT("Table1"&amp;BS$3)/BS$2)*BS$2</f>
        <v>0.86</v>
      </c>
      <c r="BT18" s="20" cm="1">
        <f t="array" aca="1" ref="BT18" ca="1">_xlfn.CEILING.MATH(INDIRECT("Table1"&amp;BT$3)/BT$2)*BT$2</f>
        <v>26</v>
      </c>
      <c r="BU18" s="131" cm="1">
        <f t="array" aca="1" ref="BU18" ca="1">_xlfn.CEILING.MATH(INDIRECT("Table1"&amp;BU$3)/BU$2)*BU$2</f>
        <v>45</v>
      </c>
      <c r="BV18" s="131" cm="1">
        <f t="array" aca="1" ref="BV18" ca="1">_xlfn.CEILING.MATH(INDIRECT("Table1"&amp;BV$3)/BV$2)*BV$2</f>
        <v>13000</v>
      </c>
      <c r="BW18" s="34"/>
      <c r="BX18" s="34"/>
      <c r="BY18" s="190">
        <v>0.98924230669769864</v>
      </c>
      <c r="BZ18" s="34"/>
      <c r="CA18" s="24">
        <f>(Table1[[#This Row],[In-Tok]]+Table1[[#This Row],[Out-Tok]])*Table1[[#This Row],[RPS]]</f>
        <v>26600</v>
      </c>
      <c r="CB18" s="20">
        <f t="shared" si="5"/>
        <v>385497.0591310712</v>
      </c>
      <c r="CC18" s="20">
        <f>Table1[[#This Row],[Supply]]/(Table1[[#This Row],[Prefill]]+Table1[[#This Row],[Out-Tok]]*Table1[[#This Row],[ITL]])</f>
        <v>22518.180863452442</v>
      </c>
      <c r="CD18" s="20">
        <f>Table1[[#This Row],[MaxRun]]/Table1[[#This Row],[ITL]]</f>
        <v>528.42309981456344</v>
      </c>
      <c r="CE18" s="20">
        <f>Table1[[#This Row],[Out-Tok]]*Table1[[#This Row],[RPS]]</f>
        <v>600</v>
      </c>
      <c r="CF18" s="22">
        <f>Table1[[#This Row],[Supply]]/Table1[[#This Row],[Demand-T]]</f>
        <v>14.492370644025232</v>
      </c>
      <c r="CG18" s="22"/>
      <c r="CH18" s="71">
        <f>Table1[[#This Row],[Prefill]]+Table1[[#This Row],[Out-Tok]]*Table1[[#This Row],[ITL]]</f>
        <v>17.119369520507863</v>
      </c>
      <c r="CI18" s="71">
        <f>Table1[[#This Row],[GPS]]*Table1[[#This Row],[ITL]]</f>
        <v>31.493739796165663</v>
      </c>
      <c r="CJ18" s="72">
        <f>Table1[[#This Row],[PPS]]*Table1[[#This Row],[Prefill]]/Table1[[#This Row],[In-Tok]]</f>
        <v>1.4479008906669921</v>
      </c>
      <c r="CK18" s="71">
        <f t="shared" si="6"/>
        <v>32.941640686832656</v>
      </c>
      <c r="CL18" s="71">
        <f>Table1[[#This Row],[PPS]]/Table1[[#This Row],[In-Tok]]</f>
        <v>2.2095578431372553</v>
      </c>
      <c r="CM18" s="71">
        <f>Table1[[#This Row],[GPS]]/Table1[[#This Row],[Out-Tok]]</f>
        <v>1.9128758169934641</v>
      </c>
      <c r="CN18" s="71">
        <f>Table1[[#This Row],[Run]]/Table1[[#This Row],[E2E]]</f>
        <v>1.0344544185651545</v>
      </c>
      <c r="CO18" s="71">
        <f>Table1[[#This Row],[N2]]/Table1[[#This Row],[E2E]]</f>
        <v>1.3567394912907482</v>
      </c>
      <c r="CP18" s="71"/>
      <c r="CQ18" s="71">
        <f>Table1[[#This Row],[In-Tok]]+AvgOutLoad*Table1[[#This Row],[Out-Tok]]</f>
        <v>13150</v>
      </c>
      <c r="CR18" s="71">
        <f t="shared" si="7"/>
        <v>479477.37007583887</v>
      </c>
      <c r="CS18" s="71" t="e">
        <f t="shared" si="8"/>
        <v>#DIV/0!</v>
      </c>
      <c r="CT18" s="71" t="e">
        <f t="shared" si="9"/>
        <v>#DIV/0!</v>
      </c>
      <c r="CU18" s="71">
        <f t="shared" si="10"/>
        <v>0</v>
      </c>
      <c r="CV18" s="71" t="e">
        <f t="shared" si="11"/>
        <v>#DIV/0!</v>
      </c>
      <c r="CW18" s="71">
        <f>Table1[[#This Row],[N(maxT)]]/Table1[[#This Row],[e2e sat]]</f>
        <v>0</v>
      </c>
      <c r="CX18" s="71" t="e">
        <f>Table1[[#This Row],[RPS]]/CW18</f>
        <v>#DIV/0!</v>
      </c>
      <c r="CY18" s="110" t="e">
        <f>Table1[[#This Row],[Kvcache]]/$T$4</f>
        <v>#DIV/0!</v>
      </c>
      <c r="GJ18"/>
    </row>
    <row r="19" spans="1:192" hidden="1" x14ac:dyDescent="0.25">
      <c r="A19" s="3">
        <v>14000</v>
      </c>
      <c r="B19" s="3">
        <v>300</v>
      </c>
      <c r="C19">
        <v>2</v>
      </c>
      <c r="D19" s="199">
        <f>Table1[[#This Row],[Kvcache]]</f>
        <v>0.87529748645382954</v>
      </c>
      <c r="E19" s="203" t="s">
        <v>137</v>
      </c>
      <c r="F19" s="219">
        <v>46092</v>
      </c>
      <c r="G19" s="10"/>
      <c r="H19" s="10">
        <v>11.644218997552805</v>
      </c>
      <c r="I19" s="10">
        <v>0.60584197872183487</v>
      </c>
      <c r="J19" s="10">
        <v>12.454836155189392</v>
      </c>
      <c r="K19" s="10">
        <v>22.943973843256629</v>
      </c>
      <c r="L19" s="10">
        <v>23.639374065399171</v>
      </c>
      <c r="M19" s="10">
        <v>5.4148147401154513E-2</v>
      </c>
      <c r="N19" s="10">
        <v>27.865864387884045</v>
      </c>
      <c r="O19" s="47">
        <v>27878.763123495013</v>
      </c>
      <c r="P19" s="47">
        <v>541.92778351106517</v>
      </c>
      <c r="Q19" s="5">
        <v>23.946588693957121</v>
      </c>
      <c r="R19" s="5">
        <v>27</v>
      </c>
      <c r="S19" s="170">
        <v>0.87529748645382954</v>
      </c>
      <c r="T19" s="165">
        <v>0.99237134729764664</v>
      </c>
      <c r="U19" s="26">
        <f>(Table1[[#This Row],[In-Tok]]+Table1[[#This Row],[Out-Tok]])*Table1[[#This Row],[RPS]]</f>
        <v>28600</v>
      </c>
      <c r="V19" s="54">
        <f>Table1[[#This Row],[In-Tok]]+AvgOutLoad*Table1[[#This Row],[Out-Tok]]</f>
        <v>14150</v>
      </c>
      <c r="W19" s="20">
        <f>Table1[[#This Row],[In-Tok]]*Table1[[#This Row],[RPS]]</f>
        <v>28000</v>
      </c>
      <c r="X19" s="35">
        <f>Table1[[#This Row],[Out-Tok]]*Table1[[#This Row],[RPS]]</f>
        <v>600</v>
      </c>
      <c r="Y19" s="75">
        <f>Table1[[#This Row],[In-Tok]]/Table1[[#This Row],[Out-Tok]]</f>
        <v>46.666666666666664</v>
      </c>
      <c r="Z19" s="26">
        <f>Table1[[#This Row],[In-Tok]]*Table1[[#This Row],[N]]+AvgOutLoad*Table1[[#This Row],[Out-Tok]]*Table1[[#This Row],[Ndecode]]</f>
        <v>432113.17987313977</v>
      </c>
      <c r="AA19" s="20">
        <f>Table1[[#This Row],[tok(N)]]/Table1[[#This Row],[Kvcache]]</f>
        <v>493675.79201420798</v>
      </c>
      <c r="AB19" s="20">
        <f>Table1[[#This Row],[tok/req]]*Table1[[#This Row],[Run]]</f>
        <v>338844.23001949326</v>
      </c>
      <c r="AC19" s="20">
        <f>Table1[[#This Row],[tok(Run)]]/Table1[[#This Row],[Kvcache]]</f>
        <v>387118.93414921477</v>
      </c>
      <c r="AD19" s="20">
        <f>Table1[[#This Row],[tok/req]]*Table1[[#This Row],[MaxRun]]</f>
        <v>382050</v>
      </c>
      <c r="AE19" s="20">
        <f>Table1[[#This Row],[tok(MaxRun)]]/Table1[[#This Row],[MaxKvcache]]</f>
        <v>384986.93159609125</v>
      </c>
      <c r="AF19" s="75">
        <f>Table1[[#This Row],[PPS]]*Table1[[#This Row],[Prefill]]/Table1[[#This Row],[In-Tok]]</f>
        <v>1.2064375010753956</v>
      </c>
      <c r="AG19" s="22">
        <f>Table1[[#This Row],[GPS]]*Table1[[#This Row],[ITL]]</f>
        <v>29.34438550233811</v>
      </c>
      <c r="AH19" s="22">
        <f>Table1[[#This Row],[Nprefill]]+Table1[[#This Row],[Ndecode]]</f>
        <v>30.550823003413505</v>
      </c>
      <c r="AI19" s="34">
        <f>Table1[[#This Row],[Run]]/Table1[[#This Row],[ITL]]/Table1[[#This Row],[GPS]]</f>
        <v>0.81605350679601385</v>
      </c>
      <c r="AJ19" s="64">
        <f>Table1[[#This Row],[Prefill]]+Table1[[#This Row],[ITL]]</f>
        <v>0.65999012612298935</v>
      </c>
      <c r="AK19" s="34">
        <f>Table1[[#This Row],[TTFT]]/Table1[[#This Row],[estTTFT]]</f>
        <v>17.643020003882455</v>
      </c>
      <c r="AL19" s="22">
        <f>Table1[[#This Row],[In-Tok]]*Table1[[#This Row],[RPS]]/Table1[[#This Row],[PPS]]</f>
        <v>1.004348717910043</v>
      </c>
      <c r="AM19" s="34">
        <f>Table1[[#This Row],[Prefill]]/Table1[[#This Row],[estPrefill]]</f>
        <v>0.6032187505376978</v>
      </c>
      <c r="AN19" s="34">
        <f>Table1[[#This Row],[Prefill]]/Table1[[#This Row],[TTFT]]</f>
        <v>5.2029421539491916E-2</v>
      </c>
      <c r="AO19" s="64">
        <f>Table1[[#This Row],[Run]]/(Table1[[#This Row],[Out-Tok]]*Table1[[#This Row],[RPS]])</f>
        <v>3.99109811565952E-2</v>
      </c>
      <c r="AP19" s="34">
        <f>Table1[[#This Row],[ITL]]/Table1[[#This Row],[estITL]]</f>
        <v>1.3567230329091184</v>
      </c>
      <c r="AQ19" s="69">
        <f>Table1[[#This Row],[E2E]]-Table1[[#This Row],[TTFT]]+Table1[[#This Row],[ITL]]</f>
        <v>16.275793537732394</v>
      </c>
      <c r="AR19" s="34">
        <f>Table1[[#This Row],[estDecode]]/Table1[[#This Row],[Run]]</f>
        <v>0.67967065145439953</v>
      </c>
      <c r="AS19" s="69">
        <f>Table1[[#This Row],[Prefill]]+Table1[[#This Row],[Out-Tok]]*Table1[[#This Row],[ITL]]</f>
        <v>16.850286199068186</v>
      </c>
      <c r="AT19" s="22">
        <f>Table1[[#This Row],[estPrefill]]+Table1[[#This Row],[Out-Tok]]*Table1[[#This Row],[ITL]]</f>
        <v>17.248792938256397</v>
      </c>
      <c r="AU19" s="34">
        <f>Table1[[#This Row],[E2E]]/Table1[[#This Row],[estE2E]]</f>
        <v>1.6155254740220031</v>
      </c>
      <c r="AV19" s="22">
        <f>Table1[[#This Row],[N]]/Table1[[#This Row],[estE2E]]</f>
        <v>1.7711861411272614</v>
      </c>
      <c r="AW19" s="22">
        <f>Table1[[#This Row],[PPS]]/Table1[[#This Row],[In-Tok]]</f>
        <v>1.9913402231067867</v>
      </c>
      <c r="AX19" s="34">
        <f>Table1[[#This Row],[RPS]]/Table1[[#This Row],[RPS(IL)]]</f>
        <v>1.004348717910043</v>
      </c>
      <c r="AY19" s="22">
        <f>Table1[[#This Row],[GPS]]/Table1[[#This Row],[Out-Tok]]</f>
        <v>1.8064259450368838</v>
      </c>
      <c r="AZ19" s="89">
        <f>Table1[[#This Row],[RPS]]/Table1[[#This Row],[RPS(OL)]]</f>
        <v>1.1071585887564097</v>
      </c>
      <c r="BA19" s="131">
        <f>MaxTok/Table1[[#This Row],[tok/req]]</f>
        <v>27.41429413374949</v>
      </c>
      <c r="BB19" s="34">
        <f>Table1[[#This Row],[N]]/Table1[[#This Row],[N-max]]</f>
        <v>1.1144121695915805</v>
      </c>
      <c r="BC19" s="69">
        <f>Table1[[#This Row],[RPS]]</f>
        <v>2</v>
      </c>
      <c r="BD19" s="48">
        <f>Table1[[#This Row],[PPS]]/Table1[[#This Row],[RPS success]]</f>
        <v>13939.381561747507</v>
      </c>
      <c r="BE19" s="34">
        <f>ABS(Table1[[#This Row],[est-In-Tok3]]-Table1[[#This Row],[In-Tok]])/Table1[[#This Row],[In-Tok]]</f>
        <v>4.329888446606674E-3</v>
      </c>
      <c r="BF19" s="48">
        <f>Table1[[#This Row],[GPS]]/Table1[[#This Row],[RPS success]]</f>
        <v>270.96389175553259</v>
      </c>
      <c r="BG19" s="34">
        <f>ABS(Table1[[#This Row],[est-Out-Tok3]]-Table1[[#This Row],[Out-Tok]])/Table1[[#This Row],[Out-Tok]]</f>
        <v>9.6787027481558041E-2</v>
      </c>
      <c r="BH19" s="157">
        <f>Table1[[#This Row],[est-In-Tok3]]+AvgOutLoad*Table1[[#This Row],[est-Out-Tok3]]</f>
        <v>14074.863507625272</v>
      </c>
      <c r="BI19" s="34">
        <f>ABS(Table1[[#This Row],[est-Tok/Req3]]-Table1[[#This Row],[tok/req]])/Table1[[#This Row],[tok/req]]</f>
        <v>5.3099994611115068E-3</v>
      </c>
      <c r="BJ19" s="157">
        <f>MaxTok/Table1[[#This Row],[est-Tok/Req3]]</f>
        <v>27.560641123261899</v>
      </c>
      <c r="BK19" s="34">
        <f>ABS(Table1[[#This Row],[est-N-max3]]-Table1[[#This Row],[N-max]])/Table1[[#This Row],[N-max]]</f>
        <v>5.3383460758977836E-3</v>
      </c>
      <c r="BL19" s="69">
        <f>MaxTok*Table1[[#This Row],[Kvcache]]/Table1[[#This Row],[Run]]</f>
        <v>14178.997778183955</v>
      </c>
      <c r="BM19" s="165">
        <f>ABS(Table1[[#This Row],[est-Tok/Req]]-Table1[[#This Row],[tok/req]])/Table1[[#This Row],[tok/req]]</f>
        <v>2.0493129458625608E-3</v>
      </c>
      <c r="BN19" s="69">
        <f>MaxTok/Table1[[#This Row],[est-Tok/Req]]</f>
        <v>27.358228561781964</v>
      </c>
      <c r="BO19" s="175">
        <f>Table1[[#This Row],[Run]]/Table1[[#This Row],[Kvcache]]</f>
        <v>27.358228561781964</v>
      </c>
      <c r="BP19" s="131" cm="1">
        <f t="array" aca="1" ref="BP19" ca="1">_xlfn.CEILING.MATH(INDIRECT("Table1"&amp;BP$3)/BP$2)*BP$2</f>
        <v>15000</v>
      </c>
      <c r="BQ19" s="182" cm="1">
        <f t="array" aca="1" ref="BQ19" ca="1">_xlfn.CEILING.MATH(INDIRECT("Table1"&amp;BQ$3)/BQ$2)*BQ$2</f>
        <v>5.5E-2</v>
      </c>
      <c r="BR19" s="34" cm="1">
        <f t="array" aca="1" ref="BR19" ca="1">_xlfn.CEILING.MATH(INDIRECT("Table1"&amp;BR$3)/BR$2)*BR$2</f>
        <v>0.9</v>
      </c>
      <c r="BS19" s="34" cm="1">
        <f t="array" aca="1" ref="BS19" ca="1">_xlfn.CEILING.MATH(INDIRECT("Table1"&amp;BS$3)/BS$2)*BS$2</f>
        <v>0.88</v>
      </c>
      <c r="BT19" s="20" cm="1">
        <f t="array" aca="1" ref="BT19" ca="1">_xlfn.CEILING.MATH(INDIRECT("Table1"&amp;BT$3)/BT$2)*BT$2</f>
        <v>24</v>
      </c>
      <c r="BU19" s="131" cm="1">
        <f t="array" aca="1" ref="BU19" ca="1">_xlfn.CEILING.MATH(INDIRECT("Table1"&amp;BU$3)/BU$2)*BU$2</f>
        <v>50</v>
      </c>
      <c r="BV19" s="131" cm="1">
        <f t="array" aca="1" ref="BV19" ca="1">_xlfn.CEILING.MATH(INDIRECT("Table1"&amp;BV$3)/BV$2)*BV$2</f>
        <v>14000</v>
      </c>
      <c r="BW19" s="34"/>
      <c r="BX19" s="34"/>
      <c r="BY19" s="190">
        <v>0.99237134729764664</v>
      </c>
      <c r="BZ19" s="34"/>
      <c r="CA19" s="24">
        <f>(Table1[[#This Row],[In-Tok]]+Table1[[#This Row],[Out-Tok]])*Table1[[#This Row],[RPS]]</f>
        <v>28600</v>
      </c>
      <c r="CB19" s="20">
        <f t="shared" si="5"/>
        <v>384986.93159609125</v>
      </c>
      <c r="CC19" s="20">
        <f>Table1[[#This Row],[Supply]]/(Table1[[#This Row],[Prefill]]+Table1[[#This Row],[Out-Tok]]*Table1[[#This Row],[ITL]])</f>
        <v>22847.501048224382</v>
      </c>
      <c r="CD19" s="20">
        <f>Table1[[#This Row],[MaxRun]]/Table1[[#This Row],[ITL]]</f>
        <v>498.63201782272466</v>
      </c>
      <c r="CE19" s="20">
        <f>Table1[[#This Row],[Out-Tok]]*Table1[[#This Row],[RPS]]</f>
        <v>600</v>
      </c>
      <c r="CF19" s="22">
        <f>Table1[[#This Row],[Supply]]/Table1[[#This Row],[Demand-T]]</f>
        <v>13.461081524338855</v>
      </c>
      <c r="CG19" s="22"/>
      <c r="CH19" s="71">
        <f>Table1[[#This Row],[Prefill]]+Table1[[#This Row],[Out-Tok]]*Table1[[#This Row],[ITL]]</f>
        <v>16.850286199068186</v>
      </c>
      <c r="CI19" s="71">
        <f>Table1[[#This Row],[GPS]]*Table1[[#This Row],[ITL]]</f>
        <v>29.34438550233811</v>
      </c>
      <c r="CJ19" s="72">
        <f>Table1[[#This Row],[PPS]]*Table1[[#This Row],[Prefill]]/Table1[[#This Row],[In-Tok]]</f>
        <v>1.2064375010753956</v>
      </c>
      <c r="CK19" s="71">
        <f t="shared" si="6"/>
        <v>30.550823003413505</v>
      </c>
      <c r="CL19" s="71">
        <f>Table1[[#This Row],[PPS]]/Table1[[#This Row],[In-Tok]]</f>
        <v>1.9913402231067867</v>
      </c>
      <c r="CM19" s="71">
        <f>Table1[[#This Row],[GPS]]/Table1[[#This Row],[Out-Tok]]</f>
        <v>1.8064259450368838</v>
      </c>
      <c r="CN19" s="71">
        <f>Table1[[#This Row],[Run]]/Table1[[#This Row],[E2E]]</f>
        <v>0.8593520861448315</v>
      </c>
      <c r="CO19" s="71">
        <f>Table1[[#This Row],[N2]]/Table1[[#This Row],[E2E]]</f>
        <v>1.0963529635454936</v>
      </c>
      <c r="CP19" s="71"/>
      <c r="CQ19" s="71">
        <f>Table1[[#This Row],[In-Tok]]+AvgOutLoad*Table1[[#This Row],[Out-Tok]]</f>
        <v>14150</v>
      </c>
      <c r="CR19" s="71">
        <f t="shared" si="7"/>
        <v>524151.27561885066</v>
      </c>
      <c r="CS19" s="71" t="e">
        <f t="shared" si="8"/>
        <v>#DIV/0!</v>
      </c>
      <c r="CT19" s="71" t="e">
        <f t="shared" si="9"/>
        <v>#DIV/0!</v>
      </c>
      <c r="CU19" s="71">
        <f t="shared" si="10"/>
        <v>0</v>
      </c>
      <c r="CV19" s="71" t="e">
        <f t="shared" si="11"/>
        <v>#DIV/0!</v>
      </c>
      <c r="CW19" s="71">
        <f>Table1[[#This Row],[N(maxT)]]/Table1[[#This Row],[e2e sat]]</f>
        <v>0</v>
      </c>
      <c r="CX19" s="71" t="e">
        <f>Table1[[#This Row],[RPS]]/CW19</f>
        <v>#DIV/0!</v>
      </c>
      <c r="CY19" s="110" t="e">
        <f>Table1[[#This Row],[Kvcache]]/$T$4</f>
        <v>#DIV/0!</v>
      </c>
      <c r="GJ19"/>
    </row>
    <row r="20" spans="1:192" ht="15.75" hidden="1" thickBot="1" x14ac:dyDescent="0.3">
      <c r="A20" s="3">
        <v>15000</v>
      </c>
      <c r="B20" s="3">
        <v>300</v>
      </c>
      <c r="C20">
        <v>2</v>
      </c>
      <c r="D20" s="199">
        <f>Table1[[#This Row],[Kvcache]]</f>
        <v>0.87014661362483015</v>
      </c>
      <c r="E20" s="204" t="s">
        <v>137</v>
      </c>
      <c r="F20" s="219">
        <v>46092</v>
      </c>
      <c r="G20" s="10"/>
      <c r="H20" s="10">
        <v>13.628086677628298</v>
      </c>
      <c r="I20" s="10">
        <v>0.66836240618394516</v>
      </c>
      <c r="J20" s="10">
        <v>13.578893035044539</v>
      </c>
      <c r="K20" s="10">
        <v>27.903930230935416</v>
      </c>
      <c r="L20" s="10">
        <v>28.690085995992025</v>
      </c>
      <c r="M20" s="10">
        <v>5.603377519936481E-2</v>
      </c>
      <c r="N20" s="10">
        <v>29.740709199202666</v>
      </c>
      <c r="O20" s="47">
        <v>27945.355204678362</v>
      </c>
      <c r="P20" s="47">
        <v>504.75730994152053</v>
      </c>
      <c r="Q20" s="5">
        <v>22.259398496240603</v>
      </c>
      <c r="R20" s="5">
        <v>25.333333333333332</v>
      </c>
      <c r="S20" s="170">
        <v>0.87014661362483015</v>
      </c>
      <c r="T20" s="166">
        <v>0.98259632790276707</v>
      </c>
      <c r="U20" s="32">
        <f>(Table1[[#This Row],[In-Tok]]+Table1[[#This Row],[Out-Tok]])*Table1[[#This Row],[RPS]]</f>
        <v>30600</v>
      </c>
      <c r="V20" s="140">
        <f>Table1[[#This Row],[In-Tok]]+AvgOutLoad*Table1[[#This Row],[Out-Tok]]</f>
        <v>15150</v>
      </c>
      <c r="W20" s="33">
        <f>Table1[[#This Row],[In-Tok]]*Table1[[#This Row],[RPS]]</f>
        <v>30000</v>
      </c>
      <c r="X20" s="39">
        <f>Table1[[#This Row],[Out-Tok]]*Table1[[#This Row],[RPS]]</f>
        <v>600</v>
      </c>
      <c r="Y20" s="78">
        <f>Table1[[#This Row],[In-Tok]]/Table1[[#This Row],[Out-Tok]]</f>
        <v>50</v>
      </c>
      <c r="Z20" s="32">
        <f>Table1[[#This Row],[In-Tok]]*Table1[[#This Row],[N]]+AvgOutLoad*Table1[[#This Row],[Out-Tok]]*Table1[[#This Row],[Ndecode]]</f>
        <v>447172.00802407786</v>
      </c>
      <c r="AA20" s="33">
        <f>Table1[[#This Row],[tok(N)]]/Table1[[#This Row],[Kvcache]]</f>
        <v>513904.2099598163</v>
      </c>
      <c r="AB20" s="33">
        <f>Table1[[#This Row],[tok/req]]*Table1[[#This Row],[Run]]</f>
        <v>337229.88721804513</v>
      </c>
      <c r="AC20" s="33">
        <f>Table1[[#This Row],[tok(Run)]]/Table1[[#This Row],[Kvcache]]</f>
        <v>387555.24866461661</v>
      </c>
      <c r="AD20" s="33">
        <f>Table1[[#This Row],[tok/req]]*Table1[[#This Row],[MaxRun]]</f>
        <v>383800</v>
      </c>
      <c r="AE20" s="33">
        <f>Table1[[#This Row],[tok(MaxRun)]]/Table1[[#This Row],[MaxKvcache]]</f>
        <v>390597.83667131612</v>
      </c>
      <c r="AF20" s="78">
        <f>Table1[[#This Row],[PPS]]*Table1[[#This Row],[Prefill]]/Table1[[#This Row],[In-Tok]]</f>
        <v>1.2451749897509243</v>
      </c>
      <c r="AG20" s="91">
        <f>Table1[[#This Row],[GPS]]*Table1[[#This Row],[ITL]]</f>
        <v>28.283457635499271</v>
      </c>
      <c r="AH20" s="91">
        <f>Table1[[#This Row],[Nprefill]]+Table1[[#This Row],[Ndecode]]</f>
        <v>29.528632625250196</v>
      </c>
      <c r="AI20" s="93">
        <f>Table1[[#This Row],[Run]]/Table1[[#This Row],[ITL]]/Table1[[#This Row],[GPS]]</f>
        <v>0.78701121988360723</v>
      </c>
      <c r="AJ20" s="92">
        <f>Table1[[#This Row],[Prefill]]+Table1[[#This Row],[ITL]]</f>
        <v>0.72439618138330997</v>
      </c>
      <c r="AK20" s="93">
        <f>Table1[[#This Row],[TTFT]]/Table1[[#This Row],[estTTFT]]</f>
        <v>18.813029427631779</v>
      </c>
      <c r="AL20" s="91">
        <f>Table1[[#This Row],[In-Tok]]*Table1[[#This Row],[RPS]]/Table1[[#This Row],[PPS]]</f>
        <v>1.0735236600241054</v>
      </c>
      <c r="AM20" s="93">
        <f>Table1[[#This Row],[Prefill]]/Table1[[#This Row],[estPrefill]]</f>
        <v>0.62258749487546228</v>
      </c>
      <c r="AN20" s="93">
        <f>Table1[[#This Row],[Prefill]]/Table1[[#This Row],[TTFT]]</f>
        <v>4.9043011098624779E-2</v>
      </c>
      <c r="AO20" s="92">
        <f>Table1[[#This Row],[Run]]/(Table1[[#This Row],[Out-Tok]]*Table1[[#This Row],[RPS]])</f>
        <v>3.709899749373434E-2</v>
      </c>
      <c r="AP20" s="93">
        <f>Table1[[#This Row],[ITL]]/Table1[[#This Row],[estITL]]</f>
        <v>1.5103851582196628</v>
      </c>
      <c r="AQ20" s="94">
        <f>Table1[[#This Row],[E2E]]-Table1[[#This Row],[TTFT]]+Table1[[#This Row],[ITL]]</f>
        <v>16.16865629677373</v>
      </c>
      <c r="AR20" s="93">
        <f>Table1[[#This Row],[estDecode]]/Table1[[#This Row],[Run]]</f>
        <v>0.72637435820669005</v>
      </c>
      <c r="AS20" s="94">
        <f>Table1[[#This Row],[Prefill]]+Table1[[#This Row],[Out-Tok]]*Table1[[#This Row],[ITL]]</f>
        <v>17.478494965993388</v>
      </c>
      <c r="AT20" s="91">
        <f>Table1[[#This Row],[estPrefill]]+Table1[[#This Row],[Out-Tok]]*Table1[[#This Row],[ITL]]</f>
        <v>17.883656219833547</v>
      </c>
      <c r="AU20" s="93">
        <f>Table1[[#This Row],[E2E]]/Table1[[#This Row],[estE2E]]</f>
        <v>1.6630105630312479</v>
      </c>
      <c r="AV20" s="91">
        <f>Table1[[#This Row],[N]]/Table1[[#This Row],[estE2E]]</f>
        <v>1.6511518820464686</v>
      </c>
      <c r="AW20" s="91">
        <f>Table1[[#This Row],[PPS]]/Table1[[#This Row],[In-Tok]]</f>
        <v>1.8630236803118909</v>
      </c>
      <c r="AX20" s="93">
        <f>Table1[[#This Row],[RPS]]/Table1[[#This Row],[RPS(IL)]]</f>
        <v>1.0735236600241054</v>
      </c>
      <c r="AY20" s="91">
        <f>Table1[[#This Row],[GPS]]/Table1[[#This Row],[Out-Tok]]</f>
        <v>1.6825243664717351</v>
      </c>
      <c r="AZ20" s="95">
        <f>Table1[[#This Row],[RPS]]/Table1[[#This Row],[RPS(OL)]]</f>
        <v>1.1886900658645518</v>
      </c>
      <c r="BA20" s="132">
        <f>MaxTok/Table1[[#This Row],[tok/req]]</f>
        <v>25.604769768485497</v>
      </c>
      <c r="BB20" s="93">
        <f>Table1[[#This Row],[N]]/Table1[[#This Row],[N-max]]</f>
        <v>1.1532473399387568</v>
      </c>
      <c r="BC20" s="94">
        <f>Table1[[#This Row],[RPS]]</f>
        <v>2</v>
      </c>
      <c r="BD20" s="152">
        <f>Table1[[#This Row],[PPS]]/Table1[[#This Row],[RPS success]]</f>
        <v>13972.677602339181</v>
      </c>
      <c r="BE20" s="93">
        <f>ABS(Table1[[#This Row],[est-In-Tok3]]-Table1[[#This Row],[In-Tok]])/Table1[[#This Row],[In-Tok]]</f>
        <v>6.8488159844054583E-2</v>
      </c>
      <c r="BF20" s="152">
        <f>Table1[[#This Row],[GPS]]/Table1[[#This Row],[RPS success]]</f>
        <v>252.37865497076027</v>
      </c>
      <c r="BG20" s="93">
        <f>ABS(Table1[[#This Row],[est-Out-Tok3]]-Table1[[#This Row],[Out-Tok]])/Table1[[#This Row],[Out-Tok]]</f>
        <v>0.15873781676413246</v>
      </c>
      <c r="BH20" s="158">
        <f>Table1[[#This Row],[est-In-Tok3]]+AvgOutLoad*Table1[[#This Row],[est-Out-Tok3]]</f>
        <v>14098.866929824562</v>
      </c>
      <c r="BI20" s="93">
        <f>ABS(Table1[[#This Row],[est-Tok/Req3]]-Table1[[#This Row],[tok/req]])/Table1[[#This Row],[tok/req]]</f>
        <v>6.9381720803659258E-2</v>
      </c>
      <c r="BJ20" s="158">
        <f>MaxTok/Table1[[#This Row],[est-Tok/Req3]]</f>
        <v>27.513718933822311</v>
      </c>
      <c r="BK20" s="93">
        <f>ABS(Table1[[#This Row],[est-N-max3]]-Table1[[#This Row],[N-max]])/Table1[[#This Row],[N-max]]</f>
        <v>7.4554435856961324E-2</v>
      </c>
      <c r="BL20" s="94">
        <f>MaxTok*Table1[[#This Row],[Kvcache]]/Table1[[#This Row],[Run]]</f>
        <v>15163.95607964776</v>
      </c>
      <c r="BM20" s="166">
        <f>ABS(Table1[[#This Row],[est-Tok/Req]]-Table1[[#This Row],[tok/req]])/Table1[[#This Row],[tok/req]]</f>
        <v>9.2119337608976279E-4</v>
      </c>
      <c r="BN20" s="94">
        <f>MaxTok/Table1[[#This Row],[est-Tok/Req]]</f>
        <v>25.58120453231793</v>
      </c>
      <c r="BO20" s="176">
        <f>Table1[[#This Row],[Run]]/Table1[[#This Row],[Kvcache]]</f>
        <v>25.58120453231793</v>
      </c>
      <c r="BP20" s="132" cm="1">
        <f t="array" aca="1" ref="BP20" ca="1">_xlfn.CEILING.MATH(INDIRECT("Table1"&amp;BP$3)/BP$2)*BP$2</f>
        <v>16000</v>
      </c>
      <c r="BQ20" s="183" cm="1">
        <f t="array" aca="1" ref="BQ20" ca="1">_xlfn.CEILING.MATH(INDIRECT("Table1"&amp;BQ$3)/BQ$2)*BQ$2</f>
        <v>0.06</v>
      </c>
      <c r="BR20" s="93" cm="1">
        <f t="array" aca="1" ref="BR20" ca="1">_xlfn.CEILING.MATH(INDIRECT("Table1"&amp;BR$3)/BR$2)*BR$2</f>
        <v>0.9</v>
      </c>
      <c r="BS20" s="93" cm="1">
        <f t="array" aca="1" ref="BS20" ca="1">_xlfn.CEILING.MATH(INDIRECT("Table1"&amp;BS$3)/BS$2)*BS$2</f>
        <v>0.88</v>
      </c>
      <c r="BT20" s="33" cm="1">
        <f t="array" aca="1" ref="BT20" ca="1">_xlfn.CEILING.MATH(INDIRECT("Table1"&amp;BT$3)/BT$2)*BT$2</f>
        <v>23</v>
      </c>
      <c r="BU20" s="132" cm="1">
        <f t="array" aca="1" ref="BU20" ca="1">_xlfn.CEILING.MATH(INDIRECT("Table1"&amp;BU$3)/BU$2)*BU$2</f>
        <v>50</v>
      </c>
      <c r="BV20" s="132" cm="1">
        <f t="array" aca="1" ref="BV20" ca="1">_xlfn.CEILING.MATH(INDIRECT("Table1"&amp;BV$3)/BV$2)*BV$2</f>
        <v>15000</v>
      </c>
      <c r="BW20" s="93"/>
      <c r="BX20" s="93"/>
      <c r="BY20" s="190">
        <v>0.98259632790276707</v>
      </c>
      <c r="BZ20" s="93"/>
      <c r="CA20" s="111">
        <f>(Table1[[#This Row],[In-Tok]]+Table1[[#This Row],[Out-Tok]])*Table1[[#This Row],[RPS]]</f>
        <v>30600</v>
      </c>
      <c r="CB20" s="33">
        <f t="shared" si="5"/>
        <v>390597.83667131612</v>
      </c>
      <c r="CC20" s="33">
        <f>Table1[[#This Row],[Supply]]/(Table1[[#This Row],[Prefill]]+Table1[[#This Row],[Out-Tok]]*Table1[[#This Row],[ITL]])</f>
        <v>22347.338110705376</v>
      </c>
      <c r="CD20" s="33">
        <f>Table1[[#This Row],[MaxRun]]/Table1[[#This Row],[ITL]]</f>
        <v>452.10827296927346</v>
      </c>
      <c r="CE20" s="33">
        <f>Table1[[#This Row],[Out-Tok]]*Table1[[#This Row],[RPS]]</f>
        <v>600</v>
      </c>
      <c r="CF20" s="91">
        <f>Table1[[#This Row],[Supply]]/Table1[[#This Row],[Demand-T]]</f>
        <v>12.764635185337129</v>
      </c>
      <c r="CG20" s="91"/>
      <c r="CH20" s="112">
        <f>Table1[[#This Row],[Prefill]]+Table1[[#This Row],[Out-Tok]]*Table1[[#This Row],[ITL]]</f>
        <v>17.478494965993388</v>
      </c>
      <c r="CI20" s="112">
        <f>Table1[[#This Row],[GPS]]*Table1[[#This Row],[ITL]]</f>
        <v>28.283457635499271</v>
      </c>
      <c r="CJ20" s="113">
        <f>Table1[[#This Row],[PPS]]*Table1[[#This Row],[Prefill]]/Table1[[#This Row],[In-Tok]]</f>
        <v>1.2451749897509243</v>
      </c>
      <c r="CK20" s="112">
        <f t="shared" si="6"/>
        <v>29.528632625250196</v>
      </c>
      <c r="CL20" s="112">
        <f>Table1[[#This Row],[PPS]]/Table1[[#This Row],[In-Tok]]</f>
        <v>1.8630236803118909</v>
      </c>
      <c r="CM20" s="112">
        <f>Table1[[#This Row],[GPS]]/Table1[[#This Row],[Out-Tok]]</f>
        <v>1.6825243664717351</v>
      </c>
      <c r="CN20" s="112">
        <f>Table1[[#This Row],[Run]]/Table1[[#This Row],[E2E]]</f>
        <v>0.74844881294348442</v>
      </c>
      <c r="CO20" s="112">
        <f>Table1[[#This Row],[N2]]/Table1[[#This Row],[E2E]]</f>
        <v>0.99286914873038212</v>
      </c>
      <c r="CP20" s="112"/>
      <c r="CQ20" s="112">
        <f>Table1[[#This Row],[In-Tok]]+AvgOutLoad*Table1[[#This Row],[Out-Tok]]</f>
        <v>15150</v>
      </c>
      <c r="CR20" s="112">
        <f t="shared" si="7"/>
        <v>536595.07193378441</v>
      </c>
      <c r="CS20" s="112" t="e">
        <f t="shared" si="8"/>
        <v>#DIV/0!</v>
      </c>
      <c r="CT20" s="112" t="e">
        <f t="shared" si="9"/>
        <v>#DIV/0!</v>
      </c>
      <c r="CU20" s="112">
        <f t="shared" si="10"/>
        <v>0</v>
      </c>
      <c r="CV20" s="112" t="e">
        <f t="shared" si="11"/>
        <v>#DIV/0!</v>
      </c>
      <c r="CW20" s="112">
        <f>Table1[[#This Row],[N(maxT)]]/Table1[[#This Row],[e2e sat]]</f>
        <v>0</v>
      </c>
      <c r="CX20" s="112" t="e">
        <f>Table1[[#This Row],[RPS]]/CW20</f>
        <v>#DIV/0!</v>
      </c>
      <c r="CY20" s="114" t="e">
        <f>Table1[[#This Row],[Kvcache]]/$T$4</f>
        <v>#DIV/0!</v>
      </c>
      <c r="GJ20"/>
    </row>
    <row r="21" spans="1:192" s="2" customFormat="1" hidden="1" x14ac:dyDescent="0.25">
      <c r="A21" s="210">
        <v>1000</v>
      </c>
      <c r="B21" s="210">
        <v>300</v>
      </c>
      <c r="C21" s="2">
        <v>3</v>
      </c>
      <c r="D21" s="199">
        <f>Table1[[#This Row],[Kvcache]]</f>
        <v>1.6512173139232419E-2</v>
      </c>
      <c r="E21" s="205" t="s">
        <v>137</v>
      </c>
      <c r="F21" s="219">
        <v>46092</v>
      </c>
      <c r="G21" s="198"/>
      <c r="H21" s="198">
        <v>3.9064549781823124E-2</v>
      </c>
      <c r="I21" s="198">
        <v>3.3712867396926166E-2</v>
      </c>
      <c r="J21" s="198">
        <v>0.59742328956525192</v>
      </c>
      <c r="K21" s="198">
        <v>0.71514630317687988</v>
      </c>
      <c r="L21" s="198">
        <v>0.77206542491912844</v>
      </c>
      <c r="M21" s="198">
        <v>7.0278514508279053E-3</v>
      </c>
      <c r="N21" s="198">
        <v>2.1409004177088735</v>
      </c>
      <c r="O21" s="197">
        <v>3760.5245833333338</v>
      </c>
      <c r="P21" s="197">
        <v>1050.7770833333334</v>
      </c>
      <c r="Q21" s="9">
        <v>5.6047794117647065</v>
      </c>
      <c r="R21" s="9">
        <v>11.5</v>
      </c>
      <c r="S21" s="196">
        <v>1.6512173139232419E-2</v>
      </c>
      <c r="T21" s="167">
        <v>3.456167571761054E-2</v>
      </c>
      <c r="U21" s="30">
        <f>(Table1[[#This Row],[In-Tok]]+Table1[[#This Row],[Out-Tok]])*Table1[[#This Row],[RPS]]</f>
        <v>3900</v>
      </c>
      <c r="V21" s="54">
        <f>Table1[[#This Row],[In-Tok]]+AvgOutLoad*Table1[[#This Row],[Out-Tok]]</f>
        <v>1150</v>
      </c>
      <c r="W21" s="25">
        <f>Table1[[#This Row],[In-Tok]]*Table1[[#This Row],[RPS]]</f>
        <v>3000</v>
      </c>
      <c r="X21" s="38">
        <f>Table1[[#This Row],[Out-Tok]]*Table1[[#This Row],[RPS]]</f>
        <v>900</v>
      </c>
      <c r="Y21" s="77">
        <f>Table1[[#This Row],[In-Tok]]/Table1[[#This Row],[Out-Tok]]</f>
        <v>3.3333333333333335</v>
      </c>
      <c r="Z21" s="30">
        <f>Table1[[#This Row],[In-Tok]]*Table1[[#This Row],[N]]+AvgOutLoad*Table1[[#This Row],[Out-Tok]]*Table1[[#This Row],[Ndecode]]</f>
        <v>8619.1891036618108</v>
      </c>
      <c r="AA21" s="25">
        <f>Table1[[#This Row],[tok(N)]]/Table1[[#This Row],[Kvcache]]</f>
        <v>521989.990716781</v>
      </c>
      <c r="AB21" s="25">
        <f>Table1[[#This Row],[tok/req]]*Table1[[#This Row],[Run]]</f>
        <v>6445.4963235294126</v>
      </c>
      <c r="AC21" s="25">
        <f>Table1[[#This Row],[tok(Run)]]/Table1[[#This Row],[Kvcache]]</f>
        <v>390348.15521738387</v>
      </c>
      <c r="AD21" s="25">
        <f>Table1[[#This Row],[tok/req]]*Table1[[#This Row],[MaxRun]]</f>
        <v>13225</v>
      </c>
      <c r="AE21" s="25">
        <f>Table1[[#This Row],[tok(MaxRun)]]/Table1[[#This Row],[MaxKvcache]]</f>
        <v>382649.27048260393</v>
      </c>
      <c r="AF21" s="77">
        <f>Table1[[#This Row],[PPS]]*Table1[[#This Row],[Prefill]]/Table1[[#This Row],[In-Tok]]</f>
        <v>0.12677806662079771</v>
      </c>
      <c r="AG21" s="31">
        <f>Table1[[#This Row],[GPS]]*Table1[[#This Row],[ITL]]</f>
        <v>7.3847052496008816</v>
      </c>
      <c r="AH21" s="31">
        <f>Table1[[#This Row],[Nprefill]]+Table1[[#This Row],[Ndecode]]</f>
        <v>7.5114833162216792</v>
      </c>
      <c r="AI21" s="43">
        <f>Table1[[#This Row],[Run]]/Table1[[#This Row],[ITL]]/Table1[[#This Row],[GPS]]</f>
        <v>0.75897130925674061</v>
      </c>
      <c r="AJ21" s="65">
        <f>Table1[[#This Row],[Prefill]]+Table1[[#This Row],[ITL]]</f>
        <v>4.074071884775407E-2</v>
      </c>
      <c r="AK21" s="43">
        <f>Table1[[#This Row],[TTFT]]/Table1[[#This Row],[estTTFT]]</f>
        <v>0.95885764627289216</v>
      </c>
      <c r="AL21" s="31">
        <f>Table1[[#This Row],[In-Tok]]*Table1[[#This Row],[RPS]]/Table1[[#This Row],[PPS]]</f>
        <v>0.79776103932308196</v>
      </c>
      <c r="AM21" s="43">
        <f>Table1[[#This Row],[Prefill]]/Table1[[#This Row],[estPrefill]]</f>
        <v>4.22593555402659E-2</v>
      </c>
      <c r="AN21" s="43">
        <f>Table1[[#This Row],[Prefill]]/Table1[[#This Row],[TTFT]]</f>
        <v>0.8630041197252678</v>
      </c>
      <c r="AO21" s="65">
        <f>Table1[[#This Row],[Run]]/(Table1[[#This Row],[Out-Tok]]*Table1[[#This Row],[RPS]])</f>
        <v>6.2275326797385632E-3</v>
      </c>
      <c r="AP21" s="43">
        <f>Table1[[#This Row],[ITL]]/Table1[[#This Row],[estITL]]</f>
        <v>1.1285129781322867</v>
      </c>
      <c r="AQ21" s="70">
        <f>Table1[[#This Row],[E2E]]-Table1[[#This Row],[TTFT]]+Table1[[#This Row],[ITL]]</f>
        <v>2.1088637193778785</v>
      </c>
      <c r="AR21" s="43">
        <f>Table1[[#This Row],[estDecode]]/Table1[[#This Row],[Run]]</f>
        <v>0.37626168033504948</v>
      </c>
      <c r="AS21" s="70">
        <f>Table1[[#This Row],[Prefill]]+Table1[[#This Row],[Out-Tok]]*Table1[[#This Row],[ITL]]</f>
        <v>2.1420683026452978</v>
      </c>
      <c r="AT21" s="31">
        <f>Table1[[#This Row],[estPrefill]]+Table1[[#This Row],[Out-Tok]]*Table1[[#This Row],[ITL]]</f>
        <v>2.9061164745714536</v>
      </c>
      <c r="AU21" s="43">
        <f>Table1[[#This Row],[E2E]]/Table1[[#This Row],[estE2E]]</f>
        <v>0.73668775372280226</v>
      </c>
      <c r="AV21" s="31">
        <f>Table1[[#This Row],[N]]/Table1[[#This Row],[estE2E]]</f>
        <v>2.5847151626396356</v>
      </c>
      <c r="AW21" s="31">
        <f>Table1[[#This Row],[PPS]]/Table1[[#This Row],[In-Tok]]</f>
        <v>3.7605245833333338</v>
      </c>
      <c r="AX21" s="43">
        <f>Table1[[#This Row],[RPS]]/Table1[[#This Row],[RPS(IL)]]</f>
        <v>0.79776103932308196</v>
      </c>
      <c r="AY21" s="31">
        <f>Table1[[#This Row],[GPS]]/Table1[[#This Row],[Out-Tok]]</f>
        <v>3.5025902777777778</v>
      </c>
      <c r="AZ21" s="90">
        <f>Table1[[#This Row],[RPS]]/Table1[[#This Row],[RPS(OL)]]</f>
        <v>0.85650897252628511</v>
      </c>
      <c r="BA21" s="133">
        <f>MaxTok/Table1[[#This Row],[tok/req]]</f>
        <v>337.31501042830894</v>
      </c>
      <c r="BB21" s="43">
        <f>Table1[[#This Row],[N]]/Table1[[#This Row],[N-max]]</f>
        <v>2.2268452585860032E-2</v>
      </c>
      <c r="BC21" s="70">
        <f>Table1[[#This Row],[RPS]]</f>
        <v>3</v>
      </c>
      <c r="BD21" s="49">
        <f>Table1[[#This Row],[PPS]]/Table1[[#This Row],[RPS success]]</f>
        <v>1253.5081944444446</v>
      </c>
      <c r="BE21" s="43">
        <f>ABS(Table1[[#This Row],[est-In-Tok3]]-Table1[[#This Row],[In-Tok]])/Table1[[#This Row],[In-Tok]]</f>
        <v>0.25350819444444461</v>
      </c>
      <c r="BF21" s="49">
        <f>Table1[[#This Row],[GPS]]/Table1[[#This Row],[RPS success]]</f>
        <v>350.25902777777782</v>
      </c>
      <c r="BG21" s="43">
        <f>ABS(Table1[[#This Row],[est-Out-Tok3]]-Table1[[#This Row],[Out-Tok]])/Table1[[#This Row],[Out-Tok]]</f>
        <v>0.16753009259259272</v>
      </c>
      <c r="BH21" s="159">
        <f>Table1[[#This Row],[est-In-Tok3]]+AvgOutLoad*Table1[[#This Row],[est-Out-Tok3]]</f>
        <v>1428.6377083333334</v>
      </c>
      <c r="BI21" s="43">
        <f>ABS(Table1[[#This Row],[est-Tok/Req3]]-Table1[[#This Row],[tok/req]])/Table1[[#This Row],[tok/req]]</f>
        <v>0.24229365942028994</v>
      </c>
      <c r="BJ21" s="159">
        <f>MaxTok/Table1[[#This Row],[est-Tok/Req3]]</f>
        <v>271.52598572040955</v>
      </c>
      <c r="BK21" s="43">
        <f>ABS(Table1[[#This Row],[est-N-max3]]-Table1[[#This Row],[N-max]])/Table1[[#This Row],[N-max]]</f>
        <v>0.19503734691309216</v>
      </c>
      <c r="BL21" s="70">
        <f>MaxTok*Table1[[#This Row],[Kvcache]]/Table1[[#This Row],[Run]]</f>
        <v>1142.8236443003227</v>
      </c>
      <c r="BM21" s="167">
        <f>ABS(Table1[[#This Row],[est-Tok/Req]]-Table1[[#This Row],[tok/req]])/Table1[[#This Row],[tok/req]]</f>
        <v>6.2403093040672066E-3</v>
      </c>
      <c r="BN21" s="70">
        <f>MaxTok/Table1[[#This Row],[est-Tok/Req]]</f>
        <v>339.43317844989895</v>
      </c>
      <c r="BO21" s="177">
        <f>Table1[[#This Row],[Run]]/Table1[[#This Row],[Kvcache]]</f>
        <v>339.433178449899</v>
      </c>
      <c r="BP21" s="133" cm="1">
        <f t="array" aca="1" ref="BP21" ca="1">_xlfn.CEILING.MATH(INDIRECT("Table1"&amp;BP$3)/BP$2)*BP$2</f>
        <v>2000</v>
      </c>
      <c r="BQ21" s="184" cm="1">
        <f t="array" aca="1" ref="BQ21" ca="1">_xlfn.CEILING.MATH(INDIRECT("Table1"&amp;BQ$3)/BQ$2)*BQ$2</f>
        <v>0.01</v>
      </c>
      <c r="BR21" s="43" cm="1">
        <f t="array" aca="1" ref="BR21" ca="1">_xlfn.CEILING.MATH(INDIRECT("Table1"&amp;BR$3)/BR$2)*BR$2</f>
        <v>0.1</v>
      </c>
      <c r="BS21" s="43" cm="1">
        <f t="array" aca="1" ref="BS21" ca="1">_xlfn.CEILING.MATH(INDIRECT("Table1"&amp;BS$3)/BS$2)*BS$2</f>
        <v>0.02</v>
      </c>
      <c r="BT21" s="25" cm="1">
        <f t="array" aca="1" ref="BT21" ca="1">_xlfn.CEILING.MATH(INDIRECT("Table1"&amp;BT$3)/BT$2)*BT$2</f>
        <v>6</v>
      </c>
      <c r="BU21" s="133" cm="1">
        <f t="array" aca="1" ref="BU21" ca="1">_xlfn.CEILING.MATH(INDIRECT("Table1"&amp;BU$3)/BU$2)*BU$2</f>
        <v>5</v>
      </c>
      <c r="BV21" s="133" cm="1">
        <f t="array" aca="1" ref="BV21" ca="1">_xlfn.CEILING.MATH(INDIRECT("Table1"&amp;BV$3)/BV$2)*BV$2</f>
        <v>1000</v>
      </c>
      <c r="BW21" s="43"/>
      <c r="BX21" s="43"/>
      <c r="BY21" s="193">
        <v>3.456167571761054E-2</v>
      </c>
      <c r="BZ21" s="43"/>
      <c r="CA21" s="24">
        <f>(Table1[[#This Row],[In-Tok]]+Table1[[#This Row],[Out-Tok]])*Table1[[#This Row],[RPS]]</f>
        <v>3900</v>
      </c>
      <c r="CB21" s="20">
        <f t="shared" si="5"/>
        <v>382649.27048260393</v>
      </c>
      <c r="CC21" s="20">
        <f>Table1[[#This Row],[Supply]]/(Table1[[#This Row],[Prefill]]+Table1[[#This Row],[Out-Tok]]*Table1[[#This Row],[ITL]])</f>
        <v>178635.41979966746</v>
      </c>
      <c r="CD21" s="20">
        <f>Table1[[#This Row],[MaxRun]]/Table1[[#This Row],[ITL]]</f>
        <v>1636.3464823442248</v>
      </c>
      <c r="CE21" s="20">
        <f>Table1[[#This Row],[Out-Tok]]*Table1[[#This Row],[RPS]]</f>
        <v>900</v>
      </c>
      <c r="CF21" s="22">
        <f>Table1[[#This Row],[Supply]]/Table1[[#This Row],[Demand-T]]</f>
        <v>98.115197559642027</v>
      </c>
      <c r="CG21" s="31"/>
      <c r="CH21" s="71">
        <f>Table1[[#This Row],[Prefill]]+Table1[[#This Row],[Out-Tok]]*Table1[[#This Row],[ITL]]</f>
        <v>2.1420683026452978</v>
      </c>
      <c r="CI21" s="71">
        <f>Table1[[#This Row],[GPS]]*Table1[[#This Row],[ITL]]</f>
        <v>7.3847052496008816</v>
      </c>
      <c r="CJ21" s="72">
        <f>Table1[[#This Row],[PPS]]*Table1[[#This Row],[Prefill]]/Table1[[#This Row],[In-Tok]]</f>
        <v>0.12677806662079771</v>
      </c>
      <c r="CK21" s="71">
        <f t="shared" si="6"/>
        <v>7.5114833162216792</v>
      </c>
      <c r="CL21" s="71">
        <f>Table1[[#This Row],[PPS]]/Table1[[#This Row],[In-Tok]]</f>
        <v>3.7605245833333338</v>
      </c>
      <c r="CM21" s="71">
        <f>Table1[[#This Row],[GPS]]/Table1[[#This Row],[Out-Tok]]</f>
        <v>3.5025902777777778</v>
      </c>
      <c r="CN21" s="71">
        <f>Table1[[#This Row],[Run]]/Table1[[#This Row],[E2E]]</f>
        <v>2.6179542800793936</v>
      </c>
      <c r="CO21" s="71">
        <f>Table1[[#This Row],[N2]]/Table1[[#This Row],[E2E]]</f>
        <v>3.5085626842280875</v>
      </c>
      <c r="CP21" s="71"/>
      <c r="CQ21" s="71">
        <f>Table1[[#This Row],[In-Tok]]+AvgOutLoad*Table1[[#This Row],[Out-Tok]]</f>
        <v>1150</v>
      </c>
      <c r="CR21" s="71">
        <f t="shared" si="7"/>
        <v>19179.479851242773</v>
      </c>
      <c r="CS21" s="71" t="e">
        <f t="shared" si="8"/>
        <v>#DIV/0!</v>
      </c>
      <c r="CT21" s="71" t="e">
        <f t="shared" si="9"/>
        <v>#DIV/0!</v>
      </c>
      <c r="CU21" s="71">
        <f t="shared" si="10"/>
        <v>0</v>
      </c>
      <c r="CV21" s="71" t="e">
        <f t="shared" si="11"/>
        <v>#DIV/0!</v>
      </c>
      <c r="CW21" s="71">
        <f>Table1[[#This Row],[N(maxT)]]/Table1[[#This Row],[e2e sat]]</f>
        <v>0</v>
      </c>
      <c r="CX21" s="71" t="e">
        <f>Table1[[#This Row],[RPS]]/CW21</f>
        <v>#DIV/0!</v>
      </c>
      <c r="CY21" s="110" t="e">
        <f>Table1[[#This Row],[Kvcache]]/$T$4</f>
        <v>#DIV/0!</v>
      </c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</row>
    <row r="22" spans="1:192" s="2" customFormat="1" hidden="1" x14ac:dyDescent="0.25">
      <c r="A22" s="210">
        <v>2000</v>
      </c>
      <c r="B22" s="210">
        <v>300</v>
      </c>
      <c r="C22" s="2">
        <v>3</v>
      </c>
      <c r="D22" s="199">
        <f>Table1[[#This Row],[Kvcache]]</f>
        <v>3.5640373294391452E-2</v>
      </c>
      <c r="E22" s="205" t="s">
        <v>137</v>
      </c>
      <c r="F22" s="219">
        <v>46092</v>
      </c>
      <c r="G22" s="198"/>
      <c r="H22" s="198">
        <v>6.399693952502053E-2</v>
      </c>
      <c r="I22" s="198">
        <v>5.646885228648503E-2</v>
      </c>
      <c r="J22" s="198">
        <v>0.62796097914896487</v>
      </c>
      <c r="K22" s="198">
        <v>0.74450757503509513</v>
      </c>
      <c r="L22" s="198">
        <v>0.79117261648178094</v>
      </c>
      <c r="M22" s="198">
        <v>8.0706952791960666E-3</v>
      </c>
      <c r="N22" s="198">
        <v>2.4733848960290983</v>
      </c>
      <c r="O22" s="197">
        <v>7301.748333333333</v>
      </c>
      <c r="P22" s="197">
        <v>1015.0270833333335</v>
      </c>
      <c r="Q22" s="9">
        <v>6.3933823529411766</v>
      </c>
      <c r="R22" s="9">
        <v>12.5</v>
      </c>
      <c r="S22" s="196">
        <v>3.5640373294391452E-2</v>
      </c>
      <c r="T22" s="167">
        <v>6.9472459270752518E-2</v>
      </c>
      <c r="U22" s="30">
        <f>(Table1[[#This Row],[In-Tok]]+Table1[[#This Row],[Out-Tok]])*Table1[[#This Row],[RPS]]</f>
        <v>6900</v>
      </c>
      <c r="V22" s="54">
        <f>Table1[[#This Row],[In-Tok]]+AvgOutLoad*Table1[[#This Row],[Out-Tok]]</f>
        <v>2150</v>
      </c>
      <c r="W22" s="25">
        <f>Table1[[#This Row],[In-Tok]]*Table1[[#This Row],[RPS]]</f>
        <v>6000</v>
      </c>
      <c r="X22" s="38">
        <f>Table1[[#This Row],[Out-Tok]]*Table1[[#This Row],[RPS]]</f>
        <v>900</v>
      </c>
      <c r="Y22" s="77">
        <f>Table1[[#This Row],[In-Tok]]/Table1[[#This Row],[Out-Tok]]</f>
        <v>6.666666666666667</v>
      </c>
      <c r="Z22" s="30">
        <f>Table1[[#This Row],[In-Tok]]*Table1[[#This Row],[N]]+AvgOutLoad*Table1[[#This Row],[Out-Tok]]*Table1[[#This Row],[Ndecode]]</f>
        <v>18025.066070954235</v>
      </c>
      <c r="AA22" s="25">
        <f>Table1[[#This Row],[tok(N)]]/Table1[[#This Row],[Kvcache]]</f>
        <v>505748.5207033662</v>
      </c>
      <c r="AB22" s="25">
        <f>Table1[[#This Row],[tok/req]]*Table1[[#This Row],[Run]]</f>
        <v>13745.77205882353</v>
      </c>
      <c r="AC22" s="25">
        <f>Table1[[#This Row],[tok(Run)]]/Table1[[#This Row],[Kvcache]]</f>
        <v>385679.80041293881</v>
      </c>
      <c r="AD22" s="25">
        <f>Table1[[#This Row],[tok/req]]*Table1[[#This Row],[MaxRun]]</f>
        <v>26875</v>
      </c>
      <c r="AE22" s="25">
        <f>Table1[[#This Row],[tok(MaxRun)]]/Table1[[#This Row],[MaxKvcache]]</f>
        <v>386843.94193188165</v>
      </c>
      <c r="AF22" s="77">
        <f>Table1[[#This Row],[PPS]]*Table1[[#This Row],[Prefill]]/Table1[[#This Row],[In-Tok]]</f>
        <v>0.20616067403404412</v>
      </c>
      <c r="AG22" s="31">
        <f>Table1[[#This Row],[GPS]]*Table1[[#This Row],[ITL]]</f>
        <v>8.1919742897144872</v>
      </c>
      <c r="AH22" s="31">
        <f>Table1[[#This Row],[Nprefill]]+Table1[[#This Row],[Ndecode]]</f>
        <v>8.3981349637485305</v>
      </c>
      <c r="AI22" s="43">
        <f>Table1[[#This Row],[Run]]/Table1[[#This Row],[ITL]]/Table1[[#This Row],[GPS]]</f>
        <v>0.78044463115179086</v>
      </c>
      <c r="AJ22" s="65">
        <f>Table1[[#This Row],[Prefill]]+Table1[[#This Row],[ITL]]</f>
        <v>6.4539547565681102E-2</v>
      </c>
      <c r="AK22" s="43">
        <f>Table1[[#This Row],[TTFT]]/Table1[[#This Row],[estTTFT]]</f>
        <v>0.99159262713906748</v>
      </c>
      <c r="AL22" s="31">
        <f>Table1[[#This Row],[In-Tok]]*Table1[[#This Row],[RPS]]/Table1[[#This Row],[PPS]]</f>
        <v>0.82172100791385816</v>
      </c>
      <c r="AM22" s="43">
        <f>Table1[[#This Row],[Prefill]]/Table1[[#This Row],[estPrefill]]</f>
        <v>6.8720224678014696E-2</v>
      </c>
      <c r="AN22" s="43">
        <f>Table1[[#This Row],[Prefill]]/Table1[[#This Row],[TTFT]]</f>
        <v>0.88236801174543222</v>
      </c>
      <c r="AO22" s="65">
        <f>Table1[[#This Row],[Run]]/(Table1[[#This Row],[Out-Tok]]*Table1[[#This Row],[RPS]])</f>
        <v>7.103758169934641E-3</v>
      </c>
      <c r="AP22" s="43">
        <f>Table1[[#This Row],[ITL]]/Table1[[#This Row],[estITL]]</f>
        <v>1.1361162762203547</v>
      </c>
      <c r="AQ22" s="70">
        <f>Table1[[#This Row],[E2E]]-Table1[[#This Row],[TTFT]]+Table1[[#This Row],[ITL]]</f>
        <v>2.4174586517832739</v>
      </c>
      <c r="AR22" s="43">
        <f>Table1[[#This Row],[estDecode]]/Table1[[#This Row],[Run]]</f>
        <v>0.37811889205580823</v>
      </c>
      <c r="AS22" s="70">
        <f>Table1[[#This Row],[Prefill]]+Table1[[#This Row],[Out-Tok]]*Table1[[#This Row],[ITL]]</f>
        <v>2.4776774360453051</v>
      </c>
      <c r="AT22" s="31">
        <f>Table1[[#This Row],[estPrefill]]+Table1[[#This Row],[Out-Tok]]*Table1[[#This Row],[ITL]]</f>
        <v>3.2429295916726781</v>
      </c>
      <c r="AU22" s="43">
        <f>Table1[[#This Row],[E2E]]/Table1[[#This Row],[estE2E]]</f>
        <v>0.76270076981638857</v>
      </c>
      <c r="AV22" s="31">
        <f>Table1[[#This Row],[N]]/Table1[[#This Row],[estE2E]]</f>
        <v>2.5896753926799985</v>
      </c>
      <c r="AW22" s="31">
        <f>Table1[[#This Row],[PPS]]/Table1[[#This Row],[In-Tok]]</f>
        <v>3.6508741666666666</v>
      </c>
      <c r="AX22" s="43">
        <f>Table1[[#This Row],[RPS]]/Table1[[#This Row],[RPS(IL)]]</f>
        <v>0.82172100791385805</v>
      </c>
      <c r="AY22" s="31">
        <f>Table1[[#This Row],[GPS]]/Table1[[#This Row],[Out-Tok]]</f>
        <v>3.3834236111111116</v>
      </c>
      <c r="AZ22" s="90">
        <f>Table1[[#This Row],[RPS]]/Table1[[#This Row],[RPS(OL)]]</f>
        <v>0.88667584814034095</v>
      </c>
      <c r="BA22" s="133">
        <f>MaxTok/Table1[[#This Row],[tok/req]]</f>
        <v>180.42430790351409</v>
      </c>
      <c r="BB22" s="43">
        <f>Table1[[#This Row],[N]]/Table1[[#This Row],[N-max]]</f>
        <v>4.6546582671330626E-2</v>
      </c>
      <c r="BC22" s="70">
        <f>Table1[[#This Row],[RPS]]</f>
        <v>3</v>
      </c>
      <c r="BD22" s="49">
        <f>Table1[[#This Row],[PPS]]/Table1[[#This Row],[RPS success]]</f>
        <v>2433.9161111111111</v>
      </c>
      <c r="BE22" s="43">
        <f>ABS(Table1[[#This Row],[est-In-Tok3]]-Table1[[#This Row],[In-Tok]])/Table1[[#This Row],[In-Tok]]</f>
        <v>0.21695805555555558</v>
      </c>
      <c r="BF22" s="49">
        <f>Table1[[#This Row],[GPS]]/Table1[[#This Row],[RPS success]]</f>
        <v>338.34236111111119</v>
      </c>
      <c r="BG22" s="43">
        <f>ABS(Table1[[#This Row],[est-Out-Tok3]]-Table1[[#This Row],[Out-Tok]])/Table1[[#This Row],[Out-Tok]]</f>
        <v>0.12780787037037064</v>
      </c>
      <c r="BH22" s="159">
        <f>Table1[[#This Row],[est-In-Tok3]]+AvgOutLoad*Table1[[#This Row],[est-Out-Tok3]]</f>
        <v>2603.0872916666667</v>
      </c>
      <c r="BI22" s="43">
        <f>ABS(Table1[[#This Row],[est-Tok/Req3]]-Table1[[#This Row],[tok/req]])/Table1[[#This Row],[tok/req]]</f>
        <v>0.21073827519379848</v>
      </c>
      <c r="BJ22" s="159">
        <f>MaxTok/Table1[[#This Row],[est-Tok/Req3]]</f>
        <v>149.02007444559743</v>
      </c>
      <c r="BK22" s="43">
        <f>ABS(Table1[[#This Row],[est-N-max3]]-Table1[[#This Row],[N-max]])/Table1[[#This Row],[N-max]]</f>
        <v>0.17405766342033455</v>
      </c>
      <c r="BL22" s="70">
        <f>MaxTok*Table1[[#This Row],[Kvcache]]/Table1[[#This Row],[Run]]</f>
        <v>2162.445018875856</v>
      </c>
      <c r="BM22" s="167">
        <f>ABS(Table1[[#This Row],[est-Tok/Req]]-Table1[[#This Row],[tok/req]])/Table1[[#This Row],[tok/req]]</f>
        <v>5.7883808724911731E-3</v>
      </c>
      <c r="BN22" s="70">
        <f>MaxTok/Table1[[#This Row],[est-Tok/Req]]</f>
        <v>179.38595368043667</v>
      </c>
      <c r="BO22" s="177">
        <f>Table1[[#This Row],[Run]]/Table1[[#This Row],[Kvcache]]</f>
        <v>179.38595368043667</v>
      </c>
      <c r="BP22" s="133" cm="1">
        <f t="array" aca="1" ref="BP22" ca="1">_xlfn.CEILING.MATH(INDIRECT("Table1"&amp;BP$3)/BP$2)*BP$2</f>
        <v>3000</v>
      </c>
      <c r="BQ22" s="184" cm="1">
        <f t="array" aca="1" ref="BQ22" ca="1">_xlfn.CEILING.MATH(INDIRECT("Table1"&amp;BQ$3)/BQ$2)*BQ$2</f>
        <v>0.01</v>
      </c>
      <c r="BR22" s="43" cm="1">
        <f t="array" aca="1" ref="BR22" ca="1">_xlfn.CEILING.MATH(INDIRECT("Table1"&amp;BR$3)/BR$2)*BR$2</f>
        <v>0.1</v>
      </c>
      <c r="BS22" s="43" cm="1">
        <f t="array" aca="1" ref="BS22" ca="1">_xlfn.CEILING.MATH(INDIRECT("Table1"&amp;BS$3)/BS$2)*BS$2</f>
        <v>0.04</v>
      </c>
      <c r="BT22" s="25" cm="1">
        <f t="array" aca="1" ref="BT22" ca="1">_xlfn.CEILING.MATH(INDIRECT("Table1"&amp;BT$3)/BT$2)*BT$2</f>
        <v>7</v>
      </c>
      <c r="BU22" s="133" cm="1">
        <f t="array" aca="1" ref="BU22" ca="1">_xlfn.CEILING.MATH(INDIRECT("Table1"&amp;BU$3)/BU$2)*BU$2</f>
        <v>10</v>
      </c>
      <c r="BV22" s="133" cm="1">
        <f t="array" aca="1" ref="BV22" ca="1">_xlfn.CEILING.MATH(INDIRECT("Table1"&amp;BV$3)/BV$2)*BV$2</f>
        <v>2000</v>
      </c>
      <c r="BW22" s="43"/>
      <c r="BX22" s="43"/>
      <c r="BY22" s="193">
        <v>6.9472459270752518E-2</v>
      </c>
      <c r="BZ22" s="43"/>
      <c r="CA22" s="24">
        <f>(Table1[[#This Row],[In-Tok]]+Table1[[#This Row],[Out-Tok]])*Table1[[#This Row],[RPS]]</f>
        <v>6900</v>
      </c>
      <c r="CB22" s="20">
        <f t="shared" si="5"/>
        <v>386843.94193188165</v>
      </c>
      <c r="CC22" s="20">
        <f>Table1[[#This Row],[Supply]]/(Table1[[#This Row],[Prefill]]+Table1[[#This Row],[Out-Tok]]*Table1[[#This Row],[ITL]])</f>
        <v>156131.68054245788</v>
      </c>
      <c r="CD22" s="20">
        <f>Table1[[#This Row],[MaxRun]]/Table1[[#This Row],[ITL]]</f>
        <v>1548.8132766233175</v>
      </c>
      <c r="CE22" s="20">
        <f>Table1[[#This Row],[Out-Tok]]*Table1[[#This Row],[RPS]]</f>
        <v>900</v>
      </c>
      <c r="CF22" s="22">
        <f>Table1[[#This Row],[Supply]]/Table1[[#This Row],[Demand-T]]</f>
        <v>56.064339410417631</v>
      </c>
      <c r="CG22" s="31"/>
      <c r="CH22" s="71">
        <f>Table1[[#This Row],[Prefill]]+Table1[[#This Row],[Out-Tok]]*Table1[[#This Row],[ITL]]</f>
        <v>2.4776774360453051</v>
      </c>
      <c r="CI22" s="71">
        <f>Table1[[#This Row],[GPS]]*Table1[[#This Row],[ITL]]</f>
        <v>8.1919742897144872</v>
      </c>
      <c r="CJ22" s="72">
        <f>Table1[[#This Row],[PPS]]*Table1[[#This Row],[Prefill]]/Table1[[#This Row],[In-Tok]]</f>
        <v>0.20616067403404412</v>
      </c>
      <c r="CK22" s="71">
        <f t="shared" si="6"/>
        <v>8.3981349637485305</v>
      </c>
      <c r="CL22" s="71">
        <f>Table1[[#This Row],[PPS]]/Table1[[#This Row],[In-Tok]]</f>
        <v>3.6508741666666666</v>
      </c>
      <c r="CM22" s="71">
        <f>Table1[[#This Row],[GPS]]/Table1[[#This Row],[Out-Tok]]</f>
        <v>3.3834236111111116</v>
      </c>
      <c r="CN22" s="71">
        <f>Table1[[#This Row],[Run]]/Table1[[#This Row],[E2E]]</f>
        <v>2.5848715916416598</v>
      </c>
      <c r="CO22" s="71">
        <f>Table1[[#This Row],[N2]]/Table1[[#This Row],[E2E]]</f>
        <v>3.3954015718424322</v>
      </c>
      <c r="CP22" s="71"/>
      <c r="CQ22" s="71">
        <f>Table1[[#This Row],[In-Tok]]+AvgOutLoad*Table1[[#This Row],[Out-Tok]]</f>
        <v>2150</v>
      </c>
      <c r="CR22" s="71">
        <f t="shared" si="7"/>
        <v>59395.126737574225</v>
      </c>
      <c r="CS22" s="71" t="e">
        <f t="shared" si="8"/>
        <v>#DIV/0!</v>
      </c>
      <c r="CT22" s="71" t="e">
        <f t="shared" si="9"/>
        <v>#DIV/0!</v>
      </c>
      <c r="CU22" s="71">
        <f t="shared" si="10"/>
        <v>0</v>
      </c>
      <c r="CV22" s="71" t="e">
        <f t="shared" si="11"/>
        <v>#DIV/0!</v>
      </c>
      <c r="CW22" s="71">
        <f>Table1[[#This Row],[N(maxT)]]/Table1[[#This Row],[e2e sat]]</f>
        <v>0</v>
      </c>
      <c r="CX22" s="71" t="e">
        <f>Table1[[#This Row],[RPS]]/CW22</f>
        <v>#DIV/0!</v>
      </c>
      <c r="CY22" s="110" t="e">
        <f>Table1[[#This Row],[Kvcache]]/$T$4</f>
        <v>#DIV/0!</v>
      </c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</row>
    <row r="23" spans="1:192" s="2" customFormat="1" hidden="1" x14ac:dyDescent="0.25">
      <c r="A23" s="210">
        <v>3000</v>
      </c>
      <c r="B23" s="210">
        <v>300</v>
      </c>
      <c r="C23" s="2">
        <v>3</v>
      </c>
      <c r="D23" s="199">
        <f>Table1[[#This Row],[Kvcache]]</f>
        <v>5.7532058595354346E-2</v>
      </c>
      <c r="E23" s="205" t="s">
        <v>137</v>
      </c>
      <c r="F23" s="219">
        <v>46092</v>
      </c>
      <c r="G23" s="198"/>
      <c r="H23" s="198">
        <v>0.10438289626954089</v>
      </c>
      <c r="I23" s="198">
        <v>9.0780137003355202E-2</v>
      </c>
      <c r="J23" s="198">
        <v>0.68071966071517154</v>
      </c>
      <c r="K23" s="198">
        <v>0.82334846258163452</v>
      </c>
      <c r="L23" s="198">
        <v>0.90257667303085309</v>
      </c>
      <c r="M23" s="198">
        <v>9.3669171539898718E-3</v>
      </c>
      <c r="N23" s="198">
        <v>2.9012973598826934</v>
      </c>
      <c r="O23" s="197">
        <v>9932.71875</v>
      </c>
      <c r="P23" s="197">
        <v>931.29375000000005</v>
      </c>
      <c r="Q23" s="9">
        <v>7.0588235294117645</v>
      </c>
      <c r="R23" s="9">
        <v>13.5</v>
      </c>
      <c r="S23" s="196">
        <v>5.7532058595354346E-2</v>
      </c>
      <c r="T23" s="167">
        <v>0.1096586501163693</v>
      </c>
      <c r="U23" s="30">
        <f>(Table1[[#This Row],[In-Tok]]+Table1[[#This Row],[Out-Tok]])*Table1[[#This Row],[RPS]]</f>
        <v>9900</v>
      </c>
      <c r="V23" s="54">
        <f>Table1[[#This Row],[In-Tok]]+AvgOutLoad*Table1[[#This Row],[Out-Tok]]</f>
        <v>3150</v>
      </c>
      <c r="W23" s="25">
        <f>Table1[[#This Row],[In-Tok]]*Table1[[#This Row],[RPS]]</f>
        <v>9000</v>
      </c>
      <c r="X23" s="38">
        <f>Table1[[#This Row],[Out-Tok]]*Table1[[#This Row],[RPS]]</f>
        <v>900</v>
      </c>
      <c r="Y23" s="77">
        <f>Table1[[#This Row],[In-Tok]]/Table1[[#This Row],[Out-Tok]]</f>
        <v>10</v>
      </c>
      <c r="Z23" s="30">
        <f>Table1[[#This Row],[In-Tok]]*Table1[[#This Row],[N]]+AvgOutLoad*Table1[[#This Row],[Out-Tok]]*Table1[[#This Row],[Ndecode]]</f>
        <v>28380.25048611825</v>
      </c>
      <c r="AA23" s="25">
        <f>Table1[[#This Row],[tok(N)]]/Table1[[#This Row],[Kvcache]]</f>
        <v>493294.54184366565</v>
      </c>
      <c r="AB23" s="25">
        <f>Table1[[#This Row],[tok/req]]*Table1[[#This Row],[Run]]</f>
        <v>22235.294117647059</v>
      </c>
      <c r="AC23" s="25">
        <f>Table1[[#This Row],[tok(Run)]]/Table1[[#This Row],[Kvcache]]</f>
        <v>386485.28595224884</v>
      </c>
      <c r="AD23" s="25">
        <f>Table1[[#This Row],[tok/req]]*Table1[[#This Row],[MaxRun]]</f>
        <v>42525</v>
      </c>
      <c r="AE23" s="25">
        <f>Table1[[#This Row],[tok(MaxRun)]]/Table1[[#This Row],[MaxKvcache]]</f>
        <v>387794.30491687293</v>
      </c>
      <c r="AF23" s="77">
        <f>Table1[[#This Row],[PPS]]*Table1[[#This Row],[Prefill]]/Table1[[#This Row],[In-Tok]]</f>
        <v>0.30056452298026498</v>
      </c>
      <c r="AG23" s="31">
        <f>Table1[[#This Row],[GPS]]*Table1[[#This Row],[ITL]]</f>
        <v>8.7233514022785563</v>
      </c>
      <c r="AH23" s="31">
        <f>Table1[[#This Row],[Nprefill]]+Table1[[#This Row],[Ndecode]]</f>
        <v>9.0239159252588212</v>
      </c>
      <c r="AI23" s="43">
        <f>Table1[[#This Row],[Run]]/Table1[[#This Row],[ITL]]/Table1[[#This Row],[GPS]]</f>
        <v>0.80918711214224226</v>
      </c>
      <c r="AJ23" s="65">
        <f>Table1[[#This Row],[Prefill]]+Table1[[#This Row],[ITL]]</f>
        <v>0.10014705415734507</v>
      </c>
      <c r="AK23" s="43">
        <f>Table1[[#This Row],[TTFT]]/Table1[[#This Row],[estTTFT]]</f>
        <v>1.042296222767978</v>
      </c>
      <c r="AL23" s="31">
        <f>Table1[[#This Row],[In-Tok]]*Table1[[#This Row],[RPS]]/Table1[[#This Row],[PPS]]</f>
        <v>0.9060963293660157</v>
      </c>
      <c r="AM23" s="43">
        <f>Table1[[#This Row],[Prefill]]/Table1[[#This Row],[estPrefill]]</f>
        <v>0.100188174326755</v>
      </c>
      <c r="AN23" s="43">
        <f>Table1[[#This Row],[Prefill]]/Table1[[#This Row],[TTFT]]</f>
        <v>0.86968402149850099</v>
      </c>
      <c r="AO23" s="65">
        <f>Table1[[#This Row],[Run]]/(Table1[[#This Row],[Out-Tok]]*Table1[[#This Row],[RPS]])</f>
        <v>7.8431372549019607E-3</v>
      </c>
      <c r="AP23" s="43">
        <f>Table1[[#This Row],[ITL]]/Table1[[#This Row],[estITL]]</f>
        <v>1.1942819371337088</v>
      </c>
      <c r="AQ23" s="70">
        <f>Table1[[#This Row],[E2E]]-Table1[[#This Row],[TTFT]]+Table1[[#This Row],[ITL]]</f>
        <v>2.8062813807671425</v>
      </c>
      <c r="AR23" s="43">
        <f>Table1[[#This Row],[estDecode]]/Table1[[#This Row],[Run]]</f>
        <v>0.39755652894201188</v>
      </c>
      <c r="AS23" s="70">
        <f>Table1[[#This Row],[Prefill]]+Table1[[#This Row],[Out-Tok]]*Table1[[#This Row],[ITL]]</f>
        <v>2.9008552832003169</v>
      </c>
      <c r="AT23" s="31">
        <f>Table1[[#This Row],[estPrefill]]+Table1[[#This Row],[Out-Tok]]*Table1[[#This Row],[ITL]]</f>
        <v>3.7161714755629771</v>
      </c>
      <c r="AU23" s="43">
        <f>Table1[[#This Row],[E2E]]/Table1[[#This Row],[estE2E]]</f>
        <v>0.78072214346437407</v>
      </c>
      <c r="AV23" s="31">
        <f>Table1[[#This Row],[N]]/Table1[[#This Row],[estE2E]]</f>
        <v>2.4282829747224604</v>
      </c>
      <c r="AW23" s="31">
        <f>Table1[[#This Row],[PPS]]/Table1[[#This Row],[In-Tok]]</f>
        <v>3.3109062499999999</v>
      </c>
      <c r="AX23" s="43">
        <f>Table1[[#This Row],[RPS]]/Table1[[#This Row],[RPS(IL)]]</f>
        <v>0.9060963293660157</v>
      </c>
      <c r="AY23" s="31">
        <f>Table1[[#This Row],[GPS]]/Table1[[#This Row],[Out-Tok]]</f>
        <v>3.1043125000000003</v>
      </c>
      <c r="AZ23" s="90">
        <f>Table1[[#This Row],[RPS]]/Table1[[#This Row],[RPS(OL)]]</f>
        <v>0.96639755179286868</v>
      </c>
      <c r="BA23" s="133">
        <f>MaxTok/Table1[[#This Row],[tok/req]]</f>
        <v>123.14674983890644</v>
      </c>
      <c r="BB23" s="43">
        <f>Table1[[#This Row],[N]]/Table1[[#This Row],[N-max]]</f>
        <v>7.3277743318953953E-2</v>
      </c>
      <c r="BC23" s="70">
        <f>Table1[[#This Row],[RPS]]</f>
        <v>3</v>
      </c>
      <c r="BD23" s="49">
        <f>Table1[[#This Row],[PPS]]/Table1[[#This Row],[RPS success]]</f>
        <v>3310.90625</v>
      </c>
      <c r="BE23" s="43">
        <f>ABS(Table1[[#This Row],[est-In-Tok3]]-Table1[[#This Row],[In-Tok]])/Table1[[#This Row],[In-Tok]]</f>
        <v>0.10363541666666666</v>
      </c>
      <c r="BF23" s="49">
        <f>Table1[[#This Row],[GPS]]/Table1[[#This Row],[RPS success]]</f>
        <v>310.43125000000003</v>
      </c>
      <c r="BG23" s="43">
        <f>ABS(Table1[[#This Row],[est-Out-Tok3]]-Table1[[#This Row],[Out-Tok]])/Table1[[#This Row],[Out-Tok]]</f>
        <v>3.4770833333333445E-2</v>
      </c>
      <c r="BH23" s="159">
        <f>Table1[[#This Row],[est-In-Tok3]]+AvgOutLoad*Table1[[#This Row],[est-Out-Tok3]]</f>
        <v>3466.1218749999998</v>
      </c>
      <c r="BI23" s="43">
        <f>ABS(Table1[[#This Row],[est-Tok/Req3]]-Table1[[#This Row],[tok/req]])/Table1[[#This Row],[tok/req]]</f>
        <v>0.10035615079365073</v>
      </c>
      <c r="BJ23" s="159">
        <f>MaxTok/Table1[[#This Row],[est-Tok/Req3]]</f>
        <v>111.91535554200769</v>
      </c>
      <c r="BK23" s="43">
        <f>ABS(Table1[[#This Row],[est-N-max3]]-Table1[[#This Row],[N-max]])/Table1[[#This Row],[N-max]]</f>
        <v>9.1203335139506528E-2</v>
      </c>
      <c r="BL23" s="70">
        <f>MaxTok*Table1[[#This Row],[Kvcache]]/Table1[[#This Row],[Run]]</f>
        <v>3161.6303897983862</v>
      </c>
      <c r="BM23" s="167">
        <f>ABS(Table1[[#This Row],[est-Tok/Req]]-Table1[[#This Row],[tok/req]])/Table1[[#This Row],[tok/req]]</f>
        <v>3.6921872375829221E-3</v>
      </c>
      <c r="BN23" s="70">
        <f>MaxTok/Table1[[#This Row],[est-Tok/Req]]</f>
        <v>122.69374157214247</v>
      </c>
      <c r="BO23" s="177">
        <f>Table1[[#This Row],[Run]]/Table1[[#This Row],[Kvcache]]</f>
        <v>122.69374157214247</v>
      </c>
      <c r="BP23" s="133" cm="1">
        <f t="array" aca="1" ref="BP23" ca="1">_xlfn.CEILING.MATH(INDIRECT("Table1"&amp;BP$3)/BP$2)*BP$2</f>
        <v>4000</v>
      </c>
      <c r="BQ23" s="184" cm="1">
        <f t="array" aca="1" ref="BQ23" ca="1">_xlfn.CEILING.MATH(INDIRECT("Table1"&amp;BQ$3)/BQ$2)*BQ$2</f>
        <v>0.01</v>
      </c>
      <c r="BR23" s="43" cm="1">
        <f t="array" aca="1" ref="BR23" ca="1">_xlfn.CEILING.MATH(INDIRECT("Table1"&amp;BR$3)/BR$2)*BR$2</f>
        <v>0.1</v>
      </c>
      <c r="BS23" s="43" cm="1">
        <f t="array" aca="1" ref="BS23" ca="1">_xlfn.CEILING.MATH(INDIRECT("Table1"&amp;BS$3)/BS$2)*BS$2</f>
        <v>0.06</v>
      </c>
      <c r="BT23" s="25" cm="1">
        <f t="array" aca="1" ref="BT23" ca="1">_xlfn.CEILING.MATH(INDIRECT("Table1"&amp;BT$3)/BT$2)*BT$2</f>
        <v>8</v>
      </c>
      <c r="BU23" s="133" cm="1">
        <f t="array" aca="1" ref="BU23" ca="1">_xlfn.CEILING.MATH(INDIRECT("Table1"&amp;BU$3)/BU$2)*BU$2</f>
        <v>10</v>
      </c>
      <c r="BV23" s="133" cm="1">
        <f t="array" aca="1" ref="BV23" ca="1">_xlfn.CEILING.MATH(INDIRECT("Table1"&amp;BV$3)/BV$2)*BV$2</f>
        <v>3000</v>
      </c>
      <c r="BW23" s="43"/>
      <c r="BX23" s="43"/>
      <c r="BY23" s="193">
        <v>0.1096586501163693</v>
      </c>
      <c r="BZ23" s="43"/>
      <c r="CA23" s="24">
        <f>(Table1[[#This Row],[In-Tok]]+Table1[[#This Row],[Out-Tok]])*Table1[[#This Row],[RPS]]</f>
        <v>9900</v>
      </c>
      <c r="CB23" s="20">
        <f t="shared" si="5"/>
        <v>387794.30491687293</v>
      </c>
      <c r="CC23" s="20">
        <f>Table1[[#This Row],[Supply]]/(Table1[[#This Row],[Prefill]]+Table1[[#This Row],[Out-Tok]]*Table1[[#This Row],[ITL]])</f>
        <v>133682.74769262041</v>
      </c>
      <c r="CD23" s="20">
        <f>Table1[[#This Row],[MaxRun]]/Table1[[#This Row],[ITL]]</f>
        <v>1441.2425964768597</v>
      </c>
      <c r="CE23" s="20">
        <f>Table1[[#This Row],[Out-Tok]]*Table1[[#This Row],[RPS]]</f>
        <v>900</v>
      </c>
      <c r="CF23" s="22">
        <f>Table1[[#This Row],[Supply]]/Table1[[#This Row],[Demand-T]]</f>
        <v>39.171141910795242</v>
      </c>
      <c r="CG23" s="31"/>
      <c r="CH23" s="71">
        <f>Table1[[#This Row],[Prefill]]+Table1[[#This Row],[Out-Tok]]*Table1[[#This Row],[ITL]]</f>
        <v>2.9008552832003169</v>
      </c>
      <c r="CI23" s="71">
        <f>Table1[[#This Row],[GPS]]*Table1[[#This Row],[ITL]]</f>
        <v>8.7233514022785563</v>
      </c>
      <c r="CJ23" s="72">
        <f>Table1[[#This Row],[PPS]]*Table1[[#This Row],[Prefill]]/Table1[[#This Row],[In-Tok]]</f>
        <v>0.30056452298026498</v>
      </c>
      <c r="CK23" s="71">
        <f t="shared" si="6"/>
        <v>9.0239159252588212</v>
      </c>
      <c r="CL23" s="71">
        <f>Table1[[#This Row],[PPS]]/Table1[[#This Row],[In-Tok]]</f>
        <v>3.3109062499999999</v>
      </c>
      <c r="CM23" s="71">
        <f>Table1[[#This Row],[GPS]]/Table1[[#This Row],[Out-Tok]]</f>
        <v>3.1043125000000003</v>
      </c>
      <c r="CN23" s="71">
        <f>Table1[[#This Row],[Run]]/Table1[[#This Row],[E2E]]</f>
        <v>2.432988643982763</v>
      </c>
      <c r="CO23" s="71">
        <f>Table1[[#This Row],[N2]]/Table1[[#This Row],[E2E]]</f>
        <v>3.1103037041414052</v>
      </c>
      <c r="CP23" s="71"/>
      <c r="CQ23" s="71">
        <f>Table1[[#This Row],[In-Tok]]+AvgOutLoad*Table1[[#This Row],[Out-Tok]]</f>
        <v>3150</v>
      </c>
      <c r="CR23" s="71">
        <f t="shared" si="7"/>
        <v>115899.45958789998</v>
      </c>
      <c r="CS23" s="71" t="e">
        <f t="shared" si="8"/>
        <v>#DIV/0!</v>
      </c>
      <c r="CT23" s="71" t="e">
        <f t="shared" si="9"/>
        <v>#DIV/0!</v>
      </c>
      <c r="CU23" s="71">
        <f t="shared" si="10"/>
        <v>0</v>
      </c>
      <c r="CV23" s="71" t="e">
        <f t="shared" si="11"/>
        <v>#DIV/0!</v>
      </c>
      <c r="CW23" s="71">
        <f>Table1[[#This Row],[N(maxT)]]/Table1[[#This Row],[e2e sat]]</f>
        <v>0</v>
      </c>
      <c r="CX23" s="71" t="e">
        <f>Table1[[#This Row],[RPS]]/CW23</f>
        <v>#DIV/0!</v>
      </c>
      <c r="CY23" s="110" t="e">
        <f>Table1[[#This Row],[Kvcache]]/$T$4</f>
        <v>#DIV/0!</v>
      </c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</row>
    <row r="24" spans="1:192" s="2" customFormat="1" hidden="1" x14ac:dyDescent="0.25">
      <c r="A24" s="210">
        <v>4000</v>
      </c>
      <c r="B24" s="210">
        <v>300</v>
      </c>
      <c r="C24" s="2">
        <v>3</v>
      </c>
      <c r="D24" s="199">
        <f>Table1[[#This Row],[Kvcache]]</f>
        <v>0.13641673892210099</v>
      </c>
      <c r="E24" s="205" t="s">
        <v>137</v>
      </c>
      <c r="F24" s="219">
        <v>46092</v>
      </c>
      <c r="G24" s="198"/>
      <c r="H24" s="198">
        <v>0.15065540115753984</v>
      </c>
      <c r="I24" s="198">
        <v>0.12824057422707746</v>
      </c>
      <c r="J24" s="198">
        <v>0.74522870184963463</v>
      </c>
      <c r="K24" s="198">
        <v>0.95220743417739839</v>
      </c>
      <c r="L24" s="198">
        <v>1.0486458206176761</v>
      </c>
      <c r="M24" s="198">
        <v>1.3314866237425725E-2</v>
      </c>
      <c r="N24" s="198">
        <v>4.1277292247638506</v>
      </c>
      <c r="O24" s="197">
        <v>15935.375</v>
      </c>
      <c r="P24" s="197">
        <v>1121.0374999999999</v>
      </c>
      <c r="Q24" s="9">
        <v>12.705882352941181</v>
      </c>
      <c r="R24" s="9">
        <v>23</v>
      </c>
      <c r="S24" s="196">
        <v>0.13641673892210099</v>
      </c>
      <c r="T24" s="167">
        <v>0.2471295577967417</v>
      </c>
      <c r="U24" s="30">
        <f>(Table1[[#This Row],[In-Tok]]+Table1[[#This Row],[Out-Tok]])*Table1[[#This Row],[RPS]]</f>
        <v>12900</v>
      </c>
      <c r="V24" s="54">
        <f>Table1[[#This Row],[In-Tok]]+AvgOutLoad*Table1[[#This Row],[Out-Tok]]</f>
        <v>4150</v>
      </c>
      <c r="W24" s="25">
        <f>Table1[[#This Row],[In-Tok]]*Table1[[#This Row],[RPS]]</f>
        <v>12000</v>
      </c>
      <c r="X24" s="38">
        <f>Table1[[#This Row],[Out-Tok]]*Table1[[#This Row],[RPS]]</f>
        <v>900</v>
      </c>
      <c r="Y24" s="77">
        <f>Table1[[#This Row],[In-Tok]]/Table1[[#This Row],[Out-Tok]]</f>
        <v>13.333333333333334</v>
      </c>
      <c r="Z24" s="30">
        <f>Table1[[#This Row],[In-Tok]]*Table1[[#This Row],[N]]+AvgOutLoad*Table1[[#This Row],[Out-Tok]]*Table1[[#This Row],[Ndecode]]</f>
        <v>63988.38873302209</v>
      </c>
      <c r="AA24" s="25">
        <f>Table1[[#This Row],[tok(N)]]/Table1[[#This Row],[Kvcache]]</f>
        <v>469065.52112759295</v>
      </c>
      <c r="AB24" s="25">
        <f>Table1[[#This Row],[tok/req]]*Table1[[#This Row],[Run]]</f>
        <v>52729.411764705903</v>
      </c>
      <c r="AC24" s="25">
        <f>Table1[[#This Row],[tok(Run)]]/Table1[[#This Row],[Kvcache]]</f>
        <v>386531.83019436017</v>
      </c>
      <c r="AD24" s="25">
        <f>Table1[[#This Row],[tok/req]]*Table1[[#This Row],[MaxRun]]</f>
        <v>95450</v>
      </c>
      <c r="AE24" s="25">
        <f>Table1[[#This Row],[tok(MaxRun)]]/Table1[[#This Row],[MaxKvcache]]</f>
        <v>386234.65703971114</v>
      </c>
      <c r="AF24" s="77">
        <f>Table1[[#This Row],[PPS]]*Table1[[#This Row],[Prefill]]/Table1[[#This Row],[In-Tok]]</f>
        <v>0.5108904101309536</v>
      </c>
      <c r="AG24" s="31">
        <f>Table1[[#This Row],[GPS]]*Table1[[#This Row],[ITL]]</f>
        <v>14.926464359638139</v>
      </c>
      <c r="AH24" s="31">
        <f>Table1[[#This Row],[Nprefill]]+Table1[[#This Row],[Ndecode]]</f>
        <v>15.437354769769092</v>
      </c>
      <c r="AI24" s="43">
        <f>Table1[[#This Row],[Run]]/Table1[[#This Row],[ITL]]/Table1[[#This Row],[GPS]]</f>
        <v>0.85123188230017033</v>
      </c>
      <c r="AJ24" s="65">
        <f>Table1[[#This Row],[Prefill]]+Table1[[#This Row],[ITL]]</f>
        <v>0.14155544046450319</v>
      </c>
      <c r="AK24" s="43">
        <f>Table1[[#This Row],[TTFT]]/Table1[[#This Row],[estTTFT]]</f>
        <v>1.0642854888740116</v>
      </c>
      <c r="AL24" s="31">
        <f>Table1[[#This Row],[In-Tok]]*Table1[[#This Row],[RPS]]/Table1[[#This Row],[PPS]]</f>
        <v>0.75304158201485694</v>
      </c>
      <c r="AM24" s="43">
        <f>Table1[[#This Row],[Prefill]]/Table1[[#This Row],[estPrefill]]</f>
        <v>0.17029680337698452</v>
      </c>
      <c r="AN24" s="43">
        <f>Table1[[#This Row],[Prefill]]/Table1[[#This Row],[TTFT]]</f>
        <v>0.85121790019978594</v>
      </c>
      <c r="AO24" s="65">
        <f>Table1[[#This Row],[Run]]/(Table1[[#This Row],[Out-Tok]]*Table1[[#This Row],[RPS]])</f>
        <v>1.4117647058823535E-2</v>
      </c>
      <c r="AP24" s="43">
        <f>Table1[[#This Row],[ITL]]/Table1[[#This Row],[estITL]]</f>
        <v>0.94313635848432176</v>
      </c>
      <c r="AQ24" s="70">
        <f>Table1[[#This Row],[E2E]]-Table1[[#This Row],[TTFT]]+Table1[[#This Row],[ITL]]</f>
        <v>3.9903886898437366</v>
      </c>
      <c r="AR24" s="43">
        <f>Table1[[#This Row],[estDecode]]/Table1[[#This Row],[Run]]</f>
        <v>0.31405836910807178</v>
      </c>
      <c r="AS24" s="70">
        <f>Table1[[#This Row],[Prefill]]+Table1[[#This Row],[Out-Tok]]*Table1[[#This Row],[ITL]]</f>
        <v>4.1227004454547949</v>
      </c>
      <c r="AT24" s="31">
        <f>Table1[[#This Row],[estPrefill]]+Table1[[#This Row],[Out-Tok]]*Table1[[#This Row],[ITL]]</f>
        <v>4.7475014532425748</v>
      </c>
      <c r="AU24" s="43">
        <f>Table1[[#This Row],[E2E]]/Table1[[#This Row],[estE2E]]</f>
        <v>0.86945296708536746</v>
      </c>
      <c r="AV24" s="31">
        <f>Table1[[#This Row],[N]]/Table1[[#This Row],[estE2E]]</f>
        <v>3.2516798408192749</v>
      </c>
      <c r="AW24" s="31">
        <f>Table1[[#This Row],[PPS]]/Table1[[#This Row],[In-Tok]]</f>
        <v>3.9838437500000001</v>
      </c>
      <c r="AX24" s="43">
        <f>Table1[[#This Row],[RPS]]/Table1[[#This Row],[RPS(IL)]]</f>
        <v>0.75304158201485683</v>
      </c>
      <c r="AY24" s="31">
        <f>Table1[[#This Row],[GPS]]/Table1[[#This Row],[Out-Tok]]</f>
        <v>3.7367916666666665</v>
      </c>
      <c r="AZ24" s="90">
        <f>Table1[[#This Row],[RPS]]/Table1[[#This Row],[RPS(OL)]]</f>
        <v>0.80282773769833748</v>
      </c>
      <c r="BA24" s="133">
        <f>MaxTok/Table1[[#This Row],[tok/req]]</f>
        <v>93.472834215073561</v>
      </c>
      <c r="BB24" s="43">
        <f>Table1[[#This Row],[N]]/Table1[[#This Row],[N-max]]</f>
        <v>0.16515338279193467</v>
      </c>
      <c r="BC24" s="70">
        <f>Table1[[#This Row],[RPS]]</f>
        <v>3</v>
      </c>
      <c r="BD24" s="49">
        <f>Table1[[#This Row],[PPS]]/Table1[[#This Row],[RPS success]]</f>
        <v>5311.791666666667</v>
      </c>
      <c r="BE24" s="43">
        <f>ABS(Table1[[#This Row],[est-In-Tok3]]-Table1[[#This Row],[In-Tok]])/Table1[[#This Row],[In-Tok]]</f>
        <v>0.32794791666666673</v>
      </c>
      <c r="BF24" s="49">
        <f>Table1[[#This Row],[GPS]]/Table1[[#This Row],[RPS success]]</f>
        <v>373.67916666666662</v>
      </c>
      <c r="BG24" s="43">
        <f>ABS(Table1[[#This Row],[est-Out-Tok3]]-Table1[[#This Row],[Out-Tok]])/Table1[[#This Row],[Out-Tok]]</f>
        <v>0.24559722222222205</v>
      </c>
      <c r="BH24" s="159">
        <f>Table1[[#This Row],[est-In-Tok3]]+AvgOutLoad*Table1[[#This Row],[est-Out-Tok3]]</f>
        <v>5498.6312500000004</v>
      </c>
      <c r="BI24" s="43">
        <f>ABS(Table1[[#This Row],[est-Tok/Req3]]-Table1[[#This Row],[tok/req]])/Table1[[#This Row],[tok/req]]</f>
        <v>0.32497138554216876</v>
      </c>
      <c r="BJ24" s="159">
        <f>MaxTok/Table1[[#This Row],[est-Tok/Req3]]</f>
        <v>70.547058778046861</v>
      </c>
      <c r="BK24" s="43">
        <f>ABS(Table1[[#This Row],[est-N-max3]]-Table1[[#This Row],[N-max]])/Table1[[#This Row],[N-max]]</f>
        <v>0.24526671978594672</v>
      </c>
      <c r="BL24" s="70">
        <f>MaxTok*Table1[[#This Row],[Kvcache]]/Table1[[#This Row],[Run]]</f>
        <v>4164.821009590929</v>
      </c>
      <c r="BM24" s="167">
        <f>ABS(Table1[[#This Row],[est-Tok/Req]]-Table1[[#This Row],[tok/req]])/Table1[[#This Row],[tok/req]]</f>
        <v>3.5713276122720365E-3</v>
      </c>
      <c r="BN24" s="70">
        <f>MaxTok/Table1[[#This Row],[est-Tok/Req]]</f>
        <v>93.140200046833769</v>
      </c>
      <c r="BO24" s="177">
        <f>Table1[[#This Row],[Run]]/Table1[[#This Row],[Kvcache]]</f>
        <v>93.140200046833769</v>
      </c>
      <c r="BP24" s="133" cm="1">
        <f t="array" aca="1" ref="BP24" ca="1">_xlfn.CEILING.MATH(INDIRECT("Table1"&amp;BP$3)/BP$2)*BP$2</f>
        <v>5000</v>
      </c>
      <c r="BQ24" s="184" cm="1">
        <f t="array" aca="1" ref="BQ24" ca="1">_xlfn.CEILING.MATH(INDIRECT("Table1"&amp;BQ$3)/BQ$2)*BQ$2</f>
        <v>1.4999999999999999E-2</v>
      </c>
      <c r="BR24" s="43" cm="1">
        <f t="array" aca="1" ref="BR24" ca="1">_xlfn.CEILING.MATH(INDIRECT("Table1"&amp;BR$3)/BR$2)*BR$2</f>
        <v>0.2</v>
      </c>
      <c r="BS24" s="43" cm="1">
        <f t="array" aca="1" ref="BS24" ca="1">_xlfn.CEILING.MATH(INDIRECT("Table1"&amp;BS$3)/BS$2)*BS$2</f>
        <v>0.14000000000000001</v>
      </c>
      <c r="BT24" s="25" cm="1">
        <f t="array" aca="1" ref="BT24" ca="1">_xlfn.CEILING.MATH(INDIRECT("Table1"&amp;BT$3)/BT$2)*BT$2</f>
        <v>13</v>
      </c>
      <c r="BU24" s="133" cm="1">
        <f t="array" aca="1" ref="BU24" ca="1">_xlfn.CEILING.MATH(INDIRECT("Table1"&amp;BU$3)/BU$2)*BU$2</f>
        <v>15</v>
      </c>
      <c r="BV24" s="133" cm="1">
        <f t="array" aca="1" ref="BV24" ca="1">_xlfn.CEILING.MATH(INDIRECT("Table1"&amp;BV$3)/BV$2)*BV$2</f>
        <v>4000</v>
      </c>
      <c r="BW24" s="43"/>
      <c r="BX24" s="43"/>
      <c r="BY24" s="193">
        <v>0.2471295577967417</v>
      </c>
      <c r="BZ24" s="43"/>
      <c r="CA24" s="24">
        <f>(Table1[[#This Row],[In-Tok]]+Table1[[#This Row],[Out-Tok]])*Table1[[#This Row],[RPS]]</f>
        <v>12900</v>
      </c>
      <c r="CB24" s="20">
        <f t="shared" si="5"/>
        <v>386234.65703971114</v>
      </c>
      <c r="CC24" s="20">
        <f>Table1[[#This Row],[Supply]]/(Table1[[#This Row],[Prefill]]+Table1[[#This Row],[Out-Tok]]*Table1[[#This Row],[ITL]])</f>
        <v>93684.870426501177</v>
      </c>
      <c r="CD24" s="20">
        <f>Table1[[#This Row],[MaxRun]]/Table1[[#This Row],[ITL]]</f>
        <v>1727.3924942145557</v>
      </c>
      <c r="CE24" s="20">
        <f>Table1[[#This Row],[Out-Tok]]*Table1[[#This Row],[RPS]]</f>
        <v>900</v>
      </c>
      <c r="CF24" s="22">
        <f>Table1[[#This Row],[Supply]]/Table1[[#This Row],[Demand-T]]</f>
        <v>29.940671088349699</v>
      </c>
      <c r="CG24" s="31"/>
      <c r="CH24" s="71">
        <f>Table1[[#This Row],[Prefill]]+Table1[[#This Row],[Out-Tok]]*Table1[[#This Row],[ITL]]</f>
        <v>4.1227004454547949</v>
      </c>
      <c r="CI24" s="71">
        <f>Table1[[#This Row],[GPS]]*Table1[[#This Row],[ITL]]</f>
        <v>14.926464359638139</v>
      </c>
      <c r="CJ24" s="72">
        <f>Table1[[#This Row],[PPS]]*Table1[[#This Row],[Prefill]]/Table1[[#This Row],[In-Tok]]</f>
        <v>0.5108904101309536</v>
      </c>
      <c r="CK24" s="71">
        <f t="shared" si="6"/>
        <v>15.437354769769092</v>
      </c>
      <c r="CL24" s="71">
        <f>Table1[[#This Row],[PPS]]/Table1[[#This Row],[In-Tok]]</f>
        <v>3.9838437500000001</v>
      </c>
      <c r="CM24" s="71">
        <f>Table1[[#This Row],[GPS]]/Table1[[#This Row],[Out-Tok]]</f>
        <v>3.7367916666666665</v>
      </c>
      <c r="CN24" s="71">
        <f>Table1[[#This Row],[Run]]/Table1[[#This Row],[E2E]]</f>
        <v>3.0781772885473346</v>
      </c>
      <c r="CO24" s="71">
        <f>Table1[[#This Row],[N2]]/Table1[[#This Row],[E2E]]</f>
        <v>3.739914594483186</v>
      </c>
      <c r="CP24" s="71"/>
      <c r="CQ24" s="71">
        <f>Table1[[#This Row],[In-Tok]]+AvgOutLoad*Table1[[#This Row],[Out-Tok]]</f>
        <v>4150</v>
      </c>
      <c r="CR24" s="71">
        <f t="shared" si="7"/>
        <v>239429.46468490586</v>
      </c>
      <c r="CS24" s="71" t="e">
        <f t="shared" si="8"/>
        <v>#DIV/0!</v>
      </c>
      <c r="CT24" s="71" t="e">
        <f t="shared" si="9"/>
        <v>#DIV/0!</v>
      </c>
      <c r="CU24" s="71">
        <f t="shared" si="10"/>
        <v>0</v>
      </c>
      <c r="CV24" s="71" t="e">
        <f t="shared" si="11"/>
        <v>#DIV/0!</v>
      </c>
      <c r="CW24" s="71">
        <f>Table1[[#This Row],[N(maxT)]]/Table1[[#This Row],[e2e sat]]</f>
        <v>0</v>
      </c>
      <c r="CX24" s="71" t="e">
        <f>Table1[[#This Row],[RPS]]/CW24</f>
        <v>#DIV/0!</v>
      </c>
      <c r="CY24" s="110" t="e">
        <f>Table1[[#This Row],[Kvcache]]/$T$4</f>
        <v>#DIV/0!</v>
      </c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</row>
    <row r="25" spans="1:192" s="2" customFormat="1" hidden="1" x14ac:dyDescent="0.25">
      <c r="A25" s="210">
        <v>5000</v>
      </c>
      <c r="B25" s="210">
        <v>300</v>
      </c>
      <c r="C25" s="2">
        <v>3</v>
      </c>
      <c r="D25" s="199">
        <f>Table1[[#This Row],[Kvcache]]</f>
        <v>0.17103859581070602</v>
      </c>
      <c r="E25" s="205" t="s">
        <v>137</v>
      </c>
      <c r="F25" s="219">
        <v>46092</v>
      </c>
      <c r="G25" s="198"/>
      <c r="H25" s="198">
        <v>0.21052470470275791</v>
      </c>
      <c r="I25" s="198">
        <v>0.17191651717567114</v>
      </c>
      <c r="J25" s="198">
        <v>0.8292316875977479</v>
      </c>
      <c r="K25" s="198">
        <v>1.1724771201610564</v>
      </c>
      <c r="L25" s="198">
        <v>1.278892924785614</v>
      </c>
      <c r="M25" s="198">
        <v>1.555310791801642E-2</v>
      </c>
      <c r="N25" s="198">
        <v>4.8805435430553663</v>
      </c>
      <c r="O25" s="197">
        <v>17538.867916666662</v>
      </c>
      <c r="P25" s="197">
        <v>975.83333333333348</v>
      </c>
      <c r="Q25" s="9">
        <v>12.858455882352942</v>
      </c>
      <c r="R25" s="9">
        <v>23</v>
      </c>
      <c r="S25" s="196">
        <v>0.17103859581070602</v>
      </c>
      <c r="T25" s="167">
        <v>0.30333591931730025</v>
      </c>
      <c r="U25" s="30">
        <f>(Table1[[#This Row],[In-Tok]]+Table1[[#This Row],[Out-Tok]])*Table1[[#This Row],[RPS]]</f>
        <v>15900</v>
      </c>
      <c r="V25" s="54">
        <f>Table1[[#This Row],[In-Tok]]+AvgOutLoad*Table1[[#This Row],[Out-Tok]]</f>
        <v>5150</v>
      </c>
      <c r="W25" s="25">
        <f>Table1[[#This Row],[In-Tok]]*Table1[[#This Row],[RPS]]</f>
        <v>15000</v>
      </c>
      <c r="X25" s="38">
        <f>Table1[[#This Row],[Out-Tok]]*Table1[[#This Row],[RPS]]</f>
        <v>900</v>
      </c>
      <c r="Y25" s="77">
        <f>Table1[[#This Row],[In-Tok]]/Table1[[#This Row],[Out-Tok]]</f>
        <v>16.666666666666668</v>
      </c>
      <c r="Z25" s="30">
        <f>Table1[[#This Row],[In-Tok]]*Table1[[#This Row],[N]]+AvgOutLoad*Table1[[#This Row],[Out-Tok]]*Table1[[#This Row],[Ndecode]]</f>
        <v>81178.012975592239</v>
      </c>
      <c r="AA25" s="25">
        <f>Table1[[#This Row],[tok(N)]]/Table1[[#This Row],[Kvcache]]</f>
        <v>474618.09769202379</v>
      </c>
      <c r="AB25" s="25">
        <f>Table1[[#This Row],[tok/req]]*Table1[[#This Row],[Run]]</f>
        <v>66221.04779411765</v>
      </c>
      <c r="AC25" s="25">
        <f>Table1[[#This Row],[tok(Run)]]/Table1[[#This Row],[Kvcache]]</f>
        <v>387170.20260974689</v>
      </c>
      <c r="AD25" s="25">
        <f>Table1[[#This Row],[tok/req]]*Table1[[#This Row],[MaxRun]]</f>
        <v>118450</v>
      </c>
      <c r="AE25" s="25">
        <f>Table1[[#This Row],[tok(MaxRun)]]/Table1[[#This Row],[MaxKvcache]]</f>
        <v>390491.17647058819</v>
      </c>
      <c r="AF25" s="77">
        <f>Table1[[#This Row],[PPS]]*Table1[[#This Row],[Prefill]]/Table1[[#This Row],[In-Tok]]</f>
        <v>0.60304421748749037</v>
      </c>
      <c r="AG25" s="31">
        <f>Table1[[#This Row],[GPS]]*Table1[[#This Row],[ITL]]</f>
        <v>15.177241143331026</v>
      </c>
      <c r="AH25" s="31">
        <f>Table1[[#This Row],[Nprefill]]+Table1[[#This Row],[Ndecode]]</f>
        <v>15.780285360818516</v>
      </c>
      <c r="AI25" s="43">
        <f>Table1[[#This Row],[Run]]/Table1[[#This Row],[ITL]]/Table1[[#This Row],[GPS]]</f>
        <v>0.84721958101081019</v>
      </c>
      <c r="AJ25" s="65">
        <f>Table1[[#This Row],[Prefill]]+Table1[[#This Row],[ITL]]</f>
        <v>0.18746962509368756</v>
      </c>
      <c r="AK25" s="43">
        <f>Table1[[#This Row],[TTFT]]/Table1[[#This Row],[estTTFT]]</f>
        <v>1.1229803473365279</v>
      </c>
      <c r="AL25" s="31">
        <f>Table1[[#This Row],[In-Tok]]*Table1[[#This Row],[RPS]]/Table1[[#This Row],[PPS]]</f>
        <v>0.85524334131885149</v>
      </c>
      <c r="AM25" s="43">
        <f>Table1[[#This Row],[Prefill]]/Table1[[#This Row],[estPrefill]]</f>
        <v>0.20101473916249676</v>
      </c>
      <c r="AN25" s="43">
        <f>Table1[[#This Row],[Prefill]]/Table1[[#This Row],[TTFT]]</f>
        <v>0.81660970582242076</v>
      </c>
      <c r="AO25" s="65">
        <f>Table1[[#This Row],[Run]]/(Table1[[#This Row],[Out-Tok]]*Table1[[#This Row],[RPS]])</f>
        <v>1.428717320261438E-2</v>
      </c>
      <c r="AP25" s="43">
        <f>Table1[[#This Row],[ITL]]/Table1[[#This Row],[estITL]]</f>
        <v>1.0886063812238511</v>
      </c>
      <c r="AQ25" s="70">
        <f>Table1[[#This Row],[E2E]]-Table1[[#This Row],[TTFT]]+Table1[[#This Row],[ITL]]</f>
        <v>4.6855719462706249</v>
      </c>
      <c r="AR25" s="43">
        <f>Table1[[#This Row],[estDecode]]/Table1[[#This Row],[Run]]</f>
        <v>0.36439615993870189</v>
      </c>
      <c r="AS25" s="70">
        <f>Table1[[#This Row],[Prefill]]+Table1[[#This Row],[Out-Tok]]*Table1[[#This Row],[ITL]]</f>
        <v>4.8378488925805971</v>
      </c>
      <c r="AT25" s="31">
        <f>Table1[[#This Row],[estPrefill]]+Table1[[#This Row],[Out-Tok]]*Table1[[#This Row],[ITL]]</f>
        <v>5.5211757167237767</v>
      </c>
      <c r="AU25" s="43">
        <f>Table1[[#This Row],[E2E]]/Table1[[#This Row],[estE2E]]</f>
        <v>0.88396816067130057</v>
      </c>
      <c r="AV25" s="31">
        <f>Table1[[#This Row],[N]]/Table1[[#This Row],[estE2E]]</f>
        <v>2.858138586862875</v>
      </c>
      <c r="AW25" s="31">
        <f>Table1[[#This Row],[PPS]]/Table1[[#This Row],[In-Tok]]</f>
        <v>3.5077735833333326</v>
      </c>
      <c r="AX25" s="43">
        <f>Table1[[#This Row],[RPS]]/Table1[[#This Row],[RPS(IL)]]</f>
        <v>0.85524334131885149</v>
      </c>
      <c r="AY25" s="31">
        <f>Table1[[#This Row],[GPS]]/Table1[[#This Row],[Out-Tok]]</f>
        <v>3.2527777777777782</v>
      </c>
      <c r="AZ25" s="90">
        <f>Table1[[#This Row],[RPS]]/Table1[[#This Row],[RPS(OL)]]</f>
        <v>0.92228864218616557</v>
      </c>
      <c r="BA25" s="133">
        <f>MaxTok/Table1[[#This Row],[tok/req]]</f>
        <v>75.322769318942775</v>
      </c>
      <c r="BB25" s="43">
        <f>Table1[[#This Row],[N]]/Table1[[#This Row],[N-max]]</f>
        <v>0.20950219307523471</v>
      </c>
      <c r="BC25" s="70">
        <f>Table1[[#This Row],[RPS]]</f>
        <v>3</v>
      </c>
      <c r="BD25" s="49">
        <f>Table1[[#This Row],[PPS]]/Table1[[#This Row],[RPS success]]</f>
        <v>5846.2893055555542</v>
      </c>
      <c r="BE25" s="43">
        <f>ABS(Table1[[#This Row],[est-In-Tok3]]-Table1[[#This Row],[In-Tok]])/Table1[[#This Row],[In-Tok]]</f>
        <v>0.16925786111111082</v>
      </c>
      <c r="BF25" s="49">
        <f>Table1[[#This Row],[GPS]]/Table1[[#This Row],[RPS success]]</f>
        <v>325.27777777777783</v>
      </c>
      <c r="BG25" s="43">
        <f>ABS(Table1[[#This Row],[est-Out-Tok3]]-Table1[[#This Row],[Out-Tok]])/Table1[[#This Row],[Out-Tok]]</f>
        <v>8.4259259259259423E-2</v>
      </c>
      <c r="BH25" s="159">
        <f>Table1[[#This Row],[est-In-Tok3]]+AvgOutLoad*Table1[[#This Row],[est-Out-Tok3]]</f>
        <v>6008.9281944444429</v>
      </c>
      <c r="BI25" s="43">
        <f>ABS(Table1[[#This Row],[est-Tok/Req3]]-Table1[[#This Row],[tok/req]])/Table1[[#This Row],[tok/req]]</f>
        <v>0.1667821736785326</v>
      </c>
      <c r="BJ25" s="159">
        <f>MaxTok/Table1[[#This Row],[est-Tok/Req3]]</f>
        <v>64.555982271713575</v>
      </c>
      <c r="BK25" s="43">
        <f>ABS(Table1[[#This Row],[est-N-max3]]-Table1[[#This Row],[N-max]])/Table1[[#This Row],[N-max]]</f>
        <v>0.14294199675052949</v>
      </c>
      <c r="BL25" s="70">
        <f>MaxTok*Table1[[#This Row],[Kvcache]]/Table1[[#This Row],[Run]]</f>
        <v>5159.8706093488172</v>
      </c>
      <c r="BM25" s="167">
        <f>ABS(Table1[[#This Row],[est-Tok/Req]]-Table1[[#This Row],[tok/req]])/Table1[[#This Row],[tok/req]]</f>
        <v>1.9166231745276112E-3</v>
      </c>
      <c r="BN25" s="70">
        <f>MaxTok/Table1[[#This Row],[est-Tok/Req]]</f>
        <v>75.178680118397452</v>
      </c>
      <c r="BO25" s="177">
        <f>Table1[[#This Row],[Run]]/Table1[[#This Row],[Kvcache]]</f>
        <v>75.178680118397452</v>
      </c>
      <c r="BP25" s="133" cm="1">
        <f t="array" aca="1" ref="BP25" ca="1">_xlfn.CEILING.MATH(INDIRECT("Table1"&amp;BP$3)/BP$2)*BP$2</f>
        <v>6000</v>
      </c>
      <c r="BQ25" s="184" cm="1">
        <f t="array" aca="1" ref="BQ25" ca="1">_xlfn.CEILING.MATH(INDIRECT("Table1"&amp;BQ$3)/BQ$2)*BQ$2</f>
        <v>0.02</v>
      </c>
      <c r="BR25" s="43" cm="1">
        <f t="array" aca="1" ref="BR25" ca="1">_xlfn.CEILING.MATH(INDIRECT("Table1"&amp;BR$3)/BR$2)*BR$2</f>
        <v>0.2</v>
      </c>
      <c r="BS25" s="43" cm="1">
        <f t="array" aca="1" ref="BS25" ca="1">_xlfn.CEILING.MATH(INDIRECT("Table1"&amp;BS$3)/BS$2)*BS$2</f>
        <v>0.18</v>
      </c>
      <c r="BT25" s="25" cm="1">
        <f t="array" aca="1" ref="BT25" ca="1">_xlfn.CEILING.MATH(INDIRECT("Table1"&amp;BT$3)/BT$2)*BT$2</f>
        <v>13</v>
      </c>
      <c r="BU25" s="133" cm="1">
        <f t="array" aca="1" ref="BU25" ca="1">_xlfn.CEILING.MATH(INDIRECT("Table1"&amp;BU$3)/BU$2)*BU$2</f>
        <v>20</v>
      </c>
      <c r="BV25" s="133" cm="1">
        <f t="array" aca="1" ref="BV25" ca="1">_xlfn.CEILING.MATH(INDIRECT("Table1"&amp;BV$3)/BV$2)*BV$2</f>
        <v>5000</v>
      </c>
      <c r="BW25" s="43"/>
      <c r="BX25" s="43"/>
      <c r="BY25" s="193">
        <v>0.30333591931730025</v>
      </c>
      <c r="BZ25" s="43"/>
      <c r="CA25" s="24">
        <f>(Table1[[#This Row],[In-Tok]]+Table1[[#This Row],[Out-Tok]])*Table1[[#This Row],[RPS]]</f>
        <v>15900</v>
      </c>
      <c r="CB25" s="20">
        <f t="shared" si="5"/>
        <v>390491.17647058819</v>
      </c>
      <c r="CC25" s="20">
        <f>Table1[[#This Row],[Supply]]/(Table1[[#This Row],[Prefill]]+Table1[[#This Row],[Out-Tok]]*Table1[[#This Row],[ITL]])</f>
        <v>80715.868796450362</v>
      </c>
      <c r="CD25" s="20">
        <f>Table1[[#This Row],[MaxRun]]/Table1[[#This Row],[ITL]]</f>
        <v>1478.8041156299857</v>
      </c>
      <c r="CE25" s="20">
        <f>Table1[[#This Row],[Out-Tok]]*Table1[[#This Row],[RPS]]</f>
        <v>900</v>
      </c>
      <c r="CF25" s="22">
        <f>Table1[[#This Row],[Supply]]/Table1[[#This Row],[Demand-T]]</f>
        <v>24.55919348871624</v>
      </c>
      <c r="CG25" s="31"/>
      <c r="CH25" s="71">
        <f>Table1[[#This Row],[Prefill]]+Table1[[#This Row],[Out-Tok]]*Table1[[#This Row],[ITL]]</f>
        <v>4.8378488925805971</v>
      </c>
      <c r="CI25" s="71">
        <f>Table1[[#This Row],[GPS]]*Table1[[#This Row],[ITL]]</f>
        <v>15.177241143331026</v>
      </c>
      <c r="CJ25" s="72">
        <f>Table1[[#This Row],[PPS]]*Table1[[#This Row],[Prefill]]/Table1[[#This Row],[In-Tok]]</f>
        <v>0.60304421748749037</v>
      </c>
      <c r="CK25" s="71">
        <f t="shared" si="6"/>
        <v>15.780285360818516</v>
      </c>
      <c r="CL25" s="71">
        <f>Table1[[#This Row],[PPS]]/Table1[[#This Row],[In-Tok]]</f>
        <v>3.5077735833333326</v>
      </c>
      <c r="CM25" s="71">
        <f>Table1[[#This Row],[GPS]]/Table1[[#This Row],[Out-Tok]]</f>
        <v>3.2527777777777782</v>
      </c>
      <c r="CN25" s="71">
        <f>Table1[[#This Row],[Run]]/Table1[[#This Row],[E2E]]</f>
        <v>2.6346360336543917</v>
      </c>
      <c r="CO25" s="71">
        <f>Table1[[#This Row],[N2]]/Table1[[#This Row],[E2E]]</f>
        <v>3.2333049017199391</v>
      </c>
      <c r="CP25" s="71"/>
      <c r="CQ25" s="71">
        <f>Table1[[#This Row],[In-Tok]]+AvgOutLoad*Table1[[#This Row],[Out-Tok]]</f>
        <v>5150</v>
      </c>
      <c r="CR25" s="71">
        <f t="shared" si="7"/>
        <v>310101.43712551217</v>
      </c>
      <c r="CS25" s="71" t="e">
        <f t="shared" si="8"/>
        <v>#DIV/0!</v>
      </c>
      <c r="CT25" s="71" t="e">
        <f t="shared" si="9"/>
        <v>#DIV/0!</v>
      </c>
      <c r="CU25" s="71">
        <f t="shared" si="10"/>
        <v>0</v>
      </c>
      <c r="CV25" s="71" t="e">
        <f t="shared" si="11"/>
        <v>#DIV/0!</v>
      </c>
      <c r="CW25" s="71">
        <f>Table1[[#This Row],[N(maxT)]]/Table1[[#This Row],[e2e sat]]</f>
        <v>0</v>
      </c>
      <c r="CX25" s="71" t="e">
        <f>Table1[[#This Row],[RPS]]/CW25</f>
        <v>#DIV/0!</v>
      </c>
      <c r="CY25" s="110" t="e">
        <f>Table1[[#This Row],[Kvcache]]/$T$4</f>
        <v>#DIV/0!</v>
      </c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</row>
    <row r="26" spans="1:192" s="2" customFormat="1" hidden="1" x14ac:dyDescent="0.25">
      <c r="A26" s="210">
        <v>6000</v>
      </c>
      <c r="B26" s="210">
        <v>300</v>
      </c>
      <c r="C26" s="2">
        <v>3</v>
      </c>
      <c r="D26" s="199">
        <f>Table1[[#This Row],[Kvcache]]</f>
        <v>0.33335134965545565</v>
      </c>
      <c r="E26" s="205" t="s">
        <v>137</v>
      </c>
      <c r="F26" s="219">
        <v>46092</v>
      </c>
      <c r="G26" s="198"/>
      <c r="H26" s="198">
        <v>0.30104209389524017</v>
      </c>
      <c r="I26" s="198">
        <v>0.23537157400344649</v>
      </c>
      <c r="J26" s="198">
        <v>0.93474197445164808</v>
      </c>
      <c r="K26" s="198">
        <v>1.424548721313476</v>
      </c>
      <c r="L26" s="198">
        <v>1.636612620353699</v>
      </c>
      <c r="M26" s="198">
        <v>2.3725058598717791E-2</v>
      </c>
      <c r="N26" s="198">
        <v>7.3598255844776101</v>
      </c>
      <c r="O26" s="197">
        <v>22517.829583333336</v>
      </c>
      <c r="P26" s="197">
        <v>1025.07</v>
      </c>
      <c r="Q26" s="9">
        <v>20.96875</v>
      </c>
      <c r="R26" s="9">
        <v>40.5</v>
      </c>
      <c r="S26" s="196">
        <v>0.33335134965545565</v>
      </c>
      <c r="T26" s="167">
        <v>0.64437548487199381</v>
      </c>
      <c r="U26" s="30">
        <f>(Table1[[#This Row],[In-Tok]]+Table1[[#This Row],[Out-Tok]])*Table1[[#This Row],[RPS]]</f>
        <v>18900</v>
      </c>
      <c r="V26" s="54">
        <f>Table1[[#This Row],[In-Tok]]+AvgOutLoad*Table1[[#This Row],[Out-Tok]]</f>
        <v>6150</v>
      </c>
      <c r="W26" s="25">
        <f>Table1[[#This Row],[In-Tok]]*Table1[[#This Row],[RPS]]</f>
        <v>18000</v>
      </c>
      <c r="X26" s="38">
        <f>Table1[[#This Row],[Out-Tok]]*Table1[[#This Row],[RPS]]</f>
        <v>900</v>
      </c>
      <c r="Y26" s="77">
        <f>Table1[[#This Row],[In-Tok]]/Table1[[#This Row],[Out-Tok]]</f>
        <v>20</v>
      </c>
      <c r="Z26" s="30">
        <f>Table1[[#This Row],[In-Tok]]*Table1[[#This Row],[N]]+AvgOutLoad*Table1[[#This Row],[Out-Tok]]*Table1[[#This Row],[Ndecode]]</f>
        <v>154867.10877156453</v>
      </c>
      <c r="AA26" s="25">
        <f>Table1[[#This Row],[tok(N)]]/Table1[[#This Row],[Kvcache]]</f>
        <v>464576.21645039576</v>
      </c>
      <c r="AB26" s="25">
        <f>Table1[[#This Row],[tok/req]]*Table1[[#This Row],[Run]]</f>
        <v>128957.8125</v>
      </c>
      <c r="AC26" s="25">
        <f>Table1[[#This Row],[tok(Run)]]/Table1[[#This Row],[Kvcache]]</f>
        <v>386852.52852069703</v>
      </c>
      <c r="AD26" s="25">
        <f>Table1[[#This Row],[tok/req]]*Table1[[#This Row],[MaxRun]]</f>
        <v>249075</v>
      </c>
      <c r="AE26" s="25">
        <f>Table1[[#This Row],[tok(MaxRun)]]/Table1[[#This Row],[MaxKvcache]]</f>
        <v>386537.05152901518</v>
      </c>
      <c r="AF26" s="77">
        <f>Table1[[#This Row],[PPS]]*Table1[[#This Row],[Prefill]]/Table1[[#This Row],[In-Tok]]</f>
        <v>0.88334283202842323</v>
      </c>
      <c r="AG26" s="31">
        <f>Table1[[#This Row],[GPS]]*Table1[[#This Row],[ITL]]</f>
        <v>24.319845817787645</v>
      </c>
      <c r="AH26" s="31">
        <f>Table1[[#This Row],[Nprefill]]+Table1[[#This Row],[Ndecode]]</f>
        <v>25.203188649816067</v>
      </c>
      <c r="AI26" s="43">
        <f>Table1[[#This Row],[Run]]/Table1[[#This Row],[ITL]]/Table1[[#This Row],[GPS]]</f>
        <v>0.86220735760846645</v>
      </c>
      <c r="AJ26" s="65">
        <f>Table1[[#This Row],[Prefill]]+Table1[[#This Row],[ITL]]</f>
        <v>0.25909663260216431</v>
      </c>
      <c r="AK26" s="43">
        <f>Table1[[#This Row],[TTFT]]/Table1[[#This Row],[estTTFT]]</f>
        <v>1.1618911865886037</v>
      </c>
      <c r="AL26" s="31">
        <f>Table1[[#This Row],[In-Tok]]*Table1[[#This Row],[RPS]]/Table1[[#This Row],[PPS]]</f>
        <v>0.79936656121257676</v>
      </c>
      <c r="AM26" s="43">
        <f>Table1[[#This Row],[Prefill]]/Table1[[#This Row],[estPrefill]]</f>
        <v>0.29444761067614106</v>
      </c>
      <c r="AN26" s="43">
        <f>Table1[[#This Row],[Prefill]]/Table1[[#This Row],[TTFT]]</f>
        <v>0.78185602205302751</v>
      </c>
      <c r="AO26" s="65">
        <f>Table1[[#This Row],[Run]]/(Table1[[#This Row],[Out-Tok]]*Table1[[#This Row],[RPS]])</f>
        <v>2.329861111111111E-2</v>
      </c>
      <c r="AP26" s="43">
        <f>Table1[[#This Row],[ITL]]/Table1[[#This Row],[estITL]]</f>
        <v>1.0183035583354283</v>
      </c>
      <c r="AQ26" s="70">
        <f>Table1[[#This Row],[E2E]]-Table1[[#This Row],[TTFT]]+Table1[[#This Row],[ITL]]</f>
        <v>7.082508549181088</v>
      </c>
      <c r="AR26" s="43">
        <f>Table1[[#This Row],[estDecode]]/Table1[[#This Row],[Run]]</f>
        <v>0.33776493826198928</v>
      </c>
      <c r="AS26" s="70">
        <f>Table1[[#This Row],[Prefill]]+Table1[[#This Row],[Out-Tok]]*Table1[[#This Row],[ITL]]</f>
        <v>7.3528891536187837</v>
      </c>
      <c r="AT26" s="31">
        <f>Table1[[#This Row],[estPrefill]]+Table1[[#This Row],[Out-Tok]]*Table1[[#This Row],[ITL]]</f>
        <v>7.9168841408279143</v>
      </c>
      <c r="AU26" s="43">
        <f>Table1[[#This Row],[E2E]]/Table1[[#This Row],[estE2E]]</f>
        <v>0.92963664158257475</v>
      </c>
      <c r="AV26" s="31">
        <f>Table1[[#This Row],[N]]/Table1[[#This Row],[estE2E]]</f>
        <v>3.183473220208124</v>
      </c>
      <c r="AW26" s="31">
        <f>Table1[[#This Row],[PPS]]/Table1[[#This Row],[In-Tok]]</f>
        <v>3.7529715972222228</v>
      </c>
      <c r="AX26" s="43">
        <f>Table1[[#This Row],[RPS]]/Table1[[#This Row],[RPS(IL)]]</f>
        <v>0.79936656121257676</v>
      </c>
      <c r="AY26" s="31">
        <f>Table1[[#This Row],[GPS]]/Table1[[#This Row],[Out-Tok]]</f>
        <v>3.4168999999999996</v>
      </c>
      <c r="AZ26" s="90">
        <f>Table1[[#This Row],[RPS]]/Table1[[#This Row],[RPS(OL)]]</f>
        <v>0.87798882027568859</v>
      </c>
      <c r="BA26" s="133">
        <f>MaxTok/Table1[[#This Row],[tok/req]]</f>
        <v>63.075164551635005</v>
      </c>
      <c r="BB26" s="43">
        <f>Table1[[#This Row],[N]]/Table1[[#This Row],[N-max]]</f>
        <v>0.39957388663146598</v>
      </c>
      <c r="BC26" s="70">
        <f>Table1[[#This Row],[RPS]]</f>
        <v>3</v>
      </c>
      <c r="BD26" s="49">
        <f>Table1[[#This Row],[PPS]]/Table1[[#This Row],[RPS success]]</f>
        <v>7505.943194444445</v>
      </c>
      <c r="BE26" s="43">
        <f>ABS(Table1[[#This Row],[est-In-Tok3]]-Table1[[#This Row],[In-Tok]])/Table1[[#This Row],[In-Tok]]</f>
        <v>0.25099053240740749</v>
      </c>
      <c r="BF26" s="49">
        <f>Table1[[#This Row],[GPS]]/Table1[[#This Row],[RPS success]]</f>
        <v>341.69</v>
      </c>
      <c r="BG26" s="43">
        <f>ABS(Table1[[#This Row],[est-Out-Tok3]]-Table1[[#This Row],[Out-Tok]])/Table1[[#This Row],[Out-Tok]]</f>
        <v>0.13896666666666666</v>
      </c>
      <c r="BH26" s="159">
        <f>Table1[[#This Row],[est-In-Tok3]]+AvgOutLoad*Table1[[#This Row],[est-Out-Tok3]]</f>
        <v>7676.7881944444453</v>
      </c>
      <c r="BI26" s="43">
        <f>ABS(Table1[[#This Row],[est-Tok/Req3]]-Table1[[#This Row],[tok/req]])/Table1[[#This Row],[tok/req]]</f>
        <v>0.2482582429990968</v>
      </c>
      <c r="BJ26" s="159">
        <f>MaxTok/Table1[[#This Row],[est-Tok/Req3]]</f>
        <v>50.530541180396312</v>
      </c>
      <c r="BK26" s="43">
        <f>ABS(Table1[[#This Row],[est-N-max3]]-Table1[[#This Row],[N-max]])/Table1[[#This Row],[N-max]]</f>
        <v>0.19888372008874158</v>
      </c>
      <c r="BL26" s="70">
        <f>MaxTok*Table1[[#This Row],[Kvcache]]/Table1[[#This Row],[Run]]</f>
        <v>6166.8471455436784</v>
      </c>
      <c r="BM26" s="167">
        <f>ABS(Table1[[#This Row],[est-Tok/Req]]-Table1[[#This Row],[tok/req]])/Table1[[#This Row],[tok/req]]</f>
        <v>2.7393732591346957E-3</v>
      </c>
      <c r="BN26" s="70">
        <f>MaxTok/Table1[[#This Row],[est-Tok/Req]]</f>
        <v>62.902850165967003</v>
      </c>
      <c r="BO26" s="177">
        <f>Table1[[#This Row],[Run]]/Table1[[#This Row],[Kvcache]]</f>
        <v>62.902850165966996</v>
      </c>
      <c r="BP26" s="133" cm="1">
        <f t="array" aca="1" ref="BP26" ca="1">_xlfn.CEILING.MATH(INDIRECT("Table1"&amp;BP$3)/BP$2)*BP$2</f>
        <v>7000</v>
      </c>
      <c r="BQ26" s="184" cm="1">
        <f t="array" aca="1" ref="BQ26" ca="1">_xlfn.CEILING.MATH(INDIRECT("Table1"&amp;BQ$3)/BQ$2)*BQ$2</f>
        <v>2.5000000000000001E-2</v>
      </c>
      <c r="BR26" s="43" cm="1">
        <f t="array" aca="1" ref="BR26" ca="1">_xlfn.CEILING.MATH(INDIRECT("Table1"&amp;BR$3)/BR$2)*BR$2</f>
        <v>0.4</v>
      </c>
      <c r="BS26" s="43" cm="1">
        <f t="array" aca="1" ref="BS26" ca="1">_xlfn.CEILING.MATH(INDIRECT("Table1"&amp;BS$3)/BS$2)*BS$2</f>
        <v>0.34</v>
      </c>
      <c r="BT26" s="25" cm="1">
        <f t="array" aca="1" ref="BT26" ca="1">_xlfn.CEILING.MATH(INDIRECT("Table1"&amp;BT$3)/BT$2)*BT$2</f>
        <v>21</v>
      </c>
      <c r="BU26" s="133" cm="1">
        <f t="array" aca="1" ref="BU26" ca="1">_xlfn.CEILING.MATH(INDIRECT("Table1"&amp;BU$3)/BU$2)*BU$2</f>
        <v>20</v>
      </c>
      <c r="BV26" s="133" cm="1">
        <f t="array" aca="1" ref="BV26" ca="1">_xlfn.CEILING.MATH(INDIRECT("Table1"&amp;BV$3)/BV$2)*BV$2</f>
        <v>6000</v>
      </c>
      <c r="BW26" s="43"/>
      <c r="BX26" s="43"/>
      <c r="BY26" s="193">
        <v>0.64437548487199381</v>
      </c>
      <c r="BZ26" s="43"/>
      <c r="CA26" s="24">
        <f>(Table1[[#This Row],[In-Tok]]+Table1[[#This Row],[Out-Tok]])*Table1[[#This Row],[RPS]]</f>
        <v>18900</v>
      </c>
      <c r="CB26" s="20">
        <f t="shared" si="5"/>
        <v>386537.05152901518</v>
      </c>
      <c r="CC26" s="20">
        <f>Table1[[#This Row],[Supply]]/(Table1[[#This Row],[Prefill]]+Table1[[#This Row],[Out-Tok]]*Table1[[#This Row],[ITL]])</f>
        <v>52569.41094219785</v>
      </c>
      <c r="CD26" s="20">
        <f>Table1[[#This Row],[MaxRun]]/Table1[[#This Row],[ITL]]</f>
        <v>1707.0558469427258</v>
      </c>
      <c r="CE26" s="20">
        <f>Table1[[#This Row],[Out-Tok]]*Table1[[#This Row],[RPS]]</f>
        <v>900</v>
      </c>
      <c r="CF26" s="22">
        <f>Table1[[#This Row],[Supply]]/Table1[[#This Row],[Demand-T]]</f>
        <v>20.45169584809604</v>
      </c>
      <c r="CG26" s="31"/>
      <c r="CH26" s="71">
        <f>Table1[[#This Row],[Prefill]]+Table1[[#This Row],[Out-Tok]]*Table1[[#This Row],[ITL]]</f>
        <v>7.3528891536187837</v>
      </c>
      <c r="CI26" s="71">
        <f>Table1[[#This Row],[GPS]]*Table1[[#This Row],[ITL]]</f>
        <v>24.319845817787645</v>
      </c>
      <c r="CJ26" s="72">
        <f>Table1[[#This Row],[PPS]]*Table1[[#This Row],[Prefill]]/Table1[[#This Row],[In-Tok]]</f>
        <v>0.88334283202842323</v>
      </c>
      <c r="CK26" s="71">
        <f t="shared" si="6"/>
        <v>25.203188649816067</v>
      </c>
      <c r="CL26" s="71">
        <f>Table1[[#This Row],[PPS]]/Table1[[#This Row],[In-Tok]]</f>
        <v>3.7529715972222228</v>
      </c>
      <c r="CM26" s="71">
        <f>Table1[[#This Row],[GPS]]/Table1[[#This Row],[Out-Tok]]</f>
        <v>3.4168999999999996</v>
      </c>
      <c r="CN26" s="71">
        <f>Table1[[#This Row],[Run]]/Table1[[#This Row],[E2E]]</f>
        <v>2.8490824625279938</v>
      </c>
      <c r="CO26" s="71">
        <f>Table1[[#This Row],[N2]]/Table1[[#This Row],[E2E]]</f>
        <v>3.4244274352059869</v>
      </c>
      <c r="CP26" s="71"/>
      <c r="CQ26" s="71">
        <f>Table1[[#This Row],[In-Tok]]+AvgOutLoad*Table1[[#This Row],[Out-Tok]]</f>
        <v>6150</v>
      </c>
      <c r="CR26" s="71">
        <f t="shared" si="7"/>
        <v>513326.30490273581</v>
      </c>
      <c r="CS26" s="71" t="e">
        <f t="shared" si="8"/>
        <v>#DIV/0!</v>
      </c>
      <c r="CT26" s="71" t="e">
        <f t="shared" si="9"/>
        <v>#DIV/0!</v>
      </c>
      <c r="CU26" s="71">
        <f t="shared" si="10"/>
        <v>0</v>
      </c>
      <c r="CV26" s="71" t="e">
        <f t="shared" si="11"/>
        <v>#DIV/0!</v>
      </c>
      <c r="CW26" s="71">
        <f>Table1[[#This Row],[N(maxT)]]/Table1[[#This Row],[e2e sat]]</f>
        <v>0</v>
      </c>
      <c r="CX26" s="71" t="e">
        <f>Table1[[#This Row],[RPS]]/CW26</f>
        <v>#DIV/0!</v>
      </c>
      <c r="CY26" s="110" t="e">
        <f>Table1[[#This Row],[Kvcache]]/$T$4</f>
        <v>#DIV/0!</v>
      </c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</row>
    <row r="27" spans="1:192" s="2" customFormat="1" hidden="1" x14ac:dyDescent="0.25">
      <c r="A27" s="210">
        <v>7000</v>
      </c>
      <c r="B27" s="210">
        <v>300</v>
      </c>
      <c r="C27" s="2">
        <v>3</v>
      </c>
      <c r="D27" s="199">
        <f>Table1[[#This Row],[Kvcache]]</f>
        <v>0.45074998288687074</v>
      </c>
      <c r="E27" s="205" t="s">
        <v>137</v>
      </c>
      <c r="F27" s="219">
        <v>46092</v>
      </c>
      <c r="G27" s="198"/>
      <c r="H27" s="198">
        <v>1.1926698540285199</v>
      </c>
      <c r="I27" s="198">
        <v>0.58864848545418547</v>
      </c>
      <c r="J27" s="198">
        <v>1.2667415706111598</v>
      </c>
      <c r="K27" s="198">
        <v>2.3581148624420165</v>
      </c>
      <c r="L27" s="198">
        <v>2.8367034435272216</v>
      </c>
      <c r="M27" s="198">
        <v>2.9957435989161077E-2</v>
      </c>
      <c r="N27" s="198">
        <v>10.242532484261789</v>
      </c>
      <c r="O27" s="197">
        <v>24607.229583333334</v>
      </c>
      <c r="P27" s="197">
        <v>967.7658333333336</v>
      </c>
      <c r="Q27" s="9">
        <v>24.40625</v>
      </c>
      <c r="R27" s="9">
        <v>43.5</v>
      </c>
      <c r="S27" s="196">
        <v>0.45074998288687074</v>
      </c>
      <c r="T27" s="167">
        <v>0.8044608223429015</v>
      </c>
      <c r="U27" s="30">
        <f>(Table1[[#This Row],[In-Tok]]+Table1[[#This Row],[Out-Tok]])*Table1[[#This Row],[RPS]]</f>
        <v>21900</v>
      </c>
      <c r="V27" s="54">
        <f>Table1[[#This Row],[In-Tok]]+AvgOutLoad*Table1[[#This Row],[Out-Tok]]</f>
        <v>7150</v>
      </c>
      <c r="W27" s="25">
        <f>Table1[[#This Row],[In-Tok]]*Table1[[#This Row],[RPS]]</f>
        <v>21000</v>
      </c>
      <c r="X27" s="38">
        <f>Table1[[#This Row],[Out-Tok]]*Table1[[#This Row],[RPS]]</f>
        <v>900</v>
      </c>
      <c r="Y27" s="77">
        <f>Table1[[#This Row],[In-Tok]]/Table1[[#This Row],[Out-Tok]]</f>
        <v>23.333333333333332</v>
      </c>
      <c r="Z27" s="30">
        <f>Table1[[#This Row],[In-Tok]]*Table1[[#This Row],[N]]+AvgOutLoad*Table1[[#This Row],[Out-Tok]]*Table1[[#This Row],[Ndecode]]</f>
        <v>221776.25690820295</v>
      </c>
      <c r="AA27" s="25">
        <f>Table1[[#This Row],[tok(N)]]/Table1[[#This Row],[Kvcache]]</f>
        <v>492016.1183097912</v>
      </c>
      <c r="AB27" s="25">
        <f>Table1[[#This Row],[tok/req]]*Table1[[#This Row],[Run]]</f>
        <v>174504.6875</v>
      </c>
      <c r="AC27" s="25">
        <f>Table1[[#This Row],[tok(Run)]]/Table1[[#This Row],[Kvcache]]</f>
        <v>387142.97088236874</v>
      </c>
      <c r="AD27" s="25">
        <f>Table1[[#This Row],[tok/req]]*Table1[[#This Row],[MaxRun]]</f>
        <v>311025</v>
      </c>
      <c r="AE27" s="25">
        <f>Table1[[#This Row],[tok(MaxRun)]]/Table1[[#This Row],[MaxKvcache]]</f>
        <v>386625.41588311875</v>
      </c>
      <c r="AF27" s="77">
        <f>Table1[[#This Row],[PPS]]*Table1[[#This Row],[Prefill]]/Table1[[#This Row],[In-Tok]]</f>
        <v>2.069286917921799</v>
      </c>
      <c r="AG27" s="31">
        <f>Table1[[#This Row],[GPS]]*Table1[[#This Row],[ITL]]</f>
        <v>28.991783004580469</v>
      </c>
      <c r="AH27" s="31">
        <f>Table1[[#This Row],[Nprefill]]+Table1[[#This Row],[Ndecode]]</f>
        <v>31.06106992250227</v>
      </c>
      <c r="AI27" s="43">
        <f>Table1[[#This Row],[Run]]/Table1[[#This Row],[ITL]]/Table1[[#This Row],[GPS]]</f>
        <v>0.84183335658051828</v>
      </c>
      <c r="AJ27" s="65">
        <f>Table1[[#This Row],[Prefill]]+Table1[[#This Row],[ITL]]</f>
        <v>0.61860592144334658</v>
      </c>
      <c r="AK27" s="43">
        <f>Table1[[#This Row],[TTFT]]/Table1[[#This Row],[estTTFT]]</f>
        <v>1.9279961809058555</v>
      </c>
      <c r="AL27" s="31">
        <f>Table1[[#This Row],[In-Tok]]*Table1[[#This Row],[RPS]]/Table1[[#This Row],[PPS]]</f>
        <v>0.8534077324260616</v>
      </c>
      <c r="AM27" s="43">
        <f>Table1[[#This Row],[Prefill]]/Table1[[#This Row],[estPrefill]]</f>
        <v>0.68976230597393307</v>
      </c>
      <c r="AN27" s="43">
        <f>Table1[[#This Row],[Prefill]]/Table1[[#This Row],[TTFT]]</f>
        <v>0.49355526465759847</v>
      </c>
      <c r="AO27" s="65">
        <f>Table1[[#This Row],[Run]]/(Table1[[#This Row],[Out-Tok]]*Table1[[#This Row],[RPS]])</f>
        <v>2.7118055555555555E-2</v>
      </c>
      <c r="AP27" s="43">
        <f>Table1[[#This Row],[ITL]]/Table1[[#This Row],[estITL]]</f>
        <v>1.1047044257206646</v>
      </c>
      <c r="AQ27" s="70">
        <f>Table1[[#This Row],[E2E]]-Table1[[#This Row],[TTFT]]+Table1[[#This Row],[ITL]]</f>
        <v>9.07982006622243</v>
      </c>
      <c r="AR27" s="43">
        <f>Table1[[#This Row],[estDecode]]/Table1[[#This Row],[Run]]</f>
        <v>0.37202847902575897</v>
      </c>
      <c r="AS27" s="70">
        <f>Table1[[#This Row],[Prefill]]+Table1[[#This Row],[Out-Tok]]*Table1[[#This Row],[ITL]]</f>
        <v>9.5758792822025089</v>
      </c>
      <c r="AT27" s="31">
        <f>Table1[[#This Row],[estPrefill]]+Table1[[#This Row],[Out-Tok]]*Table1[[#This Row],[ITL]]</f>
        <v>9.8406385291743845</v>
      </c>
      <c r="AU27" s="43">
        <f>Table1[[#This Row],[E2E]]/Table1[[#This Row],[estE2E]]</f>
        <v>1.0408402314439165</v>
      </c>
      <c r="AV27" s="31">
        <f>Table1[[#This Row],[N]]/Table1[[#This Row],[estE2E]]</f>
        <v>3.15640797397608</v>
      </c>
      <c r="AW27" s="31">
        <f>Table1[[#This Row],[PPS]]/Table1[[#This Row],[In-Tok]]</f>
        <v>3.5153185119047619</v>
      </c>
      <c r="AX27" s="43">
        <f>Table1[[#This Row],[RPS]]/Table1[[#This Row],[RPS(IL)]]</f>
        <v>0.8534077324260616</v>
      </c>
      <c r="AY27" s="31">
        <f>Table1[[#This Row],[GPS]]/Table1[[#This Row],[Out-Tok]]</f>
        <v>3.2258861111111119</v>
      </c>
      <c r="AZ27" s="90">
        <f>Table1[[#This Row],[RPS]]/Table1[[#This Row],[RPS(OL)]]</f>
        <v>0.92997703473378091</v>
      </c>
      <c r="BA27" s="133">
        <f>MaxTok/Table1[[#This Row],[tok/req]]</f>
        <v>54.253463215741995</v>
      </c>
      <c r="BB27" s="43">
        <f>Table1[[#This Row],[N]]/Table1[[#This Row],[N-max]]</f>
        <v>0.57251773585376753</v>
      </c>
      <c r="BC27" s="70">
        <f>Table1[[#This Row],[RPS]]</f>
        <v>3</v>
      </c>
      <c r="BD27" s="49">
        <f>Table1[[#This Row],[PPS]]/Table1[[#This Row],[RPS success]]</f>
        <v>8202.4098611111112</v>
      </c>
      <c r="BE27" s="43">
        <f>ABS(Table1[[#This Row],[est-In-Tok3]]-Table1[[#This Row],[In-Tok]])/Table1[[#This Row],[In-Tok]]</f>
        <v>0.17177283730158732</v>
      </c>
      <c r="BF27" s="49">
        <f>Table1[[#This Row],[GPS]]/Table1[[#This Row],[RPS success]]</f>
        <v>322.58861111111122</v>
      </c>
      <c r="BG27" s="43">
        <f>ABS(Table1[[#This Row],[est-Out-Tok3]]-Table1[[#This Row],[Out-Tok]])/Table1[[#This Row],[Out-Tok]]</f>
        <v>7.5295370370370734E-2</v>
      </c>
      <c r="BH27" s="159">
        <f>Table1[[#This Row],[est-In-Tok3]]+AvgOutLoad*Table1[[#This Row],[est-Out-Tok3]]</f>
        <v>8363.7041666666664</v>
      </c>
      <c r="BI27" s="43">
        <f>ABS(Table1[[#This Row],[est-Tok/Req3]]-Table1[[#This Row],[tok/req]])/Table1[[#This Row],[tok/req]]</f>
        <v>0.16974883449883446</v>
      </c>
      <c r="BJ27" s="159">
        <f>MaxTok/Table1[[#This Row],[est-Tok/Req3]]</f>
        <v>46.380437933059603</v>
      </c>
      <c r="BK27" s="43">
        <f>ABS(Table1[[#This Row],[est-N-max3]]-Table1[[#This Row],[N-max]])/Table1[[#This Row],[N-max]]</f>
        <v>0.14511562610067594</v>
      </c>
      <c r="BL27" s="70">
        <f>MaxTok*Table1[[#This Row],[Kvcache]]/Table1[[#This Row],[Run]]</f>
        <v>7164.207752307364</v>
      </c>
      <c r="BM27" s="167">
        <f>ABS(Table1[[#This Row],[est-Tok/Req]]-Table1[[#This Row],[tok/req]])/Table1[[#This Row],[tok/req]]</f>
        <v>1.9870982248061525E-3</v>
      </c>
      <c r="BN27" s="70">
        <f>MaxTok/Table1[[#This Row],[est-Tok/Req]]</f>
        <v>54.145870053478149</v>
      </c>
      <c r="BO27" s="177">
        <f>Table1[[#This Row],[Run]]/Table1[[#This Row],[Kvcache]]</f>
        <v>54.145870053478141</v>
      </c>
      <c r="BP27" s="133" cm="1">
        <f t="array" aca="1" ref="BP27" ca="1">_xlfn.CEILING.MATH(INDIRECT("Table1"&amp;BP$3)/BP$2)*BP$2</f>
        <v>8000</v>
      </c>
      <c r="BQ27" s="184" cm="1">
        <f t="array" aca="1" ref="BQ27" ca="1">_xlfn.CEILING.MATH(INDIRECT("Table1"&amp;BQ$3)/BQ$2)*BQ$2</f>
        <v>0.03</v>
      </c>
      <c r="BR27" s="43" cm="1">
        <f t="array" aca="1" ref="BR27" ca="1">_xlfn.CEILING.MATH(INDIRECT("Table1"&amp;BR$3)/BR$2)*BR$2</f>
        <v>0.5</v>
      </c>
      <c r="BS27" s="43" cm="1">
        <f t="array" aca="1" ref="BS27" ca="1">_xlfn.CEILING.MATH(INDIRECT("Table1"&amp;BS$3)/BS$2)*BS$2</f>
        <v>0.46</v>
      </c>
      <c r="BT27" s="25" cm="1">
        <f t="array" aca="1" ref="BT27" ca="1">_xlfn.CEILING.MATH(INDIRECT("Table1"&amp;BT$3)/BT$2)*BT$2</f>
        <v>25</v>
      </c>
      <c r="BU27" s="133" cm="1">
        <f t="array" aca="1" ref="BU27" ca="1">_xlfn.CEILING.MATH(INDIRECT("Table1"&amp;BU$3)/BU$2)*BU$2</f>
        <v>25</v>
      </c>
      <c r="BV27" s="133" cm="1">
        <f t="array" aca="1" ref="BV27" ca="1">_xlfn.CEILING.MATH(INDIRECT("Table1"&amp;BV$3)/BV$2)*BV$2</f>
        <v>7000</v>
      </c>
      <c r="BW27" s="43"/>
      <c r="BX27" s="43"/>
      <c r="BY27" s="193">
        <v>0.8044608223429015</v>
      </c>
      <c r="BZ27" s="43"/>
      <c r="CA27" s="24">
        <f>(Table1[[#This Row],[In-Tok]]+Table1[[#This Row],[Out-Tok]])*Table1[[#This Row],[RPS]]</f>
        <v>21900</v>
      </c>
      <c r="CB27" s="20">
        <f t="shared" si="5"/>
        <v>386625.41588311875</v>
      </c>
      <c r="CC27" s="20">
        <f>Table1[[#This Row],[Supply]]/(Table1[[#This Row],[Prefill]]+Table1[[#This Row],[Out-Tok]]*Table1[[#This Row],[ITL]])</f>
        <v>40374.925841190496</v>
      </c>
      <c r="CD27" s="20">
        <f>Table1[[#This Row],[MaxRun]]/Table1[[#This Row],[ITL]]</f>
        <v>1452.0601835129939</v>
      </c>
      <c r="CE27" s="20">
        <f>Table1[[#This Row],[Out-Tok]]*Table1[[#This Row],[RPS]]</f>
        <v>900</v>
      </c>
      <c r="CF27" s="22">
        <f>Table1[[#This Row],[Supply]]/Table1[[#This Row],[Demand-T]]</f>
        <v>17.654128579137844</v>
      </c>
      <c r="CG27" s="31"/>
      <c r="CH27" s="71">
        <f>Table1[[#This Row],[Prefill]]+Table1[[#This Row],[Out-Tok]]*Table1[[#This Row],[ITL]]</f>
        <v>9.5758792822025089</v>
      </c>
      <c r="CI27" s="71">
        <f>Table1[[#This Row],[GPS]]*Table1[[#This Row],[ITL]]</f>
        <v>28.991783004580469</v>
      </c>
      <c r="CJ27" s="72">
        <f>Table1[[#This Row],[PPS]]*Table1[[#This Row],[Prefill]]/Table1[[#This Row],[In-Tok]]</f>
        <v>2.069286917921799</v>
      </c>
      <c r="CK27" s="71">
        <f t="shared" si="6"/>
        <v>31.06106992250227</v>
      </c>
      <c r="CL27" s="71">
        <f>Table1[[#This Row],[PPS]]/Table1[[#This Row],[In-Tok]]</f>
        <v>3.5153185119047619</v>
      </c>
      <c r="CM27" s="71">
        <f>Table1[[#This Row],[GPS]]/Table1[[#This Row],[Out-Tok]]</f>
        <v>3.2258861111111119</v>
      </c>
      <c r="CN27" s="71">
        <f>Table1[[#This Row],[Run]]/Table1[[#This Row],[E2E]]</f>
        <v>2.3828335460494303</v>
      </c>
      <c r="CO27" s="71">
        <f>Table1[[#This Row],[N2]]/Table1[[#This Row],[E2E]]</f>
        <v>3.0325576189511043</v>
      </c>
      <c r="CP27" s="71"/>
      <c r="CQ27" s="71">
        <f>Table1[[#This Row],[In-Tok]]+AvgOutLoad*Table1[[#This Row],[Out-Tok]]</f>
        <v>7150</v>
      </c>
      <c r="CR27" s="71">
        <f t="shared" si="7"/>
        <v>588090.78372674529</v>
      </c>
      <c r="CS27" s="71" t="e">
        <f t="shared" si="8"/>
        <v>#DIV/0!</v>
      </c>
      <c r="CT27" s="71" t="e">
        <f t="shared" si="9"/>
        <v>#DIV/0!</v>
      </c>
      <c r="CU27" s="71">
        <f t="shared" si="10"/>
        <v>0</v>
      </c>
      <c r="CV27" s="71" t="e">
        <f t="shared" si="11"/>
        <v>#DIV/0!</v>
      </c>
      <c r="CW27" s="71">
        <f>Table1[[#This Row],[N(maxT)]]/Table1[[#This Row],[e2e sat]]</f>
        <v>0</v>
      </c>
      <c r="CX27" s="71" t="e">
        <f>Table1[[#This Row],[RPS]]/CW27</f>
        <v>#DIV/0!</v>
      </c>
      <c r="CY27" s="110" t="e">
        <f>Table1[[#This Row],[Kvcache]]/$T$4</f>
        <v>#DIV/0!</v>
      </c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</row>
    <row r="28" spans="1:192" s="2" customFormat="1" hidden="1" x14ac:dyDescent="0.25">
      <c r="A28" s="210">
        <v>8000</v>
      </c>
      <c r="B28" s="210">
        <v>300</v>
      </c>
      <c r="C28" s="2">
        <v>3</v>
      </c>
      <c r="D28" s="199">
        <f>Table1[[#This Row],[Kvcache]]</f>
        <v>0.71910207094216017</v>
      </c>
      <c r="E28" s="205" t="s">
        <v>137</v>
      </c>
      <c r="F28" s="219">
        <v>46092</v>
      </c>
      <c r="G28" s="198"/>
      <c r="H28" s="198">
        <v>3.011972712674122</v>
      </c>
      <c r="I28" s="198">
        <v>0.67462474180888077</v>
      </c>
      <c r="J28" s="198">
        <v>3.8999287827777476</v>
      </c>
      <c r="K28" s="198">
        <v>7.658454018831252</v>
      </c>
      <c r="L28" s="198">
        <v>8.2576072025299094</v>
      </c>
      <c r="M28" s="198">
        <v>4.6026723483287776E-2</v>
      </c>
      <c r="N28" s="198">
        <v>15.876244884898124</v>
      </c>
      <c r="O28" s="197">
        <v>25997.733333333337</v>
      </c>
      <c r="P28" s="197">
        <v>848.95725490196082</v>
      </c>
      <c r="Q28" s="9">
        <v>34.243055555555557</v>
      </c>
      <c r="R28" s="9">
        <v>47.5</v>
      </c>
      <c r="S28" s="196">
        <v>0.71910207094216017</v>
      </c>
      <c r="T28" s="167">
        <v>0.99363847944142747</v>
      </c>
      <c r="U28" s="30">
        <f>(Table1[[#This Row],[In-Tok]]+Table1[[#This Row],[Out-Tok]])*Table1[[#This Row],[RPS]]</f>
        <v>24900</v>
      </c>
      <c r="V28" s="54">
        <f>Table1[[#This Row],[In-Tok]]+AvgOutLoad*Table1[[#This Row],[Out-Tok]]</f>
        <v>8150</v>
      </c>
      <c r="W28" s="25">
        <f>Table1[[#This Row],[In-Tok]]*Table1[[#This Row],[RPS]]</f>
        <v>24000</v>
      </c>
      <c r="X28" s="38">
        <f>Table1[[#This Row],[Out-Tok]]*Table1[[#This Row],[RPS]]</f>
        <v>900</v>
      </c>
      <c r="Y28" s="77">
        <f>Table1[[#This Row],[In-Tok]]/Table1[[#This Row],[Out-Tok]]</f>
        <v>26.666666666666668</v>
      </c>
      <c r="Z28" s="30">
        <f>Table1[[#This Row],[In-Tok]]*Table1[[#This Row],[N]]+AvgOutLoad*Table1[[#This Row],[Out-Tok]]*Table1[[#This Row],[Ndecode]]</f>
        <v>335997.68882472051</v>
      </c>
      <c r="AA28" s="25">
        <f>Table1[[#This Row],[tok(N)]]/Table1[[#This Row],[Kvcache]]</f>
        <v>467246.17046993034</v>
      </c>
      <c r="AB28" s="25">
        <f>Table1[[#This Row],[tok/req]]*Table1[[#This Row],[Run]]</f>
        <v>279080.90277777781</v>
      </c>
      <c r="AC28" s="25">
        <f>Table1[[#This Row],[tok(Run)]]/Table1[[#This Row],[Kvcache]]</f>
        <v>388096.36914566089</v>
      </c>
      <c r="AD28" s="25">
        <f>Table1[[#This Row],[tok/req]]*Table1[[#This Row],[MaxRun]]</f>
        <v>387125</v>
      </c>
      <c r="AE28" s="25">
        <f>Table1[[#This Row],[tok(MaxRun)]]/Table1[[#This Row],[MaxKvcache]]</f>
        <v>389603.47048719547</v>
      </c>
      <c r="AF28" s="77">
        <f>Table1[[#This Row],[PPS]]*Table1[[#This Row],[Prefill]]/Table1[[#This Row],[In-Tok]]</f>
        <v>2.192339267202017</v>
      </c>
      <c r="AG28" s="31">
        <f>Table1[[#This Row],[GPS]]*Table1[[#This Row],[ITL]]</f>
        <v>39.074720820503607</v>
      </c>
      <c r="AH28" s="31">
        <f>Table1[[#This Row],[Nprefill]]+Table1[[#This Row],[Ndecode]]</f>
        <v>41.267060087705623</v>
      </c>
      <c r="AI28" s="43">
        <f>Table1[[#This Row],[Run]]/Table1[[#This Row],[ITL]]/Table1[[#This Row],[GPS]]</f>
        <v>0.87634805410016547</v>
      </c>
      <c r="AJ28" s="65">
        <f>Table1[[#This Row],[Prefill]]+Table1[[#This Row],[ITL]]</f>
        <v>0.7206514652921685</v>
      </c>
      <c r="AK28" s="43">
        <f>Table1[[#This Row],[TTFT]]/Table1[[#This Row],[estTTFT]]</f>
        <v>4.1795137562830043</v>
      </c>
      <c r="AL28" s="31">
        <f>Table1[[#This Row],[In-Tok]]*Table1[[#This Row],[RPS]]/Table1[[#This Row],[PPS]]</f>
        <v>0.92315740346594299</v>
      </c>
      <c r="AM28" s="43">
        <f>Table1[[#This Row],[Prefill]]/Table1[[#This Row],[estPrefill]]</f>
        <v>0.73077975573400566</v>
      </c>
      <c r="AN28" s="43">
        <f>Table1[[#This Row],[Prefill]]/Table1[[#This Row],[TTFT]]</f>
        <v>0.22398102710895018</v>
      </c>
      <c r="AO28" s="65">
        <f>Table1[[#This Row],[Run]]/(Table1[[#This Row],[Out-Tok]]*Table1[[#This Row],[RPS]])</f>
        <v>3.804783950617284E-2</v>
      </c>
      <c r="AP28" s="43">
        <f>Table1[[#This Row],[ITL]]/Table1[[#This Row],[estITL]]</f>
        <v>1.2097066240993908</v>
      </c>
      <c r="AQ28" s="70">
        <f>Table1[[#This Row],[E2E]]-Table1[[#This Row],[TTFT]]+Table1[[#This Row],[ITL]]</f>
        <v>12.910298895707289</v>
      </c>
      <c r="AR28" s="43">
        <f>Table1[[#This Row],[estDecode]]/Table1[[#This Row],[Run]]</f>
        <v>0.37701947697867561</v>
      </c>
      <c r="AS28" s="70">
        <f>Table1[[#This Row],[Prefill]]+Table1[[#This Row],[Out-Tok]]*Table1[[#This Row],[ITL]]</f>
        <v>14.482641786795213</v>
      </c>
      <c r="AT28" s="31">
        <f>Table1[[#This Row],[estPrefill]]+Table1[[#This Row],[Out-Tok]]*Table1[[#This Row],[ITL]]</f>
        <v>14.731174448452276</v>
      </c>
      <c r="AU28" s="43">
        <f>Table1[[#This Row],[E2E]]/Table1[[#This Row],[estE2E]]</f>
        <v>1.077731102869816</v>
      </c>
      <c r="AV28" s="31">
        <f>Table1[[#This Row],[N]]/Table1[[#This Row],[estE2E]]</f>
        <v>2.8013421626434769</v>
      </c>
      <c r="AW28" s="31">
        <f>Table1[[#This Row],[PPS]]/Table1[[#This Row],[In-Tok]]</f>
        <v>3.249716666666667</v>
      </c>
      <c r="AX28" s="43">
        <f>Table1[[#This Row],[RPS]]/Table1[[#This Row],[RPS(IL)]]</f>
        <v>0.9231574034659431</v>
      </c>
      <c r="AY28" s="31">
        <f>Table1[[#This Row],[GPS]]/Table1[[#This Row],[Out-Tok]]</f>
        <v>2.8298575163398696</v>
      </c>
      <c r="AZ28" s="90">
        <f>Table1[[#This Row],[RPS]]/Table1[[#This Row],[RPS(OL)]]</f>
        <v>1.0601240460615813</v>
      </c>
      <c r="BA28" s="133">
        <f>MaxTok/Table1[[#This Row],[tok/req]]</f>
        <v>47.596596563503716</v>
      </c>
      <c r="BB28" s="43">
        <f>Table1[[#This Row],[N]]/Table1[[#This Row],[N-max]]</f>
        <v>0.86701703624221993</v>
      </c>
      <c r="BC28" s="70">
        <f>Table1[[#This Row],[RPS]]</f>
        <v>3</v>
      </c>
      <c r="BD28" s="49">
        <f>Table1[[#This Row],[PPS]]/Table1[[#This Row],[RPS success]]</f>
        <v>8665.9111111111124</v>
      </c>
      <c r="BE28" s="43">
        <f>ABS(Table1[[#This Row],[est-In-Tok3]]-Table1[[#This Row],[In-Tok]])/Table1[[#This Row],[In-Tok]]</f>
        <v>8.3238888888889057E-2</v>
      </c>
      <c r="BF28" s="49">
        <f>Table1[[#This Row],[GPS]]/Table1[[#This Row],[RPS success]]</f>
        <v>282.98575163398692</v>
      </c>
      <c r="BG28" s="43">
        <f>ABS(Table1[[#This Row],[est-Out-Tok3]]-Table1[[#This Row],[Out-Tok]])/Table1[[#This Row],[Out-Tok]]</f>
        <v>5.6714161220043594E-2</v>
      </c>
      <c r="BH28" s="159">
        <f>Table1[[#This Row],[est-In-Tok3]]+AvgOutLoad*Table1[[#This Row],[est-Out-Tok3]]</f>
        <v>8807.403986928106</v>
      </c>
      <c r="BI28" s="43">
        <f>ABS(Table1[[#This Row],[est-Tok/Req3]]-Table1[[#This Row],[tok/req]])/Table1[[#This Row],[tok/req]]</f>
        <v>8.0663065880749202E-2</v>
      </c>
      <c r="BJ28" s="159">
        <f>MaxTok/Table1[[#This Row],[est-Tok/Req3]]</f>
        <v>44.043882007489636</v>
      </c>
      <c r="BK28" s="43">
        <f>ABS(Table1[[#This Row],[est-N-max3]]-Table1[[#This Row],[N-max]])/Table1[[#This Row],[N-max]]</f>
        <v>7.464219739480793E-2</v>
      </c>
      <c r="BL28" s="70">
        <f>MaxTok*Table1[[#This Row],[Kvcache]]/Table1[[#This Row],[Run]]</f>
        <v>8146.1337610524079</v>
      </c>
      <c r="BM28" s="167">
        <f>ABS(Table1[[#This Row],[est-Tok/Req]]-Table1[[#This Row],[tok/req]])/Table1[[#This Row],[tok/req]]</f>
        <v>4.7438514694382052E-4</v>
      </c>
      <c r="BN28" s="70">
        <f>MaxTok/Table1[[#This Row],[est-Tok/Req]]</f>
        <v>47.619186398240593</v>
      </c>
      <c r="BO28" s="177">
        <f>Table1[[#This Row],[Run]]/Table1[[#This Row],[Kvcache]]</f>
        <v>47.619186398240593</v>
      </c>
      <c r="BP28" s="133" cm="1">
        <f t="array" aca="1" ref="BP28" ca="1">_xlfn.CEILING.MATH(INDIRECT("Table1"&amp;BP$3)/BP$2)*BP$2</f>
        <v>9000</v>
      </c>
      <c r="BQ28" s="184" cm="1">
        <f t="array" aca="1" ref="BQ28" ca="1">_xlfn.CEILING.MATH(INDIRECT("Table1"&amp;BQ$3)/BQ$2)*BQ$2</f>
        <v>0.05</v>
      </c>
      <c r="BR28" s="43" cm="1">
        <f t="array" aca="1" ref="BR28" ca="1">_xlfn.CEILING.MATH(INDIRECT("Table1"&amp;BR$3)/BR$2)*BR$2</f>
        <v>0.8</v>
      </c>
      <c r="BS28" s="43" cm="1">
        <f t="array" aca="1" ref="BS28" ca="1">_xlfn.CEILING.MATH(INDIRECT("Table1"&amp;BS$3)/BS$2)*BS$2</f>
        <v>0.72</v>
      </c>
      <c r="BT28" s="25" cm="1">
        <f t="array" aca="1" ref="BT28" ca="1">_xlfn.CEILING.MATH(INDIRECT("Table1"&amp;BT$3)/BT$2)*BT$2</f>
        <v>35</v>
      </c>
      <c r="BU28" s="133" cm="1">
        <f t="array" aca="1" ref="BU28" ca="1">_xlfn.CEILING.MATH(INDIRECT("Table1"&amp;BU$3)/BU$2)*BU$2</f>
        <v>30</v>
      </c>
      <c r="BV28" s="133" cm="1">
        <f t="array" aca="1" ref="BV28" ca="1">_xlfn.CEILING.MATH(INDIRECT("Table1"&amp;BV$3)/BV$2)*BV$2</f>
        <v>8000</v>
      </c>
      <c r="BW28" s="43"/>
      <c r="BX28" s="43"/>
      <c r="BY28" s="193">
        <v>0.99363847944142747</v>
      </c>
      <c r="BZ28" s="43"/>
      <c r="CA28" s="24">
        <f>(Table1[[#This Row],[In-Tok]]+Table1[[#This Row],[Out-Tok]])*Table1[[#This Row],[RPS]]</f>
        <v>24900</v>
      </c>
      <c r="CB28" s="20">
        <f t="shared" si="5"/>
        <v>389603.47048719547</v>
      </c>
      <c r="CC28" s="20">
        <f>Table1[[#This Row],[Supply]]/(Table1[[#This Row],[Prefill]]+Table1[[#This Row],[Out-Tok]]*Table1[[#This Row],[ITL]])</f>
        <v>26901.409026247053</v>
      </c>
      <c r="CD28" s="20">
        <f>Table1[[#This Row],[MaxRun]]/Table1[[#This Row],[ITL]]</f>
        <v>1032.0091547956301</v>
      </c>
      <c r="CE28" s="20">
        <f>Table1[[#This Row],[Out-Tok]]*Table1[[#This Row],[RPS]]</f>
        <v>900</v>
      </c>
      <c r="CF28" s="22">
        <f>Table1[[#This Row],[Supply]]/Table1[[#This Row],[Demand-T]]</f>
        <v>15.646725722377328</v>
      </c>
      <c r="CG28" s="31"/>
      <c r="CH28" s="71">
        <f>Table1[[#This Row],[Prefill]]+Table1[[#This Row],[Out-Tok]]*Table1[[#This Row],[ITL]]</f>
        <v>14.482641786795213</v>
      </c>
      <c r="CI28" s="71">
        <f>Table1[[#This Row],[GPS]]*Table1[[#This Row],[ITL]]</f>
        <v>39.074720820503607</v>
      </c>
      <c r="CJ28" s="72">
        <f>Table1[[#This Row],[PPS]]*Table1[[#This Row],[Prefill]]/Table1[[#This Row],[In-Tok]]</f>
        <v>2.192339267202017</v>
      </c>
      <c r="CK28" s="71">
        <f t="shared" si="6"/>
        <v>41.267060087705623</v>
      </c>
      <c r="CL28" s="71">
        <f>Table1[[#This Row],[PPS]]/Table1[[#This Row],[In-Tok]]</f>
        <v>3.249716666666667</v>
      </c>
      <c r="CM28" s="71">
        <f>Table1[[#This Row],[GPS]]/Table1[[#This Row],[Out-Tok]]</f>
        <v>2.8298575163398696</v>
      </c>
      <c r="CN28" s="71">
        <f>Table1[[#This Row],[Run]]/Table1[[#This Row],[E2E]]</f>
        <v>2.1568737320327176</v>
      </c>
      <c r="CO28" s="71">
        <f>Table1[[#This Row],[N2]]/Table1[[#This Row],[E2E]]</f>
        <v>2.5992960165889016</v>
      </c>
      <c r="CP28" s="71"/>
      <c r="CQ28" s="71">
        <f>Table1[[#This Row],[In-Tok]]+AvgOutLoad*Table1[[#This Row],[Out-Tok]]</f>
        <v>8150</v>
      </c>
      <c r="CR28" s="71">
        <f t="shared" si="7"/>
        <v>537548.54279547359</v>
      </c>
      <c r="CS28" s="71" t="e">
        <f t="shared" si="8"/>
        <v>#DIV/0!</v>
      </c>
      <c r="CT28" s="71" t="e">
        <f t="shared" si="9"/>
        <v>#DIV/0!</v>
      </c>
      <c r="CU28" s="71">
        <f t="shared" si="10"/>
        <v>0</v>
      </c>
      <c r="CV28" s="71" t="e">
        <f t="shared" si="11"/>
        <v>#DIV/0!</v>
      </c>
      <c r="CW28" s="71">
        <f>Table1[[#This Row],[N(maxT)]]/Table1[[#This Row],[e2e sat]]</f>
        <v>0</v>
      </c>
      <c r="CX28" s="71" t="e">
        <f>Table1[[#This Row],[RPS]]/CW28</f>
        <v>#DIV/0!</v>
      </c>
      <c r="CY28" s="110" t="e">
        <f>Table1[[#This Row],[Kvcache]]/$T$4</f>
        <v>#DIV/0!</v>
      </c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</row>
    <row r="29" spans="1:192" s="2" customFormat="1" hidden="1" x14ac:dyDescent="0.25">
      <c r="A29" s="210">
        <v>9000</v>
      </c>
      <c r="B29" s="210">
        <v>300</v>
      </c>
      <c r="C29" s="2">
        <v>3</v>
      </c>
      <c r="D29" s="199">
        <f>Table1[[#This Row],[Kvcache]]</f>
        <v>0.81162910184693704</v>
      </c>
      <c r="E29" s="205" t="s">
        <v>137</v>
      </c>
      <c r="F29" s="219">
        <v>46092</v>
      </c>
      <c r="G29" s="198"/>
      <c r="H29" s="198">
        <v>4.9382491700382154</v>
      </c>
      <c r="I29" s="198">
        <v>0.58397318882651494</v>
      </c>
      <c r="J29" s="198">
        <v>5.6666361706880117</v>
      </c>
      <c r="K29" s="198">
        <v>12.60594606399536</v>
      </c>
      <c r="L29" s="198">
        <v>13.232698035240169</v>
      </c>
      <c r="M29" s="198">
        <v>4.9659702641519837E-2</v>
      </c>
      <c r="N29" s="198">
        <v>19.443941701613355</v>
      </c>
      <c r="O29" s="197">
        <v>26440.126470588235</v>
      </c>
      <c r="P29" s="197">
        <v>804.46732026143786</v>
      </c>
      <c r="Q29" s="9">
        <v>34.356725146198826</v>
      </c>
      <c r="R29" s="9">
        <v>42</v>
      </c>
      <c r="S29" s="196">
        <v>0.81162910184693704</v>
      </c>
      <c r="T29" s="167">
        <v>0.99685802948021718</v>
      </c>
      <c r="U29" s="30">
        <f>(Table1[[#This Row],[In-Tok]]+Table1[[#This Row],[Out-Tok]])*Table1[[#This Row],[RPS]]</f>
        <v>27900</v>
      </c>
      <c r="V29" s="54">
        <f>Table1[[#This Row],[In-Tok]]+AvgOutLoad*Table1[[#This Row],[Out-Tok]]</f>
        <v>9150</v>
      </c>
      <c r="W29" s="25">
        <f>Table1[[#This Row],[In-Tok]]*Table1[[#This Row],[RPS]]</f>
        <v>27000</v>
      </c>
      <c r="X29" s="38">
        <f>Table1[[#This Row],[Out-Tok]]*Table1[[#This Row],[RPS]]</f>
        <v>900</v>
      </c>
      <c r="Y29" s="77">
        <f>Table1[[#This Row],[In-Tok]]/Table1[[#This Row],[Out-Tok]]</f>
        <v>30</v>
      </c>
      <c r="Z29" s="30">
        <f>Table1[[#This Row],[In-Tok]]*Table1[[#This Row],[N]]+AvgOutLoad*Table1[[#This Row],[Out-Tok]]*Table1[[#This Row],[Ndecode]]</f>
        <v>380979.23733538605</v>
      </c>
      <c r="AA29" s="25">
        <f>Table1[[#This Row],[tok(N)]]/Table1[[#This Row],[Kvcache]]</f>
        <v>469400.66154408781</v>
      </c>
      <c r="AB29" s="25">
        <f>Table1[[#This Row],[tok/req]]*Table1[[#This Row],[Run]]</f>
        <v>314364.03508771927</v>
      </c>
      <c r="AC29" s="25">
        <f>Table1[[#This Row],[tok(Run)]]/Table1[[#This Row],[Kvcache]]</f>
        <v>387324.74522211542</v>
      </c>
      <c r="AD29" s="25">
        <f>Table1[[#This Row],[tok/req]]*Table1[[#This Row],[MaxRun]]</f>
        <v>384300</v>
      </c>
      <c r="AE29" s="25">
        <f>Table1[[#This Row],[tok(MaxRun)]]/Table1[[#This Row],[MaxKvcache]]</f>
        <v>385511.2650297677</v>
      </c>
      <c r="AF29" s="77">
        <f>Table1[[#This Row],[PPS]]*Table1[[#This Row],[Prefill]]/Table1[[#This Row],[In-Tok]]</f>
        <v>1.7155916631117512</v>
      </c>
      <c r="AG29" s="31">
        <f>Table1[[#This Row],[GPS]]*Table1[[#This Row],[ITL]]</f>
        <v>39.949607909003312</v>
      </c>
      <c r="AH29" s="31">
        <f>Table1[[#This Row],[Nprefill]]+Table1[[#This Row],[Ndecode]]</f>
        <v>41.665199572115064</v>
      </c>
      <c r="AI29" s="43">
        <f>Table1[[#This Row],[Run]]/Table1[[#This Row],[ITL]]/Table1[[#This Row],[GPS]]</f>
        <v>0.8600015605774185</v>
      </c>
      <c r="AJ29" s="65">
        <f>Table1[[#This Row],[Prefill]]+Table1[[#This Row],[ITL]]</f>
        <v>0.63363289146803481</v>
      </c>
      <c r="AK29" s="43">
        <f>Table1[[#This Row],[TTFT]]/Table1[[#This Row],[estTTFT]]</f>
        <v>7.793549287817136</v>
      </c>
      <c r="AL29" s="31">
        <f>Table1[[#This Row],[In-Tok]]*Table1[[#This Row],[RPS]]/Table1[[#This Row],[PPS]]</f>
        <v>1.0211751456648501</v>
      </c>
      <c r="AM29" s="43">
        <f>Table1[[#This Row],[Prefill]]/Table1[[#This Row],[estPrefill]]</f>
        <v>0.57186388770391705</v>
      </c>
      <c r="AN29" s="43">
        <f>Table1[[#This Row],[Prefill]]/Table1[[#This Row],[TTFT]]</f>
        <v>0.11825510797827882</v>
      </c>
      <c r="AO29" s="65">
        <f>Table1[[#This Row],[Run]]/(Table1[[#This Row],[Out-Tok]]*Table1[[#This Row],[RPS]])</f>
        <v>3.8174139051332032E-2</v>
      </c>
      <c r="AP29" s="43">
        <f>Table1[[#This Row],[ITL]]/Table1[[#This Row],[estITL]]</f>
        <v>1.3008728913242389</v>
      </c>
      <c r="AQ29" s="70">
        <f>Table1[[#This Row],[E2E]]-Table1[[#This Row],[TTFT]]+Table1[[#This Row],[ITL]]</f>
        <v>14.555352234216659</v>
      </c>
      <c r="AR29" s="43">
        <f>Table1[[#This Row],[estDecode]]/Table1[[#This Row],[Run]]</f>
        <v>0.42365365651932752</v>
      </c>
      <c r="AS29" s="70">
        <f>Table1[[#This Row],[Prefill]]+Table1[[#This Row],[Out-Tok]]*Table1[[#This Row],[ITL]]</f>
        <v>15.481883981282467</v>
      </c>
      <c r="AT29" s="31">
        <f>Table1[[#This Row],[estPrefill]]+Table1[[#This Row],[Out-Tok]]*Table1[[#This Row],[ITL]]</f>
        <v>15.919085938120801</v>
      </c>
      <c r="AU29" s="43">
        <f>Table1[[#This Row],[E2E]]/Table1[[#This Row],[estE2E]]</f>
        <v>1.2214232511335166</v>
      </c>
      <c r="AV29" s="31">
        <f>Table1[[#This Row],[N]]/Table1[[#This Row],[estE2E]]</f>
        <v>2.6173110525360674</v>
      </c>
      <c r="AW29" s="31">
        <f>Table1[[#This Row],[PPS]]/Table1[[#This Row],[In-Tok]]</f>
        <v>2.9377918300653594</v>
      </c>
      <c r="AX29" s="43">
        <f>Table1[[#This Row],[RPS]]/Table1[[#This Row],[RPS(IL)]]</f>
        <v>1.0211751456648501</v>
      </c>
      <c r="AY29" s="31">
        <f>Table1[[#This Row],[GPS]]/Table1[[#This Row],[Out-Tok]]</f>
        <v>2.6815577342047927</v>
      </c>
      <c r="AZ29" s="90">
        <f>Table1[[#This Row],[RPS]]/Table1[[#This Row],[RPS(OL)]]</f>
        <v>1.1187527166517039</v>
      </c>
      <c r="BA29" s="133">
        <f>MaxTok/Table1[[#This Row],[tok/req]]</f>
        <v>42.394782731426808</v>
      </c>
      <c r="BB29" s="43">
        <f>Table1[[#This Row],[N]]/Table1[[#This Row],[N-max]]</f>
        <v>0.98279073243673187</v>
      </c>
      <c r="BC29" s="70">
        <f>Table1[[#This Row],[RPS]]</f>
        <v>3</v>
      </c>
      <c r="BD29" s="49">
        <f>Table1[[#This Row],[PPS]]/Table1[[#This Row],[RPS success]]</f>
        <v>8813.3754901960783</v>
      </c>
      <c r="BE29" s="43">
        <f>ABS(Table1[[#This Row],[est-In-Tok3]]-Table1[[#This Row],[In-Tok]])/Table1[[#This Row],[In-Tok]]</f>
        <v>2.0736056644880187E-2</v>
      </c>
      <c r="BF29" s="49">
        <f>Table1[[#This Row],[GPS]]/Table1[[#This Row],[RPS success]]</f>
        <v>268.15577342047931</v>
      </c>
      <c r="BG29" s="43">
        <f>ABS(Table1[[#This Row],[est-Out-Tok3]]-Table1[[#This Row],[Out-Tok]])/Table1[[#This Row],[Out-Tok]]</f>
        <v>0.10614742193173564</v>
      </c>
      <c r="BH29" s="159">
        <f>Table1[[#This Row],[est-In-Tok3]]+AvgOutLoad*Table1[[#This Row],[est-Out-Tok3]]</f>
        <v>8947.4533769063182</v>
      </c>
      <c r="BI29" s="43">
        <f>ABS(Table1[[#This Row],[est-Tok/Req3]]-Table1[[#This Row],[tok/req]])/Table1[[#This Row],[tok/req]]</f>
        <v>2.2136242961058119E-2</v>
      </c>
      <c r="BJ29" s="159">
        <f>MaxTok/Table1[[#This Row],[est-Tok/Req3]]</f>
        <v>43.354488216029161</v>
      </c>
      <c r="BK29" s="43">
        <f>ABS(Table1[[#This Row],[est-N-max3]]-Table1[[#This Row],[N-max]])/Table1[[#This Row],[N-max]]</f>
        <v>2.2637348814408074E-2</v>
      </c>
      <c r="BL29" s="70">
        <f>MaxTok*Table1[[#This Row],[Kvcache]]/Table1[[#This Row],[Run]]</f>
        <v>9163.8792538195357</v>
      </c>
      <c r="BM29" s="167">
        <f>ABS(Table1[[#This Row],[est-Tok/Req]]-Table1[[#This Row],[tok/req]])/Table1[[#This Row],[tok/req]]</f>
        <v>1.5168583409328671E-3</v>
      </c>
      <c r="BN29" s="70">
        <f>MaxTok/Table1[[#This Row],[est-Tok/Req]]</f>
        <v>42.330573248318629</v>
      </c>
      <c r="BO29" s="177">
        <f>Table1[[#This Row],[Run]]/Table1[[#This Row],[Kvcache]]</f>
        <v>42.330573248318629</v>
      </c>
      <c r="BP29" s="133" cm="1">
        <f t="array" aca="1" ref="BP29" ca="1">_xlfn.CEILING.MATH(INDIRECT("Table1"&amp;BP$3)/BP$2)*BP$2</f>
        <v>10000</v>
      </c>
      <c r="BQ29" s="184" cm="1">
        <f t="array" aca="1" ref="BQ29" ca="1">_xlfn.CEILING.MATH(INDIRECT("Table1"&amp;BQ$3)/BQ$2)*BQ$2</f>
        <v>0.05</v>
      </c>
      <c r="BR29" s="43" cm="1">
        <f t="array" aca="1" ref="BR29" ca="1">_xlfn.CEILING.MATH(INDIRECT("Table1"&amp;BR$3)/BR$2)*BR$2</f>
        <v>0.9</v>
      </c>
      <c r="BS29" s="43" cm="1">
        <f t="array" aca="1" ref="BS29" ca="1">_xlfn.CEILING.MATH(INDIRECT("Table1"&amp;BS$3)/BS$2)*BS$2</f>
        <v>0.82000000000000006</v>
      </c>
      <c r="BT29" s="25" cm="1">
        <f t="array" aca="1" ref="BT29" ca="1">_xlfn.CEILING.MATH(INDIRECT("Table1"&amp;BT$3)/BT$2)*BT$2</f>
        <v>35</v>
      </c>
      <c r="BU29" s="133" cm="1">
        <f t="array" aca="1" ref="BU29" ca="1">_xlfn.CEILING.MATH(INDIRECT("Table1"&amp;BU$3)/BU$2)*BU$2</f>
        <v>30</v>
      </c>
      <c r="BV29" s="133" cm="1">
        <f t="array" aca="1" ref="BV29" ca="1">_xlfn.CEILING.MATH(INDIRECT("Table1"&amp;BV$3)/BV$2)*BV$2</f>
        <v>9000</v>
      </c>
      <c r="BW29" s="43"/>
      <c r="BX29" s="43"/>
      <c r="BY29" s="193">
        <v>0.99685802948021718</v>
      </c>
      <c r="BZ29" s="43"/>
      <c r="CA29" s="24">
        <f>(Table1[[#This Row],[In-Tok]]+Table1[[#This Row],[Out-Tok]])*Table1[[#This Row],[RPS]]</f>
        <v>27900</v>
      </c>
      <c r="CB29" s="20">
        <f t="shared" si="5"/>
        <v>385511.2650297677</v>
      </c>
      <c r="CC29" s="20">
        <f>Table1[[#This Row],[Supply]]/(Table1[[#This Row],[Prefill]]+Table1[[#This Row],[Out-Tok]]*Table1[[#This Row],[ITL]])</f>
        <v>24900.797958171577</v>
      </c>
      <c r="CD29" s="20">
        <f>Table1[[#This Row],[MaxRun]]/Table1[[#This Row],[ITL]]</f>
        <v>845.7561718237987</v>
      </c>
      <c r="CE29" s="20">
        <f>Table1[[#This Row],[Out-Tok]]*Table1[[#This Row],[RPS]]</f>
        <v>900</v>
      </c>
      <c r="CF29" s="22">
        <f>Table1[[#This Row],[Supply]]/Table1[[#This Row],[Demand-T]]</f>
        <v>13.817608065583071</v>
      </c>
      <c r="CG29" s="31"/>
      <c r="CH29" s="71">
        <f>Table1[[#This Row],[Prefill]]+Table1[[#This Row],[Out-Tok]]*Table1[[#This Row],[ITL]]</f>
        <v>15.481883981282467</v>
      </c>
      <c r="CI29" s="71">
        <f>Table1[[#This Row],[GPS]]*Table1[[#This Row],[ITL]]</f>
        <v>39.949607909003312</v>
      </c>
      <c r="CJ29" s="72">
        <f>Table1[[#This Row],[PPS]]*Table1[[#This Row],[Prefill]]/Table1[[#This Row],[In-Tok]]</f>
        <v>1.7155916631117512</v>
      </c>
      <c r="CK29" s="71">
        <f t="shared" si="6"/>
        <v>41.665199572115064</v>
      </c>
      <c r="CL29" s="71">
        <f>Table1[[#This Row],[PPS]]/Table1[[#This Row],[In-Tok]]</f>
        <v>2.9377918300653594</v>
      </c>
      <c r="CM29" s="71">
        <f>Table1[[#This Row],[GPS]]/Table1[[#This Row],[Out-Tok]]</f>
        <v>2.6815577342047927</v>
      </c>
      <c r="CN29" s="71">
        <f>Table1[[#This Row],[Run]]/Table1[[#This Row],[E2E]]</f>
        <v>1.7669629786715566</v>
      </c>
      <c r="CO29" s="71">
        <f>Table1[[#This Row],[N2]]/Table1[[#This Row],[E2E]]</f>
        <v>2.1428370960738845</v>
      </c>
      <c r="CP29" s="71"/>
      <c r="CQ29" s="71">
        <f>Table1[[#This Row],[In-Tok]]+AvgOutLoad*Table1[[#This Row],[Out-Tok]]</f>
        <v>9150</v>
      </c>
      <c r="CR29" s="71">
        <f t="shared" si="7"/>
        <v>560058.50907460984</v>
      </c>
      <c r="CS29" s="71" t="e">
        <f t="shared" si="8"/>
        <v>#DIV/0!</v>
      </c>
      <c r="CT29" s="71" t="e">
        <f t="shared" si="9"/>
        <v>#DIV/0!</v>
      </c>
      <c r="CU29" s="71">
        <f t="shared" si="10"/>
        <v>0</v>
      </c>
      <c r="CV29" s="71" t="e">
        <f t="shared" si="11"/>
        <v>#DIV/0!</v>
      </c>
      <c r="CW29" s="71">
        <f>Table1[[#This Row],[N(maxT)]]/Table1[[#This Row],[e2e sat]]</f>
        <v>0</v>
      </c>
      <c r="CX29" s="71" t="e">
        <f>Table1[[#This Row],[RPS]]/CW29</f>
        <v>#DIV/0!</v>
      </c>
      <c r="CY29" s="110" t="e">
        <f>Table1[[#This Row],[Kvcache]]/$T$4</f>
        <v>#DIV/0!</v>
      </c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</row>
    <row r="30" spans="1:192" s="2" customFormat="1" hidden="1" x14ac:dyDescent="0.25">
      <c r="A30" s="210">
        <v>10000</v>
      </c>
      <c r="B30" s="210">
        <v>300</v>
      </c>
      <c r="C30" s="2">
        <v>3</v>
      </c>
      <c r="D30" s="199">
        <f>Table1[[#This Row],[Kvcache]]</f>
        <v>0.86822536850271537</v>
      </c>
      <c r="E30" s="205" t="s">
        <v>137</v>
      </c>
      <c r="F30" s="219">
        <v>46092</v>
      </c>
      <c r="G30" s="198"/>
      <c r="H30" s="198">
        <v>10.12125709525824</v>
      </c>
      <c r="I30" s="198">
        <v>0.70765306539515027</v>
      </c>
      <c r="J30" s="198">
        <v>10.896078383424459</v>
      </c>
      <c r="K30" s="198">
        <v>21.766291022300713</v>
      </c>
      <c r="L30" s="198">
        <v>22.779567379951473</v>
      </c>
      <c r="M30" s="198">
        <v>5.5731671260744756E-2</v>
      </c>
      <c r="N30" s="198">
        <v>25.631817402061053</v>
      </c>
      <c r="O30" s="197">
        <v>26029.615789473686</v>
      </c>
      <c r="P30" s="197">
        <v>698.1052631578948</v>
      </c>
      <c r="Q30" s="9">
        <v>33.15</v>
      </c>
      <c r="R30" s="9">
        <v>38</v>
      </c>
      <c r="S30" s="196">
        <v>0.86822536850271537</v>
      </c>
      <c r="T30" s="167">
        <v>0.99837083010085337</v>
      </c>
      <c r="U30" s="30">
        <f>(Table1[[#This Row],[In-Tok]]+Table1[[#This Row],[Out-Tok]])*Table1[[#This Row],[RPS]]</f>
        <v>30900</v>
      </c>
      <c r="V30" s="54">
        <f>Table1[[#This Row],[In-Tok]]+AvgOutLoad*Table1[[#This Row],[Out-Tok]]</f>
        <v>10150</v>
      </c>
      <c r="W30" s="25">
        <f>Table1[[#This Row],[In-Tok]]*Table1[[#This Row],[RPS]]</f>
        <v>30000</v>
      </c>
      <c r="X30" s="38">
        <f>Table1[[#This Row],[Out-Tok]]*Table1[[#This Row],[RPS]]</f>
        <v>900</v>
      </c>
      <c r="Y30" s="77">
        <f>Table1[[#This Row],[In-Tok]]/Table1[[#This Row],[Out-Tok]]</f>
        <v>33.333333333333336</v>
      </c>
      <c r="Z30" s="30">
        <f>Table1[[#This Row],[In-Tok]]*Table1[[#This Row],[N]]+AvgOutLoad*Table1[[#This Row],[Out-Tok]]*Table1[[#This Row],[Ndecode]]</f>
        <v>413321.65367635078</v>
      </c>
      <c r="AA30" s="25">
        <f>Table1[[#This Row],[tok(N)]]/Table1[[#This Row],[Kvcache]]</f>
        <v>476053.41731621855</v>
      </c>
      <c r="AB30" s="25">
        <f>Table1[[#This Row],[tok/req]]*Table1[[#This Row],[Run]]</f>
        <v>336472.5</v>
      </c>
      <c r="AC30" s="25">
        <f>Table1[[#This Row],[tok(Run)]]/Table1[[#This Row],[Kvcache]]</f>
        <v>387540.50757611293</v>
      </c>
      <c r="AD30" s="25">
        <f>Table1[[#This Row],[tok/req]]*Table1[[#This Row],[MaxRun]]</f>
        <v>385700</v>
      </c>
      <c r="AE30" s="25">
        <f>Table1[[#This Row],[tok(MaxRun)]]/Table1[[#This Row],[MaxKvcache]]</f>
        <v>386329.39622348279</v>
      </c>
      <c r="AF30" s="77">
        <f>Table1[[#This Row],[PPS]]*Table1[[#This Row],[Prefill]]/Table1[[#This Row],[In-Tok]]</f>
        <v>1.8419937404479061</v>
      </c>
      <c r="AG30" s="31">
        <f>Table1[[#This Row],[GPS]]*Table1[[#This Row],[ITL]]</f>
        <v>38.906573031711503</v>
      </c>
      <c r="AH30" s="31">
        <f>Table1[[#This Row],[Nprefill]]+Table1[[#This Row],[Ndecode]]</f>
        <v>40.748566772159407</v>
      </c>
      <c r="AI30" s="43">
        <f>Table1[[#This Row],[Run]]/Table1[[#This Row],[ITL]]/Table1[[#This Row],[GPS]]</f>
        <v>0.85204111842439822</v>
      </c>
      <c r="AJ30" s="65">
        <f>Table1[[#This Row],[Prefill]]+Table1[[#This Row],[ITL]]</f>
        <v>0.76338473665589501</v>
      </c>
      <c r="AK30" s="43">
        <f>Table1[[#This Row],[TTFT]]/Table1[[#This Row],[estTTFT]]</f>
        <v>13.258395942779401</v>
      </c>
      <c r="AL30" s="31">
        <f>Table1[[#This Row],[In-Tok]]*Table1[[#This Row],[RPS]]/Table1[[#This Row],[PPS]]</f>
        <v>1.1525333390488202</v>
      </c>
      <c r="AM30" s="43">
        <f>Table1[[#This Row],[Prefill]]/Table1[[#This Row],[estPrefill]]</f>
        <v>0.61399791348263533</v>
      </c>
      <c r="AN30" s="43">
        <f>Table1[[#This Row],[Prefill]]/Table1[[#This Row],[TTFT]]</f>
        <v>6.9917507156960004E-2</v>
      </c>
      <c r="AO30" s="65">
        <f>Table1[[#This Row],[Run]]/(Table1[[#This Row],[Out-Tok]]*Table1[[#This Row],[RPS]])</f>
        <v>3.6833333333333329E-2</v>
      </c>
      <c r="AP30" s="43">
        <f>Table1[[#This Row],[ITL]]/Table1[[#This Row],[estITL]]</f>
        <v>1.5130770478030253</v>
      </c>
      <c r="AQ30" s="70">
        <f>Table1[[#This Row],[E2E]]-Table1[[#This Row],[TTFT]]+Table1[[#This Row],[ITL]]</f>
        <v>15.566291978063557</v>
      </c>
      <c r="AR30" s="43">
        <f>Table1[[#This Row],[estDecode]]/Table1[[#This Row],[Run]]</f>
        <v>0.4695714020531993</v>
      </c>
      <c r="AS30" s="70">
        <f>Table1[[#This Row],[Prefill]]+Table1[[#This Row],[Out-Tok]]*Table1[[#This Row],[ITL]]</f>
        <v>17.427154443618576</v>
      </c>
      <c r="AT30" s="31">
        <f>Table1[[#This Row],[estPrefill]]+Table1[[#This Row],[Out-Tok]]*Table1[[#This Row],[ITL]]</f>
        <v>17.872034717272246</v>
      </c>
      <c r="AU30" s="43">
        <f>Table1[[#This Row],[E2E]]/Table1[[#This Row],[estE2E]]</f>
        <v>1.4341857436797303</v>
      </c>
      <c r="AV30" s="31">
        <f>Table1[[#This Row],[N]]/Table1[[#This Row],[estE2E]]</f>
        <v>2.2800183312523652</v>
      </c>
      <c r="AW30" s="31">
        <f>Table1[[#This Row],[PPS]]/Table1[[#This Row],[In-Tok]]</f>
        <v>2.6029615789473688</v>
      </c>
      <c r="AX30" s="43">
        <f>Table1[[#This Row],[RPS]]/Table1[[#This Row],[RPS(IL)]]</f>
        <v>1.1525333390488202</v>
      </c>
      <c r="AY30" s="31">
        <f>Table1[[#This Row],[GPS]]/Table1[[#This Row],[Out-Tok]]</f>
        <v>2.3270175438596494</v>
      </c>
      <c r="AZ30" s="90">
        <f>Table1[[#This Row],[RPS]]/Table1[[#This Row],[RPS(OL)]]</f>
        <v>1.2892038600723761</v>
      </c>
      <c r="BA30" s="133">
        <f>MaxTok/Table1[[#This Row],[tok/req]]</f>
        <v>38.217956846557172</v>
      </c>
      <c r="BB30" s="43">
        <f>Table1[[#This Row],[N]]/Table1[[#This Row],[N-max]]</f>
        <v>1.0662152070494633</v>
      </c>
      <c r="BC30" s="70">
        <f>Table1[[#This Row],[RPS]]</f>
        <v>3</v>
      </c>
      <c r="BD30" s="49">
        <f>Table1[[#This Row],[PPS]]/Table1[[#This Row],[RPS success]]</f>
        <v>8676.5385964912293</v>
      </c>
      <c r="BE30" s="43">
        <f>ABS(Table1[[#This Row],[est-In-Tok3]]-Table1[[#This Row],[In-Tok]])/Table1[[#This Row],[In-Tok]]</f>
        <v>0.13234614035087708</v>
      </c>
      <c r="BF30" s="49">
        <f>Table1[[#This Row],[GPS]]/Table1[[#This Row],[RPS success]]</f>
        <v>232.70175438596493</v>
      </c>
      <c r="BG30" s="43">
        <f>ABS(Table1[[#This Row],[est-Out-Tok3]]-Table1[[#This Row],[Out-Tok]])/Table1[[#This Row],[Out-Tok]]</f>
        <v>0.2243274853801169</v>
      </c>
      <c r="BH30" s="159">
        <f>Table1[[#This Row],[est-In-Tok3]]+AvgOutLoad*Table1[[#This Row],[est-Out-Tok3]]</f>
        <v>8792.8894736842121</v>
      </c>
      <c r="BI30" s="43">
        <f>ABS(Table1[[#This Row],[est-Tok/Req3]]-Table1[[#This Row],[tok/req]])/Table1[[#This Row],[tok/req]]</f>
        <v>0.13370547057298401</v>
      </c>
      <c r="BJ30" s="159">
        <f>MaxTok/Table1[[#This Row],[est-Tok/Req3]]</f>
        <v>44.116585697286197</v>
      </c>
      <c r="BK30" s="43">
        <f>ABS(Table1[[#This Row],[est-N-max3]]-Table1[[#This Row],[N-max]])/Table1[[#This Row],[N-max]]</f>
        <v>0.15434181566564822</v>
      </c>
      <c r="BL30" s="70">
        <f>MaxTok*Table1[[#This Row],[Kvcache]]/Table1[[#This Row],[Run]]</f>
        <v>10159.736549478377</v>
      </c>
      <c r="BM30" s="167">
        <f>ABS(Table1[[#This Row],[est-Tok/Req]]-Table1[[#This Row],[tok/req]])/Table1[[#This Row],[tok/req]]</f>
        <v>9.592659584608008E-4</v>
      </c>
      <c r="BN30" s="70">
        <f>MaxTok/Table1[[#This Row],[est-Tok/Req]]</f>
        <v>38.181330795676146</v>
      </c>
      <c r="BO30" s="177">
        <f>Table1[[#This Row],[Run]]/Table1[[#This Row],[Kvcache]]</f>
        <v>38.181330795676146</v>
      </c>
      <c r="BP30" s="133" cm="1">
        <f t="array" aca="1" ref="BP30" ca="1">_xlfn.CEILING.MATH(INDIRECT("Table1"&amp;BP$3)/BP$2)*BP$2</f>
        <v>11000</v>
      </c>
      <c r="BQ30" s="184" cm="1">
        <f t="array" aca="1" ref="BQ30" ca="1">_xlfn.CEILING.MATH(INDIRECT("Table1"&amp;BQ$3)/BQ$2)*BQ$2</f>
        <v>0.06</v>
      </c>
      <c r="BR30" s="43" cm="1">
        <f t="array" aca="1" ref="BR30" ca="1">_xlfn.CEILING.MATH(INDIRECT("Table1"&amp;BR$3)/BR$2)*BR$2</f>
        <v>0.9</v>
      </c>
      <c r="BS30" s="43" cm="1">
        <f t="array" aca="1" ref="BS30" ca="1">_xlfn.CEILING.MATH(INDIRECT("Table1"&amp;BS$3)/BS$2)*BS$2</f>
        <v>0.87</v>
      </c>
      <c r="BT30" s="25" cm="1">
        <f t="array" aca="1" ref="BT30" ca="1">_xlfn.CEILING.MATH(INDIRECT("Table1"&amp;BT$3)/BT$2)*BT$2</f>
        <v>34</v>
      </c>
      <c r="BU30" s="133" cm="1">
        <f t="array" aca="1" ref="BU30" ca="1">_xlfn.CEILING.MATH(INDIRECT("Table1"&amp;BU$3)/BU$2)*BU$2</f>
        <v>35</v>
      </c>
      <c r="BV30" s="133" cm="1">
        <f t="array" aca="1" ref="BV30" ca="1">_xlfn.CEILING.MATH(INDIRECT("Table1"&amp;BV$3)/BV$2)*BV$2</f>
        <v>10000</v>
      </c>
      <c r="BW30" s="43"/>
      <c r="BX30" s="43"/>
      <c r="BY30" s="193">
        <v>0.99837083010085337</v>
      </c>
      <c r="BZ30" s="43"/>
      <c r="CA30" s="24">
        <f>(Table1[[#This Row],[In-Tok]]+Table1[[#This Row],[Out-Tok]])*Table1[[#This Row],[RPS]]</f>
        <v>30900</v>
      </c>
      <c r="CB30" s="20">
        <f t="shared" si="5"/>
        <v>386329.39622348279</v>
      </c>
      <c r="CC30" s="20">
        <f>Table1[[#This Row],[Supply]]/(Table1[[#This Row],[Prefill]]+Table1[[#This Row],[Out-Tok]]*Table1[[#This Row],[ITL]])</f>
        <v>22168.243098628631</v>
      </c>
      <c r="CD30" s="20">
        <f>Table1[[#This Row],[MaxRun]]/Table1[[#This Row],[ITL]]</f>
        <v>681.83851552224553</v>
      </c>
      <c r="CE30" s="20">
        <f>Table1[[#This Row],[Out-Tok]]*Table1[[#This Row],[RPS]]</f>
        <v>900</v>
      </c>
      <c r="CF30" s="22">
        <f>Table1[[#This Row],[Supply]]/Table1[[#This Row],[Demand-T]]</f>
        <v>12.50256945707064</v>
      </c>
      <c r="CG30" s="31"/>
      <c r="CH30" s="71">
        <f>Table1[[#This Row],[Prefill]]+Table1[[#This Row],[Out-Tok]]*Table1[[#This Row],[ITL]]</f>
        <v>17.427154443618576</v>
      </c>
      <c r="CI30" s="71">
        <f>Table1[[#This Row],[GPS]]*Table1[[#This Row],[ITL]]</f>
        <v>38.906573031711503</v>
      </c>
      <c r="CJ30" s="72">
        <f>Table1[[#This Row],[PPS]]*Table1[[#This Row],[Prefill]]/Table1[[#This Row],[In-Tok]]</f>
        <v>1.8419937404479061</v>
      </c>
      <c r="CK30" s="71">
        <f t="shared" si="6"/>
        <v>40.748566772159407</v>
      </c>
      <c r="CL30" s="71">
        <f>Table1[[#This Row],[PPS]]/Table1[[#This Row],[In-Tok]]</f>
        <v>2.6029615789473688</v>
      </c>
      <c r="CM30" s="71">
        <f>Table1[[#This Row],[GPS]]/Table1[[#This Row],[Out-Tok]]</f>
        <v>2.3270175438596494</v>
      </c>
      <c r="CN30" s="71">
        <f>Table1[[#This Row],[Run]]/Table1[[#This Row],[E2E]]</f>
        <v>1.2933144567944062</v>
      </c>
      <c r="CO30" s="71">
        <f>Table1[[#This Row],[N2]]/Table1[[#This Row],[E2E]]</f>
        <v>1.5897650226270268</v>
      </c>
      <c r="CP30" s="71"/>
      <c r="CQ30" s="71">
        <f>Table1[[#This Row],[In-Tok]]+AvgOutLoad*Table1[[#This Row],[Out-Tok]]</f>
        <v>10150</v>
      </c>
      <c r="CR30" s="71">
        <f t="shared" si="7"/>
        <v>553539.09100956179</v>
      </c>
      <c r="CS30" s="71" t="e">
        <f t="shared" si="8"/>
        <v>#DIV/0!</v>
      </c>
      <c r="CT30" s="71" t="e">
        <f t="shared" si="9"/>
        <v>#DIV/0!</v>
      </c>
      <c r="CU30" s="71">
        <f t="shared" si="10"/>
        <v>0</v>
      </c>
      <c r="CV30" s="71" t="e">
        <f t="shared" si="11"/>
        <v>#DIV/0!</v>
      </c>
      <c r="CW30" s="71">
        <f>Table1[[#This Row],[N(maxT)]]/Table1[[#This Row],[e2e sat]]</f>
        <v>0</v>
      </c>
      <c r="CX30" s="71" t="e">
        <f>Table1[[#This Row],[RPS]]/CW30</f>
        <v>#DIV/0!</v>
      </c>
      <c r="CY30" s="110" t="e">
        <f>Table1[[#This Row],[Kvcache]]/$T$4</f>
        <v>#DIV/0!</v>
      </c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</row>
    <row r="31" spans="1:192" s="2" customFormat="1" hidden="1" x14ac:dyDescent="0.25">
      <c r="A31" s="210">
        <v>11000</v>
      </c>
      <c r="B31" s="210">
        <v>300</v>
      </c>
      <c r="C31" s="2">
        <v>3</v>
      </c>
      <c r="D31" s="199">
        <f>Table1[[#This Row],[Kvcache]]</f>
        <v>0.88144787395175306</v>
      </c>
      <c r="E31" s="205" t="s">
        <v>137</v>
      </c>
      <c r="F31" s="219">
        <v>46092</v>
      </c>
      <c r="G31" s="198"/>
      <c r="H31" s="198">
        <v>11.842004480973756</v>
      </c>
      <c r="I31" s="198">
        <v>0.71150757217011518</v>
      </c>
      <c r="J31" s="198">
        <v>12.395153424890971</v>
      </c>
      <c r="K31" s="198">
        <v>24.136093688011172</v>
      </c>
      <c r="L31" s="198">
        <v>25.322933273315428</v>
      </c>
      <c r="M31" s="198">
        <v>5.398782987364837E-2</v>
      </c>
      <c r="N31" s="198">
        <v>27.714499516119758</v>
      </c>
      <c r="O31" s="197">
        <v>26459.121052631581</v>
      </c>
      <c r="P31" s="197">
        <v>645.54578947368418</v>
      </c>
      <c r="Q31" s="9">
        <v>30.608333333333334</v>
      </c>
      <c r="R31" s="9">
        <v>34</v>
      </c>
      <c r="S31" s="196">
        <v>0.88144787395175306</v>
      </c>
      <c r="T31" s="167">
        <v>0.98467804499612099</v>
      </c>
      <c r="U31" s="30">
        <f>(Table1[[#This Row],[In-Tok]]+Table1[[#This Row],[Out-Tok]])*Table1[[#This Row],[RPS]]</f>
        <v>33900</v>
      </c>
      <c r="V31" s="54">
        <f>Table1[[#This Row],[In-Tok]]+AvgOutLoad*Table1[[#This Row],[Out-Tok]]</f>
        <v>11150</v>
      </c>
      <c r="W31" s="25">
        <f>Table1[[#This Row],[In-Tok]]*Table1[[#This Row],[RPS]]</f>
        <v>33000</v>
      </c>
      <c r="X31" s="38">
        <f>Table1[[#This Row],[Out-Tok]]*Table1[[#This Row],[RPS]]</f>
        <v>900</v>
      </c>
      <c r="Y31" s="77">
        <f>Table1[[#This Row],[In-Tok]]/Table1[[#This Row],[Out-Tok]]</f>
        <v>36.666666666666664</v>
      </c>
      <c r="Z31" s="30">
        <f>Table1[[#This Row],[In-Tok]]*Table1[[#This Row],[N]]+AvgOutLoad*Table1[[#This Row],[Out-Tok]]*Table1[[#This Row],[Ndecode]]</f>
        <v>407421.3862558846</v>
      </c>
      <c r="AA31" s="25">
        <f>Table1[[#This Row],[tok(N)]]/Table1[[#This Row],[Kvcache]]</f>
        <v>462218.35493154213</v>
      </c>
      <c r="AB31" s="25">
        <f>Table1[[#This Row],[tok/req]]*Table1[[#This Row],[Run]]</f>
        <v>341282.91666666669</v>
      </c>
      <c r="AC31" s="25">
        <f>Table1[[#This Row],[tok(Run)]]/Table1[[#This Row],[Kvcache]]</f>
        <v>387184.45724601881</v>
      </c>
      <c r="AD31" s="25">
        <f>Table1[[#This Row],[tok/req]]*Table1[[#This Row],[MaxRun]]</f>
        <v>379100</v>
      </c>
      <c r="AE31" s="25">
        <f>Table1[[#This Row],[tok(MaxRun)]]/Table1[[#This Row],[MaxKvcache]]</f>
        <v>384998.93637975183</v>
      </c>
      <c r="AF31" s="77">
        <f>Table1[[#This Row],[PPS]]*Table1[[#This Row],[Prefill]]/Table1[[#This Row],[In-Tok]]</f>
        <v>1.7114422710830071</v>
      </c>
      <c r="AG31" s="31">
        <f>Table1[[#This Row],[GPS]]*Table1[[#This Row],[ITL]]</f>
        <v>34.851616257755289</v>
      </c>
      <c r="AH31" s="31">
        <f>Table1[[#This Row],[Nprefill]]+Table1[[#This Row],[Ndecode]]</f>
        <v>36.563058528838297</v>
      </c>
      <c r="AI31" s="43">
        <f>Table1[[#This Row],[Run]]/Table1[[#This Row],[ITL]]/Table1[[#This Row],[GPS]]</f>
        <v>0.87824716957057269</v>
      </c>
      <c r="AJ31" s="65">
        <f>Table1[[#This Row],[Prefill]]+Table1[[#This Row],[ITL]]</f>
        <v>0.76549540204376354</v>
      </c>
      <c r="AK31" s="43">
        <f>Table1[[#This Row],[TTFT]]/Table1[[#This Row],[estTTFT]]</f>
        <v>15.469726466491233</v>
      </c>
      <c r="AL31" s="31">
        <f>Table1[[#This Row],[In-Tok]]*Table1[[#This Row],[RPS]]/Table1[[#This Row],[PPS]]</f>
        <v>1.2472069625577329</v>
      </c>
      <c r="AM31" s="43">
        <f>Table1[[#This Row],[Prefill]]/Table1[[#This Row],[estPrefill]]</f>
        <v>0.57048075702766909</v>
      </c>
      <c r="AN31" s="43">
        <f>Table1[[#This Row],[Prefill]]/Table1[[#This Row],[TTFT]]</f>
        <v>6.008337298919926E-2</v>
      </c>
      <c r="AO31" s="65">
        <f>Table1[[#This Row],[Run]]/(Table1[[#This Row],[Out-Tok]]*Table1[[#This Row],[RPS]])</f>
        <v>3.400925925925926E-2</v>
      </c>
      <c r="AP31" s="43">
        <f>Table1[[#This Row],[ITL]]/Table1[[#This Row],[estITL]]</f>
        <v>1.5874450384846239</v>
      </c>
      <c r="AQ31" s="70">
        <f>Table1[[#This Row],[E2E]]-Table1[[#This Row],[TTFT]]+Table1[[#This Row],[ITL]]</f>
        <v>15.926482865019651</v>
      </c>
      <c r="AR31" s="43">
        <f>Table1[[#This Row],[estDecode]]/Table1[[#This Row],[Run]]</f>
        <v>0.52033159373873072</v>
      </c>
      <c r="AS31" s="70">
        <f>Table1[[#This Row],[Prefill]]+Table1[[#This Row],[Out-Tok]]*Table1[[#This Row],[ITL]]</f>
        <v>16.907856534264628</v>
      </c>
      <c r="AT31" s="31">
        <f>Table1[[#This Row],[estPrefill]]+Table1[[#This Row],[Out-Tok]]*Table1[[#This Row],[ITL]]</f>
        <v>17.443555924652244</v>
      </c>
      <c r="AU31" s="43">
        <f>Table1[[#This Row],[E2E]]/Table1[[#This Row],[estE2E]]</f>
        <v>1.5888101964893535</v>
      </c>
      <c r="AV31" s="31">
        <f>Table1[[#This Row],[N]]/Table1[[#This Row],[estE2E]]</f>
        <v>2.0960782702089582</v>
      </c>
      <c r="AW31" s="31">
        <f>Table1[[#This Row],[PPS]]/Table1[[#This Row],[In-Tok]]</f>
        <v>2.4053746411483257</v>
      </c>
      <c r="AX31" s="43">
        <f>Table1[[#This Row],[RPS]]/Table1[[#This Row],[RPS(IL)]]</f>
        <v>1.2472069625577329</v>
      </c>
      <c r="AY31" s="31">
        <f>Table1[[#This Row],[GPS]]/Table1[[#This Row],[Out-Tok]]</f>
        <v>2.1518192982456141</v>
      </c>
      <c r="AZ31" s="90">
        <f>Table1[[#This Row],[RPS]]/Table1[[#This Row],[RPS(OL)]]</f>
        <v>1.3941691118979695</v>
      </c>
      <c r="BA31" s="133">
        <f>MaxTok/Table1[[#This Row],[tok/req]]</f>
        <v>34.790337398435454</v>
      </c>
      <c r="BB31" s="43">
        <f>Table1[[#This Row],[N]]/Table1[[#This Row],[N-max]]</f>
        <v>1.0509544104186401</v>
      </c>
      <c r="BC31" s="70">
        <f>Table1[[#This Row],[RPS]]</f>
        <v>3</v>
      </c>
      <c r="BD31" s="49">
        <f>Table1[[#This Row],[PPS]]/Table1[[#This Row],[RPS success]]</f>
        <v>8819.7070175438603</v>
      </c>
      <c r="BE31" s="43">
        <f>ABS(Table1[[#This Row],[est-In-Tok3]]-Table1[[#This Row],[In-Tok]])/Table1[[#This Row],[In-Tok]]</f>
        <v>0.19820845295055817</v>
      </c>
      <c r="BF31" s="49">
        <f>Table1[[#This Row],[GPS]]/Table1[[#This Row],[RPS success]]</f>
        <v>215.18192982456139</v>
      </c>
      <c r="BG31" s="43">
        <f>ABS(Table1[[#This Row],[est-Out-Tok3]]-Table1[[#This Row],[Out-Tok]])/Table1[[#This Row],[Out-Tok]]</f>
        <v>0.28272690058479538</v>
      </c>
      <c r="BH31" s="159">
        <f>Table1[[#This Row],[est-In-Tok3]]+AvgOutLoad*Table1[[#This Row],[est-Out-Tok3]]</f>
        <v>8927.2979824561407</v>
      </c>
      <c r="BI31" s="43">
        <f>ABS(Table1[[#This Row],[est-Tok/Req3]]-Table1[[#This Row],[tok/req]])/Table1[[#This Row],[tok/req]]</f>
        <v>0.19934547242545822</v>
      </c>
      <c r="BJ31" s="159">
        <f>MaxTok/Table1[[#This Row],[est-Tok/Req3]]</f>
        <v>43.45237077947634</v>
      </c>
      <c r="BK31" s="43">
        <f>ABS(Table1[[#This Row],[est-N-max3]]-Table1[[#This Row],[N-max]])/Table1[[#This Row],[N-max]]</f>
        <v>0.24897813671190275</v>
      </c>
      <c r="BL31" s="70">
        <f>MaxTok*Table1[[#This Row],[Kvcache]]/Table1[[#This Row],[Run]]</f>
        <v>11170.959061687556</v>
      </c>
      <c r="BM31" s="167">
        <f>ABS(Table1[[#This Row],[est-Tok/Req]]-Table1[[#This Row],[tok/req]])/Table1[[#This Row],[tok/req]]</f>
        <v>1.879736474220245E-3</v>
      </c>
      <c r="BN31" s="70">
        <f>MaxTok/Table1[[#This Row],[est-Tok/Req]]</f>
        <v>34.72506343013621</v>
      </c>
      <c r="BO31" s="177">
        <f>Table1[[#This Row],[Run]]/Table1[[#This Row],[Kvcache]]</f>
        <v>34.72506343013621</v>
      </c>
      <c r="BP31" s="133" cm="1">
        <f t="array" aca="1" ref="BP31" ca="1">_xlfn.CEILING.MATH(INDIRECT("Table1"&amp;BP$3)/BP$2)*BP$2</f>
        <v>12000</v>
      </c>
      <c r="BQ31" s="184" cm="1">
        <f t="array" aca="1" ref="BQ31" ca="1">_xlfn.CEILING.MATH(INDIRECT("Table1"&amp;BQ$3)/BQ$2)*BQ$2</f>
        <v>5.5E-2</v>
      </c>
      <c r="BR31" s="43" cm="1">
        <f t="array" aca="1" ref="BR31" ca="1">_xlfn.CEILING.MATH(INDIRECT("Table1"&amp;BR$3)/BR$2)*BR$2</f>
        <v>0.9</v>
      </c>
      <c r="BS31" s="43" cm="1">
        <f t="array" aca="1" ref="BS31" ca="1">_xlfn.CEILING.MATH(INDIRECT("Table1"&amp;BS$3)/BS$2)*BS$2</f>
        <v>0.89</v>
      </c>
      <c r="BT31" s="25" cm="1">
        <f t="array" aca="1" ref="BT31" ca="1">_xlfn.CEILING.MATH(INDIRECT("Table1"&amp;BT$3)/BT$2)*BT$2</f>
        <v>31</v>
      </c>
      <c r="BU31" s="133" cm="1">
        <f t="array" aca="1" ref="BU31" ca="1">_xlfn.CEILING.MATH(INDIRECT("Table1"&amp;BU$3)/BU$2)*BU$2</f>
        <v>40</v>
      </c>
      <c r="BV31" s="133" cm="1">
        <f t="array" aca="1" ref="BV31" ca="1">_xlfn.CEILING.MATH(INDIRECT("Table1"&amp;BV$3)/BV$2)*BV$2</f>
        <v>11000</v>
      </c>
      <c r="BW31" s="43"/>
      <c r="BX31" s="43"/>
      <c r="BY31" s="193">
        <v>0.98467804499612099</v>
      </c>
      <c r="BZ31" s="43"/>
      <c r="CA31" s="24">
        <f>(Table1[[#This Row],[In-Tok]]+Table1[[#This Row],[Out-Tok]])*Table1[[#This Row],[RPS]]</f>
        <v>33900</v>
      </c>
      <c r="CB31" s="20">
        <f t="shared" si="5"/>
        <v>384998.93637975183</v>
      </c>
      <c r="CC31" s="20">
        <f>Table1[[#This Row],[Supply]]/(Table1[[#This Row],[Prefill]]+Table1[[#This Row],[Out-Tok]]*Table1[[#This Row],[ITL]])</f>
        <v>22770.416557505796</v>
      </c>
      <c r="CD31" s="20">
        <f>Table1[[#This Row],[MaxRun]]/Table1[[#This Row],[ITL]]</f>
        <v>629.77156295358907</v>
      </c>
      <c r="CE31" s="20">
        <f>Table1[[#This Row],[Out-Tok]]*Table1[[#This Row],[RPS]]</f>
        <v>900</v>
      </c>
      <c r="CF31" s="22">
        <f>Table1[[#This Row],[Supply]]/Table1[[#This Row],[Demand-T]]</f>
        <v>11.356900778163771</v>
      </c>
      <c r="CG31" s="31"/>
      <c r="CH31" s="71">
        <f>Table1[[#This Row],[Prefill]]+Table1[[#This Row],[Out-Tok]]*Table1[[#This Row],[ITL]]</f>
        <v>16.907856534264628</v>
      </c>
      <c r="CI31" s="71">
        <f>Table1[[#This Row],[GPS]]*Table1[[#This Row],[ITL]]</f>
        <v>34.851616257755289</v>
      </c>
      <c r="CJ31" s="72">
        <f>Table1[[#This Row],[PPS]]*Table1[[#This Row],[Prefill]]/Table1[[#This Row],[In-Tok]]</f>
        <v>1.7114422710830071</v>
      </c>
      <c r="CK31" s="71">
        <f t="shared" si="6"/>
        <v>36.563058528838297</v>
      </c>
      <c r="CL31" s="71">
        <f>Table1[[#This Row],[PPS]]/Table1[[#This Row],[In-Tok]]</f>
        <v>2.4053746411483257</v>
      </c>
      <c r="CM31" s="71">
        <f>Table1[[#This Row],[GPS]]/Table1[[#This Row],[Out-Tok]]</f>
        <v>2.1518192982456141</v>
      </c>
      <c r="CN31" s="71">
        <f>Table1[[#This Row],[Run]]/Table1[[#This Row],[E2E]]</f>
        <v>1.1044158786100546</v>
      </c>
      <c r="CO31" s="71">
        <f>Table1[[#This Row],[N2]]/Table1[[#This Row],[E2E]]</f>
        <v>1.3192754394706603</v>
      </c>
      <c r="CP31" s="71"/>
      <c r="CQ31" s="71">
        <f>Table1[[#This Row],[In-Tok]]+AvgOutLoad*Table1[[#This Row],[Out-Tok]]</f>
        <v>11150</v>
      </c>
      <c r="CR31" s="71">
        <f t="shared" si="7"/>
        <v>618298.34248739958</v>
      </c>
      <c r="CS31" s="71" t="e">
        <f t="shared" si="8"/>
        <v>#DIV/0!</v>
      </c>
      <c r="CT31" s="71" t="e">
        <f t="shared" si="9"/>
        <v>#DIV/0!</v>
      </c>
      <c r="CU31" s="71">
        <f t="shared" si="10"/>
        <v>0</v>
      </c>
      <c r="CV31" s="71" t="e">
        <f t="shared" si="11"/>
        <v>#DIV/0!</v>
      </c>
      <c r="CW31" s="71">
        <f>Table1[[#This Row],[N(maxT)]]/Table1[[#This Row],[e2e sat]]</f>
        <v>0</v>
      </c>
      <c r="CX31" s="71" t="e">
        <f>Table1[[#This Row],[RPS]]/CW31</f>
        <v>#DIV/0!</v>
      </c>
      <c r="CY31" s="110" t="e">
        <f>Table1[[#This Row],[Kvcache]]/$T$4</f>
        <v>#DIV/0!</v>
      </c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</row>
    <row r="32" spans="1:192" s="2" customFormat="1" hidden="1" x14ac:dyDescent="0.25">
      <c r="A32" s="210">
        <v>12000</v>
      </c>
      <c r="B32" s="210">
        <v>300</v>
      </c>
      <c r="C32" s="2">
        <v>3</v>
      </c>
      <c r="D32" s="199">
        <f>Table1[[#This Row],[Kvcache]]</f>
        <v>0.87177630395430672</v>
      </c>
      <c r="E32" s="205" t="s">
        <v>137</v>
      </c>
      <c r="F32" s="219">
        <v>46092</v>
      </c>
      <c r="G32" s="198"/>
      <c r="H32" s="198">
        <v>20.290891778366323</v>
      </c>
      <c r="I32" s="198">
        <v>1.3315193647995767</v>
      </c>
      <c r="J32" s="198">
        <v>17.495017249160888</v>
      </c>
      <c r="K32" s="198">
        <v>32.745223838090901</v>
      </c>
      <c r="L32" s="198">
        <v>33.269934899806984</v>
      </c>
      <c r="M32" s="198">
        <v>5.2149953802764624E-2</v>
      </c>
      <c r="N32" s="198">
        <v>35.106309068020963</v>
      </c>
      <c r="O32" s="197">
        <v>26381.98418972332</v>
      </c>
      <c r="P32" s="197">
        <v>604.92312252964439</v>
      </c>
      <c r="Q32" s="9">
        <v>27.9375</v>
      </c>
      <c r="R32" s="9">
        <v>31.5</v>
      </c>
      <c r="S32" s="196">
        <v>0.87177630395430672</v>
      </c>
      <c r="T32" s="167">
        <v>0.97932505818463933</v>
      </c>
      <c r="U32" s="30">
        <f>(Table1[[#This Row],[In-Tok]]+Table1[[#This Row],[Out-Tok]])*Table1[[#This Row],[RPS]]</f>
        <v>36900</v>
      </c>
      <c r="V32" s="54">
        <f>Table1[[#This Row],[In-Tok]]+AvgOutLoad*Table1[[#This Row],[Out-Tok]]</f>
        <v>12150</v>
      </c>
      <c r="W32" s="25">
        <f>Table1[[#This Row],[In-Tok]]*Table1[[#This Row],[RPS]]</f>
        <v>36000</v>
      </c>
      <c r="X32" s="38">
        <f>Table1[[#This Row],[Out-Tok]]*Table1[[#This Row],[RPS]]</f>
        <v>900</v>
      </c>
      <c r="Y32" s="77">
        <f>Table1[[#This Row],[In-Tok]]/Table1[[#This Row],[Out-Tok]]</f>
        <v>40</v>
      </c>
      <c r="Z32" s="30">
        <f>Table1[[#This Row],[In-Tok]]*Table1[[#This Row],[N]]+AvgOutLoad*Table1[[#This Row],[Out-Tok]]*Table1[[#This Row],[Ndecode]]</f>
        <v>418420.68449431559</v>
      </c>
      <c r="AA32" s="25">
        <f>Table1[[#This Row],[tok(N)]]/Table1[[#This Row],[Kvcache]]</f>
        <v>479963.36055062892</v>
      </c>
      <c r="AB32" s="25">
        <f>Table1[[#This Row],[tok/req]]*Table1[[#This Row],[Run]]</f>
        <v>339440.625</v>
      </c>
      <c r="AC32" s="25">
        <f>Table1[[#This Row],[tok(Run)]]/Table1[[#This Row],[Kvcache]]</f>
        <v>389366.6568594774</v>
      </c>
      <c r="AD32" s="25">
        <f>Table1[[#This Row],[tok/req]]*Table1[[#This Row],[MaxRun]]</f>
        <v>382725</v>
      </c>
      <c r="AE32" s="25">
        <f>Table1[[#This Row],[tok(MaxRun)]]/Table1[[#This Row],[MaxKvcache]]</f>
        <v>390804.86790509761</v>
      </c>
      <c r="AF32" s="77">
        <f>Table1[[#This Row],[PPS]]*Table1[[#This Row],[Prefill]]/Table1[[#This Row],[In-Tok]]</f>
        <v>2.9273435692044059</v>
      </c>
      <c r="AG32" s="31">
        <f>Table1[[#This Row],[GPS]]*Table1[[#This Row],[ITL]]</f>
        <v>31.546712894145081</v>
      </c>
      <c r="AH32" s="31">
        <f>Table1[[#This Row],[Nprefill]]+Table1[[#This Row],[Ndecode]]</f>
        <v>34.474056463349484</v>
      </c>
      <c r="AI32" s="43">
        <f>Table1[[#This Row],[Run]]/Table1[[#This Row],[ITL]]/Table1[[#This Row],[GPS]]</f>
        <v>0.88559147489452272</v>
      </c>
      <c r="AJ32" s="65">
        <f>Table1[[#This Row],[Prefill]]+Table1[[#This Row],[ITL]]</f>
        <v>1.3836693186023412</v>
      </c>
      <c r="AK32" s="43">
        <f>Table1[[#This Row],[TTFT]]/Table1[[#This Row],[estTTFT]]</f>
        <v>14.664552798541752</v>
      </c>
      <c r="AL32" s="31">
        <f>Table1[[#This Row],[In-Tok]]*Table1[[#This Row],[RPS]]/Table1[[#This Row],[PPS]]</f>
        <v>1.3645675678186187</v>
      </c>
      <c r="AM32" s="43">
        <f>Table1[[#This Row],[Prefill]]/Table1[[#This Row],[estPrefill]]</f>
        <v>0.97578118973480188</v>
      </c>
      <c r="AN32" s="43">
        <f>Table1[[#This Row],[Prefill]]/Table1[[#This Row],[TTFT]]</f>
        <v>6.562153006104994E-2</v>
      </c>
      <c r="AO32" s="65">
        <f>Table1[[#This Row],[Run]]/(Table1[[#This Row],[Out-Tok]]*Table1[[#This Row],[RPS]])</f>
        <v>3.1041666666666665E-2</v>
      </c>
      <c r="AP32" s="43">
        <f>Table1[[#This Row],[ITL]]/Table1[[#This Row],[estITL]]</f>
        <v>1.6799985117669141</v>
      </c>
      <c r="AQ32" s="70">
        <f>Table1[[#This Row],[E2E]]-Table1[[#This Row],[TTFT]]+Table1[[#This Row],[ITL]]</f>
        <v>14.867567243457405</v>
      </c>
      <c r="AR32" s="43">
        <f>Table1[[#This Row],[estDecode]]/Table1[[#This Row],[Run]]</f>
        <v>0.53217242929601449</v>
      </c>
      <c r="AS32" s="70">
        <f>Table1[[#This Row],[Prefill]]+Table1[[#This Row],[Out-Tok]]*Table1[[#This Row],[ITL]]</f>
        <v>16.976505505628964</v>
      </c>
      <c r="AT32" s="31">
        <f>Table1[[#This Row],[estPrefill]]+Table1[[#This Row],[Out-Tok]]*Table1[[#This Row],[ITL]]</f>
        <v>17.009553708648006</v>
      </c>
      <c r="AU32" s="43">
        <f>Table1[[#This Row],[E2E]]/Table1[[#This Row],[estE2E]]</f>
        <v>2.0639171179530829</v>
      </c>
      <c r="AV32" s="31">
        <f>Table1[[#This Row],[N]]/Table1[[#This Row],[estE2E]]</f>
        <v>2.0267466774170662</v>
      </c>
      <c r="AW32" s="31">
        <f>Table1[[#This Row],[PPS]]/Table1[[#This Row],[In-Tok]]</f>
        <v>2.1984986824769432</v>
      </c>
      <c r="AX32" s="43">
        <f>Table1[[#This Row],[RPS]]/Table1[[#This Row],[RPS(IL)]]</f>
        <v>1.3645675678186187</v>
      </c>
      <c r="AY32" s="31">
        <f>Table1[[#This Row],[GPS]]/Table1[[#This Row],[Out-Tok]]</f>
        <v>2.0164104084321481</v>
      </c>
      <c r="AZ32" s="90">
        <f>Table1[[#This Row],[RPS]]/Table1[[#This Row],[RPS(OL)]]</f>
        <v>1.4877923598562646</v>
      </c>
      <c r="BA32" s="133">
        <f>MaxTok/Table1[[#This Row],[tok/req]]</f>
        <v>31.926935143420188</v>
      </c>
      <c r="BB32" s="43">
        <f>Table1[[#This Row],[N]]/Table1[[#This Row],[N-max]]</f>
        <v>1.0797797003842453</v>
      </c>
      <c r="BC32" s="70">
        <f>Table1[[#This Row],[RPS]]</f>
        <v>3</v>
      </c>
      <c r="BD32" s="49">
        <f>Table1[[#This Row],[PPS]]/Table1[[#This Row],[RPS success]]</f>
        <v>8793.9947299077739</v>
      </c>
      <c r="BE32" s="43">
        <f>ABS(Table1[[#This Row],[est-In-Tok3]]-Table1[[#This Row],[In-Tok]])/Table1[[#This Row],[In-Tok]]</f>
        <v>0.26716710584101883</v>
      </c>
      <c r="BF32" s="49">
        <f>Table1[[#This Row],[GPS]]/Table1[[#This Row],[RPS success]]</f>
        <v>201.6410408432148</v>
      </c>
      <c r="BG32" s="43">
        <f>ABS(Table1[[#This Row],[est-Out-Tok3]]-Table1[[#This Row],[Out-Tok]])/Table1[[#This Row],[Out-Tok]]</f>
        <v>0.32786319718928403</v>
      </c>
      <c r="BH32" s="159">
        <f>Table1[[#This Row],[est-In-Tok3]]+AvgOutLoad*Table1[[#This Row],[est-Out-Tok3]]</f>
        <v>8894.8152503293823</v>
      </c>
      <c r="BI32" s="43">
        <f>ABS(Table1[[#This Row],[est-Tok/Req3]]-Table1[[#This Row],[tok/req]])/Table1[[#This Row],[tok/req]]</f>
        <v>0.26791644030210848</v>
      </c>
      <c r="BJ32" s="159">
        <f>MaxTok/Table1[[#This Row],[est-Tok/Req3]]</f>
        <v>43.611053301887367</v>
      </c>
      <c r="BK32" s="43">
        <f>ABS(Table1[[#This Row],[est-N-max3]]-Table1[[#This Row],[N-max]])/Table1[[#This Row],[N-max]]</f>
        <v>0.36596429021390597</v>
      </c>
      <c r="BL32" s="70">
        <f>MaxTok*Table1[[#This Row],[Kvcache]]/Table1[[#This Row],[Run]]</f>
        <v>12104.616304910051</v>
      </c>
      <c r="BM32" s="167">
        <f>ABS(Table1[[#This Row],[est-Tok/Req]]-Table1[[#This Row],[tok/req]])/Table1[[#This Row],[tok/req]]</f>
        <v>3.7352835464978989E-3</v>
      </c>
      <c r="BN32" s="70">
        <f>MaxTok/Table1[[#This Row],[est-Tok/Req]]</f>
        <v>32.046638424648343</v>
      </c>
      <c r="BO32" s="177">
        <f>Table1[[#This Row],[Run]]/Table1[[#This Row],[Kvcache]]</f>
        <v>32.046638424648343</v>
      </c>
      <c r="BP32" s="133" cm="1">
        <f t="array" aca="1" ref="BP32" ca="1">_xlfn.CEILING.MATH(INDIRECT("Table1"&amp;BP$3)/BP$2)*BP$2</f>
        <v>13000</v>
      </c>
      <c r="BQ32" s="184" cm="1">
        <f t="array" aca="1" ref="BQ32" ca="1">_xlfn.CEILING.MATH(INDIRECT("Table1"&amp;BQ$3)/BQ$2)*BQ$2</f>
        <v>5.5E-2</v>
      </c>
      <c r="BR32" s="43" cm="1">
        <f t="array" aca="1" ref="BR32" ca="1">_xlfn.CEILING.MATH(INDIRECT("Table1"&amp;BR$3)/BR$2)*BR$2</f>
        <v>0.9</v>
      </c>
      <c r="BS32" s="43" cm="1">
        <f t="array" aca="1" ref="BS32" ca="1">_xlfn.CEILING.MATH(INDIRECT("Table1"&amp;BS$3)/BS$2)*BS$2</f>
        <v>0.88</v>
      </c>
      <c r="BT32" s="25" cm="1">
        <f t="array" aca="1" ref="BT32" ca="1">_xlfn.CEILING.MATH(INDIRECT("Table1"&amp;BT$3)/BT$2)*BT$2</f>
        <v>28</v>
      </c>
      <c r="BU32" s="133" cm="1">
        <f t="array" aca="1" ref="BU32" ca="1">_xlfn.CEILING.MATH(INDIRECT("Table1"&amp;BU$3)/BU$2)*BU$2</f>
        <v>40</v>
      </c>
      <c r="BV32" s="133" cm="1">
        <f t="array" aca="1" ref="BV32" ca="1">_xlfn.CEILING.MATH(INDIRECT("Table1"&amp;BV$3)/BV$2)*BV$2</f>
        <v>12000</v>
      </c>
      <c r="BW32" s="43"/>
      <c r="BX32" s="43"/>
      <c r="BY32" s="193">
        <v>0.97932505818463933</v>
      </c>
      <c r="BZ32" s="43"/>
      <c r="CA32" s="24">
        <f>(Table1[[#This Row],[In-Tok]]+Table1[[#This Row],[Out-Tok]])*Table1[[#This Row],[RPS]]</f>
        <v>36900</v>
      </c>
      <c r="CB32" s="20">
        <f t="shared" si="5"/>
        <v>390804.86790509761</v>
      </c>
      <c r="CC32" s="20">
        <f>Table1[[#This Row],[Supply]]/(Table1[[#This Row],[Prefill]]+Table1[[#This Row],[Out-Tok]]*Table1[[#This Row],[ITL]])</f>
        <v>23020.33641584936</v>
      </c>
      <c r="CD32" s="20">
        <f>Table1[[#This Row],[MaxRun]]/Table1[[#This Row],[ITL]]</f>
        <v>604.02738071706767</v>
      </c>
      <c r="CE32" s="20">
        <f>Table1[[#This Row],[Out-Tok]]*Table1[[#This Row],[RPS]]</f>
        <v>900</v>
      </c>
      <c r="CF32" s="22">
        <f>Table1[[#This Row],[Supply]]/Table1[[#This Row],[Demand-T]]</f>
        <v>10.59091782940644</v>
      </c>
      <c r="CG32" s="31"/>
      <c r="CH32" s="71">
        <f>Table1[[#This Row],[Prefill]]+Table1[[#This Row],[Out-Tok]]*Table1[[#This Row],[ITL]]</f>
        <v>16.976505505628964</v>
      </c>
      <c r="CI32" s="71">
        <f>Table1[[#This Row],[GPS]]*Table1[[#This Row],[ITL]]</f>
        <v>31.546712894145081</v>
      </c>
      <c r="CJ32" s="72">
        <f>Table1[[#This Row],[PPS]]*Table1[[#This Row],[Prefill]]/Table1[[#This Row],[In-Tok]]</f>
        <v>2.9273435692044059</v>
      </c>
      <c r="CK32" s="71">
        <f t="shared" si="6"/>
        <v>34.474056463349484</v>
      </c>
      <c r="CL32" s="71">
        <f>Table1[[#This Row],[PPS]]/Table1[[#This Row],[In-Tok]]</f>
        <v>2.1984986824769432</v>
      </c>
      <c r="CM32" s="71">
        <f>Table1[[#This Row],[GPS]]/Table1[[#This Row],[Out-Tok]]</f>
        <v>2.0164104084321481</v>
      </c>
      <c r="CN32" s="71">
        <f>Table1[[#This Row],[Run]]/Table1[[#This Row],[E2E]]</f>
        <v>0.79579712996513285</v>
      </c>
      <c r="CO32" s="71">
        <f>Table1[[#This Row],[N2]]/Table1[[#This Row],[E2E]]</f>
        <v>0.98199034243541683</v>
      </c>
      <c r="CP32" s="71"/>
      <c r="CQ32" s="71">
        <f>Table1[[#This Row],[In-Tok]]+AvgOutLoad*Table1[[#This Row],[Out-Tok]]</f>
        <v>12150</v>
      </c>
      <c r="CR32" s="71">
        <f t="shared" si="7"/>
        <v>692945.86115429027</v>
      </c>
      <c r="CS32" s="71" t="e">
        <f t="shared" si="8"/>
        <v>#DIV/0!</v>
      </c>
      <c r="CT32" s="71" t="e">
        <f t="shared" si="9"/>
        <v>#DIV/0!</v>
      </c>
      <c r="CU32" s="71">
        <f t="shared" si="10"/>
        <v>0</v>
      </c>
      <c r="CV32" s="71" t="e">
        <f t="shared" si="11"/>
        <v>#DIV/0!</v>
      </c>
      <c r="CW32" s="71">
        <f>Table1[[#This Row],[N(maxT)]]/Table1[[#This Row],[e2e sat]]</f>
        <v>0</v>
      </c>
      <c r="CX32" s="71" t="e">
        <f>Table1[[#This Row],[RPS]]/CW32</f>
        <v>#DIV/0!</v>
      </c>
      <c r="CY32" s="110" t="e">
        <f>Table1[[#This Row],[Kvcache]]/$T$4</f>
        <v>#DIV/0!</v>
      </c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</row>
    <row r="33" spans="1:192" s="2" customFormat="1" ht="15.75" hidden="1" thickBot="1" x14ac:dyDescent="0.3">
      <c r="A33" s="210">
        <v>13000</v>
      </c>
      <c r="B33" s="210">
        <v>300</v>
      </c>
      <c r="C33" s="2">
        <v>3</v>
      </c>
      <c r="D33" s="199">
        <f>Table1[[#This Row],[Kvcache]]</f>
        <v>0.8748298029030479</v>
      </c>
      <c r="E33" s="206" t="s">
        <v>137</v>
      </c>
      <c r="F33" s="219">
        <v>46092</v>
      </c>
      <c r="G33" s="198"/>
      <c r="H33" s="198">
        <v>22.320715790623229</v>
      </c>
      <c r="I33" s="198">
        <v>1.827707541219866</v>
      </c>
      <c r="J33" s="198">
        <v>19.511414777038858</v>
      </c>
      <c r="K33" s="198">
        <v>34.75658829212189</v>
      </c>
      <c r="L33" s="198">
        <v>35.147129015922538</v>
      </c>
      <c r="M33" s="198">
        <v>5.2832270464367087E-2</v>
      </c>
      <c r="N33" s="198">
        <v>38.157451927955563</v>
      </c>
      <c r="O33" s="197">
        <v>26239.925691699602</v>
      </c>
      <c r="P33" s="197">
        <v>551.88774703557306</v>
      </c>
      <c r="Q33" s="9">
        <v>25.795289855072468</v>
      </c>
      <c r="R33" s="9">
        <v>29.5</v>
      </c>
      <c r="S33" s="196">
        <v>0.8748298029030479</v>
      </c>
      <c r="T33" s="168">
        <v>0.99681923972071373</v>
      </c>
      <c r="U33" s="66">
        <f>(Table1[[#This Row],[In-Tok]]+Table1[[#This Row],[Out-Tok]])*Table1[[#This Row],[RPS]]</f>
        <v>39900</v>
      </c>
      <c r="V33" s="140">
        <f>Table1[[#This Row],[In-Tok]]+AvgOutLoad*Table1[[#This Row],[Out-Tok]]</f>
        <v>13150</v>
      </c>
      <c r="W33" s="67">
        <f>Table1[[#This Row],[In-Tok]]*Table1[[#This Row],[RPS]]</f>
        <v>39000</v>
      </c>
      <c r="X33" s="68">
        <f>Table1[[#This Row],[Out-Tok]]*Table1[[#This Row],[RPS]]</f>
        <v>900</v>
      </c>
      <c r="Y33" s="119">
        <f>Table1[[#This Row],[In-Tok]]/Table1[[#This Row],[Out-Tok]]</f>
        <v>43.333333333333336</v>
      </c>
      <c r="Z33" s="66">
        <f>Table1[[#This Row],[In-Tok]]*Table1[[#This Row],[N]]+AvgOutLoad*Table1[[#This Row],[Out-Tok]]*Table1[[#This Row],[Ndecode]]</f>
        <v>431379.80780096812</v>
      </c>
      <c r="AA33" s="67">
        <f>Table1[[#This Row],[tok(N)]]/Table1[[#This Row],[Kvcache]]</f>
        <v>493101.40826189402</v>
      </c>
      <c r="AB33" s="67">
        <f>Table1[[#This Row],[tok/req]]*Table1[[#This Row],[Run]]</f>
        <v>339208.06159420294</v>
      </c>
      <c r="AC33" s="67">
        <f>Table1[[#This Row],[tok(Run)]]/Table1[[#This Row],[Kvcache]]</f>
        <v>387741.77613584948</v>
      </c>
      <c r="AD33" s="67">
        <f>Table1[[#This Row],[tok/req]]*Table1[[#This Row],[MaxRun]]</f>
        <v>387925</v>
      </c>
      <c r="AE33" s="67">
        <f>Table1[[#This Row],[tok(MaxRun)]]/Table1[[#This Row],[MaxKvcache]]</f>
        <v>389162.83368355513</v>
      </c>
      <c r="AF33" s="119">
        <f>Table1[[#This Row],[PPS]]*Table1[[#This Row],[Prefill]]/Table1[[#This Row],[In-Tok]]</f>
        <v>3.6891469282898672</v>
      </c>
      <c r="AG33" s="117">
        <f>Table1[[#This Row],[GPS]]*Table1[[#This Row],[ITL]]</f>
        <v>29.157482717353602</v>
      </c>
      <c r="AH33" s="117">
        <f>Table1[[#This Row],[Nprefill]]+Table1[[#This Row],[Ndecode]]</f>
        <v>32.846629645643468</v>
      </c>
      <c r="AI33" s="120">
        <f>Table1[[#This Row],[Run]]/Table1[[#This Row],[ITL]]/Table1[[#This Row],[GPS]]</f>
        <v>0.88468850706785929</v>
      </c>
      <c r="AJ33" s="118">
        <f>Table1[[#This Row],[Prefill]]+Table1[[#This Row],[ITL]]</f>
        <v>1.8805398116842331</v>
      </c>
      <c r="AK33" s="120">
        <f>Table1[[#This Row],[TTFT]]/Table1[[#This Row],[estTTFT]]</f>
        <v>11.869313083370747</v>
      </c>
      <c r="AL33" s="117">
        <f>Table1[[#This Row],[In-Tok]]*Table1[[#This Row],[RPS]]/Table1[[#This Row],[PPS]]</f>
        <v>1.486284696771712</v>
      </c>
      <c r="AM33" s="120">
        <f>Table1[[#This Row],[Prefill]]/Table1[[#This Row],[estPrefill]]</f>
        <v>1.2297156427632889</v>
      </c>
      <c r="AN33" s="120">
        <f>Table1[[#This Row],[Prefill]]/Table1[[#This Row],[TTFT]]</f>
        <v>8.1883912611246668E-2</v>
      </c>
      <c r="AO33" s="118">
        <f>Table1[[#This Row],[Run]]/(Table1[[#This Row],[Out-Tok]]*Table1[[#This Row],[RPS]])</f>
        <v>2.8661433172302742E-2</v>
      </c>
      <c r="AP33" s="120">
        <f>Table1[[#This Row],[ITL]]/Table1[[#This Row],[estITL]]</f>
        <v>1.8433227029073365</v>
      </c>
      <c r="AQ33" s="121">
        <f>Table1[[#This Row],[E2E]]-Table1[[#This Row],[TTFT]]+Table1[[#This Row],[ITL]]</f>
        <v>15.889568407796702</v>
      </c>
      <c r="AR33" s="120">
        <f>Table1[[#This Row],[estDecode]]/Table1[[#This Row],[Run]]</f>
        <v>0.61598720142592722</v>
      </c>
      <c r="AS33" s="121">
        <f>Table1[[#This Row],[Prefill]]+Table1[[#This Row],[Out-Tok]]*Table1[[#This Row],[ITL]]</f>
        <v>17.677388680529994</v>
      </c>
      <c r="AT33" s="117">
        <f>Table1[[#This Row],[estPrefill]]+Table1[[#This Row],[Out-Tok]]*Table1[[#This Row],[ITL]]</f>
        <v>17.33596583608184</v>
      </c>
      <c r="AU33" s="120">
        <f>Table1[[#This Row],[E2E]]/Table1[[#This Row],[estE2E]]</f>
        <v>2.2010571714751173</v>
      </c>
      <c r="AV33" s="117">
        <f>Table1[[#This Row],[N]]/Table1[[#This Row],[estE2E]]</f>
        <v>1.8947101047741362</v>
      </c>
      <c r="AW33" s="117">
        <f>Table1[[#This Row],[PPS]]/Table1[[#This Row],[In-Tok]]</f>
        <v>2.018455822438431</v>
      </c>
      <c r="AX33" s="120">
        <f>Table1[[#This Row],[RPS]]/Table1[[#This Row],[RPS(IL)]]</f>
        <v>1.486284696771712</v>
      </c>
      <c r="AY33" s="117">
        <f>Table1[[#This Row],[GPS]]/Table1[[#This Row],[Out-Tok]]</f>
        <v>1.8396258234519103</v>
      </c>
      <c r="AZ33" s="122">
        <f>Table1[[#This Row],[RPS]]/Table1[[#This Row],[RPS(OL)]]</f>
        <v>1.6307664100793826</v>
      </c>
      <c r="BA33" s="134">
        <f>MaxTok/Table1[[#This Row],[tok/req]]</f>
        <v>29.499031330232341</v>
      </c>
      <c r="BB33" s="120">
        <f>Table1[[#This Row],[N]]/Table1[[#This Row],[N-max]]</f>
        <v>1.1134816353098453</v>
      </c>
      <c r="BC33" s="121">
        <f>Table1[[#This Row],[RPS]]</f>
        <v>3</v>
      </c>
      <c r="BD33" s="153">
        <f>Table1[[#This Row],[PPS]]/Table1[[#This Row],[RPS success]]</f>
        <v>8746.6418972332012</v>
      </c>
      <c r="BE33" s="120">
        <f>ABS(Table1[[#This Row],[est-In-Tok3]]-Table1[[#This Row],[In-Tok]])/Table1[[#This Row],[In-Tok]]</f>
        <v>0.32718139252052297</v>
      </c>
      <c r="BF33" s="153">
        <f>Table1[[#This Row],[GPS]]/Table1[[#This Row],[RPS success]]</f>
        <v>183.96258234519101</v>
      </c>
      <c r="BG33" s="120">
        <f>ABS(Table1[[#This Row],[est-Out-Tok3]]-Table1[[#This Row],[Out-Tok]])/Table1[[#This Row],[Out-Tok]]</f>
        <v>0.38679139218269665</v>
      </c>
      <c r="BH33" s="160">
        <f>Table1[[#This Row],[est-In-Tok3]]+AvgOutLoad*Table1[[#This Row],[est-Out-Tok3]]</f>
        <v>8838.6231884057961</v>
      </c>
      <c r="BI33" s="120">
        <f>ABS(Table1[[#This Row],[est-Tok/Req3]]-Table1[[#This Row],[tok/req]])/Table1[[#This Row],[tok/req]]</f>
        <v>0.32786135449385578</v>
      </c>
      <c r="BJ33" s="160">
        <f>MaxTok/Table1[[#This Row],[est-Tok/Req3]]</f>
        <v>43.888313114355334</v>
      </c>
      <c r="BK33" s="120">
        <f>ABS(Table1[[#This Row],[est-N-max3]]-Table1[[#This Row],[N-max]])/Table1[[#This Row],[N-max]]</f>
        <v>0.48778828101301114</v>
      </c>
      <c r="BL33" s="121">
        <f>MaxTok*Table1[[#This Row],[Kvcache]]/Table1[[#This Row],[Run]]</f>
        <v>13155.781912483157</v>
      </c>
      <c r="BM33" s="168">
        <f>ABS(Table1[[#This Row],[est-Tok/Req]]-Table1[[#This Row],[tok/req]])/Table1[[#This Row],[tok/req]]</f>
        <v>4.3968916221723975E-4</v>
      </c>
      <c r="BN33" s="121">
        <f>MaxTok/Table1[[#This Row],[est-Tok/Req]]</f>
        <v>29.486066626300342</v>
      </c>
      <c r="BO33" s="178">
        <f>Table1[[#This Row],[Run]]/Table1[[#This Row],[Kvcache]]</f>
        <v>29.486066626300342</v>
      </c>
      <c r="BP33" s="134" cm="1">
        <f t="array" aca="1" ref="BP33" ca="1">_xlfn.CEILING.MATH(INDIRECT("Table1"&amp;BP$3)/BP$2)*BP$2</f>
        <v>14000</v>
      </c>
      <c r="BQ33" s="185" cm="1">
        <f t="array" aca="1" ref="BQ33" ca="1">_xlfn.CEILING.MATH(INDIRECT("Table1"&amp;BQ$3)/BQ$2)*BQ$2</f>
        <v>5.5E-2</v>
      </c>
      <c r="BR33" s="120" cm="1">
        <f t="array" aca="1" ref="BR33" ca="1">_xlfn.CEILING.MATH(INDIRECT("Table1"&amp;BR$3)/BR$2)*BR$2</f>
        <v>0.9</v>
      </c>
      <c r="BS33" s="120" cm="1">
        <f t="array" aca="1" ref="BS33" ca="1">_xlfn.CEILING.MATH(INDIRECT("Table1"&amp;BS$3)/BS$2)*BS$2</f>
        <v>0.88</v>
      </c>
      <c r="BT33" s="67" cm="1">
        <f t="array" aca="1" ref="BT33" ca="1">_xlfn.CEILING.MATH(INDIRECT("Table1"&amp;BT$3)/BT$2)*BT$2</f>
        <v>26</v>
      </c>
      <c r="BU33" s="134" cm="1">
        <f t="array" aca="1" ref="BU33" ca="1">_xlfn.CEILING.MATH(INDIRECT("Table1"&amp;BU$3)/BU$2)*BU$2</f>
        <v>45</v>
      </c>
      <c r="BV33" s="134" cm="1">
        <f t="array" aca="1" ref="BV33" ca="1">_xlfn.CEILING.MATH(INDIRECT("Table1"&amp;BV$3)/BV$2)*BV$2</f>
        <v>13000</v>
      </c>
      <c r="BW33" s="120"/>
      <c r="BX33" s="120"/>
      <c r="BY33" s="193">
        <v>0.99681923972071373</v>
      </c>
      <c r="BZ33" s="120"/>
      <c r="CA33" s="111">
        <f>(Table1[[#This Row],[In-Tok]]+Table1[[#This Row],[Out-Tok]])*Table1[[#This Row],[RPS]]</f>
        <v>39900</v>
      </c>
      <c r="CB33" s="33">
        <f t="shared" si="5"/>
        <v>389162.83368355513</v>
      </c>
      <c r="CC33" s="33">
        <f>Table1[[#This Row],[Supply]]/(Table1[[#This Row],[Prefill]]+Table1[[#This Row],[Out-Tok]]*Table1[[#This Row],[ITL]])</f>
        <v>22014.724047572814</v>
      </c>
      <c r="CD33" s="33">
        <f>Table1[[#This Row],[MaxRun]]/Table1[[#This Row],[ITL]]</f>
        <v>558.37085441740351</v>
      </c>
      <c r="CE33" s="33">
        <f>Table1[[#This Row],[Out-Tok]]*Table1[[#This Row],[RPS]]</f>
        <v>900</v>
      </c>
      <c r="CF33" s="91">
        <f>Table1[[#This Row],[Supply]]/Table1[[#This Row],[Demand-T]]</f>
        <v>9.7534544782845902</v>
      </c>
      <c r="CG33" s="117"/>
      <c r="CH33" s="112">
        <f>Table1[[#This Row],[Prefill]]+Table1[[#This Row],[Out-Tok]]*Table1[[#This Row],[ITL]]</f>
        <v>17.677388680529994</v>
      </c>
      <c r="CI33" s="112">
        <f>Table1[[#This Row],[GPS]]*Table1[[#This Row],[ITL]]</f>
        <v>29.157482717353602</v>
      </c>
      <c r="CJ33" s="113">
        <f>Table1[[#This Row],[PPS]]*Table1[[#This Row],[Prefill]]/Table1[[#This Row],[In-Tok]]</f>
        <v>3.6891469282898672</v>
      </c>
      <c r="CK33" s="112">
        <f t="shared" si="6"/>
        <v>32.846629645643468</v>
      </c>
      <c r="CL33" s="112">
        <f>Table1[[#This Row],[PPS]]/Table1[[#This Row],[In-Tok]]</f>
        <v>2.018455822438431</v>
      </c>
      <c r="CM33" s="112">
        <f>Table1[[#This Row],[GPS]]/Table1[[#This Row],[Out-Tok]]</f>
        <v>1.8396258234519103</v>
      </c>
      <c r="CN33" s="112">
        <f>Table1[[#This Row],[Run]]/Table1[[#This Row],[E2E]]</f>
        <v>0.67602233775400189</v>
      </c>
      <c r="CO33" s="112">
        <f>Table1[[#This Row],[N2]]/Table1[[#This Row],[E2E]]</f>
        <v>0.86081821468741238</v>
      </c>
      <c r="CP33" s="112"/>
      <c r="CQ33" s="112">
        <f>Table1[[#This Row],[In-Tok]]+AvgOutLoad*Table1[[#This Row],[Out-Tok]]</f>
        <v>13150</v>
      </c>
      <c r="CR33" s="112">
        <f t="shared" si="7"/>
        <v>752818.06583878654</v>
      </c>
      <c r="CS33" s="112" t="e">
        <f t="shared" si="8"/>
        <v>#DIV/0!</v>
      </c>
      <c r="CT33" s="112" t="e">
        <f t="shared" si="9"/>
        <v>#DIV/0!</v>
      </c>
      <c r="CU33" s="112">
        <f t="shared" si="10"/>
        <v>0</v>
      </c>
      <c r="CV33" s="112" t="e">
        <f t="shared" si="11"/>
        <v>#DIV/0!</v>
      </c>
      <c r="CW33" s="112">
        <f>Table1[[#This Row],[N(maxT)]]/Table1[[#This Row],[e2e sat]]</f>
        <v>0</v>
      </c>
      <c r="CX33" s="112" t="e">
        <f>Table1[[#This Row],[RPS]]/CW33</f>
        <v>#DIV/0!</v>
      </c>
      <c r="CY33" s="114" t="e">
        <f>Table1[[#This Row],[Kvcache]]/$T$4</f>
        <v>#DIV/0!</v>
      </c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</row>
    <row r="34" spans="1:192" hidden="1" x14ac:dyDescent="0.25">
      <c r="A34" s="210">
        <v>14000</v>
      </c>
      <c r="B34" s="210">
        <v>300</v>
      </c>
      <c r="C34" s="2">
        <v>3</v>
      </c>
      <c r="D34" s="199">
        <f>Table1[[#This Row],[Kvcache]]</f>
        <v>0.90925288049880759</v>
      </c>
      <c r="E34" s="202" t="s">
        <v>137</v>
      </c>
      <c r="F34" s="219">
        <v>46092</v>
      </c>
      <c r="G34" s="198"/>
      <c r="H34" s="198">
        <v>29.486728188790543</v>
      </c>
      <c r="I34" s="198">
        <v>1.5742659354815207</v>
      </c>
      <c r="J34" s="198">
        <v>23.050413631754466</v>
      </c>
      <c r="K34" s="198">
        <v>41.111394631862638</v>
      </c>
      <c r="L34" s="198">
        <v>41.736446769237517</v>
      </c>
      <c r="M34" s="198">
        <v>5.4345286202558019E-2</v>
      </c>
      <c r="N34" s="198">
        <v>42.787477857929318</v>
      </c>
      <c r="O34" s="197">
        <v>26511.612500000003</v>
      </c>
      <c r="P34" s="197">
        <v>508.30769230769226</v>
      </c>
      <c r="Q34" s="9">
        <v>24.974074074074075</v>
      </c>
      <c r="R34" s="9">
        <v>27</v>
      </c>
      <c r="S34" s="196">
        <v>0.90925288049880759</v>
      </c>
      <c r="T34" s="164">
        <v>0.99383242823894491</v>
      </c>
      <c r="U34" s="98">
        <f>(Table1[[#This Row],[In-Tok]]+Table1[[#This Row],[Out-Tok]])*Table1[[#This Row],[RPS]]</f>
        <v>42900</v>
      </c>
      <c r="V34" s="99">
        <f>Table1[[#This Row],[In-Tok]]+AvgOutLoad*Table1[[#This Row],[Out-Tok]]</f>
        <v>14150</v>
      </c>
      <c r="W34" s="99">
        <f>Table1[[#This Row],[In-Tok]]*Table1[[#This Row],[RPS]]</f>
        <v>42000</v>
      </c>
      <c r="X34" s="102">
        <f>Table1[[#This Row],[Out-Tok]]*Table1[[#This Row],[RPS]]</f>
        <v>900</v>
      </c>
      <c r="Y34" s="103">
        <f>Table1[[#This Row],[In-Tok]]/Table1[[#This Row],[Out-Tok]]</f>
        <v>46.666666666666664</v>
      </c>
      <c r="Z34" s="98">
        <f>Table1[[#This Row],[In-Tok]]*Table1[[#This Row],[N]]+AvgOutLoad*Table1[[#This Row],[Out-Tok]]*Table1[[#This Row],[Ndecode]]</f>
        <v>432617.72574997623</v>
      </c>
      <c r="AA34" s="99">
        <f>Table1[[#This Row],[tok(N)]]/Table1[[#This Row],[Kvcache]]</f>
        <v>475794.72666904965</v>
      </c>
      <c r="AB34" s="99">
        <f>Table1[[#This Row],[tok/req]]*Table1[[#This Row],[Run]]</f>
        <v>353383.14814814815</v>
      </c>
      <c r="AC34" s="99">
        <f>Table1[[#This Row],[tok(Run)]]/Table1[[#This Row],[Kvcache]]</f>
        <v>388652.21736145118</v>
      </c>
      <c r="AD34" s="99">
        <f>Table1[[#This Row],[tok/req]]*Table1[[#This Row],[MaxRun]]</f>
        <v>382050</v>
      </c>
      <c r="AE34" s="99">
        <f>Table1[[#This Row],[tok(MaxRun)]]/Table1[[#This Row],[MaxKvcache]]</f>
        <v>384420.9437570743</v>
      </c>
      <c r="AF34" s="103">
        <f>Table1[[#This Row],[PPS]]*Table1[[#This Row],[Prefill]]/Table1[[#This Row],[In-Tok]]</f>
        <v>2.9811663181025772</v>
      </c>
      <c r="AG34" s="100">
        <f>Table1[[#This Row],[GPS]]*Table1[[#This Row],[ITL]]</f>
        <v>27.624127017423334</v>
      </c>
      <c r="AH34" s="100">
        <f>Table1[[#This Row],[Nprefill]]+Table1[[#This Row],[Ndecode]]</f>
        <v>30.605293335525911</v>
      </c>
      <c r="AI34" s="104">
        <f>Table1[[#This Row],[Run]]/Table1[[#This Row],[ITL]]/Table1[[#This Row],[GPS]]</f>
        <v>0.90406745010700995</v>
      </c>
      <c r="AJ34" s="101">
        <f>Table1[[#This Row],[Prefill]]+Table1[[#This Row],[ITL]]</f>
        <v>1.6286112216840787</v>
      </c>
      <c r="AK34" s="104">
        <f>Table1[[#This Row],[TTFT]]/Table1[[#This Row],[estTTFT]]</f>
        <v>18.105443334904418</v>
      </c>
      <c r="AL34" s="100">
        <f>Table1[[#This Row],[In-Tok]]*Table1[[#This Row],[RPS]]/Table1[[#This Row],[PPS]]</f>
        <v>1.5842114469649855</v>
      </c>
      <c r="AM34" s="104">
        <f>Table1[[#This Row],[Prefill]]/Table1[[#This Row],[estPrefill]]</f>
        <v>0.99372210603419242</v>
      </c>
      <c r="AN34" s="104">
        <f>Table1[[#This Row],[Prefill]]/Table1[[#This Row],[TTFT]]</f>
        <v>5.3388966229219764E-2</v>
      </c>
      <c r="AO34" s="101">
        <f>Table1[[#This Row],[Run]]/(Table1[[#This Row],[Out-Tok]]*Table1[[#This Row],[RPS]])</f>
        <v>2.7748971193415638E-2</v>
      </c>
      <c r="AP34" s="104">
        <f>Table1[[#This Row],[ITL]]/Table1[[#This Row],[estITL]]</f>
        <v>1.9584613001959956</v>
      </c>
      <c r="AQ34" s="105">
        <f>Table1[[#This Row],[E2E]]-Table1[[#This Row],[TTFT]]+Table1[[#This Row],[ITL]]</f>
        <v>13.355094955341333</v>
      </c>
      <c r="AR34" s="104">
        <f>Table1[[#This Row],[estDecode]]/Table1[[#This Row],[Run]]</f>
        <v>0.53475836244137032</v>
      </c>
      <c r="AS34" s="105">
        <f>Table1[[#This Row],[Prefill]]+Table1[[#This Row],[Out-Tok]]*Table1[[#This Row],[ITL]]</f>
        <v>17.877851796248926</v>
      </c>
      <c r="AT34" s="100">
        <f>Table1[[#This Row],[estPrefill]]+Table1[[#This Row],[Out-Tok]]*Table1[[#This Row],[ITL]]</f>
        <v>17.887797307732392</v>
      </c>
      <c r="AU34" s="104">
        <f>Table1[[#This Row],[E2E]]/Table1[[#This Row],[estE2E]]</f>
        <v>2.3919925478713635</v>
      </c>
      <c r="AV34" s="100">
        <f>Table1[[#This Row],[N]]/Table1[[#This Row],[estE2E]]</f>
        <v>1.7109593098025604</v>
      </c>
      <c r="AW34" s="100">
        <f>Table1[[#This Row],[PPS]]/Table1[[#This Row],[In-Tok]]</f>
        <v>1.8936866071428573</v>
      </c>
      <c r="AX34" s="104">
        <f>Table1[[#This Row],[RPS]]/Table1[[#This Row],[RPS(IL)]]</f>
        <v>1.5842114469649855</v>
      </c>
      <c r="AY34" s="100">
        <f>Table1[[#This Row],[GPS]]/Table1[[#This Row],[Out-Tok]]</f>
        <v>1.6943589743589742</v>
      </c>
      <c r="AZ34" s="106">
        <f>Table1[[#This Row],[RPS]]/Table1[[#This Row],[RPS(OL)]]</f>
        <v>1.7705811138014529</v>
      </c>
      <c r="BA34" s="130">
        <f>MaxTok/Table1[[#This Row],[tok/req]]</f>
        <v>27.41429413374949</v>
      </c>
      <c r="BB34" s="104">
        <f>Table1[[#This Row],[N]]/Table1[[#This Row],[N-max]]</f>
        <v>1.1163991013669037</v>
      </c>
      <c r="BC34" s="105">
        <f>Table1[[#This Row],[RPS]]</f>
        <v>3</v>
      </c>
      <c r="BD34" s="151">
        <f>Table1[[#This Row],[PPS]]/Table1[[#This Row],[RPS success]]</f>
        <v>8837.2041666666682</v>
      </c>
      <c r="BE34" s="104">
        <f>ABS(Table1[[#This Row],[est-In-Tok3]]-Table1[[#This Row],[In-Tok]])/Table1[[#This Row],[In-Tok]]</f>
        <v>0.36877113095238084</v>
      </c>
      <c r="BF34" s="151">
        <f>Table1[[#This Row],[GPS]]/Table1[[#This Row],[RPS success]]</f>
        <v>169.43589743589743</v>
      </c>
      <c r="BG34" s="104">
        <f>ABS(Table1[[#This Row],[est-Out-Tok3]]-Table1[[#This Row],[Out-Tok]])/Table1[[#This Row],[Out-Tok]]</f>
        <v>0.43521367521367521</v>
      </c>
      <c r="BH34" s="156">
        <f>Table1[[#This Row],[est-In-Tok3]]+AvgOutLoad*Table1[[#This Row],[est-Out-Tok3]]</f>
        <v>8921.9221153846174</v>
      </c>
      <c r="BI34" s="104">
        <f>ABS(Table1[[#This Row],[est-Tok/Req3]]-Table1[[#This Row],[tok/req]])/Table1[[#This Row],[tok/req]]</f>
        <v>0.36947546887741217</v>
      </c>
      <c r="BJ34" s="156">
        <f>MaxTok/Table1[[#This Row],[est-Tok/Req3]]</f>
        <v>43.478552824806037</v>
      </c>
      <c r="BK34" s="104">
        <f>ABS(Table1[[#This Row],[est-N-max3]]-Table1[[#This Row],[N-max]])/Table1[[#This Row],[N-max]]</f>
        <v>0.58598111673719822</v>
      </c>
      <c r="BL34" s="105">
        <f>MaxTok*Table1[[#This Row],[Kvcache]]/Table1[[#This Row],[Run]]</f>
        <v>14123.05979999044</v>
      </c>
      <c r="BM34" s="164">
        <f>ABS(Table1[[#This Row],[est-Tok/Req]]-Table1[[#This Row],[tok/req]])/Table1[[#This Row],[tok/req]]</f>
        <v>1.9039010607462689E-3</v>
      </c>
      <c r="BN34" s="105">
        <f>MaxTok/Table1[[#This Row],[est-Tok/Req]]</f>
        <v>27.466587799395839</v>
      </c>
      <c r="BO34" s="174">
        <f>Table1[[#This Row],[Run]]/Table1[[#This Row],[Kvcache]]</f>
        <v>27.466587799395842</v>
      </c>
      <c r="BP34" s="130" cm="1">
        <f t="array" aca="1" ref="BP34" ca="1">_xlfn.CEILING.MATH(INDIRECT("Table1"&amp;BP$3)/BP$2)*BP$2</f>
        <v>15000</v>
      </c>
      <c r="BQ34" s="200" cm="1">
        <f t="array" aca="1" ref="BQ34" ca="1">_xlfn.CEILING.MATH(INDIRECT("Table1"&amp;BQ$3)/BQ$2)*BQ$2</f>
        <v>5.5E-2</v>
      </c>
      <c r="BR34" s="104" cm="1">
        <f t="array" aca="1" ref="BR34" ca="1">_xlfn.CEILING.MATH(INDIRECT("Table1"&amp;BR$3)/BR$2)*BR$2</f>
        <v>1</v>
      </c>
      <c r="BS34" s="104" cm="1">
        <f t="array" aca="1" ref="BS34" ca="1">_xlfn.CEILING.MATH(INDIRECT("Table1"&amp;BS$3)/BS$2)*BS$2</f>
        <v>0.91</v>
      </c>
      <c r="BT34" s="99" cm="1">
        <f t="array" aca="1" ref="BT34" ca="1">_xlfn.CEILING.MATH(INDIRECT("Table1"&amp;BT$3)/BT$2)*BT$2</f>
        <v>25</v>
      </c>
      <c r="BU34" s="130" cm="1">
        <f t="array" aca="1" ref="BU34" ca="1">_xlfn.CEILING.MATH(INDIRECT("Table1"&amp;BU$3)/BU$2)*BU$2</f>
        <v>50</v>
      </c>
      <c r="BV34" s="130" cm="1">
        <f t="array" aca="1" ref="BV34" ca="1">_xlfn.CEILING.MATH(INDIRECT("Table1"&amp;BV$3)/BV$2)*BV$2</f>
        <v>14000</v>
      </c>
      <c r="BW34" s="124"/>
      <c r="BX34" s="124"/>
      <c r="BY34" s="193">
        <v>0.99383242823894491</v>
      </c>
      <c r="BZ34" s="124"/>
      <c r="CA34" s="80">
        <f>(Table1[[#This Row],[In-Tok]]+Table1[[#This Row],[Out-Tok]])*Table1[[#This Row],[RPS]]</f>
        <v>42900</v>
      </c>
      <c r="CB34" s="115">
        <f t="shared" si="5"/>
        <v>384420.9437570743</v>
      </c>
      <c r="CC34" s="115">
        <f>Table1[[#This Row],[Supply]]/(Table1[[#This Row],[Prefill]]+Table1[[#This Row],[Out-Tok]]*Table1[[#This Row],[ITL]])</f>
        <v>21502.636230474418</v>
      </c>
      <c r="CD34" s="115">
        <f>Table1[[#This Row],[MaxRun]]/Table1[[#This Row],[ITL]]</f>
        <v>496.823218473162</v>
      </c>
      <c r="CE34" s="115">
        <f>Table1[[#This Row],[Out-Tok]]*Table1[[#This Row],[RPS]]</f>
        <v>900</v>
      </c>
      <c r="CF34" s="116">
        <f>Table1[[#This Row],[Supply]]/Table1[[#This Row],[Demand-T]]</f>
        <v>8.9608611598385615</v>
      </c>
      <c r="CG34" s="116"/>
      <c r="CH34" s="107">
        <f>Table1[[#This Row],[Prefill]]+Table1[[#This Row],[Out-Tok]]*Table1[[#This Row],[ITL]]</f>
        <v>17.877851796248926</v>
      </c>
      <c r="CI34" s="107">
        <f>Table1[[#This Row],[GPS]]*Table1[[#This Row],[ITL]]</f>
        <v>27.624127017423334</v>
      </c>
      <c r="CJ34" s="108">
        <f>Table1[[#This Row],[PPS]]*Table1[[#This Row],[Prefill]]/Table1[[#This Row],[In-Tok]]</f>
        <v>2.9811663181025772</v>
      </c>
      <c r="CK34" s="107">
        <f t="shared" si="6"/>
        <v>30.605293335525911</v>
      </c>
      <c r="CL34" s="107">
        <f>Table1[[#This Row],[PPS]]/Table1[[#This Row],[In-Tok]]</f>
        <v>1.8936866071428573</v>
      </c>
      <c r="CM34" s="107">
        <f>Table1[[#This Row],[GPS]]/Table1[[#This Row],[Out-Tok]]</f>
        <v>1.6943589743589742</v>
      </c>
      <c r="CN34" s="107">
        <f>Table1[[#This Row],[Run]]/Table1[[#This Row],[E2E]]</f>
        <v>0.58367717202209224</v>
      </c>
      <c r="CO34" s="107">
        <f>Table1[[#This Row],[N2]]/Table1[[#This Row],[E2E]]</f>
        <v>0.71528622082252924</v>
      </c>
      <c r="CP34" s="107"/>
      <c r="CQ34" s="107">
        <f>Table1[[#This Row],[In-Tok]]+AvgOutLoad*Table1[[#This Row],[Out-Tok]]</f>
        <v>14150</v>
      </c>
      <c r="CR34" s="107">
        <f t="shared" si="7"/>
        <v>784528.22959728749</v>
      </c>
      <c r="CS34" s="107" t="e">
        <f t="shared" si="8"/>
        <v>#DIV/0!</v>
      </c>
      <c r="CT34" s="107" t="e">
        <f t="shared" si="9"/>
        <v>#DIV/0!</v>
      </c>
      <c r="CU34" s="107">
        <f t="shared" si="10"/>
        <v>0</v>
      </c>
      <c r="CV34" s="107" t="e">
        <f t="shared" si="11"/>
        <v>#DIV/0!</v>
      </c>
      <c r="CW34" s="107">
        <f>Table1[[#This Row],[N(maxT)]]/Table1[[#This Row],[e2e sat]]</f>
        <v>0</v>
      </c>
      <c r="CX34" s="107" t="e">
        <f>Table1[[#This Row],[RPS]]/CW34</f>
        <v>#DIV/0!</v>
      </c>
      <c r="CY34" s="109" t="e">
        <f>Table1[[#This Row],[Kvcache]]/$T$4</f>
        <v>#DIV/0!</v>
      </c>
      <c r="GJ34"/>
    </row>
    <row r="35" spans="1:192" hidden="1" x14ac:dyDescent="0.25">
      <c r="A35" s="210">
        <v>15000</v>
      </c>
      <c r="B35" s="210">
        <v>300</v>
      </c>
      <c r="C35" s="2">
        <v>3</v>
      </c>
      <c r="D35" s="199">
        <f>Table1[[#This Row],[Kvcache]]</f>
        <v>0.90006702220761503</v>
      </c>
      <c r="E35" s="203" t="s">
        <v>137</v>
      </c>
      <c r="F35" s="219">
        <v>46092</v>
      </c>
      <c r="G35" s="198"/>
      <c r="H35" s="198">
        <v>36.256328886927776</v>
      </c>
      <c r="I35" s="198">
        <v>1.915492380903296</v>
      </c>
      <c r="J35" s="198">
        <v>27.11355739988683</v>
      </c>
      <c r="K35" s="198">
        <v>48.30793373584747</v>
      </c>
      <c r="L35" s="198">
        <v>48.966524019241334</v>
      </c>
      <c r="M35" s="198">
        <v>5.2854428180746427E-2</v>
      </c>
      <c r="N35" s="198">
        <v>51.681313286151813</v>
      </c>
      <c r="O35" s="197">
        <v>25691.138624338622</v>
      </c>
      <c r="P35" s="197">
        <v>466.04021164021162</v>
      </c>
      <c r="Q35" s="9">
        <v>23.241995073891623</v>
      </c>
      <c r="R35" s="9">
        <v>25.5</v>
      </c>
      <c r="S35" s="196">
        <v>0.90006702220761503</v>
      </c>
      <c r="T35" s="165">
        <v>0.9859581070597363</v>
      </c>
      <c r="U35" s="26">
        <f>(Table1[[#This Row],[In-Tok]]+Table1[[#This Row],[Out-Tok]])*Table1[[#This Row],[RPS]]</f>
        <v>45900</v>
      </c>
      <c r="V35" s="54">
        <f>Table1[[#This Row],[In-Tok]]+AvgOutLoad*Table1[[#This Row],[Out-Tok]]</f>
        <v>15150</v>
      </c>
      <c r="W35" s="20">
        <f>Table1[[#This Row],[In-Tok]]*Table1[[#This Row],[RPS]]</f>
        <v>45000</v>
      </c>
      <c r="X35" s="35">
        <f>Table1[[#This Row],[Out-Tok]]*Table1[[#This Row],[RPS]]</f>
        <v>900</v>
      </c>
      <c r="Y35" s="75">
        <f>Table1[[#This Row],[In-Tok]]/Table1[[#This Row],[Out-Tok]]</f>
        <v>50</v>
      </c>
      <c r="Z35" s="26">
        <f>Table1[[#This Row],[In-Tok]]*Table1[[#This Row],[N]]+AvgOutLoad*Table1[[#This Row],[Out-Tok]]*Table1[[#This Row],[Ndecode]]</f>
        <v>422390.3570581341</v>
      </c>
      <c r="AA35" s="20">
        <f>Table1[[#This Row],[tok(N)]]/Table1[[#This Row],[Kvcache]]</f>
        <v>469287.6715137586</v>
      </c>
      <c r="AB35" s="20">
        <f>Table1[[#This Row],[tok/req]]*Table1[[#This Row],[Run]]</f>
        <v>352116.22536945809</v>
      </c>
      <c r="AC35" s="20">
        <f>Table1[[#This Row],[tok(Run)]]/Table1[[#This Row],[Kvcache]]</f>
        <v>391211.11726303952</v>
      </c>
      <c r="AD35" s="20">
        <f>Table1[[#This Row],[tok/req]]*Table1[[#This Row],[MaxRun]]</f>
        <v>386325</v>
      </c>
      <c r="AE35" s="20">
        <f>Table1[[#This Row],[tok(MaxRun)]]/Table1[[#This Row],[MaxKvcache]]</f>
        <v>391826.99268235109</v>
      </c>
      <c r="AF35" s="75">
        <f>Table1[[#This Row],[PPS]]*Table1[[#This Row],[Prefill]]/Table1[[#This Row],[In-Tok]]</f>
        <v>3.2807453527767341</v>
      </c>
      <c r="AG35" s="22">
        <f>Table1[[#This Row],[GPS]]*Table1[[#This Row],[ITL]]</f>
        <v>24.63228889547743</v>
      </c>
      <c r="AH35" s="22">
        <f>Table1[[#This Row],[Nprefill]]+Table1[[#This Row],[Ndecode]]</f>
        <v>27.913034248254164</v>
      </c>
      <c r="AI35" s="34">
        <f>Table1[[#This Row],[Run]]/Table1[[#This Row],[ITL]]/Table1[[#This Row],[GPS]]</f>
        <v>0.94355807422179638</v>
      </c>
      <c r="AJ35" s="64">
        <f>Table1[[#This Row],[Prefill]]+Table1[[#This Row],[ITL]]</f>
        <v>1.9683468090840424</v>
      </c>
      <c r="AK35" s="34">
        <f>Table1[[#This Row],[TTFT]]/Table1[[#This Row],[estTTFT]]</f>
        <v>18.419685351993142</v>
      </c>
      <c r="AL35" s="22">
        <f>Table1[[#This Row],[In-Tok]]*Table1[[#This Row],[RPS]]/Table1[[#This Row],[PPS]]</f>
        <v>1.7515767073620099</v>
      </c>
      <c r="AM35" s="34">
        <f>Table1[[#This Row],[Prefill]]/Table1[[#This Row],[estPrefill]]</f>
        <v>1.0935817842589115</v>
      </c>
      <c r="AN35" s="34">
        <f>Table1[[#This Row],[Prefill]]/Table1[[#This Row],[TTFT]]</f>
        <v>5.2831945199888319E-2</v>
      </c>
      <c r="AO35" s="64">
        <f>Table1[[#This Row],[Run]]/(Table1[[#This Row],[Out-Tok]]*Table1[[#This Row],[RPS]])</f>
        <v>2.5824438970990692E-2</v>
      </c>
      <c r="AP35" s="34">
        <f>Table1[[#This Row],[ITL]]/Table1[[#This Row],[estITL]]</f>
        <v>2.0466825335535566</v>
      </c>
      <c r="AQ35" s="69">
        <f>Table1[[#This Row],[E2E]]-Table1[[#This Row],[TTFT]]+Table1[[#This Row],[ITL]]</f>
        <v>15.477838827404783</v>
      </c>
      <c r="AR35" s="34">
        <f>Table1[[#This Row],[estDecode]]/Table1[[#This Row],[Run]]</f>
        <v>0.66594278065188428</v>
      </c>
      <c r="AS35" s="69">
        <f>Table1[[#This Row],[Prefill]]+Table1[[#This Row],[Out-Tok]]*Table1[[#This Row],[ITL]]</f>
        <v>17.771820835127222</v>
      </c>
      <c r="AT35" s="22">
        <f>Table1[[#This Row],[estPrefill]]+Table1[[#This Row],[Out-Tok]]*Table1[[#This Row],[ITL]]</f>
        <v>17.607905161585936</v>
      </c>
      <c r="AU35" s="34">
        <f>Table1[[#This Row],[E2E]]/Table1[[#This Row],[estE2E]]</f>
        <v>2.9351199255037845</v>
      </c>
      <c r="AV35" s="22">
        <f>Table1[[#This Row],[N]]/Table1[[#This Row],[estE2E]]</f>
        <v>1.5852558264085999</v>
      </c>
      <c r="AW35" s="22">
        <f>Table1[[#This Row],[PPS]]/Table1[[#This Row],[In-Tok]]</f>
        <v>1.7127425749559082</v>
      </c>
      <c r="AX35" s="34">
        <f>Table1[[#This Row],[RPS]]/Table1[[#This Row],[RPS(IL)]]</f>
        <v>1.7515767073620099</v>
      </c>
      <c r="AY35" s="22">
        <f>Table1[[#This Row],[GPS]]/Table1[[#This Row],[Out-Tok]]</f>
        <v>1.5534673721340388</v>
      </c>
      <c r="AZ35" s="89">
        <f>Table1[[#This Row],[RPS]]/Table1[[#This Row],[RPS(OL)]]</f>
        <v>1.9311638299031806</v>
      </c>
      <c r="BA35" s="131">
        <f>MaxTok/Table1[[#This Row],[tok/req]]</f>
        <v>25.604769768485497</v>
      </c>
      <c r="BB35" s="34">
        <f>Table1[[#This Row],[N]]/Table1[[#This Row],[N-max]]</f>
        <v>1.0901497846158996</v>
      </c>
      <c r="BC35" s="69">
        <f>Table1[[#This Row],[RPS]]</f>
        <v>3</v>
      </c>
      <c r="BD35" s="48">
        <f>Table1[[#This Row],[PPS]]/Table1[[#This Row],[RPS success]]</f>
        <v>8563.7128747795414</v>
      </c>
      <c r="BE35" s="34">
        <f>ABS(Table1[[#This Row],[est-In-Tok3]]-Table1[[#This Row],[In-Tok]])/Table1[[#This Row],[In-Tok]]</f>
        <v>0.42908580834803056</v>
      </c>
      <c r="BF35" s="48">
        <f>Table1[[#This Row],[GPS]]/Table1[[#This Row],[RPS success]]</f>
        <v>155.34673721340388</v>
      </c>
      <c r="BG35" s="34">
        <f>ABS(Table1[[#This Row],[est-Out-Tok3]]-Table1[[#This Row],[Out-Tok]])/Table1[[#This Row],[Out-Tok]]</f>
        <v>0.48217754262198703</v>
      </c>
      <c r="BH35" s="157">
        <f>Table1[[#This Row],[est-In-Tok3]]+AvgOutLoad*Table1[[#This Row],[est-Out-Tok3]]</f>
        <v>8641.3862433862432</v>
      </c>
      <c r="BI35" s="34">
        <f>ABS(Table1[[#This Row],[est-Tok/Req3]]-Table1[[#This Row],[tok/req]])/Table1[[#This Row],[tok/req]]</f>
        <v>0.4296114690834163</v>
      </c>
      <c r="BJ35" s="157">
        <f>MaxTok/Table1[[#This Row],[est-Tok/Req3]]</f>
        <v>44.890050168680652</v>
      </c>
      <c r="BK35" s="34">
        <f>ABS(Table1[[#This Row],[est-N-max3]]-Table1[[#This Row],[N-max]])/Table1[[#This Row],[N-max]]</f>
        <v>0.75319093179004459</v>
      </c>
      <c r="BL35" s="69">
        <f>MaxTok*Table1[[#This Row],[Kvcache]]/Table1[[#This Row],[Run]]</f>
        <v>15022.248882655775</v>
      </c>
      <c r="BM35" s="165">
        <f>ABS(Table1[[#This Row],[est-Tok/Req]]-Table1[[#This Row],[tok/req]])/Table1[[#This Row],[tok/req]]</f>
        <v>8.4324169864175152E-3</v>
      </c>
      <c r="BN35" s="69">
        <f>MaxTok/Table1[[#This Row],[est-Tok/Req]]</f>
        <v>25.822515990959705</v>
      </c>
      <c r="BO35" s="175">
        <f>Table1[[#This Row],[Run]]/Table1[[#This Row],[Kvcache]]</f>
        <v>25.822515990959705</v>
      </c>
      <c r="BP35" s="131" cm="1">
        <f t="array" aca="1" ref="BP35" ca="1">_xlfn.CEILING.MATH(INDIRECT("Table1"&amp;BP$3)/BP$2)*BP$2</f>
        <v>16000</v>
      </c>
      <c r="BQ35" s="182" cm="1">
        <f t="array" aca="1" ref="BQ35" ca="1">_xlfn.CEILING.MATH(INDIRECT("Table1"&amp;BQ$3)/BQ$2)*BQ$2</f>
        <v>5.5E-2</v>
      </c>
      <c r="BR35" s="34" cm="1">
        <f t="array" aca="1" ref="BR35" ca="1">_xlfn.CEILING.MATH(INDIRECT("Table1"&amp;BR$3)/BR$2)*BR$2</f>
        <v>1</v>
      </c>
      <c r="BS35" s="34" cm="1">
        <f t="array" aca="1" ref="BS35" ca="1">_xlfn.CEILING.MATH(INDIRECT("Table1"&amp;BS$3)/BS$2)*BS$2</f>
        <v>0.91</v>
      </c>
      <c r="BT35" s="20" cm="1">
        <f t="array" aca="1" ref="BT35" ca="1">_xlfn.CEILING.MATH(INDIRECT("Table1"&amp;BT$3)/BT$2)*BT$2</f>
        <v>24</v>
      </c>
      <c r="BU35" s="131" cm="1">
        <f t="array" aca="1" ref="BU35" ca="1">_xlfn.CEILING.MATH(INDIRECT("Table1"&amp;BU$3)/BU$2)*BU$2</f>
        <v>50</v>
      </c>
      <c r="BV35" s="131" cm="1">
        <f t="array" aca="1" ref="BV35" ca="1">_xlfn.CEILING.MATH(INDIRECT("Table1"&amp;BV$3)/BV$2)*BV$2</f>
        <v>15000</v>
      </c>
      <c r="BW35" s="34"/>
      <c r="BX35" s="34"/>
      <c r="BY35" s="193">
        <v>0.9859581070597363</v>
      </c>
      <c r="BZ35" s="34"/>
      <c r="CA35" s="24">
        <f>(Table1[[#This Row],[In-Tok]]+Table1[[#This Row],[Out-Tok]])*Table1[[#This Row],[RPS]]</f>
        <v>45900</v>
      </c>
      <c r="CB35" s="20">
        <f t="shared" si="5"/>
        <v>391826.99268235109</v>
      </c>
      <c r="CC35" s="20">
        <f>Table1[[#This Row],[Supply]]/(Table1[[#This Row],[Prefill]]+Table1[[#This Row],[Out-Tok]]*Table1[[#This Row],[ITL]])</f>
        <v>22047.656023398467</v>
      </c>
      <c r="CD35" s="20">
        <f>Table1[[#This Row],[MaxRun]]/Table1[[#This Row],[ITL]]</f>
        <v>482.45721082815584</v>
      </c>
      <c r="CE35" s="20">
        <f>Table1[[#This Row],[Out-Tok]]*Table1[[#This Row],[RPS]]</f>
        <v>900</v>
      </c>
      <c r="CF35" s="22">
        <f>Table1[[#This Row],[Supply]]/Table1[[#This Row],[Demand-T]]</f>
        <v>8.5365357882865158</v>
      </c>
      <c r="CG35" s="22"/>
      <c r="CH35" s="71">
        <f>Table1[[#This Row],[Prefill]]+Table1[[#This Row],[Out-Tok]]*Table1[[#This Row],[ITL]]</f>
        <v>17.771820835127222</v>
      </c>
      <c r="CI35" s="71">
        <f>Table1[[#This Row],[GPS]]*Table1[[#This Row],[ITL]]</f>
        <v>24.63228889547743</v>
      </c>
      <c r="CJ35" s="72">
        <f>Table1[[#This Row],[PPS]]*Table1[[#This Row],[Prefill]]/Table1[[#This Row],[In-Tok]]</f>
        <v>3.2807453527767341</v>
      </c>
      <c r="CK35" s="71">
        <f t="shared" si="6"/>
        <v>27.913034248254164</v>
      </c>
      <c r="CL35" s="71">
        <f>Table1[[#This Row],[PPS]]/Table1[[#This Row],[In-Tok]]</f>
        <v>1.7127425749559082</v>
      </c>
      <c r="CM35" s="71">
        <f>Table1[[#This Row],[GPS]]/Table1[[#This Row],[Out-Tok]]</f>
        <v>1.5534673721340388</v>
      </c>
      <c r="CN35" s="71">
        <f>Table1[[#This Row],[Run]]/Table1[[#This Row],[E2E]]</f>
        <v>0.4497175786769218</v>
      </c>
      <c r="CO35" s="71">
        <f>Table1[[#This Row],[N2]]/Table1[[#This Row],[E2E]]</f>
        <v>0.54009916686334591</v>
      </c>
      <c r="CP35" s="71"/>
      <c r="CQ35" s="71">
        <f>Table1[[#This Row],[In-Tok]]+AvgOutLoad*Table1[[#This Row],[Out-Tok]]</f>
        <v>15150</v>
      </c>
      <c r="CR35" s="71">
        <f t="shared" si="7"/>
        <v>856228.67698580748</v>
      </c>
      <c r="CS35" s="71" t="e">
        <f t="shared" si="8"/>
        <v>#DIV/0!</v>
      </c>
      <c r="CT35" s="71" t="e">
        <f t="shared" si="9"/>
        <v>#DIV/0!</v>
      </c>
      <c r="CU35" s="71">
        <f t="shared" si="10"/>
        <v>0</v>
      </c>
      <c r="CV35" s="71" t="e">
        <f t="shared" si="11"/>
        <v>#DIV/0!</v>
      </c>
      <c r="CW35" s="71">
        <f>Table1[[#This Row],[N(maxT)]]/Table1[[#This Row],[e2e sat]]</f>
        <v>0</v>
      </c>
      <c r="CX35" s="71" t="e">
        <f>Table1[[#This Row],[RPS]]/CW35</f>
        <v>#DIV/0!</v>
      </c>
      <c r="CY35" s="110" t="e">
        <f>Table1[[#This Row],[Kvcache]]/$T$4</f>
        <v>#DIV/0!</v>
      </c>
      <c r="GJ35"/>
    </row>
    <row r="36" spans="1:192" hidden="1" x14ac:dyDescent="0.25">
      <c r="A36" s="3">
        <v>5000</v>
      </c>
      <c r="B36" s="3">
        <v>100</v>
      </c>
      <c r="C36">
        <v>2</v>
      </c>
      <c r="D36" s="199">
        <f>Table1[[#This Row],[Kvcache]]</f>
        <v>2.7674917911307269E-2</v>
      </c>
      <c r="E36" s="203" t="s">
        <v>138</v>
      </c>
      <c r="F36" s="219">
        <v>46092</v>
      </c>
      <c r="G36" s="10"/>
      <c r="H36" s="10">
        <v>0.15310316644821045</v>
      </c>
      <c r="I36" s="10">
        <v>0.14001906340436057</v>
      </c>
      <c r="J36" s="10">
        <v>1.155893479584911</v>
      </c>
      <c r="K36" s="10">
        <v>2.3622004191080728</v>
      </c>
      <c r="L36" s="10">
        <v>2.7759022140502925</v>
      </c>
      <c r="M36" s="10">
        <v>9.6372250619072009E-3</v>
      </c>
      <c r="N36" s="10">
        <v>1.1050221029912082</v>
      </c>
      <c r="O36" s="47">
        <v>13843.581089743588</v>
      </c>
      <c r="P36" s="47">
        <v>258.15320512820512</v>
      </c>
      <c r="Q36" s="5">
        <v>2.1190476190476191</v>
      </c>
      <c r="R36" s="5">
        <v>6.333333333333333</v>
      </c>
      <c r="S36" s="170">
        <v>2.7674917911307269E-2</v>
      </c>
      <c r="T36" s="165">
        <v>8.2699767261443E-2</v>
      </c>
      <c r="U36" s="26">
        <f>(Table1[[#This Row],[In-Tok]]+Table1[[#This Row],[Out-Tok]])*Table1[[#This Row],[RPS]]</f>
        <v>10200</v>
      </c>
      <c r="V36" s="54">
        <f>Table1[[#This Row],[In-Tok]]+AvgOutLoad*Table1[[#This Row],[Out-Tok]]</f>
        <v>5050</v>
      </c>
      <c r="W36" s="20">
        <f>Table1[[#This Row],[In-Tok]]*Table1[[#This Row],[RPS]]</f>
        <v>10000</v>
      </c>
      <c r="X36" s="35">
        <f>Table1[[#This Row],[Out-Tok]]*Table1[[#This Row],[RPS]]</f>
        <v>200</v>
      </c>
      <c r="Y36" s="75">
        <f>Table1[[#This Row],[In-Tok]]/Table1[[#This Row],[Out-Tok]]</f>
        <v>50</v>
      </c>
      <c r="Z36" s="26">
        <f>Table1[[#This Row],[In-Tok]]*Table1[[#This Row],[N]]+AvgOutLoad*Table1[[#This Row],[Out-Tok]]*Table1[[#This Row],[Ndecode]]</f>
        <v>14502.161976627918</v>
      </c>
      <c r="AA36" s="20">
        <f>Table1[[#This Row],[tok(N)]]/Table1[[#This Row],[Kvcache]]</f>
        <v>524018.24724844814</v>
      </c>
      <c r="AB36" s="20">
        <f>Table1[[#This Row],[tok/req]]*Table1[[#This Row],[Run]]</f>
        <v>10701.190476190477</v>
      </c>
      <c r="AC36" s="20">
        <f>Table1[[#This Row],[tok(Run)]]/Table1[[#This Row],[Kvcache]]</f>
        <v>386674.69621719245</v>
      </c>
      <c r="AD36" s="20">
        <f>Table1[[#This Row],[tok/req]]*Table1[[#This Row],[MaxRun]]</f>
        <v>31983.333333333332</v>
      </c>
      <c r="AE36" s="20">
        <f>Table1[[#This Row],[tok(MaxRun)]]/Table1[[#This Row],[MaxKvcache]]</f>
        <v>386740.30644152587</v>
      </c>
      <c r="AF36" s="75">
        <f>Table1[[#This Row],[PPS]]*Table1[[#This Row],[Prefill]]/Table1[[#This Row],[In-Tok]]</f>
        <v>0.38767305166964289</v>
      </c>
      <c r="AG36" s="22">
        <f>Table1[[#This Row],[GPS]]*Table1[[#This Row],[ITL]]</f>
        <v>2.4878805382732088</v>
      </c>
      <c r="AH36" s="22">
        <f>Table1[[#This Row],[Nprefill]]+Table1[[#This Row],[Ndecode]]</f>
        <v>2.8755535899428515</v>
      </c>
      <c r="AI36" s="34">
        <f>Table1[[#This Row],[Run]]/Table1[[#This Row],[ITL]]/Table1[[#This Row],[GPS]]</f>
        <v>0.85174813920864945</v>
      </c>
      <c r="AJ36" s="64">
        <f>Table1[[#This Row],[Prefill]]+Table1[[#This Row],[ITL]]</f>
        <v>0.14965628846626777</v>
      </c>
      <c r="AK36" s="34">
        <f>Table1[[#This Row],[TTFT]]/Table1[[#This Row],[estTTFT]]</f>
        <v>1.0230319622200146</v>
      </c>
      <c r="AL36" s="22">
        <f>Table1[[#This Row],[In-Tok]]*Table1[[#This Row],[RPS]]/Table1[[#This Row],[PPS]]</f>
        <v>0.72235644340674143</v>
      </c>
      <c r="AM36" s="34">
        <f>Table1[[#This Row],[Prefill]]/Table1[[#This Row],[estPrefill]]</f>
        <v>0.19383652583482144</v>
      </c>
      <c r="AN36" s="34">
        <f>Table1[[#This Row],[Prefill]]/Table1[[#This Row],[TTFT]]</f>
        <v>0.91454061109653284</v>
      </c>
      <c r="AO36" s="64">
        <f>Table1[[#This Row],[Run]]/(Table1[[#This Row],[Out-Tok]]*Table1[[#This Row],[RPS]])</f>
        <v>1.0595238095238095E-2</v>
      </c>
      <c r="AP36" s="34">
        <f>Table1[[#This Row],[ITL]]/Table1[[#This Row],[estITL]]</f>
        <v>0.90958079235978073</v>
      </c>
      <c r="AQ36" s="69">
        <f>Table1[[#This Row],[E2E]]-Table1[[#This Row],[TTFT]]+Table1[[#This Row],[ITL]]</f>
        <v>0.96155616160490498</v>
      </c>
      <c r="AR36" s="34">
        <f>Table1[[#This Row],[estDecode]]/Table1[[#This Row],[Run]]</f>
        <v>0.45376807626298887</v>
      </c>
      <c r="AS36" s="69">
        <f>Table1[[#This Row],[Prefill]]+Table1[[#This Row],[Out-Tok]]*Table1[[#This Row],[ITL]]</f>
        <v>1.1037415695950807</v>
      </c>
      <c r="AT36" s="22">
        <f>Table1[[#This Row],[estPrefill]]+Table1[[#This Row],[Out-Tok]]*Table1[[#This Row],[ITL]]</f>
        <v>1.6860789495974615</v>
      </c>
      <c r="AU36" s="34">
        <f>Table1[[#This Row],[E2E]]/Table1[[#This Row],[estE2E]]</f>
        <v>0.65537981080602647</v>
      </c>
      <c r="AV36" s="22">
        <f>Table1[[#This Row],[N]]/Table1[[#This Row],[estE2E]]</f>
        <v>1.7054679382773672</v>
      </c>
      <c r="AW36" s="22">
        <f>Table1[[#This Row],[PPS]]/Table1[[#This Row],[In-Tok]]</f>
        <v>2.7687162179487177</v>
      </c>
      <c r="AX36" s="34">
        <f>Table1[[#This Row],[RPS]]/Table1[[#This Row],[RPS(IL)]]</f>
        <v>0.72235644340674143</v>
      </c>
      <c r="AY36" s="22">
        <f>Table1[[#This Row],[GPS]]/Table1[[#This Row],[Out-Tok]]</f>
        <v>2.5815320512820512</v>
      </c>
      <c r="AZ36" s="89">
        <f>Table1[[#This Row],[RPS]]/Table1[[#This Row],[RPS(OL)]]</f>
        <v>0.77473374735237233</v>
      </c>
      <c r="BA36" s="131">
        <f>MaxTok/Table1[[#This Row],[tok/req]]</f>
        <v>76.81430930545649</v>
      </c>
      <c r="BB36" s="34">
        <f>Table1[[#This Row],[N]]/Table1[[#This Row],[N-max]]</f>
        <v>3.7435129156835195E-2</v>
      </c>
      <c r="BC36" s="69">
        <f>Table1[[#This Row],[RPS]]</f>
        <v>2</v>
      </c>
      <c r="BD36" s="48">
        <f>Table1[[#This Row],[PPS]]/Table1[[#This Row],[RPS success]]</f>
        <v>6921.7905448717938</v>
      </c>
      <c r="BE36" s="34">
        <f>ABS(Table1[[#This Row],[est-In-Tok3]]-Table1[[#This Row],[In-Tok]])/Table1[[#This Row],[In-Tok]]</f>
        <v>0.38435810897435879</v>
      </c>
      <c r="BF36" s="48">
        <f>Table1[[#This Row],[GPS]]/Table1[[#This Row],[RPS success]]</f>
        <v>129.07660256410256</v>
      </c>
      <c r="BG36" s="34">
        <f>ABS(Table1[[#This Row],[est-Out-Tok3]]-Table1[[#This Row],[Out-Tok]])/Table1[[#This Row],[Out-Tok]]</f>
        <v>0.2907660256410256</v>
      </c>
      <c r="BH36" s="157">
        <f>Table1[[#This Row],[est-In-Tok3]]+AvgOutLoad*Table1[[#This Row],[est-Out-Tok3]]</f>
        <v>6986.328846153845</v>
      </c>
      <c r="BI36" s="34">
        <f>ABS(Table1[[#This Row],[est-Tok/Req3]]-Table1[[#This Row],[tok/req]])/Table1[[#This Row],[tok/req]]</f>
        <v>0.3834314546839297</v>
      </c>
      <c r="BJ36" s="157">
        <f>MaxTok/Table1[[#This Row],[est-Tok/Req3]]</f>
        <v>55.524477953268836</v>
      </c>
      <c r="BK36" s="34">
        <f>ABS(Table1[[#This Row],[est-N-max3]]-Table1[[#This Row],[N-max]])/Table1[[#This Row],[N-max]]</f>
        <v>0.27715970558984554</v>
      </c>
      <c r="BL36" s="69">
        <f>MaxTok*Table1[[#This Row],[Kvcache]]/Table1[[#This Row],[Run]]</f>
        <v>5066.1627001371508</v>
      </c>
      <c r="BM36" s="165">
        <f>ABS(Table1[[#This Row],[est-Tok/Req]]-Table1[[#This Row],[tok/req]])/Table1[[#This Row],[tok/req]]</f>
        <v>3.2005346806239111E-3</v>
      </c>
      <c r="BN36" s="69">
        <f>MaxTok/Table1[[#This Row],[est-Tok/Req]]</f>
        <v>76.569246775681677</v>
      </c>
      <c r="BO36" s="175">
        <f>Table1[[#This Row],[Run]]/Table1[[#This Row],[Kvcache]]</f>
        <v>76.569246775681677</v>
      </c>
      <c r="BP36" s="131" cm="1">
        <f t="array" aca="1" ref="BP36" ca="1">_xlfn.CEILING.MATH(INDIRECT("Table1"&amp;BP$3)/BP$2)*BP$2</f>
        <v>6000</v>
      </c>
      <c r="BQ36" s="182" cm="1">
        <f t="array" aca="1" ref="BQ36" ca="1">_xlfn.CEILING.MATH(INDIRECT("Table1"&amp;BQ$3)/BQ$2)*BQ$2</f>
        <v>0.01</v>
      </c>
      <c r="BR36" s="34" cm="1">
        <f t="array" aca="1" ref="BR36" ca="1">_xlfn.CEILING.MATH(INDIRECT("Table1"&amp;BR$3)/BR$2)*BR$2</f>
        <v>0.1</v>
      </c>
      <c r="BS36" s="34" cm="1">
        <f t="array" aca="1" ref="BS36" ca="1">_xlfn.CEILING.MATH(INDIRECT("Table1"&amp;BS$3)/BS$2)*BS$2</f>
        <v>0.03</v>
      </c>
      <c r="BT36" s="20" cm="1">
        <f t="array" aca="1" ref="BT36" ca="1">_xlfn.CEILING.MATH(INDIRECT("Table1"&amp;BT$3)/BT$2)*BT$2</f>
        <v>3</v>
      </c>
      <c r="BU36" s="131" cm="1">
        <f t="array" aca="1" ref="BU36" ca="1">_xlfn.CEILING.MATH(INDIRECT("Table1"&amp;BU$3)/BU$2)*BU$2</f>
        <v>50</v>
      </c>
      <c r="BV36" s="131" cm="1">
        <f t="array" aca="1" ref="BV36" ca="1">_xlfn.CEILING.MATH(INDIRECT("Table1"&amp;BV$3)/BV$2)*BV$2</f>
        <v>5000</v>
      </c>
      <c r="BW36" s="34"/>
      <c r="BX36" s="34"/>
      <c r="BY36" s="190">
        <v>8.2699767261443E-2</v>
      </c>
      <c r="BZ36" s="34"/>
      <c r="CA36" s="24">
        <f>(Table1[[#This Row],[In-Tok]]+Table1[[#This Row],[Out-Tok]])*Table1[[#This Row],[RPS]]</f>
        <v>10200</v>
      </c>
      <c r="CB36" s="20">
        <f t="shared" si="5"/>
        <v>386740.30644152587</v>
      </c>
      <c r="CC36" s="20">
        <f>Table1[[#This Row],[Supply]]/(Table1[[#This Row],[Prefill]]+Table1[[#This Row],[Out-Tok]]*Table1[[#This Row],[ITL]])</f>
        <v>350390.26987395756</v>
      </c>
      <c r="CD36" s="20">
        <f>Table1[[#This Row],[MaxRun]]/Table1[[#This Row],[ITL]]</f>
        <v>657.17395750846674</v>
      </c>
      <c r="CE36" s="20">
        <f>Table1[[#This Row],[Out-Tok]]*Table1[[#This Row],[RPS]]</f>
        <v>200</v>
      </c>
      <c r="CF36" s="22">
        <f>Table1[[#This Row],[Supply]]/Table1[[#This Row],[Demand-T]]</f>
        <v>37.915716317796651</v>
      </c>
      <c r="CG36" s="22"/>
      <c r="CH36" s="71">
        <f>Table1[[#This Row],[Prefill]]+Table1[[#This Row],[Out-Tok]]*Table1[[#This Row],[ITL]]</f>
        <v>1.1037415695950807</v>
      </c>
      <c r="CI36" s="71">
        <f>Table1[[#This Row],[GPS]]*Table1[[#This Row],[ITL]]</f>
        <v>2.4878805382732088</v>
      </c>
      <c r="CJ36" s="72">
        <f>Table1[[#This Row],[PPS]]*Table1[[#This Row],[Prefill]]/Table1[[#This Row],[In-Tok]]</f>
        <v>0.38767305166964289</v>
      </c>
      <c r="CK36" s="71">
        <f t="shared" ref="CK36:CK63" si="12">CI36+CJ36</f>
        <v>2.8755535899428515</v>
      </c>
      <c r="CL36" s="71">
        <f>Table1[[#This Row],[PPS]]/Table1[[#This Row],[In-Tok]]</f>
        <v>2.7687162179487177</v>
      </c>
      <c r="CM36" s="71">
        <f>Table1[[#This Row],[GPS]]/Table1[[#This Row],[Out-Tok]]</f>
        <v>2.5815320512820512</v>
      </c>
      <c r="CN36" s="71">
        <f>Table1[[#This Row],[Run]]/Table1[[#This Row],[E2E]]</f>
        <v>1.9176517947573386</v>
      </c>
      <c r="CO36" s="71">
        <f>Table1[[#This Row],[N2]]/Table1[[#This Row],[E2E]]</f>
        <v>2.6022588889027229</v>
      </c>
      <c r="CP36" s="71"/>
      <c r="CQ36" s="71">
        <f>Table1[[#This Row],[In-Tok]]+AvgOutLoad*Table1[[#This Row],[Out-Tok]]</f>
        <v>5050</v>
      </c>
      <c r="CR36" s="71">
        <f t="shared" ref="CR36:CR63" si="13">CD36*CQ36/CF36</f>
        <v>87529.09895203622</v>
      </c>
      <c r="CS36" s="71" t="e">
        <f t="shared" ref="CS36:CS63" si="14">CE36*CQ36/CG36</f>
        <v>#DIV/0!</v>
      </c>
      <c r="CT36" s="71" t="e">
        <f t="shared" si="9"/>
        <v>#DIV/0!</v>
      </c>
      <c r="CU36" s="71">
        <f t="shared" ref="CU36:CU63" si="15">$CL$4/CQ36</f>
        <v>0</v>
      </c>
      <c r="CV36" s="71" t="e">
        <f t="shared" ref="CV36:CV63" si="16">CK36/CU36</f>
        <v>#DIV/0!</v>
      </c>
      <c r="CW36" s="71">
        <f>Table1[[#This Row],[N(maxT)]]/Table1[[#This Row],[e2e sat]]</f>
        <v>0</v>
      </c>
      <c r="CX36" s="71" t="e">
        <f>Table1[[#This Row],[RPS]]/CW36</f>
        <v>#DIV/0!</v>
      </c>
      <c r="CY36" s="110" t="e">
        <f>Table1[[#This Row],[Kvcache]]/$T$4</f>
        <v>#DIV/0!</v>
      </c>
      <c r="GJ36"/>
    </row>
    <row r="37" spans="1:192" hidden="1" x14ac:dyDescent="0.25">
      <c r="A37" s="3">
        <v>5000</v>
      </c>
      <c r="B37" s="3">
        <v>200</v>
      </c>
      <c r="C37">
        <v>2</v>
      </c>
      <c r="D37" s="199">
        <f>Table1[[#This Row],[Kvcache]]</f>
        <v>6.230122149713261E-2</v>
      </c>
      <c r="E37" s="203" t="s">
        <v>138</v>
      </c>
      <c r="F37" s="219">
        <v>46092</v>
      </c>
      <c r="G37" s="10"/>
      <c r="H37" s="10">
        <v>0.15337052458484812</v>
      </c>
      <c r="I37" s="10">
        <v>0.14131639997156367</v>
      </c>
      <c r="J37" s="10">
        <v>1.0886227086385336</v>
      </c>
      <c r="K37" s="10">
        <v>2.1854217251141868</v>
      </c>
      <c r="L37" s="10">
        <v>2.5071182203292834</v>
      </c>
      <c r="M37" s="10">
        <v>1.0460084484178884E-2</v>
      </c>
      <c r="N37" s="10">
        <v>2.2130016907884409</v>
      </c>
      <c r="O37" s="47">
        <v>12979.142261904761</v>
      </c>
      <c r="P37" s="47">
        <v>482.27559523809515</v>
      </c>
      <c r="Q37" s="5">
        <v>4.7281045751633988</v>
      </c>
      <c r="R37" s="5">
        <v>10</v>
      </c>
      <c r="S37" s="170">
        <v>6.230122149713261E-2</v>
      </c>
      <c r="T37" s="165">
        <v>0.13157486423584175</v>
      </c>
      <c r="U37" s="26">
        <f>(Table1[[#This Row],[In-Tok]]+Table1[[#This Row],[Out-Tok]])*Table1[[#This Row],[RPS]]</f>
        <v>10400</v>
      </c>
      <c r="V37" s="54">
        <f>Table1[[#This Row],[In-Tok]]+AvgOutLoad*Table1[[#This Row],[Out-Tok]]</f>
        <v>5100</v>
      </c>
      <c r="W37" s="20">
        <f>Table1[[#This Row],[In-Tok]]*Table1[[#This Row],[RPS]]</f>
        <v>10000</v>
      </c>
      <c r="X37" s="35">
        <f>Table1[[#This Row],[Out-Tok]]*Table1[[#This Row],[RPS]]</f>
        <v>400</v>
      </c>
      <c r="Y37" s="75">
        <f>Table1[[#This Row],[In-Tok]]/Table1[[#This Row],[Out-Tok]]</f>
        <v>25</v>
      </c>
      <c r="Z37" s="26">
        <f>Table1[[#This Row],[In-Tok]]*Table1[[#This Row],[N]]+AvgOutLoad*Table1[[#This Row],[Out-Tok]]*Table1[[#This Row],[Ndecode]]</f>
        <v>27561.847360496646</v>
      </c>
      <c r="AA37" s="20">
        <f>Table1[[#This Row],[tok(N)]]/Table1[[#This Row],[Kvcache]]</f>
        <v>442396.58064754267</v>
      </c>
      <c r="AB37" s="20">
        <f>Table1[[#This Row],[tok/req]]*Table1[[#This Row],[Run]]</f>
        <v>24113.333333333332</v>
      </c>
      <c r="AC37" s="20">
        <f>Table1[[#This Row],[tok(Run)]]/Table1[[#This Row],[Kvcache]]</f>
        <v>387044.31075148564</v>
      </c>
      <c r="AD37" s="20">
        <f>Table1[[#This Row],[tok/req]]*Table1[[#This Row],[MaxRun]]</f>
        <v>51000</v>
      </c>
      <c r="AE37" s="20">
        <f>Table1[[#This Row],[tok(MaxRun)]]/Table1[[#This Row],[MaxKvcache]]</f>
        <v>387612.02830188675</v>
      </c>
      <c r="AF37" s="75">
        <f>Table1[[#This Row],[PPS]]*Table1[[#This Row],[Prefill]]/Table1[[#This Row],[In-Tok]]</f>
        <v>0.36683313183423172</v>
      </c>
      <c r="AG37" s="22">
        <f>Table1[[#This Row],[GPS]]*Table1[[#This Row],[ITL]]</f>
        <v>5.0446434708481345</v>
      </c>
      <c r="AH37" s="22">
        <f>Table1[[#This Row],[Nprefill]]+Table1[[#This Row],[Ndecode]]</f>
        <v>5.4114766026823666</v>
      </c>
      <c r="AI37" s="34">
        <f>Table1[[#This Row],[Run]]/Table1[[#This Row],[ITL]]/Table1[[#This Row],[GPS]]</f>
        <v>0.93725247432966396</v>
      </c>
      <c r="AJ37" s="64">
        <f>Table1[[#This Row],[Prefill]]+Table1[[#This Row],[ITL]]</f>
        <v>0.15177648445574254</v>
      </c>
      <c r="AK37" s="34">
        <f>Table1[[#This Row],[TTFT]]/Table1[[#This Row],[estTTFT]]</f>
        <v>1.0105025500809408</v>
      </c>
      <c r="AL37" s="22">
        <f>Table1[[#This Row],[In-Tok]]*Table1[[#This Row],[RPS]]/Table1[[#This Row],[PPS]]</f>
        <v>0.77046693827766433</v>
      </c>
      <c r="AM37" s="34">
        <f>Table1[[#This Row],[Prefill]]/Table1[[#This Row],[estPrefill]]</f>
        <v>0.18341656591711589</v>
      </c>
      <c r="AN37" s="34">
        <f>Table1[[#This Row],[Prefill]]/Table1[[#This Row],[TTFT]]</f>
        <v>0.92140520712233831</v>
      </c>
      <c r="AO37" s="64">
        <f>Table1[[#This Row],[Run]]/(Table1[[#This Row],[Out-Tok]]*Table1[[#This Row],[RPS]])</f>
        <v>1.1820261437908496E-2</v>
      </c>
      <c r="AP37" s="34">
        <f>Table1[[#This Row],[ITL]]/Table1[[#This Row],[estITL]]</f>
        <v>0.88492835282243254</v>
      </c>
      <c r="AQ37" s="69">
        <f>Table1[[#This Row],[E2E]]-Table1[[#This Row],[TTFT]]+Table1[[#This Row],[ITL]]</f>
        <v>2.0700912506877716</v>
      </c>
      <c r="AR37" s="34">
        <f>Table1[[#This Row],[estDecode]]/Table1[[#This Row],[Run]]</f>
        <v>0.43782687497266942</v>
      </c>
      <c r="AS37" s="69">
        <f>Table1[[#This Row],[Prefill]]+Table1[[#This Row],[Out-Tok]]*Table1[[#This Row],[ITL]]</f>
        <v>2.2333332968073405</v>
      </c>
      <c r="AT37" s="22">
        <f>Table1[[#This Row],[estPrefill]]+Table1[[#This Row],[Out-Tok]]*Table1[[#This Row],[ITL]]</f>
        <v>2.8624838351134412</v>
      </c>
      <c r="AU37" s="34">
        <f>Table1[[#This Row],[E2E]]/Table1[[#This Row],[estE2E]]</f>
        <v>0.77310539317010285</v>
      </c>
      <c r="AV37" s="22">
        <f>Table1[[#This Row],[N]]/Table1[[#This Row],[estE2E]]</f>
        <v>1.8904828513967513</v>
      </c>
      <c r="AW37" s="22">
        <f>Table1[[#This Row],[PPS]]/Table1[[#This Row],[In-Tok]]</f>
        <v>2.5958284523809523</v>
      </c>
      <c r="AX37" s="34">
        <f>Table1[[#This Row],[RPS]]/Table1[[#This Row],[RPS(IL)]]</f>
        <v>0.77046693827766433</v>
      </c>
      <c r="AY37" s="22">
        <f>Table1[[#This Row],[GPS]]/Table1[[#This Row],[Out-Tok]]</f>
        <v>2.4113779761904759</v>
      </c>
      <c r="AZ37" s="89">
        <f>Table1[[#This Row],[RPS]]/Table1[[#This Row],[RPS(OL)]]</f>
        <v>0.82940128828729875</v>
      </c>
      <c r="BA37" s="131">
        <f>MaxTok/Table1[[#This Row],[tok/req]]</f>
        <v>76.061227841677507</v>
      </c>
      <c r="BB37" s="34">
        <f>Table1[[#This Row],[N]]/Table1[[#This Row],[N-max]]</f>
        <v>7.1146321933514264E-2</v>
      </c>
      <c r="BC37" s="69">
        <f>Table1[[#This Row],[RPS]]</f>
        <v>2</v>
      </c>
      <c r="BD37" s="48">
        <f>Table1[[#This Row],[PPS]]/Table1[[#This Row],[RPS success]]</f>
        <v>6489.5711309523804</v>
      </c>
      <c r="BE37" s="34">
        <f>ABS(Table1[[#This Row],[est-In-Tok3]]-Table1[[#This Row],[In-Tok]])/Table1[[#This Row],[In-Tok]]</f>
        <v>0.29791422619047608</v>
      </c>
      <c r="BF37" s="48">
        <f>Table1[[#This Row],[GPS]]/Table1[[#This Row],[RPS success]]</f>
        <v>241.13779761904757</v>
      </c>
      <c r="BG37" s="34">
        <f>ABS(Table1[[#This Row],[est-Out-Tok3]]-Table1[[#This Row],[Out-Tok]])/Table1[[#This Row],[Out-Tok]]</f>
        <v>0.20568898809523786</v>
      </c>
      <c r="BH37" s="157">
        <f>Table1[[#This Row],[est-In-Tok3]]+AvgOutLoad*Table1[[#This Row],[est-Out-Tok3]]</f>
        <v>6610.1400297619039</v>
      </c>
      <c r="BI37" s="34">
        <f>ABS(Table1[[#This Row],[est-Tok/Req3]]-Table1[[#This Row],[tok/req]])/Table1[[#This Row],[tok/req]]</f>
        <v>0.29610588818860861</v>
      </c>
      <c r="BJ37" s="157">
        <f>MaxTok/Table1[[#This Row],[est-Tok/Req3]]</f>
        <v>58.684424270287025</v>
      </c>
      <c r="BK37" s="34">
        <f>ABS(Table1[[#This Row],[est-N-max3]]-Table1[[#This Row],[N-max]])/Table1[[#This Row],[N-max]]</f>
        <v>0.22845809967149805</v>
      </c>
      <c r="BL37" s="69">
        <f>MaxTok*Table1[[#This Row],[Kvcache]]/Table1[[#This Row],[Run]]</f>
        <v>5111.4368076380206</v>
      </c>
      <c r="BM37" s="165">
        <f>ABS(Table1[[#This Row],[est-Tok/Req]]-Table1[[#This Row],[tok/req]])/Table1[[#This Row],[tok/req]]</f>
        <v>2.2425113015726631E-3</v>
      </c>
      <c r="BN37" s="69">
        <f>MaxTok/Table1[[#This Row],[est-Tok/Req]]</f>
        <v>75.891041323820716</v>
      </c>
      <c r="BO37" s="175">
        <f>Table1[[#This Row],[Run]]/Table1[[#This Row],[Kvcache]]</f>
        <v>75.891041323820716</v>
      </c>
      <c r="BP37" s="131" cm="1">
        <f t="array" aca="1" ref="BP37" ca="1">_xlfn.CEILING.MATH(INDIRECT("Table1"&amp;BP$3)/BP$2)*BP$2</f>
        <v>6000</v>
      </c>
      <c r="BQ37" s="182" cm="1">
        <f t="array" aca="1" ref="BQ37" ca="1">_xlfn.CEILING.MATH(INDIRECT("Table1"&amp;BQ$3)/BQ$2)*BQ$2</f>
        <v>1.4999999999999999E-2</v>
      </c>
      <c r="BR37" s="34" cm="1">
        <f t="array" aca="1" ref="BR37" ca="1">_xlfn.CEILING.MATH(INDIRECT("Table1"&amp;BR$3)/BR$2)*BR$2</f>
        <v>0.1</v>
      </c>
      <c r="BS37" s="34" cm="1">
        <f t="array" aca="1" ref="BS37" ca="1">_xlfn.CEILING.MATH(INDIRECT("Table1"&amp;BS$3)/BS$2)*BS$2</f>
        <v>7.0000000000000007E-2</v>
      </c>
      <c r="BT37" s="20" cm="1">
        <f t="array" aca="1" ref="BT37" ca="1">_xlfn.CEILING.MATH(INDIRECT("Table1"&amp;BT$3)/BT$2)*BT$2</f>
        <v>5</v>
      </c>
      <c r="BU37" s="131" cm="1">
        <f t="array" aca="1" ref="BU37" ca="1">_xlfn.CEILING.MATH(INDIRECT("Table1"&amp;BU$3)/BU$2)*BU$2</f>
        <v>25</v>
      </c>
      <c r="BV37" s="131" cm="1">
        <f t="array" aca="1" ref="BV37" ca="1">_xlfn.CEILING.MATH(INDIRECT("Table1"&amp;BV$3)/BV$2)*BV$2</f>
        <v>5000</v>
      </c>
      <c r="BW37" s="34"/>
      <c r="BX37" s="34"/>
      <c r="BY37" s="190">
        <v>0.13157486423584175</v>
      </c>
      <c r="BZ37" s="34"/>
      <c r="CA37" s="24">
        <f>(Table1[[#This Row],[In-Tok]]+Table1[[#This Row],[Out-Tok]])*Table1[[#This Row],[RPS]]</f>
        <v>10400</v>
      </c>
      <c r="CB37" s="20">
        <f t="shared" si="5"/>
        <v>387612.02830188675</v>
      </c>
      <c r="CC37" s="20">
        <f>Table1[[#This Row],[Supply]]/(Table1[[#This Row],[Prefill]]+Table1[[#This Row],[Out-Tok]]*Table1[[#This Row],[ITL]])</f>
        <v>173557.62745130659</v>
      </c>
      <c r="CD37" s="20">
        <f>Table1[[#This Row],[MaxRun]]/Table1[[#This Row],[ITL]]</f>
        <v>956.01522292914819</v>
      </c>
      <c r="CE37" s="20">
        <f>Table1[[#This Row],[Out-Tok]]*Table1[[#This Row],[RPS]]</f>
        <v>400</v>
      </c>
      <c r="CF37" s="22">
        <f>Table1[[#This Row],[Supply]]/Table1[[#This Row],[Demand-T]]</f>
        <v>37.270387336719878</v>
      </c>
      <c r="CG37" s="22"/>
      <c r="CH37" s="71">
        <f>Table1[[#This Row],[Prefill]]+Table1[[#This Row],[Out-Tok]]*Table1[[#This Row],[ITL]]</f>
        <v>2.2333332968073405</v>
      </c>
      <c r="CI37" s="71">
        <f>Table1[[#This Row],[GPS]]*Table1[[#This Row],[ITL]]</f>
        <v>5.0446434708481345</v>
      </c>
      <c r="CJ37" s="72">
        <f>Table1[[#This Row],[PPS]]*Table1[[#This Row],[Prefill]]/Table1[[#This Row],[In-Tok]]</f>
        <v>0.36683313183423172</v>
      </c>
      <c r="CK37" s="71">
        <f t="shared" si="12"/>
        <v>5.4114766026823666</v>
      </c>
      <c r="CL37" s="71">
        <f>Table1[[#This Row],[PPS]]/Table1[[#This Row],[In-Tok]]</f>
        <v>2.5958284523809523</v>
      </c>
      <c r="CM37" s="71">
        <f>Table1[[#This Row],[GPS]]/Table1[[#This Row],[Out-Tok]]</f>
        <v>2.4113779761904759</v>
      </c>
      <c r="CN37" s="71">
        <f>Table1[[#This Row],[Run]]/Table1[[#This Row],[E2E]]</f>
        <v>2.1365119578733287</v>
      </c>
      <c r="CO37" s="71">
        <f>Table1[[#This Row],[N2]]/Table1[[#This Row],[E2E]]</f>
        <v>2.4453106498777162</v>
      </c>
      <c r="CP37" s="71"/>
      <c r="CQ37" s="71">
        <f>Table1[[#This Row],[In-Tok]]+AvgOutLoad*Table1[[#This Row],[Out-Tok]]</f>
        <v>5100</v>
      </c>
      <c r="CR37" s="71">
        <f t="shared" si="13"/>
        <v>130819.0760908727</v>
      </c>
      <c r="CS37" s="71" t="e">
        <f t="shared" si="14"/>
        <v>#DIV/0!</v>
      </c>
      <c r="CT37" s="71" t="e">
        <f t="shared" si="9"/>
        <v>#DIV/0!</v>
      </c>
      <c r="CU37" s="71">
        <f t="shared" si="15"/>
        <v>0</v>
      </c>
      <c r="CV37" s="71" t="e">
        <f t="shared" si="16"/>
        <v>#DIV/0!</v>
      </c>
      <c r="CW37" s="71">
        <f>Table1[[#This Row],[N(maxT)]]/Table1[[#This Row],[e2e sat]]</f>
        <v>0</v>
      </c>
      <c r="CX37" s="71" t="e">
        <f>Table1[[#This Row],[RPS]]/CW37</f>
        <v>#DIV/0!</v>
      </c>
      <c r="CY37" s="110" t="e">
        <f>Table1[[#This Row],[Kvcache]]/$T$4</f>
        <v>#DIV/0!</v>
      </c>
      <c r="GJ37"/>
    </row>
    <row r="38" spans="1:192" hidden="1" x14ac:dyDescent="0.25">
      <c r="A38" s="3">
        <v>5000</v>
      </c>
      <c r="B38" s="3">
        <v>300</v>
      </c>
      <c r="C38">
        <v>2</v>
      </c>
      <c r="D38" s="199">
        <f>Table1[[#This Row],[Kvcache]]</f>
        <v>9.50714187924976E-2</v>
      </c>
      <c r="E38" s="203" t="s">
        <v>138</v>
      </c>
      <c r="F38" s="219">
        <v>46092</v>
      </c>
      <c r="G38" s="10"/>
      <c r="H38" s="10">
        <v>0.16116826119435404</v>
      </c>
      <c r="I38" s="10">
        <v>0.14455132195937925</v>
      </c>
      <c r="J38" s="10">
        <v>0.79212661878774748</v>
      </c>
      <c r="K38" s="10">
        <v>1.0923022747039794</v>
      </c>
      <c r="L38" s="10">
        <v>1.2533288701375327</v>
      </c>
      <c r="M38" s="10">
        <v>1.1342318018871873E-2</v>
      </c>
      <c r="N38" s="10">
        <v>3.533105623815942</v>
      </c>
      <c r="O38" s="47">
        <v>12742.970833333333</v>
      </c>
      <c r="P38" s="47">
        <v>714.52499999999998</v>
      </c>
      <c r="Q38" s="5">
        <v>7.1372549019607847</v>
      </c>
      <c r="R38" s="5">
        <v>16.333333333333332</v>
      </c>
      <c r="S38" s="170">
        <v>9.50714187924976E-2</v>
      </c>
      <c r="T38" s="165">
        <v>0.21825704680630986</v>
      </c>
      <c r="U38" s="26">
        <f>(Table1[[#This Row],[In-Tok]]+Table1[[#This Row],[Out-Tok]])*Table1[[#This Row],[RPS]]</f>
        <v>10600</v>
      </c>
      <c r="V38" s="54">
        <f>Table1[[#This Row],[In-Tok]]+AvgOutLoad*Table1[[#This Row],[Out-Tok]]</f>
        <v>5150</v>
      </c>
      <c r="W38" s="20">
        <f>Table1[[#This Row],[In-Tok]]*Table1[[#This Row],[RPS]]</f>
        <v>10000</v>
      </c>
      <c r="X38" s="35">
        <f>Table1[[#This Row],[Out-Tok]]*Table1[[#This Row],[RPS]]</f>
        <v>600</v>
      </c>
      <c r="Y38" s="75">
        <f>Table1[[#This Row],[In-Tok]]/Table1[[#This Row],[Out-Tok]]</f>
        <v>16.666666666666668</v>
      </c>
      <c r="Z38" s="26">
        <f>Table1[[#This Row],[In-Tok]]*Table1[[#This Row],[N]]+AvgOutLoad*Table1[[#This Row],[Out-Tok]]*Table1[[#This Row],[Ndecode]]</f>
        <v>43579.517659185432</v>
      </c>
      <c r="AA38" s="20">
        <f>Table1[[#This Row],[tok(N)]]/Table1[[#This Row],[Kvcache]]</f>
        <v>458387.16001811088</v>
      </c>
      <c r="AB38" s="20">
        <f>Table1[[#This Row],[tok/req]]*Table1[[#This Row],[Run]]</f>
        <v>36756.862745098042</v>
      </c>
      <c r="AC38" s="20">
        <f>Table1[[#This Row],[tok(Run)]]/Table1[[#This Row],[Kvcache]]</f>
        <v>386623.68997903971</v>
      </c>
      <c r="AD38" s="20">
        <f>Table1[[#This Row],[tok/req]]*Table1[[#This Row],[MaxRun]]</f>
        <v>84116.666666666657</v>
      </c>
      <c r="AE38" s="20">
        <f>Table1[[#This Row],[tok(MaxRun)]]/Table1[[#This Row],[MaxKvcache]]</f>
        <v>385401.83649289084</v>
      </c>
      <c r="AF38" s="75">
        <f>Table1[[#This Row],[PPS]]*Table1[[#This Row],[Prefill]]/Table1[[#This Row],[In-Tok]]</f>
        <v>0.36840265592962917</v>
      </c>
      <c r="AG38" s="22">
        <f>Table1[[#This Row],[GPS]]*Table1[[#This Row],[ITL]]</f>
        <v>8.104369782434425</v>
      </c>
      <c r="AH38" s="22">
        <f>Table1[[#This Row],[Nprefill]]+Table1[[#This Row],[Ndecode]]</f>
        <v>8.4727724383640535</v>
      </c>
      <c r="AI38" s="34">
        <f>Table1[[#This Row],[Run]]/Table1[[#This Row],[ITL]]/Table1[[#This Row],[GPS]]</f>
        <v>0.88066747860274286</v>
      </c>
      <c r="AJ38" s="64">
        <f>Table1[[#This Row],[Prefill]]+Table1[[#This Row],[ITL]]</f>
        <v>0.15589363997825112</v>
      </c>
      <c r="AK38" s="34">
        <f>Table1[[#This Row],[TTFT]]/Table1[[#This Row],[estTTFT]]</f>
        <v>1.0338347428210592</v>
      </c>
      <c r="AL38" s="22">
        <f>Table1[[#This Row],[In-Tok]]*Table1[[#This Row],[RPS]]/Table1[[#This Row],[PPS]]</f>
        <v>0.78474636180142454</v>
      </c>
      <c r="AM38" s="34">
        <f>Table1[[#This Row],[Prefill]]/Table1[[#This Row],[estPrefill]]</f>
        <v>0.18420132796481459</v>
      </c>
      <c r="AN38" s="34">
        <f>Table1[[#This Row],[Prefill]]/Table1[[#This Row],[TTFT]]</f>
        <v>0.89689695035589978</v>
      </c>
      <c r="AO38" s="64">
        <f>Table1[[#This Row],[Run]]/(Table1[[#This Row],[Out-Tok]]*Table1[[#This Row],[RPS]])</f>
        <v>1.1895424836601307E-2</v>
      </c>
      <c r="AP38" s="34">
        <f>Table1[[#This Row],[ITL]]/Table1[[#This Row],[estITL]]</f>
        <v>0.95350255872933876</v>
      </c>
      <c r="AQ38" s="69">
        <f>Table1[[#This Row],[E2E]]-Table1[[#This Row],[TTFT]]+Table1[[#This Row],[ITL]]</f>
        <v>3.3832796806404599</v>
      </c>
      <c r="AR38" s="34">
        <f>Table1[[#This Row],[estDecode]]/Table1[[#This Row],[Run]]</f>
        <v>0.47403094426555892</v>
      </c>
      <c r="AS38" s="69">
        <f>Table1[[#This Row],[Prefill]]+Table1[[#This Row],[Out-Tok]]*Table1[[#This Row],[ITL]]</f>
        <v>3.5472467276209416</v>
      </c>
      <c r="AT38" s="22">
        <f>Table1[[#This Row],[estPrefill]]+Table1[[#This Row],[Out-Tok]]*Table1[[#This Row],[ITL]]</f>
        <v>4.1874417674629871</v>
      </c>
      <c r="AU38" s="34">
        <f>Table1[[#This Row],[E2E]]/Table1[[#This Row],[estE2E]]</f>
        <v>0.84373844939616138</v>
      </c>
      <c r="AV38" s="22">
        <f>Table1[[#This Row],[N]]/Table1[[#This Row],[estE2E]]</f>
        <v>2.0233767796363615</v>
      </c>
      <c r="AW38" s="22">
        <f>Table1[[#This Row],[PPS]]/Table1[[#This Row],[In-Tok]]</f>
        <v>2.5485941666666667</v>
      </c>
      <c r="AX38" s="34">
        <f>Table1[[#This Row],[RPS]]/Table1[[#This Row],[RPS(IL)]]</f>
        <v>0.78474636180142454</v>
      </c>
      <c r="AY38" s="22">
        <f>Table1[[#This Row],[GPS]]/Table1[[#This Row],[Out-Tok]]</f>
        <v>2.3817499999999998</v>
      </c>
      <c r="AZ38" s="89">
        <f>Table1[[#This Row],[RPS]]/Table1[[#This Row],[RPS(OL)]]</f>
        <v>0.83971869423743051</v>
      </c>
      <c r="BA38" s="131">
        <f>MaxTok/Table1[[#This Row],[tok/req]]</f>
        <v>75.322769318942775</v>
      </c>
      <c r="BB38" s="34">
        <f>Table1[[#This Row],[N]]/Table1[[#This Row],[N-max]]</f>
        <v>0.11248620456966195</v>
      </c>
      <c r="BC38" s="69">
        <f>Table1[[#This Row],[RPS]]</f>
        <v>2</v>
      </c>
      <c r="BD38" s="48">
        <f>Table1[[#This Row],[PPS]]/Table1[[#This Row],[RPS success]]</f>
        <v>6371.4854166666664</v>
      </c>
      <c r="BE38" s="34">
        <f>ABS(Table1[[#This Row],[est-In-Tok3]]-Table1[[#This Row],[In-Tok]])/Table1[[#This Row],[In-Tok]]</f>
        <v>0.2742970833333333</v>
      </c>
      <c r="BF38" s="48">
        <f>Table1[[#This Row],[GPS]]/Table1[[#This Row],[RPS success]]</f>
        <v>357.26249999999999</v>
      </c>
      <c r="BG38" s="34">
        <f>ABS(Table1[[#This Row],[est-Out-Tok3]]-Table1[[#This Row],[Out-Tok]])/Table1[[#This Row],[Out-Tok]]</f>
        <v>0.19087499999999996</v>
      </c>
      <c r="BH38" s="157">
        <f>Table1[[#This Row],[est-In-Tok3]]+AvgOutLoad*Table1[[#This Row],[est-Out-Tok3]]</f>
        <v>6550.1166666666668</v>
      </c>
      <c r="BI38" s="34">
        <f>ABS(Table1[[#This Row],[est-Tok/Req3]]-Table1[[#This Row],[tok/req]])/Table1[[#This Row],[tok/req]]</f>
        <v>0.27186731391585761</v>
      </c>
      <c r="BJ38" s="157">
        <f>MaxTok/Table1[[#This Row],[est-Tok/Req3]]</f>
        <v>59.222191257543294</v>
      </c>
      <c r="BK38" s="34">
        <f>ABS(Table1[[#This Row],[est-N-max3]]-Table1[[#This Row],[N-max]])/Table1[[#This Row],[N-max]]</f>
        <v>0.21375446238871065</v>
      </c>
      <c r="BL38" s="69">
        <f>MaxTok*Table1[[#This Row],[Kvcache]]/Table1[[#This Row],[Run]]</f>
        <v>5167.1643539741835</v>
      </c>
      <c r="BM38" s="165">
        <f>ABS(Table1[[#This Row],[est-Tok/Req]]-Table1[[#This Row],[tok/req]])/Table1[[#This Row],[tok/req]]</f>
        <v>3.3328842668317554E-3</v>
      </c>
      <c r="BN38" s="69">
        <f>MaxTok/Table1[[#This Row],[est-Tok/Req]]</f>
        <v>75.07256116097858</v>
      </c>
      <c r="BO38" s="175">
        <f>Table1[[#This Row],[Run]]/Table1[[#This Row],[Kvcache]]</f>
        <v>75.07256116097858</v>
      </c>
      <c r="BP38" s="131" cm="1">
        <f t="array" aca="1" ref="BP38" ca="1">_xlfn.CEILING.MATH(INDIRECT("Table1"&amp;BP$3)/BP$2)*BP$2</f>
        <v>6000</v>
      </c>
      <c r="BQ38" s="182" cm="1">
        <f t="array" aca="1" ref="BQ38" ca="1">_xlfn.CEILING.MATH(INDIRECT("Table1"&amp;BQ$3)/BQ$2)*BQ$2</f>
        <v>1.4999999999999999E-2</v>
      </c>
      <c r="BR38" s="34" cm="1">
        <f t="array" aca="1" ref="BR38" ca="1">_xlfn.CEILING.MATH(INDIRECT("Table1"&amp;BR$3)/BR$2)*BR$2</f>
        <v>0.1</v>
      </c>
      <c r="BS38" s="34" cm="1">
        <f t="array" aca="1" ref="BS38" ca="1">_xlfn.CEILING.MATH(INDIRECT("Table1"&amp;BS$3)/BS$2)*BS$2</f>
        <v>0.1</v>
      </c>
      <c r="BT38" s="20" cm="1">
        <f t="array" aca="1" ref="BT38" ca="1">_xlfn.CEILING.MATH(INDIRECT("Table1"&amp;BT$3)/BT$2)*BT$2</f>
        <v>8</v>
      </c>
      <c r="BU38" s="131" cm="1">
        <f t="array" aca="1" ref="BU38" ca="1">_xlfn.CEILING.MATH(INDIRECT("Table1"&amp;BU$3)/BU$2)*BU$2</f>
        <v>20</v>
      </c>
      <c r="BV38" s="131" cm="1">
        <f t="array" aca="1" ref="BV38" ca="1">_xlfn.CEILING.MATH(INDIRECT("Table1"&amp;BV$3)/BV$2)*BV$2</f>
        <v>5000</v>
      </c>
      <c r="BW38" s="34"/>
      <c r="BX38" s="34"/>
      <c r="BY38" s="190">
        <v>0.21825704680630986</v>
      </c>
      <c r="BZ38" s="34"/>
      <c r="CA38" s="24">
        <f>(Table1[[#This Row],[In-Tok]]+Table1[[#This Row],[Out-Tok]])*Table1[[#This Row],[RPS]]</f>
        <v>10600</v>
      </c>
      <c r="CB38" s="20">
        <f t="shared" ref="CB38:CB69" si="17">R38*(A38+B38/2)/T38</f>
        <v>385401.83649289084</v>
      </c>
      <c r="CC38" s="20">
        <f>Table1[[#This Row],[Supply]]/(Table1[[#This Row],[Prefill]]+Table1[[#This Row],[Out-Tok]]*Table1[[#This Row],[ITL]])</f>
        <v>108648.16182419067</v>
      </c>
      <c r="CD38" s="20">
        <f>Table1[[#This Row],[MaxRun]]/Table1[[#This Row],[ITL]]</f>
        <v>1440.0348593785834</v>
      </c>
      <c r="CE38" s="20">
        <f>Table1[[#This Row],[Out-Tok]]*Table1[[#This Row],[RPS]]</f>
        <v>600</v>
      </c>
      <c r="CF38" s="22">
        <f>Table1[[#This Row],[Supply]]/Table1[[#This Row],[Demand-T]]</f>
        <v>36.35866382008404</v>
      </c>
      <c r="CG38" s="22"/>
      <c r="CH38" s="71">
        <f>Table1[[#This Row],[Prefill]]+Table1[[#This Row],[Out-Tok]]*Table1[[#This Row],[ITL]]</f>
        <v>3.5472467276209416</v>
      </c>
      <c r="CI38" s="71">
        <f>Table1[[#This Row],[GPS]]*Table1[[#This Row],[ITL]]</f>
        <v>8.104369782434425</v>
      </c>
      <c r="CJ38" s="72">
        <f>Table1[[#This Row],[PPS]]*Table1[[#This Row],[Prefill]]/Table1[[#This Row],[In-Tok]]</f>
        <v>0.36840265592962917</v>
      </c>
      <c r="CK38" s="71">
        <f t="shared" si="12"/>
        <v>8.4727724383640535</v>
      </c>
      <c r="CL38" s="71">
        <f>Table1[[#This Row],[PPS]]/Table1[[#This Row],[In-Tok]]</f>
        <v>2.5485941666666667</v>
      </c>
      <c r="CM38" s="71">
        <f>Table1[[#This Row],[GPS]]/Table1[[#This Row],[Out-Tok]]</f>
        <v>2.3817499999999998</v>
      </c>
      <c r="CN38" s="71">
        <f>Table1[[#This Row],[Run]]/Table1[[#This Row],[E2E]]</f>
        <v>2.020107990502749</v>
      </c>
      <c r="CO38" s="71">
        <f>Table1[[#This Row],[N2]]/Table1[[#This Row],[E2E]]</f>
        <v>2.3981090124367719</v>
      </c>
      <c r="CP38" s="71"/>
      <c r="CQ38" s="71">
        <f>Table1[[#This Row],[In-Tok]]+AvgOutLoad*Table1[[#This Row],[Out-Tok]]</f>
        <v>5150</v>
      </c>
      <c r="CR38" s="71">
        <f t="shared" si="13"/>
        <v>203972.82921335261</v>
      </c>
      <c r="CS38" s="71" t="e">
        <f t="shared" si="14"/>
        <v>#DIV/0!</v>
      </c>
      <c r="CT38" s="71" t="e">
        <f t="shared" ref="CT38:CT69" si="18">(CJ38*M38+CI38*CQ38)/CG38</f>
        <v>#DIV/0!</v>
      </c>
      <c r="CU38" s="71">
        <f t="shared" si="15"/>
        <v>0</v>
      </c>
      <c r="CV38" s="71" t="e">
        <f t="shared" si="16"/>
        <v>#DIV/0!</v>
      </c>
      <c r="CW38" s="71">
        <f>Table1[[#This Row],[N(maxT)]]/Table1[[#This Row],[e2e sat]]</f>
        <v>0</v>
      </c>
      <c r="CX38" s="71" t="e">
        <f>Table1[[#This Row],[RPS]]/CW38</f>
        <v>#DIV/0!</v>
      </c>
      <c r="CY38" s="110" t="e">
        <f>Table1[[#This Row],[Kvcache]]/$T$4</f>
        <v>#DIV/0!</v>
      </c>
      <c r="GJ38"/>
    </row>
    <row r="39" spans="1:192" hidden="1" x14ac:dyDescent="0.25">
      <c r="A39" s="3">
        <v>5000</v>
      </c>
      <c r="B39" s="3">
        <v>400</v>
      </c>
      <c r="C39">
        <v>2</v>
      </c>
      <c r="D39" s="199">
        <f>Table1[[#This Row],[Kvcache]]</f>
        <v>0.10698367787766773</v>
      </c>
      <c r="E39" s="203" t="s">
        <v>138</v>
      </c>
      <c r="F39" s="219">
        <v>46092</v>
      </c>
      <c r="G39" s="10"/>
      <c r="H39" s="10">
        <v>0.15893258931756402</v>
      </c>
      <c r="I39" s="10">
        <v>0.14438882254426644</v>
      </c>
      <c r="J39" s="10">
        <v>0.86264109190174754</v>
      </c>
      <c r="K39" s="10">
        <v>1.3129658778508508</v>
      </c>
      <c r="L39" s="10">
        <v>1.5561990388234443</v>
      </c>
      <c r="M39" s="10">
        <v>1.1075833659466924E-2</v>
      </c>
      <c r="N39" s="10">
        <v>4.5276417927164161</v>
      </c>
      <c r="O39" s="47">
        <v>11301.037499999999</v>
      </c>
      <c r="P39" s="47">
        <v>830.43333333333339</v>
      </c>
      <c r="Q39" s="5">
        <v>7.9607843137254903</v>
      </c>
      <c r="R39" s="5">
        <v>17</v>
      </c>
      <c r="S39" s="170">
        <v>0.10698367787766773</v>
      </c>
      <c r="T39" s="165">
        <v>0.22865270235324539</v>
      </c>
      <c r="U39" s="26">
        <f>(Table1[[#This Row],[In-Tok]]+Table1[[#This Row],[Out-Tok]])*Table1[[#This Row],[RPS]]</f>
        <v>10800</v>
      </c>
      <c r="V39" s="54">
        <f>Table1[[#This Row],[In-Tok]]+AvgOutLoad*Table1[[#This Row],[Out-Tok]]</f>
        <v>5200</v>
      </c>
      <c r="W39" s="20">
        <f>Table1[[#This Row],[In-Tok]]*Table1[[#This Row],[RPS]]</f>
        <v>10000</v>
      </c>
      <c r="X39" s="35">
        <f>Table1[[#This Row],[Out-Tok]]*Table1[[#This Row],[RPS]]</f>
        <v>800</v>
      </c>
      <c r="Y39" s="75">
        <f>Table1[[#This Row],[In-Tok]]/Table1[[#This Row],[Out-Tok]]</f>
        <v>12.5</v>
      </c>
      <c r="Z39" s="26">
        <f>Table1[[#This Row],[In-Tok]]*Table1[[#This Row],[N]]+AvgOutLoad*Table1[[#This Row],[Out-Tok]]*Table1[[#This Row],[Ndecode]]</f>
        <v>49459.99911759219</v>
      </c>
      <c r="AA39" s="20">
        <f>Table1[[#This Row],[tok(N)]]/Table1[[#This Row],[Kvcache]]</f>
        <v>462313.50518859568</v>
      </c>
      <c r="AB39" s="20">
        <f>Table1[[#This Row],[tok/req]]*Table1[[#This Row],[Run]]</f>
        <v>41396.078431372553</v>
      </c>
      <c r="AC39" s="20">
        <f>Table1[[#This Row],[tok(Run)]]/Table1[[#This Row],[Kvcache]]</f>
        <v>386938.26247689471</v>
      </c>
      <c r="AD39" s="20">
        <f>Table1[[#This Row],[tok/req]]*Table1[[#This Row],[MaxRun]]</f>
        <v>88400</v>
      </c>
      <c r="AE39" s="20">
        <f>Table1[[#This Row],[tok(MaxRun)]]/Table1[[#This Row],[MaxKvcache]]</f>
        <v>386612.53110156074</v>
      </c>
      <c r="AF39" s="75">
        <f>Table1[[#This Row],[PPS]]*Table1[[#This Row],[Prefill]]/Table1[[#This Row],[In-Tok]]</f>
        <v>0.32634869963072005</v>
      </c>
      <c r="AG39" s="22">
        <f>Table1[[#This Row],[GPS]]*Table1[[#This Row],[ITL]]</f>
        <v>9.1977414652766498</v>
      </c>
      <c r="AH39" s="22">
        <f>Table1[[#This Row],[Nprefill]]+Table1[[#This Row],[Ndecode]]</f>
        <v>9.5240901649073706</v>
      </c>
      <c r="AI39" s="34">
        <f>Table1[[#This Row],[Run]]/Table1[[#This Row],[ITL]]/Table1[[#This Row],[GPS]]</f>
        <v>0.86551512061728142</v>
      </c>
      <c r="AJ39" s="64">
        <f>Table1[[#This Row],[Prefill]]+Table1[[#This Row],[ITL]]</f>
        <v>0.15546465620373337</v>
      </c>
      <c r="AK39" s="34">
        <f>Table1[[#This Row],[TTFT]]/Table1[[#This Row],[estTTFT]]</f>
        <v>1.0223068908298101</v>
      </c>
      <c r="AL39" s="22">
        <f>Table1[[#This Row],[In-Tok]]*Table1[[#This Row],[RPS]]/Table1[[#This Row],[PPS]]</f>
        <v>0.8848745082033399</v>
      </c>
      <c r="AM39" s="34">
        <f>Table1[[#This Row],[Prefill]]/Table1[[#This Row],[estPrefill]]</f>
        <v>0.16317434981536</v>
      </c>
      <c r="AN39" s="34">
        <f>Table1[[#This Row],[Prefill]]/Table1[[#This Row],[TTFT]]</f>
        <v>0.90849097195391681</v>
      </c>
      <c r="AO39" s="64">
        <f>Table1[[#This Row],[Run]]/(Table1[[#This Row],[Out-Tok]]*Table1[[#This Row],[RPS]])</f>
        <v>9.9509803921568624E-3</v>
      </c>
      <c r="AP39" s="34">
        <f>Table1[[#This Row],[ITL]]/Table1[[#This Row],[estITL]]</f>
        <v>1.1130394416410112</v>
      </c>
      <c r="AQ39" s="69">
        <f>Table1[[#This Row],[E2E]]-Table1[[#This Row],[TTFT]]+Table1[[#This Row],[ITL]]</f>
        <v>4.3797850370583191</v>
      </c>
      <c r="AR39" s="34">
        <f>Table1[[#This Row],[estDecode]]/Table1[[#This Row],[Run]]</f>
        <v>0.55017004160092187</v>
      </c>
      <c r="AS39" s="69">
        <f>Table1[[#This Row],[Prefill]]+Table1[[#This Row],[Out-Tok]]*Table1[[#This Row],[ITL]]</f>
        <v>4.5747222863310366</v>
      </c>
      <c r="AT39" s="22">
        <f>Table1[[#This Row],[estPrefill]]+Table1[[#This Row],[Out-Tok]]*Table1[[#This Row],[ITL]]</f>
        <v>5.3152079719901097</v>
      </c>
      <c r="AU39" s="34">
        <f>Table1[[#This Row],[E2E]]/Table1[[#This Row],[estE2E]]</f>
        <v>0.85182777730918879</v>
      </c>
      <c r="AV39" s="22">
        <f>Table1[[#This Row],[N]]/Table1[[#This Row],[estE2E]]</f>
        <v>1.7918565397811479</v>
      </c>
      <c r="AW39" s="22">
        <f>Table1[[#This Row],[PPS]]/Table1[[#This Row],[In-Tok]]</f>
        <v>2.2602074999999999</v>
      </c>
      <c r="AX39" s="34">
        <f>Table1[[#This Row],[RPS]]/Table1[[#This Row],[RPS(IL)]]</f>
        <v>0.88487450820333979</v>
      </c>
      <c r="AY39" s="22">
        <f>Table1[[#This Row],[GPS]]/Table1[[#This Row],[Out-Tok]]</f>
        <v>2.0760833333333335</v>
      </c>
      <c r="AZ39" s="89">
        <f>Table1[[#This Row],[RPS]]/Table1[[#This Row],[RPS(OL)]]</f>
        <v>0.96335246658371121</v>
      </c>
      <c r="BA39" s="131">
        <f>MaxTok/Table1[[#This Row],[tok/req]]</f>
        <v>74.59851192164524</v>
      </c>
      <c r="BB39" s="34">
        <f>Table1[[#This Row],[N]]/Table1[[#This Row],[N-max]]</f>
        <v>0.12767131568135068</v>
      </c>
      <c r="BC39" s="69">
        <f>Table1[[#This Row],[RPS]]</f>
        <v>2</v>
      </c>
      <c r="BD39" s="48">
        <f>Table1[[#This Row],[PPS]]/Table1[[#This Row],[RPS success]]</f>
        <v>5650.5187499999993</v>
      </c>
      <c r="BE39" s="34">
        <f>ABS(Table1[[#This Row],[est-In-Tok3]]-Table1[[#This Row],[In-Tok]])/Table1[[#This Row],[In-Tok]]</f>
        <v>0.13010374999999985</v>
      </c>
      <c r="BF39" s="48">
        <f>Table1[[#This Row],[GPS]]/Table1[[#This Row],[RPS success]]</f>
        <v>415.2166666666667</v>
      </c>
      <c r="BG39" s="34">
        <f>ABS(Table1[[#This Row],[est-Out-Tok3]]-Table1[[#This Row],[Out-Tok]])/Table1[[#This Row],[Out-Tok]]</f>
        <v>3.8041666666666744E-2</v>
      </c>
      <c r="BH39" s="157">
        <f>Table1[[#This Row],[est-In-Tok3]]+AvgOutLoad*Table1[[#This Row],[est-Out-Tok3]]</f>
        <v>5858.1270833333328</v>
      </c>
      <c r="BI39" s="34">
        <f>ABS(Table1[[#This Row],[est-Tok/Req3]]-Table1[[#This Row],[tok/req]])/Table1[[#This Row],[tok/req]]</f>
        <v>0.12656290064102554</v>
      </c>
      <c r="BJ39" s="157">
        <f>MaxTok/Table1[[#This Row],[est-Tok/Req3]]</f>
        <v>66.217795632359227</v>
      </c>
      <c r="BK39" s="34">
        <f>ABS(Table1[[#This Row],[est-N-max3]]-Table1[[#This Row],[N-max]])/Table1[[#This Row],[N-max]]</f>
        <v>0.11234428239116516</v>
      </c>
      <c r="BL39" s="69">
        <f>MaxTok*Table1[[#This Row],[Kvcache]]/Table1[[#This Row],[Run]]</f>
        <v>5213.0894201287147</v>
      </c>
      <c r="BM39" s="165">
        <f>ABS(Table1[[#This Row],[est-Tok/Req]]-Table1[[#This Row],[tok/req]])/Table1[[#This Row],[tok/req]]</f>
        <v>2.5171961785989739E-3</v>
      </c>
      <c r="BN39" s="69">
        <f>MaxTok/Table1[[#This Row],[est-Tok/Req]]</f>
        <v>74.411204322479747</v>
      </c>
      <c r="BO39" s="175">
        <f>Table1[[#This Row],[Run]]/Table1[[#This Row],[Kvcache]]</f>
        <v>74.411204322479747</v>
      </c>
      <c r="BP39" s="131" cm="1">
        <f t="array" aca="1" ref="BP39" ca="1">_xlfn.CEILING.MATH(INDIRECT("Table1"&amp;BP$3)/BP$2)*BP$2</f>
        <v>6000</v>
      </c>
      <c r="BQ39" s="182" cm="1">
        <f t="array" aca="1" ref="BQ39" ca="1">_xlfn.CEILING.MATH(INDIRECT("Table1"&amp;BQ$3)/BQ$2)*BQ$2</f>
        <v>1.4999999999999999E-2</v>
      </c>
      <c r="BR39" s="34" cm="1">
        <f t="array" aca="1" ref="BR39" ca="1">_xlfn.CEILING.MATH(INDIRECT("Table1"&amp;BR$3)/BR$2)*BR$2</f>
        <v>0.2</v>
      </c>
      <c r="BS39" s="34" cm="1">
        <f t="array" aca="1" ref="BS39" ca="1">_xlfn.CEILING.MATH(INDIRECT("Table1"&amp;BS$3)/BS$2)*BS$2</f>
        <v>0.11</v>
      </c>
      <c r="BT39" s="20" cm="1">
        <f t="array" aca="1" ref="BT39" ca="1">_xlfn.CEILING.MATH(INDIRECT("Table1"&amp;BT$3)/BT$2)*BT$2</f>
        <v>8</v>
      </c>
      <c r="BU39" s="131" cm="1">
        <f t="array" aca="1" ref="BU39" ca="1">_xlfn.CEILING.MATH(INDIRECT("Table1"&amp;BU$3)/BU$2)*BU$2</f>
        <v>15</v>
      </c>
      <c r="BV39" s="131" cm="1">
        <f t="array" aca="1" ref="BV39" ca="1">_xlfn.CEILING.MATH(INDIRECT("Table1"&amp;BV$3)/BV$2)*BV$2</f>
        <v>5000</v>
      </c>
      <c r="BW39" s="34"/>
      <c r="BX39" s="34"/>
      <c r="BY39" s="190">
        <v>0.22865270235324539</v>
      </c>
      <c r="BZ39" s="34"/>
      <c r="CA39" s="24">
        <f>(Table1[[#This Row],[In-Tok]]+Table1[[#This Row],[Out-Tok]])*Table1[[#This Row],[RPS]]</f>
        <v>10800</v>
      </c>
      <c r="CB39" s="20">
        <f t="shared" si="17"/>
        <v>386612.53110156074</v>
      </c>
      <c r="CC39" s="20">
        <f>Table1[[#This Row],[Supply]]/(Table1[[#This Row],[Prefill]]+Table1[[#This Row],[Out-Tok]]*Table1[[#This Row],[ITL]])</f>
        <v>84510.601278843315</v>
      </c>
      <c r="CD39" s="20">
        <f>Table1[[#This Row],[MaxRun]]/Table1[[#This Row],[ITL]]</f>
        <v>1534.8731772862509</v>
      </c>
      <c r="CE39" s="20">
        <f>Table1[[#This Row],[Out-Tok]]*Table1[[#This Row],[RPS]]</f>
        <v>800</v>
      </c>
      <c r="CF39" s="22">
        <f>Table1[[#This Row],[Supply]]/Table1[[#This Row],[Demand-T]]</f>
        <v>35.797456583477846</v>
      </c>
      <c r="CG39" s="22"/>
      <c r="CH39" s="71">
        <f>Table1[[#This Row],[Prefill]]+Table1[[#This Row],[Out-Tok]]*Table1[[#This Row],[ITL]]</f>
        <v>4.5747222863310366</v>
      </c>
      <c r="CI39" s="71">
        <f>Table1[[#This Row],[GPS]]*Table1[[#This Row],[ITL]]</f>
        <v>9.1977414652766498</v>
      </c>
      <c r="CJ39" s="72">
        <f>Table1[[#This Row],[PPS]]*Table1[[#This Row],[Prefill]]/Table1[[#This Row],[In-Tok]]</f>
        <v>0.32634869963072005</v>
      </c>
      <c r="CK39" s="71">
        <f t="shared" si="12"/>
        <v>9.5240901649073706</v>
      </c>
      <c r="CL39" s="71">
        <f>Table1[[#This Row],[PPS]]/Table1[[#This Row],[In-Tok]]</f>
        <v>2.2602074999999999</v>
      </c>
      <c r="CM39" s="71">
        <f>Table1[[#This Row],[GPS]]/Table1[[#This Row],[Out-Tok]]</f>
        <v>2.0760833333333335</v>
      </c>
      <c r="CN39" s="71">
        <f>Table1[[#This Row],[Run]]/Table1[[#This Row],[E2E]]</f>
        <v>1.758262839284668</v>
      </c>
      <c r="CO39" s="71">
        <f>Table1[[#This Row],[N2]]/Table1[[#This Row],[E2E]]</f>
        <v>2.1035432132084089</v>
      </c>
      <c r="CP39" s="71"/>
      <c r="CQ39" s="71">
        <f>Table1[[#This Row],[In-Tok]]+AvgOutLoad*Table1[[#This Row],[Out-Tok]]</f>
        <v>5200</v>
      </c>
      <c r="CR39" s="71">
        <f t="shared" si="13"/>
        <v>222958.3127861731</v>
      </c>
      <c r="CS39" s="71" t="e">
        <f t="shared" si="14"/>
        <v>#DIV/0!</v>
      </c>
      <c r="CT39" s="71" t="e">
        <f t="shared" si="18"/>
        <v>#DIV/0!</v>
      </c>
      <c r="CU39" s="71">
        <f t="shared" si="15"/>
        <v>0</v>
      </c>
      <c r="CV39" s="71" t="e">
        <f t="shared" si="16"/>
        <v>#DIV/0!</v>
      </c>
      <c r="CW39" s="71">
        <f>Table1[[#This Row],[N(maxT)]]/Table1[[#This Row],[e2e sat]]</f>
        <v>0</v>
      </c>
      <c r="CX39" s="71" t="e">
        <f>Table1[[#This Row],[RPS]]/CW39</f>
        <v>#DIV/0!</v>
      </c>
      <c r="CY39" s="110" t="e">
        <f>Table1[[#This Row],[Kvcache]]/$T$4</f>
        <v>#DIV/0!</v>
      </c>
      <c r="GJ39"/>
    </row>
    <row r="40" spans="1:192" hidden="1" x14ac:dyDescent="0.25">
      <c r="A40" s="3">
        <v>5000</v>
      </c>
      <c r="B40" s="3">
        <v>500</v>
      </c>
      <c r="C40">
        <v>2</v>
      </c>
      <c r="D40" s="199">
        <f>Table1[[#This Row],[Kvcache]]</f>
        <v>0.21169130957270418</v>
      </c>
      <c r="E40" s="203" t="s">
        <v>138</v>
      </c>
      <c r="F40" s="219">
        <v>46092</v>
      </c>
      <c r="G40" s="10"/>
      <c r="H40" s="10">
        <v>0.50221464618893996</v>
      </c>
      <c r="I40" s="10">
        <v>0.34444617464136235</v>
      </c>
      <c r="J40" s="10">
        <v>3.8024452155977304</v>
      </c>
      <c r="K40" s="10">
        <v>8.4403578162193256</v>
      </c>
      <c r="L40" s="10">
        <v>9.385810093879698</v>
      </c>
      <c r="M40" s="10">
        <v>1.5406034269445123E-2</v>
      </c>
      <c r="N40" s="10">
        <v>7.4567372525505506</v>
      </c>
      <c r="O40" s="47">
        <v>16988.75</v>
      </c>
      <c r="P40" s="47">
        <v>1554.0732142857141</v>
      </c>
      <c r="Q40" s="5">
        <v>15.67892156862745</v>
      </c>
      <c r="R40" s="5">
        <v>35</v>
      </c>
      <c r="S40" s="170">
        <v>0.21169130957270418</v>
      </c>
      <c r="T40" s="165">
        <v>0.48582880786139127</v>
      </c>
      <c r="U40" s="26">
        <f>(Table1[[#This Row],[In-Tok]]+Table1[[#This Row],[Out-Tok]])*Table1[[#This Row],[RPS]]</f>
        <v>11000</v>
      </c>
      <c r="V40" s="54">
        <f>Table1[[#This Row],[In-Tok]]+AvgOutLoad*Table1[[#This Row],[Out-Tok]]</f>
        <v>5250</v>
      </c>
      <c r="W40" s="20">
        <f>Table1[[#This Row],[In-Tok]]*Table1[[#This Row],[RPS]]</f>
        <v>10000</v>
      </c>
      <c r="X40" s="35">
        <f>Table1[[#This Row],[Out-Tok]]*Table1[[#This Row],[RPS]]</f>
        <v>1000</v>
      </c>
      <c r="Y40" s="75">
        <f>Table1[[#This Row],[In-Tok]]/Table1[[#This Row],[Out-Tok]]</f>
        <v>10</v>
      </c>
      <c r="Z40" s="26">
        <f>Table1[[#This Row],[In-Tok]]*Table1[[#This Row],[N]]+AvgOutLoad*Table1[[#This Row],[Out-Tok]]*Table1[[#This Row],[Ndecode]]</f>
        <v>131547.76223112879</v>
      </c>
      <c r="AA40" s="20">
        <f>Table1[[#This Row],[tok(N)]]/Table1[[#This Row],[Kvcache]]</f>
        <v>621413.14396257466</v>
      </c>
      <c r="AB40" s="20">
        <f>Table1[[#This Row],[tok/req]]*Table1[[#This Row],[Run]]</f>
        <v>82314.338235294112</v>
      </c>
      <c r="AC40" s="20">
        <f>Table1[[#This Row],[tok(Run)]]/Table1[[#This Row],[Kvcache]]</f>
        <v>388841.36718434218</v>
      </c>
      <c r="AD40" s="20">
        <f>Table1[[#This Row],[tok/req]]*Table1[[#This Row],[MaxRun]]</f>
        <v>183750</v>
      </c>
      <c r="AE40" s="20">
        <f>Table1[[#This Row],[tok(MaxRun)]]/Table1[[#This Row],[MaxKvcache]]</f>
        <v>378219.6465641135</v>
      </c>
      <c r="AF40" s="75">
        <f>Table1[[#This Row],[PPS]]*Table1[[#This Row],[Prefill]]/Table1[[#This Row],[In-Tok]]</f>
        <v>1.170341989887689</v>
      </c>
      <c r="AG40" s="22">
        <f>Table1[[#This Row],[GPS]]*Table1[[#This Row],[ITL]]</f>
        <v>23.942105196512447</v>
      </c>
      <c r="AH40" s="22">
        <f>Table1[[#This Row],[Nprefill]]+Table1[[#This Row],[Ndecode]]</f>
        <v>25.112447186400136</v>
      </c>
      <c r="AI40" s="34">
        <f>Table1[[#This Row],[Run]]/Table1[[#This Row],[ITL]]/Table1[[#This Row],[GPS]]</f>
        <v>0.65486812625446722</v>
      </c>
      <c r="AJ40" s="64">
        <f>Table1[[#This Row],[Prefill]]+Table1[[#This Row],[ITL]]</f>
        <v>0.35985220891080749</v>
      </c>
      <c r="AK40" s="34">
        <f>Table1[[#This Row],[TTFT]]/Table1[[#This Row],[estTTFT]]</f>
        <v>1.3956136262412613</v>
      </c>
      <c r="AL40" s="22">
        <f>Table1[[#This Row],[In-Tok]]*Table1[[#This Row],[RPS]]/Table1[[#This Row],[PPS]]</f>
        <v>0.58862482525200499</v>
      </c>
      <c r="AM40" s="34">
        <f>Table1[[#This Row],[Prefill]]/Table1[[#This Row],[estPrefill]]</f>
        <v>0.5851709949438445</v>
      </c>
      <c r="AN40" s="34">
        <f>Table1[[#This Row],[Prefill]]/Table1[[#This Row],[TTFT]]</f>
        <v>0.68585449917718455</v>
      </c>
      <c r="AO40" s="64">
        <f>Table1[[#This Row],[Run]]/(Table1[[#This Row],[Out-Tok]]*Table1[[#This Row],[RPS]])</f>
        <v>1.5678921568627449E-2</v>
      </c>
      <c r="AP40" s="34">
        <f>Table1[[#This Row],[ITL]]/Table1[[#This Row],[estITL]]</f>
        <v>0.98259527621285148</v>
      </c>
      <c r="AQ40" s="69">
        <f>Table1[[#This Row],[E2E]]-Table1[[#This Row],[TTFT]]+Table1[[#This Row],[ITL]]</f>
        <v>6.9699286406310561</v>
      </c>
      <c r="AR40" s="34">
        <f>Table1[[#This Row],[estDecode]]/Table1[[#This Row],[Run]]</f>
        <v>0.44454132958847448</v>
      </c>
      <c r="AS40" s="69">
        <f>Table1[[#This Row],[Prefill]]+Table1[[#This Row],[Out-Tok]]*Table1[[#This Row],[ITL]]</f>
        <v>8.0474633093639252</v>
      </c>
      <c r="AT40" s="22">
        <f>Table1[[#This Row],[estPrefill]]+Table1[[#This Row],[Out-Tok]]*Table1[[#This Row],[ITL]]</f>
        <v>8.2916419599745677</v>
      </c>
      <c r="AU40" s="34">
        <f>Table1[[#This Row],[E2E]]/Table1[[#This Row],[estE2E]]</f>
        <v>0.8993076749509602</v>
      </c>
      <c r="AV40" s="22">
        <f>Table1[[#This Row],[N]]/Table1[[#This Row],[estE2E]]</f>
        <v>3.0286458710618471</v>
      </c>
      <c r="AW40" s="22">
        <f>Table1[[#This Row],[PPS]]/Table1[[#This Row],[In-Tok]]</f>
        <v>3.3977499999999998</v>
      </c>
      <c r="AX40" s="34">
        <f>Table1[[#This Row],[RPS]]/Table1[[#This Row],[RPS(IL)]]</f>
        <v>0.58862482525200499</v>
      </c>
      <c r="AY40" s="22">
        <f>Table1[[#This Row],[GPS]]/Table1[[#This Row],[Out-Tok]]</f>
        <v>3.1081464285714282</v>
      </c>
      <c r="AZ40" s="89">
        <f>Table1[[#This Row],[RPS]]/Table1[[#This Row],[RPS(OL)]]</f>
        <v>0.64347032740000076</v>
      </c>
      <c r="BA40" s="131">
        <f>MaxTok/Table1[[#This Row],[tok/req]]</f>
        <v>73.88804990334387</v>
      </c>
      <c r="BB40" s="34">
        <f>Table1[[#This Row],[N]]/Table1[[#This Row],[N-max]]</f>
        <v>0.3398715654189115</v>
      </c>
      <c r="BC40" s="69">
        <f>Table1[[#This Row],[RPS]]</f>
        <v>2</v>
      </c>
      <c r="BD40" s="48">
        <f>Table1[[#This Row],[PPS]]/Table1[[#This Row],[RPS success]]</f>
        <v>8494.375</v>
      </c>
      <c r="BE40" s="34">
        <f>ABS(Table1[[#This Row],[est-In-Tok3]]-Table1[[#This Row],[In-Tok]])/Table1[[#This Row],[In-Tok]]</f>
        <v>0.69887500000000002</v>
      </c>
      <c r="BF40" s="48">
        <f>Table1[[#This Row],[GPS]]/Table1[[#This Row],[RPS success]]</f>
        <v>777.03660714285706</v>
      </c>
      <c r="BG40" s="34">
        <f>ABS(Table1[[#This Row],[est-Out-Tok3]]-Table1[[#This Row],[Out-Tok]])/Table1[[#This Row],[Out-Tok]]</f>
        <v>0.5540732142857141</v>
      </c>
      <c r="BH40" s="157">
        <f>Table1[[#This Row],[est-In-Tok3]]+AvgOutLoad*Table1[[#This Row],[est-Out-Tok3]]</f>
        <v>8882.893303571429</v>
      </c>
      <c r="BI40" s="34">
        <f>ABS(Table1[[#This Row],[est-Tok/Req3]]-Table1[[#This Row],[tok/req]])/Table1[[#This Row],[tok/req]]</f>
        <v>0.69197967687074835</v>
      </c>
      <c r="BJ40" s="157">
        <f>MaxTok/Table1[[#This Row],[est-Tok/Req3]]</f>
        <v>43.669584755295041</v>
      </c>
      <c r="BK40" s="34">
        <f>ABS(Table1[[#This Row],[est-N-max3]]-Table1[[#This Row],[N-max]])/Table1[[#This Row],[N-max]]</f>
        <v>0.40897635257093534</v>
      </c>
      <c r="BL40" s="69">
        <f>MaxTok*Table1[[#This Row],[Kvcache]]/Table1[[#This Row],[Run]]</f>
        <v>5237.4555469954194</v>
      </c>
      <c r="BM40" s="165">
        <f>ABS(Table1[[#This Row],[est-Tok/Req]]-Table1[[#This Row],[tok/req]])/Table1[[#This Row],[tok/req]]</f>
        <v>2.3894196199201229E-3</v>
      </c>
      <c r="BN40" s="69">
        <f>MaxTok/Table1[[#This Row],[est-Tok/Req]]</f>
        <v>74.065022320827069</v>
      </c>
      <c r="BO40" s="175">
        <f>Table1[[#This Row],[Run]]/Table1[[#This Row],[Kvcache]]</f>
        <v>74.065022320827083</v>
      </c>
      <c r="BP40" s="131" cm="1">
        <f t="array" aca="1" ref="BP40" ca="1">_xlfn.CEILING.MATH(INDIRECT("Table1"&amp;BP$3)/BP$2)*BP$2</f>
        <v>6000</v>
      </c>
      <c r="BQ40" s="182" cm="1">
        <f t="array" aca="1" ref="BQ40" ca="1">_xlfn.CEILING.MATH(INDIRECT("Table1"&amp;BQ$3)/BQ$2)*BQ$2</f>
        <v>0.02</v>
      </c>
      <c r="BR40" s="34" cm="1">
        <f t="array" aca="1" ref="BR40" ca="1">_xlfn.CEILING.MATH(INDIRECT("Table1"&amp;BR$3)/BR$2)*BR$2</f>
        <v>0.30000000000000004</v>
      </c>
      <c r="BS40" s="34" cm="1">
        <f t="array" aca="1" ref="BS40" ca="1">_xlfn.CEILING.MATH(INDIRECT("Table1"&amp;BS$3)/BS$2)*BS$2</f>
        <v>0.22</v>
      </c>
      <c r="BT40" s="20" cm="1">
        <f t="array" aca="1" ref="BT40" ca="1">_xlfn.CEILING.MATH(INDIRECT("Table1"&amp;BT$3)/BT$2)*BT$2</f>
        <v>16</v>
      </c>
      <c r="BU40" s="131" cm="1">
        <f t="array" aca="1" ref="BU40" ca="1">_xlfn.CEILING.MATH(INDIRECT("Table1"&amp;BU$3)/BU$2)*BU$2</f>
        <v>10</v>
      </c>
      <c r="BV40" s="131" cm="1">
        <f t="array" aca="1" ref="BV40" ca="1">_xlfn.CEILING.MATH(INDIRECT("Table1"&amp;BV$3)/BV$2)*BV$2</f>
        <v>5000</v>
      </c>
      <c r="BW40" s="34"/>
      <c r="BX40" s="34"/>
      <c r="BY40" s="190">
        <v>0.48582880786139127</v>
      </c>
      <c r="BZ40" s="34"/>
      <c r="CA40" s="24">
        <f>(Table1[[#This Row],[In-Tok]]+Table1[[#This Row],[Out-Tok]])*Table1[[#This Row],[RPS]]</f>
        <v>11000</v>
      </c>
      <c r="CB40" s="20">
        <f t="shared" si="17"/>
        <v>378219.6465641135</v>
      </c>
      <c r="CC40" s="20">
        <f>Table1[[#This Row],[Supply]]/(Table1[[#This Row],[Prefill]]+Table1[[#This Row],[Out-Tok]]*Table1[[#This Row],[ITL]])</f>
        <v>46998.617082729907</v>
      </c>
      <c r="CD40" s="20">
        <f>Table1[[#This Row],[MaxRun]]/Table1[[#This Row],[ITL]]</f>
        <v>2271.8370859018341</v>
      </c>
      <c r="CE40" s="20">
        <f>Table1[[#This Row],[Out-Tok]]*Table1[[#This Row],[RPS]]</f>
        <v>1000</v>
      </c>
      <c r="CF40" s="22">
        <f>Table1[[#This Row],[Supply]]/Table1[[#This Row],[Demand-T]]</f>
        <v>34.383604233101231</v>
      </c>
      <c r="CG40" s="22"/>
      <c r="CH40" s="71">
        <f>Table1[[#This Row],[Prefill]]+Table1[[#This Row],[Out-Tok]]*Table1[[#This Row],[ITL]]</f>
        <v>8.0474633093639252</v>
      </c>
      <c r="CI40" s="71">
        <f>Table1[[#This Row],[GPS]]*Table1[[#This Row],[ITL]]</f>
        <v>23.942105196512447</v>
      </c>
      <c r="CJ40" s="72">
        <f>Table1[[#This Row],[PPS]]*Table1[[#This Row],[Prefill]]/Table1[[#This Row],[In-Tok]]</f>
        <v>1.170341989887689</v>
      </c>
      <c r="CK40" s="71">
        <f t="shared" si="12"/>
        <v>25.112447186400136</v>
      </c>
      <c r="CL40" s="71">
        <f>Table1[[#This Row],[PPS]]/Table1[[#This Row],[In-Tok]]</f>
        <v>3.3977499999999998</v>
      </c>
      <c r="CM40" s="71">
        <f>Table1[[#This Row],[GPS]]/Table1[[#This Row],[Out-Tok]]</f>
        <v>3.1081464285714282</v>
      </c>
      <c r="CN40" s="71">
        <f>Table1[[#This Row],[Run]]/Table1[[#This Row],[E2E]]</f>
        <v>2.1026517413181658</v>
      </c>
      <c r="CO40" s="71">
        <f>Table1[[#This Row],[N2]]/Table1[[#This Row],[E2E]]</f>
        <v>3.3677527229232211</v>
      </c>
      <c r="CP40" s="71"/>
      <c r="CQ40" s="71">
        <f>Table1[[#This Row],[In-Tok]]+AvgOutLoad*Table1[[#This Row],[Out-Tok]]</f>
        <v>5250</v>
      </c>
      <c r="CR40" s="71">
        <f t="shared" si="13"/>
        <v>346884.65525968099</v>
      </c>
      <c r="CS40" s="71" t="e">
        <f t="shared" si="14"/>
        <v>#DIV/0!</v>
      </c>
      <c r="CT40" s="71" t="e">
        <f t="shared" si="18"/>
        <v>#DIV/0!</v>
      </c>
      <c r="CU40" s="71">
        <f t="shared" si="15"/>
        <v>0</v>
      </c>
      <c r="CV40" s="71" t="e">
        <f t="shared" si="16"/>
        <v>#DIV/0!</v>
      </c>
      <c r="CW40" s="71">
        <f>Table1[[#This Row],[N(maxT)]]/Table1[[#This Row],[e2e sat]]</f>
        <v>0</v>
      </c>
      <c r="CX40" s="71" t="e">
        <f>Table1[[#This Row],[RPS]]/CW40</f>
        <v>#DIV/0!</v>
      </c>
      <c r="CY40" s="110" t="e">
        <f>Table1[[#This Row],[Kvcache]]/$T$4</f>
        <v>#DIV/0!</v>
      </c>
      <c r="GJ40"/>
    </row>
    <row r="41" spans="1:192" hidden="1" x14ac:dyDescent="0.25">
      <c r="A41" s="3">
        <v>5000</v>
      </c>
      <c r="B41" s="3">
        <v>600</v>
      </c>
      <c r="C41">
        <v>2</v>
      </c>
      <c r="D41" s="199">
        <f>Table1[[#This Row],[Kvcache]]</f>
        <v>0.24133771429440673</v>
      </c>
      <c r="E41" s="203" t="s">
        <v>138</v>
      </c>
      <c r="F41" s="219">
        <v>46092</v>
      </c>
      <c r="G41" s="10"/>
      <c r="H41" s="10">
        <v>0.17005826780993508</v>
      </c>
      <c r="I41" s="10">
        <v>0.24551542522963241</v>
      </c>
      <c r="J41" s="10">
        <v>0.85443627847475501</v>
      </c>
      <c r="K41" s="10">
        <v>1.2550119717915849</v>
      </c>
      <c r="L41" s="10">
        <v>1.4356961647669477</v>
      </c>
      <c r="M41" s="10">
        <v>1.4934354230036029E-2</v>
      </c>
      <c r="N41" s="10">
        <v>9.738733615059159</v>
      </c>
      <c r="O41" s="47">
        <v>12520.516666666668</v>
      </c>
      <c r="P41" s="47">
        <v>1383.0625</v>
      </c>
      <c r="Q41" s="5">
        <v>17.666666666666668</v>
      </c>
      <c r="R41" s="5">
        <v>32</v>
      </c>
      <c r="S41" s="170">
        <v>0.24133771429440673</v>
      </c>
      <c r="T41" s="165">
        <v>0.43791052495474525</v>
      </c>
      <c r="U41" s="26">
        <f>(Table1[[#This Row],[In-Tok]]+Table1[[#This Row],[Out-Tok]])*Table1[[#This Row],[RPS]]</f>
        <v>11200</v>
      </c>
      <c r="V41" s="54">
        <f>Table1[[#This Row],[In-Tok]]+AvgOutLoad*Table1[[#This Row],[Out-Tok]]</f>
        <v>5300</v>
      </c>
      <c r="W41" s="20">
        <f>Table1[[#This Row],[In-Tok]]*Table1[[#This Row],[RPS]]</f>
        <v>10000</v>
      </c>
      <c r="X41" s="35">
        <f>Table1[[#This Row],[Out-Tok]]*Table1[[#This Row],[RPS]]</f>
        <v>1200</v>
      </c>
      <c r="Y41" s="75">
        <f>Table1[[#This Row],[In-Tok]]/Table1[[#This Row],[Out-Tok]]</f>
        <v>8.3333333333333339</v>
      </c>
      <c r="Z41" s="26">
        <f>Table1[[#This Row],[In-Tok]]*Table1[[#This Row],[N]]+AvgOutLoad*Table1[[#This Row],[Out-Tok]]*Table1[[#This Row],[Ndecode]]</f>
        <v>112546.25004909115</v>
      </c>
      <c r="AA41" s="20">
        <f>Table1[[#This Row],[tok(N)]]/Table1[[#This Row],[Kvcache]]</f>
        <v>466343.3992409347</v>
      </c>
      <c r="AB41" s="20">
        <f>Table1[[#This Row],[tok/req]]*Table1[[#This Row],[Run]]</f>
        <v>93633.333333333343</v>
      </c>
      <c r="AC41" s="20">
        <f>Table1[[#This Row],[tok(Run)]]/Table1[[#This Row],[Kvcache]]</f>
        <v>387976.38241949404</v>
      </c>
      <c r="AD41" s="20">
        <f>Table1[[#This Row],[tok/req]]*Table1[[#This Row],[MaxRun]]</f>
        <v>169600</v>
      </c>
      <c r="AE41" s="20">
        <f>Table1[[#This Row],[tok(MaxRun)]]/Table1[[#This Row],[MaxKvcache]]</f>
        <v>387293.7285933625</v>
      </c>
      <c r="AF41" s="75">
        <f>Table1[[#This Row],[PPS]]*Table1[[#This Row],[Prefill]]/Table1[[#This Row],[In-Tok]]</f>
        <v>0.61479599470227331</v>
      </c>
      <c r="AG41" s="22">
        <f>Table1[[#This Row],[GPS]]*Table1[[#This Row],[ITL]]</f>
        <v>20.655145297279205</v>
      </c>
      <c r="AH41" s="22">
        <f>Table1[[#This Row],[Nprefill]]+Table1[[#This Row],[Ndecode]]</f>
        <v>21.269941291981478</v>
      </c>
      <c r="AI41" s="34">
        <f>Table1[[#This Row],[Run]]/Table1[[#This Row],[ITL]]/Table1[[#This Row],[GPS]]</f>
        <v>0.85531553578535258</v>
      </c>
      <c r="AJ41" s="64">
        <f>Table1[[#This Row],[Prefill]]+Table1[[#This Row],[ITL]]</f>
        <v>0.26044977945966841</v>
      </c>
      <c r="AK41" s="34">
        <f>Table1[[#This Row],[TTFT]]/Table1[[#This Row],[estTTFT]]</f>
        <v>0.6529407249364525</v>
      </c>
      <c r="AL41" s="22">
        <f>Table1[[#This Row],[In-Tok]]*Table1[[#This Row],[RPS]]/Table1[[#This Row],[PPS]]</f>
        <v>0.79868908498184965</v>
      </c>
      <c r="AM41" s="34">
        <f>Table1[[#This Row],[Prefill]]/Table1[[#This Row],[estPrefill]]</f>
        <v>0.30739799735113671</v>
      </c>
      <c r="AN41" s="34">
        <f>Table1[[#This Row],[Prefill]]/Table1[[#This Row],[TTFT]]</f>
        <v>1.4437135482529535</v>
      </c>
      <c r="AO41" s="64">
        <f>Table1[[#This Row],[Run]]/(Table1[[#This Row],[Out-Tok]]*Table1[[#This Row],[RPS]])</f>
        <v>1.4722222222222223E-2</v>
      </c>
      <c r="AP41" s="34">
        <f>Table1[[#This Row],[ITL]]/Table1[[#This Row],[estITL]]</f>
        <v>1.014408966568485</v>
      </c>
      <c r="AQ41" s="69">
        <f>Table1[[#This Row],[E2E]]-Table1[[#This Row],[TTFT]]+Table1[[#This Row],[ITL]]</f>
        <v>9.5836097014792596</v>
      </c>
      <c r="AR41" s="34">
        <f>Table1[[#This Row],[estDecode]]/Table1[[#This Row],[Run]]</f>
        <v>0.54246847366863726</v>
      </c>
      <c r="AS41" s="69">
        <f>Table1[[#This Row],[Prefill]]+Table1[[#This Row],[Out-Tok]]*Table1[[#This Row],[ITL]]</f>
        <v>9.2061279632512498</v>
      </c>
      <c r="AT41" s="22">
        <f>Table1[[#This Row],[estPrefill]]+Table1[[#This Row],[Out-Tok]]*Table1[[#This Row],[ITL]]</f>
        <v>9.7593016230034682</v>
      </c>
      <c r="AU41" s="34">
        <f>Table1[[#This Row],[E2E]]/Table1[[#This Row],[estE2E]]</f>
        <v>0.99789247133259729</v>
      </c>
      <c r="AV41" s="22">
        <f>Table1[[#This Row],[N]]/Table1[[#This Row],[estE2E]]</f>
        <v>2.179453214341331</v>
      </c>
      <c r="AW41" s="22">
        <f>Table1[[#This Row],[PPS]]/Table1[[#This Row],[In-Tok]]</f>
        <v>2.5041033333333336</v>
      </c>
      <c r="AX41" s="34">
        <f>Table1[[#This Row],[RPS]]/Table1[[#This Row],[RPS(IL)]]</f>
        <v>0.79868908498184976</v>
      </c>
      <c r="AY41" s="22">
        <f>Table1[[#This Row],[GPS]]/Table1[[#This Row],[Out-Tok]]</f>
        <v>2.3051041666666667</v>
      </c>
      <c r="AZ41" s="89">
        <f>Table1[[#This Row],[RPS]]/Table1[[#This Row],[RPS(OL)]]</f>
        <v>0.86763974874598937</v>
      </c>
      <c r="BA41" s="131">
        <f>MaxTok/Table1[[#This Row],[tok/req]]</f>
        <v>73.190992828784019</v>
      </c>
      <c r="BB41" s="34">
        <f>Table1[[#This Row],[N]]/Table1[[#This Row],[N-max]]</f>
        <v>0.29060872752113553</v>
      </c>
      <c r="BC41" s="69">
        <f>Table1[[#This Row],[RPS]]</f>
        <v>2</v>
      </c>
      <c r="BD41" s="48">
        <f>Table1[[#This Row],[PPS]]/Table1[[#This Row],[RPS success]]</f>
        <v>6260.2583333333341</v>
      </c>
      <c r="BE41" s="34">
        <f>ABS(Table1[[#This Row],[est-In-Tok3]]-Table1[[#This Row],[In-Tok]])/Table1[[#This Row],[In-Tok]]</f>
        <v>0.25205166666666684</v>
      </c>
      <c r="BF41" s="48">
        <f>Table1[[#This Row],[GPS]]/Table1[[#This Row],[RPS success]]</f>
        <v>691.53125</v>
      </c>
      <c r="BG41" s="34">
        <f>ABS(Table1[[#This Row],[est-Out-Tok3]]-Table1[[#This Row],[Out-Tok]])/Table1[[#This Row],[Out-Tok]]</f>
        <v>0.15255208333333334</v>
      </c>
      <c r="BH41" s="157">
        <f>Table1[[#This Row],[est-In-Tok3]]+AvgOutLoad*Table1[[#This Row],[est-Out-Tok3]]</f>
        <v>6606.0239583333341</v>
      </c>
      <c r="BI41" s="34">
        <f>ABS(Table1[[#This Row],[est-Tok/Req3]]-Table1[[#This Row],[tok/req]])/Table1[[#This Row],[tok/req]]</f>
        <v>0.24641961477987437</v>
      </c>
      <c r="BJ41" s="157">
        <f>MaxTok/Table1[[#This Row],[est-Tok/Req3]]</f>
        <v>58.720989272709744</v>
      </c>
      <c r="BK41" s="34">
        <f>ABS(Table1[[#This Row],[est-N-max3]]-Table1[[#This Row],[N-max]])/Table1[[#This Row],[N-max]]</f>
        <v>0.19770197119642866</v>
      </c>
      <c r="BL41" s="69">
        <f>MaxTok*Table1[[#This Row],[Kvcache]]/Table1[[#This Row],[Run]]</f>
        <v>5299.1240748711143</v>
      </c>
      <c r="BM41" s="165">
        <f>ABS(Table1[[#This Row],[est-Tok/Req]]-Table1[[#This Row],[tok/req]])/Table1[[#This Row],[tok/req]]</f>
        <v>1.652688922425817E-4</v>
      </c>
      <c r="BN41" s="69">
        <f>MaxTok/Table1[[#This Row],[est-Tok/Req]]</f>
        <v>73.203091022546047</v>
      </c>
      <c r="BO41" s="175">
        <f>Table1[[#This Row],[Run]]/Table1[[#This Row],[Kvcache]]</f>
        <v>73.203091022546047</v>
      </c>
      <c r="BP41" s="131" cm="1">
        <f t="array" aca="1" ref="BP41" ca="1">_xlfn.CEILING.MATH(INDIRECT("Table1"&amp;BP$3)/BP$2)*BP$2</f>
        <v>6000</v>
      </c>
      <c r="BQ41" s="182" cm="1">
        <f t="array" aca="1" ref="BQ41" ca="1">_xlfn.CEILING.MATH(INDIRECT("Table1"&amp;BQ$3)/BQ$2)*BQ$2</f>
        <v>1.4999999999999999E-2</v>
      </c>
      <c r="BR41" s="34" cm="1">
        <f t="array" aca="1" ref="BR41" ca="1">_xlfn.CEILING.MATH(INDIRECT("Table1"&amp;BR$3)/BR$2)*BR$2</f>
        <v>0.30000000000000004</v>
      </c>
      <c r="BS41" s="34" cm="1">
        <f t="array" aca="1" ref="BS41" ca="1">_xlfn.CEILING.MATH(INDIRECT("Table1"&amp;BS$3)/BS$2)*BS$2</f>
        <v>0.25</v>
      </c>
      <c r="BT41" s="20" cm="1">
        <f t="array" aca="1" ref="BT41" ca="1">_xlfn.CEILING.MATH(INDIRECT("Table1"&amp;BT$3)/BT$2)*BT$2</f>
        <v>18</v>
      </c>
      <c r="BU41" s="131" cm="1">
        <f t="array" aca="1" ref="BU41" ca="1">_xlfn.CEILING.MATH(INDIRECT("Table1"&amp;BU$3)/BU$2)*BU$2</f>
        <v>10</v>
      </c>
      <c r="BV41" s="131" cm="1">
        <f t="array" aca="1" ref="BV41" ca="1">_xlfn.CEILING.MATH(INDIRECT("Table1"&amp;BV$3)/BV$2)*BV$2</f>
        <v>5000</v>
      </c>
      <c r="BW41" s="34"/>
      <c r="BX41" s="34"/>
      <c r="BY41" s="190">
        <v>0.43791052495474525</v>
      </c>
      <c r="BZ41" s="34"/>
      <c r="CA41" s="24">
        <f>(Table1[[#This Row],[In-Tok]]+Table1[[#This Row],[Out-Tok]])*Table1[[#This Row],[RPS]]</f>
        <v>11200</v>
      </c>
      <c r="CB41" s="20">
        <f t="shared" si="17"/>
        <v>387293.7285933625</v>
      </c>
      <c r="CC41" s="20">
        <f>Table1[[#This Row],[Supply]]/(Table1[[#This Row],[Prefill]]+Table1[[#This Row],[Out-Tok]]*Table1[[#This Row],[ITL]])</f>
        <v>42069.122886337253</v>
      </c>
      <c r="CD41" s="20">
        <f>Table1[[#This Row],[MaxRun]]/Table1[[#This Row],[ITL]]</f>
        <v>2142.7106594031015</v>
      </c>
      <c r="CE41" s="20">
        <f>Table1[[#This Row],[Out-Tok]]*Table1[[#This Row],[RPS]]</f>
        <v>1200</v>
      </c>
      <c r="CF41" s="22">
        <f>Table1[[#This Row],[Supply]]/Table1[[#This Row],[Demand-T]]</f>
        <v>34.579797195835937</v>
      </c>
      <c r="CG41" s="22"/>
      <c r="CH41" s="71">
        <f>Table1[[#This Row],[Prefill]]+Table1[[#This Row],[Out-Tok]]*Table1[[#This Row],[ITL]]</f>
        <v>9.2061279632512498</v>
      </c>
      <c r="CI41" s="71">
        <f>Table1[[#This Row],[GPS]]*Table1[[#This Row],[ITL]]</f>
        <v>20.655145297279205</v>
      </c>
      <c r="CJ41" s="72">
        <f>Table1[[#This Row],[PPS]]*Table1[[#This Row],[Prefill]]/Table1[[#This Row],[In-Tok]]</f>
        <v>0.61479599470227331</v>
      </c>
      <c r="CK41" s="71">
        <f t="shared" si="12"/>
        <v>21.269941291981478</v>
      </c>
      <c r="CL41" s="71">
        <f>Table1[[#This Row],[PPS]]/Table1[[#This Row],[In-Tok]]</f>
        <v>2.5041033333333336</v>
      </c>
      <c r="CM41" s="71">
        <f>Table1[[#This Row],[GPS]]/Table1[[#This Row],[Out-Tok]]</f>
        <v>2.3051041666666667</v>
      </c>
      <c r="CN41" s="71">
        <f>Table1[[#This Row],[Run]]/Table1[[#This Row],[E2E]]</f>
        <v>1.8140620089811696</v>
      </c>
      <c r="CO41" s="71">
        <f>Table1[[#This Row],[N2]]/Table1[[#This Row],[E2E]]</f>
        <v>2.1840561753420822</v>
      </c>
      <c r="CP41" s="71"/>
      <c r="CQ41" s="71">
        <f>Table1[[#This Row],[In-Tok]]+AvgOutLoad*Table1[[#This Row],[Out-Tok]]</f>
        <v>5300</v>
      </c>
      <c r="CR41" s="71">
        <f t="shared" si="13"/>
        <v>328410.44238986919</v>
      </c>
      <c r="CS41" s="71" t="e">
        <f t="shared" si="14"/>
        <v>#DIV/0!</v>
      </c>
      <c r="CT41" s="71" t="e">
        <f t="shared" si="18"/>
        <v>#DIV/0!</v>
      </c>
      <c r="CU41" s="71">
        <f t="shared" si="15"/>
        <v>0</v>
      </c>
      <c r="CV41" s="71" t="e">
        <f t="shared" si="16"/>
        <v>#DIV/0!</v>
      </c>
      <c r="CW41" s="71">
        <f>Table1[[#This Row],[N(maxT)]]/Table1[[#This Row],[e2e sat]]</f>
        <v>0</v>
      </c>
      <c r="CX41" s="71" t="e">
        <f>Table1[[#This Row],[RPS]]/CW41</f>
        <v>#DIV/0!</v>
      </c>
      <c r="CY41" s="110" t="e">
        <f>Table1[[#This Row],[Kvcache]]/$T$4</f>
        <v>#DIV/0!</v>
      </c>
      <c r="GJ41"/>
    </row>
    <row r="42" spans="1:192" hidden="1" x14ac:dyDescent="0.25">
      <c r="A42" s="3">
        <v>5000</v>
      </c>
      <c r="B42" s="3">
        <v>700</v>
      </c>
      <c r="C42">
        <v>2</v>
      </c>
      <c r="D42" s="199">
        <f>Table1[[#This Row],[Kvcache]]</f>
        <v>0.29655056359238813</v>
      </c>
      <c r="E42" s="203" t="s">
        <v>138</v>
      </c>
      <c r="F42" s="219">
        <v>46092</v>
      </c>
      <c r="G42" s="10"/>
      <c r="H42" s="10">
        <v>0.17619657907857875</v>
      </c>
      <c r="I42" s="10">
        <v>0.15544193767138964</v>
      </c>
      <c r="J42" s="10">
        <v>0.99250126931340743</v>
      </c>
      <c r="K42" s="10">
        <v>2.0728516777356458</v>
      </c>
      <c r="L42" s="10">
        <v>2.4672814178466793</v>
      </c>
      <c r="M42" s="10">
        <v>1.6075060193484956E-2</v>
      </c>
      <c r="N42" s="10">
        <v>11.325994664118975</v>
      </c>
      <c r="O42" s="47">
        <v>12397.255277777776</v>
      </c>
      <c r="P42" s="47">
        <v>1573.9455555555558</v>
      </c>
      <c r="Q42" s="5">
        <v>21.506127450980397</v>
      </c>
      <c r="R42" s="5">
        <v>38.666666666666664</v>
      </c>
      <c r="S42" s="170">
        <v>0.29655056359238813</v>
      </c>
      <c r="T42" s="165">
        <v>0.53491078355314203</v>
      </c>
      <c r="U42" s="26">
        <f>(Table1[[#This Row],[In-Tok]]+Table1[[#This Row],[Out-Tok]])*Table1[[#This Row],[RPS]]</f>
        <v>11400</v>
      </c>
      <c r="V42" s="54">
        <f>Table1[[#This Row],[In-Tok]]+AvgOutLoad*Table1[[#This Row],[Out-Tok]]</f>
        <v>5350</v>
      </c>
      <c r="W42" s="20">
        <f>Table1[[#This Row],[In-Tok]]*Table1[[#This Row],[RPS]]</f>
        <v>10000</v>
      </c>
      <c r="X42" s="35">
        <f>Table1[[#This Row],[Out-Tok]]*Table1[[#This Row],[RPS]]</f>
        <v>1400</v>
      </c>
      <c r="Y42" s="75">
        <f>Table1[[#This Row],[In-Tok]]/Table1[[#This Row],[Out-Tok]]</f>
        <v>7.1428571428571432</v>
      </c>
      <c r="Z42" s="26">
        <f>Table1[[#This Row],[In-Tok]]*Table1[[#This Row],[N]]+AvgOutLoad*Table1[[#This Row],[Out-Tok]]*Table1[[#This Row],[Ndecode]]</f>
        <v>137288.84545769132</v>
      </c>
      <c r="AA42" s="20">
        <f>Table1[[#This Row],[tok(N)]]/Table1[[#This Row],[Kvcache]]</f>
        <v>462952.56968857523</v>
      </c>
      <c r="AB42" s="20">
        <f>Table1[[#This Row],[tok/req]]*Table1[[#This Row],[Run]]</f>
        <v>115057.78186274512</v>
      </c>
      <c r="AC42" s="20">
        <f>Table1[[#This Row],[tok(Run)]]/Table1[[#This Row],[Kvcache]]</f>
        <v>387987.0618654202</v>
      </c>
      <c r="AD42" s="20">
        <f>Table1[[#This Row],[tok/req]]*Table1[[#This Row],[MaxRun]]</f>
        <v>206866.66666666666</v>
      </c>
      <c r="AE42" s="20">
        <f>Table1[[#This Row],[tok(MaxRun)]]/Table1[[#This Row],[MaxKvcache]]</f>
        <v>386731.15784384811</v>
      </c>
      <c r="AF42" s="75">
        <f>Table1[[#This Row],[PPS]]*Table1[[#This Row],[Prefill]]/Table1[[#This Row],[In-Tok]]</f>
        <v>0.38541067643692783</v>
      </c>
      <c r="AG42" s="22">
        <f>Table1[[#This Row],[GPS]]*Table1[[#This Row],[ITL]]</f>
        <v>25.301269546823679</v>
      </c>
      <c r="AH42" s="22">
        <f>Table1[[#This Row],[Nprefill]]+Table1[[#This Row],[Ndecode]]</f>
        <v>25.686680223260606</v>
      </c>
      <c r="AI42" s="34">
        <f>Table1[[#This Row],[Run]]/Table1[[#This Row],[ITL]]/Table1[[#This Row],[GPS]]</f>
        <v>0.85000191042509465</v>
      </c>
      <c r="AJ42" s="64">
        <f>Table1[[#This Row],[Prefill]]+Table1[[#This Row],[ITL]]</f>
        <v>0.17151699786487459</v>
      </c>
      <c r="AK42" s="34">
        <f>Table1[[#This Row],[TTFT]]/Table1[[#This Row],[estTTFT]]</f>
        <v>1.0272834836894174</v>
      </c>
      <c r="AL42" s="22">
        <f>Table1[[#This Row],[In-Tok]]*Table1[[#This Row],[RPS]]/Table1[[#This Row],[PPS]]</f>
        <v>0.80663015933253512</v>
      </c>
      <c r="AM42" s="34">
        <f>Table1[[#This Row],[Prefill]]/Table1[[#This Row],[estPrefill]]</f>
        <v>0.19270533821846395</v>
      </c>
      <c r="AN42" s="34">
        <f>Table1[[#This Row],[Prefill]]/Table1[[#This Row],[TTFT]]</f>
        <v>0.88220746670721051</v>
      </c>
      <c r="AO42" s="64">
        <f>Table1[[#This Row],[Run]]/(Table1[[#This Row],[Out-Tok]]*Table1[[#This Row],[RPS]])</f>
        <v>1.5361519607843141E-2</v>
      </c>
      <c r="AP42" s="34">
        <f>Table1[[#This Row],[ITL]]/Table1[[#This Row],[estITL]]</f>
        <v>1.0464498697952709</v>
      </c>
      <c r="AQ42" s="69">
        <f>Table1[[#This Row],[E2E]]-Table1[[#This Row],[TTFT]]+Table1[[#This Row],[ITL]]</f>
        <v>11.165873145233881</v>
      </c>
      <c r="AR42" s="34">
        <f>Table1[[#This Row],[estDecode]]/Table1[[#This Row],[Run]]</f>
        <v>0.51919496760560968</v>
      </c>
      <c r="AS42" s="69">
        <f>Table1[[#This Row],[Prefill]]+Table1[[#This Row],[Out-Tok]]*Table1[[#This Row],[ITL]]</f>
        <v>11.407984073110859</v>
      </c>
      <c r="AT42" s="22">
        <f>Table1[[#This Row],[estPrefill]]+Table1[[#This Row],[Out-Tok]]*Table1[[#This Row],[ITL]]</f>
        <v>12.059172294772004</v>
      </c>
      <c r="AU42" s="34">
        <f>Table1[[#This Row],[E2E]]/Table1[[#This Row],[estE2E]]</f>
        <v>0.93920166220936385</v>
      </c>
      <c r="AV42" s="22">
        <f>Table1[[#This Row],[N]]/Table1[[#This Row],[estE2E]]</f>
        <v>2.1300533399291854</v>
      </c>
      <c r="AW42" s="22">
        <f>Table1[[#This Row],[PPS]]/Table1[[#This Row],[In-Tok]]</f>
        <v>2.4794510555555553</v>
      </c>
      <c r="AX42" s="34">
        <f>Table1[[#This Row],[RPS]]/Table1[[#This Row],[RPS(IL)]]</f>
        <v>0.80663015933253512</v>
      </c>
      <c r="AY42" s="22">
        <f>Table1[[#This Row],[GPS]]/Table1[[#This Row],[Out-Tok]]</f>
        <v>2.2484936507936513</v>
      </c>
      <c r="AZ42" s="89">
        <f>Table1[[#This Row],[RPS]]/Table1[[#This Row],[RPS(OL)]]</f>
        <v>0.88948438849007183</v>
      </c>
      <c r="BA42" s="131">
        <f>MaxTok/Table1[[#This Row],[tok/req]]</f>
        <v>72.506964858421554</v>
      </c>
      <c r="BB42" s="34">
        <f>Table1[[#This Row],[N]]/Table1[[#This Row],[N-max]]</f>
        <v>0.35426500438153624</v>
      </c>
      <c r="BC42" s="69">
        <f>Table1[[#This Row],[RPS]]</f>
        <v>2</v>
      </c>
      <c r="BD42" s="48">
        <f>Table1[[#This Row],[PPS]]/Table1[[#This Row],[RPS success]]</f>
        <v>6198.6276388888882</v>
      </c>
      <c r="BE42" s="34">
        <f>ABS(Table1[[#This Row],[est-In-Tok3]]-Table1[[#This Row],[In-Tok]])/Table1[[#This Row],[In-Tok]]</f>
        <v>0.23972552777777764</v>
      </c>
      <c r="BF42" s="48">
        <f>Table1[[#This Row],[GPS]]/Table1[[#This Row],[RPS success]]</f>
        <v>786.97277777777788</v>
      </c>
      <c r="BG42" s="34">
        <f>ABS(Table1[[#This Row],[est-Out-Tok3]]-Table1[[#This Row],[Out-Tok]])/Table1[[#This Row],[Out-Tok]]</f>
        <v>0.12424682539682554</v>
      </c>
      <c r="BH42" s="157">
        <f>Table1[[#This Row],[est-In-Tok3]]+AvgOutLoad*Table1[[#This Row],[est-Out-Tok3]]</f>
        <v>6592.1140277777768</v>
      </c>
      <c r="BI42" s="34">
        <f>ABS(Table1[[#This Row],[est-Tok/Req3]]-Table1[[#This Row],[tok/req]])/Table1[[#This Row],[tok/req]]</f>
        <v>0.23217084631360313</v>
      </c>
      <c r="BJ42" s="157">
        <f>MaxTok/Table1[[#This Row],[est-Tok/Req3]]</f>
        <v>58.844895637116551</v>
      </c>
      <c r="BK42" s="34">
        <f>ABS(Table1[[#This Row],[est-N-max3]]-Table1[[#This Row],[N-max]])/Table1[[#This Row],[N-max]]</f>
        <v>0.18842423273380446</v>
      </c>
      <c r="BL42" s="69">
        <f>MaxTok*Table1[[#This Row],[Kvcache]]/Table1[[#This Row],[Run]]</f>
        <v>5348.9685756068684</v>
      </c>
      <c r="BM42" s="165">
        <f>ABS(Table1[[#This Row],[est-Tok/Req]]-Table1[[#This Row],[tok/req]])/Table1[[#This Row],[tok/req]]</f>
        <v>1.9278960619282268E-4</v>
      </c>
      <c r="BN42" s="69">
        <f>MaxTok/Table1[[#This Row],[est-Tok/Req]]</f>
        <v>72.520946143069196</v>
      </c>
      <c r="BO42" s="175">
        <f>Table1[[#This Row],[Run]]/Table1[[#This Row],[Kvcache]]</f>
        <v>72.520946143069196</v>
      </c>
      <c r="BP42" s="131" cm="1">
        <f t="array" aca="1" ref="BP42" ca="1">_xlfn.CEILING.MATH(INDIRECT("Table1"&amp;BP$3)/BP$2)*BP$2</f>
        <v>6000</v>
      </c>
      <c r="BQ42" s="182" cm="1">
        <f t="array" aca="1" ref="BQ42" ca="1">_xlfn.CEILING.MATH(INDIRECT("Table1"&amp;BQ$3)/BQ$2)*BQ$2</f>
        <v>0.02</v>
      </c>
      <c r="BR42" s="34" cm="1">
        <f t="array" aca="1" ref="BR42" ca="1">_xlfn.CEILING.MATH(INDIRECT("Table1"&amp;BR$3)/BR$2)*BR$2</f>
        <v>0.30000000000000004</v>
      </c>
      <c r="BS42" s="34" cm="1">
        <f t="array" aca="1" ref="BS42" ca="1">_xlfn.CEILING.MATH(INDIRECT("Table1"&amp;BS$3)/BS$2)*BS$2</f>
        <v>0.3</v>
      </c>
      <c r="BT42" s="20" cm="1">
        <f t="array" aca="1" ref="BT42" ca="1">_xlfn.CEILING.MATH(INDIRECT("Table1"&amp;BT$3)/BT$2)*BT$2</f>
        <v>22</v>
      </c>
      <c r="BU42" s="131" cm="1">
        <f t="array" aca="1" ref="BU42" ca="1">_xlfn.CEILING.MATH(INDIRECT("Table1"&amp;BU$3)/BU$2)*BU$2</f>
        <v>10</v>
      </c>
      <c r="BV42" s="131" cm="1">
        <f t="array" aca="1" ref="BV42" ca="1">_xlfn.CEILING.MATH(INDIRECT("Table1"&amp;BV$3)/BV$2)*BV$2</f>
        <v>5000</v>
      </c>
      <c r="BW42" s="34"/>
      <c r="BX42" s="34"/>
      <c r="BY42" s="190">
        <v>0.53491078355314203</v>
      </c>
      <c r="BZ42" s="34"/>
      <c r="CA42" s="24">
        <f>(Table1[[#This Row],[In-Tok]]+Table1[[#This Row],[Out-Tok]])*Table1[[#This Row],[RPS]]</f>
        <v>11400</v>
      </c>
      <c r="CB42" s="20">
        <f t="shared" si="17"/>
        <v>386731.15784384811</v>
      </c>
      <c r="CC42" s="20">
        <f>Table1[[#This Row],[Supply]]/(Table1[[#This Row],[Prefill]]+Table1[[#This Row],[Out-Tok]]*Table1[[#This Row],[ITL]])</f>
        <v>33900.04363307196</v>
      </c>
      <c r="CD42" s="20">
        <f>Table1[[#This Row],[MaxRun]]/Table1[[#This Row],[ITL]]</f>
        <v>2405.3823874536929</v>
      </c>
      <c r="CE42" s="20">
        <f>Table1[[#This Row],[Out-Tok]]*Table1[[#This Row],[RPS]]</f>
        <v>1400</v>
      </c>
      <c r="CF42" s="22">
        <f>Table1[[#This Row],[Supply]]/Table1[[#This Row],[Demand-T]]</f>
        <v>33.923785775776153</v>
      </c>
      <c r="CG42" s="22"/>
      <c r="CH42" s="71">
        <f>Table1[[#This Row],[Prefill]]+Table1[[#This Row],[Out-Tok]]*Table1[[#This Row],[ITL]]</f>
        <v>11.407984073110859</v>
      </c>
      <c r="CI42" s="71">
        <f>Table1[[#This Row],[GPS]]*Table1[[#This Row],[ITL]]</f>
        <v>25.301269546823679</v>
      </c>
      <c r="CJ42" s="72">
        <f>Table1[[#This Row],[PPS]]*Table1[[#This Row],[Prefill]]/Table1[[#This Row],[In-Tok]]</f>
        <v>0.38541067643692783</v>
      </c>
      <c r="CK42" s="71">
        <f t="shared" si="12"/>
        <v>25.686680223260606</v>
      </c>
      <c r="CL42" s="71">
        <f>Table1[[#This Row],[PPS]]/Table1[[#This Row],[In-Tok]]</f>
        <v>2.4794510555555553</v>
      </c>
      <c r="CM42" s="71">
        <f>Table1[[#This Row],[GPS]]/Table1[[#This Row],[Out-Tok]]</f>
        <v>2.2484936507936513</v>
      </c>
      <c r="CN42" s="71">
        <f>Table1[[#This Row],[Run]]/Table1[[#This Row],[E2E]]</f>
        <v>1.8988290290399243</v>
      </c>
      <c r="CO42" s="71">
        <f>Table1[[#This Row],[N2]]/Table1[[#This Row],[E2E]]</f>
        <v>2.2679403429913871</v>
      </c>
      <c r="CP42" s="71"/>
      <c r="CQ42" s="71">
        <f>Table1[[#This Row],[In-Tok]]+AvgOutLoad*Table1[[#This Row],[Out-Tok]]</f>
        <v>5350</v>
      </c>
      <c r="CR42" s="71">
        <f t="shared" si="13"/>
        <v>379344.32960800134</v>
      </c>
      <c r="CS42" s="71" t="e">
        <f t="shared" si="14"/>
        <v>#DIV/0!</v>
      </c>
      <c r="CT42" s="71" t="e">
        <f t="shared" si="18"/>
        <v>#DIV/0!</v>
      </c>
      <c r="CU42" s="71">
        <f t="shared" si="15"/>
        <v>0</v>
      </c>
      <c r="CV42" s="71" t="e">
        <f t="shared" si="16"/>
        <v>#DIV/0!</v>
      </c>
      <c r="CW42" s="71">
        <f>Table1[[#This Row],[N(maxT)]]/Table1[[#This Row],[e2e sat]]</f>
        <v>0</v>
      </c>
      <c r="CX42" s="71" t="e">
        <f>Table1[[#This Row],[RPS]]/CW42</f>
        <v>#DIV/0!</v>
      </c>
      <c r="CY42" s="110" t="e">
        <f>Table1[[#This Row],[Kvcache]]/$T$4</f>
        <v>#DIV/0!</v>
      </c>
      <c r="GJ42"/>
    </row>
    <row r="43" spans="1:192" hidden="1" x14ac:dyDescent="0.25">
      <c r="A43" s="3">
        <v>5000</v>
      </c>
      <c r="B43" s="3">
        <v>800</v>
      </c>
      <c r="C43">
        <v>2</v>
      </c>
      <c r="D43" s="199">
        <f>Table1[[#This Row],[Kvcache]]</f>
        <v>0.31619645703294674</v>
      </c>
      <c r="E43" s="203" t="s">
        <v>138</v>
      </c>
      <c r="F43" s="219">
        <v>46092</v>
      </c>
      <c r="G43" s="10"/>
      <c r="H43" s="10">
        <v>0.23137368829244689</v>
      </c>
      <c r="I43" s="10">
        <v>0.15481857555113479</v>
      </c>
      <c r="J43" s="10">
        <v>1.1025821170809051</v>
      </c>
      <c r="K43" s="10">
        <v>2.8050277670224504</v>
      </c>
      <c r="L43" s="10">
        <v>3.1549166059494014</v>
      </c>
      <c r="M43" s="10">
        <v>1.614998110024948E-2</v>
      </c>
      <c r="N43" s="10">
        <v>12.925310710319906</v>
      </c>
      <c r="O43" s="47">
        <v>11441.094607843137</v>
      </c>
      <c r="P43" s="47">
        <v>1689.0698529411764</v>
      </c>
      <c r="Q43" s="5">
        <v>22.738562091503269</v>
      </c>
      <c r="R43" s="5">
        <v>35.333333333333336</v>
      </c>
      <c r="S43" s="170">
        <v>0.31619645703294674</v>
      </c>
      <c r="T43" s="165">
        <v>0.49519006982156716</v>
      </c>
      <c r="U43" s="26">
        <f>(Table1[[#This Row],[In-Tok]]+Table1[[#This Row],[Out-Tok]])*Table1[[#This Row],[RPS]]</f>
        <v>11600</v>
      </c>
      <c r="V43" s="54">
        <f>Table1[[#This Row],[In-Tok]]+AvgOutLoad*Table1[[#This Row],[Out-Tok]]</f>
        <v>5400</v>
      </c>
      <c r="W43" s="20">
        <f>Table1[[#This Row],[In-Tok]]*Table1[[#This Row],[RPS]]</f>
        <v>10000</v>
      </c>
      <c r="X43" s="35">
        <f>Table1[[#This Row],[Out-Tok]]*Table1[[#This Row],[RPS]]</f>
        <v>1600</v>
      </c>
      <c r="Y43" s="75">
        <f>Table1[[#This Row],[In-Tok]]/Table1[[#This Row],[Out-Tok]]</f>
        <v>6.25</v>
      </c>
      <c r="Z43" s="26">
        <f>Table1[[#This Row],[In-Tok]]*Table1[[#This Row],[N]]+AvgOutLoad*Table1[[#This Row],[Out-Tok]]*Table1[[#This Row],[Ndecode]]</f>
        <v>149074.90346073834</v>
      </c>
      <c r="AA43" s="20">
        <f>Table1[[#This Row],[tok(N)]]/Table1[[#This Row],[Kvcache]]</f>
        <v>471462.91536468785</v>
      </c>
      <c r="AB43" s="20">
        <f>Table1[[#This Row],[tok/req]]*Table1[[#This Row],[Run]]</f>
        <v>122788.23529411765</v>
      </c>
      <c r="AC43" s="20">
        <f>Table1[[#This Row],[tok(Run)]]/Table1[[#This Row],[Kvcache]]</f>
        <v>388328.94095749932</v>
      </c>
      <c r="AD43" s="20">
        <f>Table1[[#This Row],[tok/req]]*Table1[[#This Row],[MaxRun]]</f>
        <v>190800</v>
      </c>
      <c r="AE43" s="20">
        <f>Table1[[#This Row],[tok(MaxRun)]]/Table1[[#This Row],[MaxKvcache]]</f>
        <v>385306.59564468113</v>
      </c>
      <c r="AF43" s="75">
        <f>Table1[[#This Row],[PPS]]*Table1[[#This Row],[Prefill]]/Table1[[#This Row],[In-Tok]]</f>
        <v>0.35425879398640875</v>
      </c>
      <c r="AG43" s="22">
        <f>Table1[[#This Row],[GPS]]*Table1[[#This Row],[ITL]]</f>
        <v>27.278446202001167</v>
      </c>
      <c r="AH43" s="22">
        <f>Table1[[#This Row],[Nprefill]]+Table1[[#This Row],[Ndecode]]</f>
        <v>27.632704995987574</v>
      </c>
      <c r="AI43" s="34">
        <f>Table1[[#This Row],[Run]]/Table1[[#This Row],[ITL]]/Table1[[#This Row],[GPS]]</f>
        <v>0.83357248147935759</v>
      </c>
      <c r="AJ43" s="64">
        <f>Table1[[#This Row],[Prefill]]+Table1[[#This Row],[ITL]]</f>
        <v>0.17096855665138427</v>
      </c>
      <c r="AK43" s="34">
        <f>Table1[[#This Row],[TTFT]]/Table1[[#This Row],[estTTFT]]</f>
        <v>1.3533113504855312</v>
      </c>
      <c r="AL43" s="22">
        <f>Table1[[#This Row],[In-Tok]]*Table1[[#This Row],[RPS]]/Table1[[#This Row],[PPS]]</f>
        <v>0.87404224357560745</v>
      </c>
      <c r="AM43" s="34">
        <f>Table1[[#This Row],[Prefill]]/Table1[[#This Row],[estPrefill]]</f>
        <v>0.17712939699320435</v>
      </c>
      <c r="AN43" s="34">
        <f>Table1[[#This Row],[Prefill]]/Table1[[#This Row],[TTFT]]</f>
        <v>0.66912783685001564</v>
      </c>
      <c r="AO43" s="64">
        <f>Table1[[#This Row],[Run]]/(Table1[[#This Row],[Out-Tok]]*Table1[[#This Row],[RPS]])</f>
        <v>1.4211601307189544E-2</v>
      </c>
      <c r="AP43" s="34">
        <f>Table1[[#This Row],[ITL]]/Table1[[#This Row],[estITL]]</f>
        <v>1.1363941860710183</v>
      </c>
      <c r="AQ43" s="69">
        <f>Table1[[#This Row],[E2E]]-Table1[[#This Row],[TTFT]]+Table1[[#This Row],[ITL]]</f>
        <v>12.710087003127709</v>
      </c>
      <c r="AR43" s="34">
        <f>Table1[[#This Row],[estDecode]]/Table1[[#This Row],[Run]]</f>
        <v>0.55896617173858565</v>
      </c>
      <c r="AS43" s="69">
        <f>Table1[[#This Row],[Prefill]]+Table1[[#This Row],[Out-Tok]]*Table1[[#This Row],[ITL]]</f>
        <v>13.074803455750718</v>
      </c>
      <c r="AT43" s="22">
        <f>Table1[[#This Row],[estPrefill]]+Table1[[#This Row],[Out-Tok]]*Table1[[#This Row],[ITL]]</f>
        <v>13.794027123775191</v>
      </c>
      <c r="AU43" s="34">
        <f>Table1[[#This Row],[E2E]]/Table1[[#This Row],[estE2E]]</f>
        <v>0.93702227742049471</v>
      </c>
      <c r="AV43" s="22">
        <f>Table1[[#This Row],[N]]/Table1[[#This Row],[estE2E]]</f>
        <v>2.0032369624937325</v>
      </c>
      <c r="AW43" s="22">
        <f>Table1[[#This Row],[PPS]]/Table1[[#This Row],[In-Tok]]</f>
        <v>2.2882189215686273</v>
      </c>
      <c r="AX43" s="34">
        <f>Table1[[#This Row],[RPS]]/Table1[[#This Row],[RPS(IL)]]</f>
        <v>0.87404224357560745</v>
      </c>
      <c r="AY43" s="22">
        <f>Table1[[#This Row],[GPS]]/Table1[[#This Row],[Out-Tok]]</f>
        <v>2.1113373161764706</v>
      </c>
      <c r="AZ43" s="89">
        <f>Table1[[#This Row],[RPS]]/Table1[[#This Row],[RPS(OL)]]</f>
        <v>0.94726692162193338</v>
      </c>
      <c r="BA43" s="131">
        <f>MaxTok/Table1[[#This Row],[tok/req]]</f>
        <v>71.835604072695418</v>
      </c>
      <c r="BB43" s="34">
        <f>Table1[[#This Row],[N]]/Table1[[#This Row],[N-max]]</f>
        <v>0.38466586802867458</v>
      </c>
      <c r="BC43" s="69">
        <f>Table1[[#This Row],[RPS]]</f>
        <v>2</v>
      </c>
      <c r="BD43" s="48">
        <f>Table1[[#This Row],[PPS]]/Table1[[#This Row],[RPS success]]</f>
        <v>5720.5473039215685</v>
      </c>
      <c r="BE43" s="34">
        <f>ABS(Table1[[#This Row],[est-In-Tok3]]-Table1[[#This Row],[In-Tok]])/Table1[[#This Row],[In-Tok]]</f>
        <v>0.14410946078431369</v>
      </c>
      <c r="BF43" s="48">
        <f>Table1[[#This Row],[GPS]]/Table1[[#This Row],[RPS success]]</f>
        <v>844.53492647058818</v>
      </c>
      <c r="BG43" s="34">
        <f>ABS(Table1[[#This Row],[est-Out-Tok3]]-Table1[[#This Row],[Out-Tok]])/Table1[[#This Row],[Out-Tok]]</f>
        <v>5.5668658088235221E-2</v>
      </c>
      <c r="BH43" s="157">
        <f>Table1[[#This Row],[est-In-Tok3]]+AvgOutLoad*Table1[[#This Row],[est-Out-Tok3]]</f>
        <v>6142.8147671568622</v>
      </c>
      <c r="BI43" s="34">
        <f>ABS(Table1[[#This Row],[est-Tok/Req3]]-Table1[[#This Row],[tok/req]])/Table1[[#This Row],[tok/req]]</f>
        <v>0.13755829021423374</v>
      </c>
      <c r="BJ43" s="157">
        <f>MaxTok/Table1[[#This Row],[est-Tok/Req3]]</f>
        <v>63.148943390994752</v>
      </c>
      <c r="BK43" s="34">
        <f>ABS(Table1[[#This Row],[est-N-max3]]-Table1[[#This Row],[N-max]])/Table1[[#This Row],[N-max]]</f>
        <v>0.12092416836795905</v>
      </c>
      <c r="BL43" s="69">
        <f>MaxTok*Table1[[#This Row],[Kvcache]]/Table1[[#This Row],[Run]]</f>
        <v>5394.2057720314378</v>
      </c>
      <c r="BM43" s="165">
        <f>ABS(Table1[[#This Row],[est-Tok/Req]]-Table1[[#This Row],[tok/req]])/Table1[[#This Row],[tok/req]]</f>
        <v>1.073005179363362E-3</v>
      </c>
      <c r="BN43" s="69">
        <f>MaxTok/Table1[[#This Row],[est-Tok/Req]]</f>
        <v>71.912766843981359</v>
      </c>
      <c r="BO43" s="175">
        <f>Table1[[#This Row],[Run]]/Table1[[#This Row],[Kvcache]]</f>
        <v>71.912766843981359</v>
      </c>
      <c r="BP43" s="131" cm="1">
        <f t="array" aca="1" ref="BP43" ca="1">_xlfn.CEILING.MATH(INDIRECT("Table1"&amp;BP$3)/BP$2)*BP$2</f>
        <v>6000</v>
      </c>
      <c r="BQ43" s="182" cm="1">
        <f t="array" aca="1" ref="BQ43" ca="1">_xlfn.CEILING.MATH(INDIRECT("Table1"&amp;BQ$3)/BQ$2)*BQ$2</f>
        <v>0.02</v>
      </c>
      <c r="BR43" s="34" cm="1">
        <f t="array" aca="1" ref="BR43" ca="1">_xlfn.CEILING.MATH(INDIRECT("Table1"&amp;BR$3)/BR$2)*BR$2</f>
        <v>0.4</v>
      </c>
      <c r="BS43" s="34" cm="1">
        <f t="array" aca="1" ref="BS43" ca="1">_xlfn.CEILING.MATH(INDIRECT("Table1"&amp;BS$3)/BS$2)*BS$2</f>
        <v>0.32</v>
      </c>
      <c r="BT43" s="20" cm="1">
        <f t="array" aca="1" ref="BT43" ca="1">_xlfn.CEILING.MATH(INDIRECT("Table1"&amp;BT$3)/BT$2)*BT$2</f>
        <v>23</v>
      </c>
      <c r="BU43" s="131" cm="1">
        <f t="array" aca="1" ref="BU43" ca="1">_xlfn.CEILING.MATH(INDIRECT("Table1"&amp;BU$3)/BU$2)*BU$2</f>
        <v>10</v>
      </c>
      <c r="BV43" s="131" cm="1">
        <f t="array" aca="1" ref="BV43" ca="1">_xlfn.CEILING.MATH(INDIRECT("Table1"&amp;BV$3)/BV$2)*BV$2</f>
        <v>5000</v>
      </c>
      <c r="BW43" s="34"/>
      <c r="BX43" s="34"/>
      <c r="BY43" s="190">
        <v>0.49519006982156716</v>
      </c>
      <c r="BZ43" s="34"/>
      <c r="CA43" s="24">
        <f>(Table1[[#This Row],[In-Tok]]+Table1[[#This Row],[Out-Tok]])*Table1[[#This Row],[RPS]]</f>
        <v>11600</v>
      </c>
      <c r="CB43" s="20">
        <f t="shared" si="17"/>
        <v>385306.59564468113</v>
      </c>
      <c r="CC43" s="20">
        <f>Table1[[#This Row],[Supply]]/(Table1[[#This Row],[Prefill]]+Table1[[#This Row],[Out-Tok]]*Table1[[#This Row],[ITL]])</f>
        <v>29469.398675756838</v>
      </c>
      <c r="CD43" s="20">
        <f>Table1[[#This Row],[MaxRun]]/Table1[[#This Row],[ITL]]</f>
        <v>2187.8250577511521</v>
      </c>
      <c r="CE43" s="20">
        <f>Table1[[#This Row],[Out-Tok]]*Table1[[#This Row],[RPS]]</f>
        <v>1600</v>
      </c>
      <c r="CF43" s="22">
        <f>Table1[[#This Row],[Supply]]/Table1[[#This Row],[Demand-T]]</f>
        <v>33.216085831438029</v>
      </c>
      <c r="CG43" s="22"/>
      <c r="CH43" s="71">
        <f>Table1[[#This Row],[Prefill]]+Table1[[#This Row],[Out-Tok]]*Table1[[#This Row],[ITL]]</f>
        <v>13.074803455750718</v>
      </c>
      <c r="CI43" s="71">
        <f>Table1[[#This Row],[GPS]]*Table1[[#This Row],[ITL]]</f>
        <v>27.278446202001167</v>
      </c>
      <c r="CJ43" s="72">
        <f>Table1[[#This Row],[PPS]]*Table1[[#This Row],[Prefill]]/Table1[[#This Row],[In-Tok]]</f>
        <v>0.35425879398640875</v>
      </c>
      <c r="CK43" s="71">
        <f t="shared" si="12"/>
        <v>27.632704995987574</v>
      </c>
      <c r="CL43" s="71">
        <f>Table1[[#This Row],[PPS]]/Table1[[#This Row],[In-Tok]]</f>
        <v>2.2882189215686273</v>
      </c>
      <c r="CM43" s="71">
        <f>Table1[[#This Row],[GPS]]/Table1[[#This Row],[Out-Tok]]</f>
        <v>2.1113373161764706</v>
      </c>
      <c r="CN43" s="71">
        <f>Table1[[#This Row],[Run]]/Table1[[#This Row],[E2E]]</f>
        <v>1.7592275033936482</v>
      </c>
      <c r="CO43" s="71">
        <f>Table1[[#This Row],[N2]]/Table1[[#This Row],[E2E]]</f>
        <v>2.1378754921477361</v>
      </c>
      <c r="CP43" s="71"/>
      <c r="CQ43" s="71">
        <f>Table1[[#This Row],[In-Tok]]+AvgOutLoad*Table1[[#This Row],[Out-Tok]]</f>
        <v>5400</v>
      </c>
      <c r="CR43" s="71">
        <f t="shared" si="13"/>
        <v>355678.73264207377</v>
      </c>
      <c r="CS43" s="71" t="e">
        <f t="shared" si="14"/>
        <v>#DIV/0!</v>
      </c>
      <c r="CT43" s="71" t="e">
        <f t="shared" si="18"/>
        <v>#DIV/0!</v>
      </c>
      <c r="CU43" s="71">
        <f t="shared" si="15"/>
        <v>0</v>
      </c>
      <c r="CV43" s="71" t="e">
        <f t="shared" si="16"/>
        <v>#DIV/0!</v>
      </c>
      <c r="CW43" s="71">
        <f>Table1[[#This Row],[N(maxT)]]/Table1[[#This Row],[e2e sat]]</f>
        <v>0</v>
      </c>
      <c r="CX43" s="71" t="e">
        <f>Table1[[#This Row],[RPS]]/CW43</f>
        <v>#DIV/0!</v>
      </c>
      <c r="CY43" s="110" t="e">
        <f>Table1[[#This Row],[Kvcache]]/$T$4</f>
        <v>#DIV/0!</v>
      </c>
      <c r="GJ43"/>
    </row>
    <row r="44" spans="1:192" hidden="1" x14ac:dyDescent="0.25">
      <c r="A44" s="3">
        <v>5000</v>
      </c>
      <c r="B44" s="3">
        <v>900</v>
      </c>
      <c r="C44">
        <v>2</v>
      </c>
      <c r="D44" s="199">
        <f>Table1[[#This Row],[Kvcache]]</f>
        <v>0.39154670574375766</v>
      </c>
      <c r="E44" s="203" t="s">
        <v>138</v>
      </c>
      <c r="F44" s="219">
        <v>46092</v>
      </c>
      <c r="G44" s="10"/>
      <c r="H44" s="10">
        <v>0.17436044400462422</v>
      </c>
      <c r="I44" s="10">
        <v>0.19344804233874538</v>
      </c>
      <c r="J44" s="10">
        <v>0.9016296876844011</v>
      </c>
      <c r="K44" s="10">
        <v>1.5425634225209555</v>
      </c>
      <c r="L44" s="10">
        <v>1.717054837544759</v>
      </c>
      <c r="M44" s="10">
        <v>1.7961932173386517E-2</v>
      </c>
      <c r="N44" s="10">
        <v>16.094139975212617</v>
      </c>
      <c r="O44" s="47">
        <v>11075.8431372549</v>
      </c>
      <c r="P44" s="47">
        <v>1852.6117647058825</v>
      </c>
      <c r="Q44" s="5">
        <v>27.888888888888889</v>
      </c>
      <c r="R44" s="5">
        <v>42.333333333333336</v>
      </c>
      <c r="S44" s="170">
        <v>0.39154670574375766</v>
      </c>
      <c r="T44" s="165">
        <v>0.59490561158520816</v>
      </c>
      <c r="U44" s="26">
        <f>(Table1[[#This Row],[In-Tok]]+Table1[[#This Row],[Out-Tok]])*Table1[[#This Row],[RPS]]</f>
        <v>11800</v>
      </c>
      <c r="V44" s="54">
        <f>Table1[[#This Row],[In-Tok]]+AvgOutLoad*Table1[[#This Row],[Out-Tok]]</f>
        <v>5450</v>
      </c>
      <c r="W44" s="20">
        <f>Table1[[#This Row],[In-Tok]]*Table1[[#This Row],[RPS]]</f>
        <v>10000</v>
      </c>
      <c r="X44" s="35">
        <f>Table1[[#This Row],[Out-Tok]]*Table1[[#This Row],[RPS]]</f>
        <v>1800</v>
      </c>
      <c r="Y44" s="75">
        <f>Table1[[#This Row],[In-Tok]]/Table1[[#This Row],[Out-Tok]]</f>
        <v>5.5555555555555554</v>
      </c>
      <c r="Z44" s="26">
        <f>Table1[[#This Row],[In-Tok]]*Table1[[#This Row],[N]]+AvgOutLoad*Table1[[#This Row],[Out-Tok]]*Table1[[#This Row],[Ndecode]]</f>
        <v>183499.45356604704</v>
      </c>
      <c r="AA44" s="20">
        <f>Table1[[#This Row],[tok(N)]]/Table1[[#This Row],[Kvcache]]</f>
        <v>468652.78362509253</v>
      </c>
      <c r="AB44" s="20">
        <f>Table1[[#This Row],[tok/req]]*Table1[[#This Row],[Run]]</f>
        <v>151994.44444444444</v>
      </c>
      <c r="AC44" s="20">
        <f>Table1[[#This Row],[tok(Run)]]/Table1[[#This Row],[Kvcache]]</f>
        <v>388189.81800836581</v>
      </c>
      <c r="AD44" s="20">
        <f>Table1[[#This Row],[tok/req]]*Table1[[#This Row],[MaxRun]]</f>
        <v>230716.66666666669</v>
      </c>
      <c r="AE44" s="20">
        <f>Table1[[#This Row],[tok(MaxRun)]]/Table1[[#This Row],[MaxKvcache]]</f>
        <v>387820.62595088029</v>
      </c>
      <c r="AF44" s="75">
        <f>Table1[[#This Row],[PPS]]*Table1[[#This Row],[Prefill]]/Table1[[#This Row],[In-Tok]]</f>
        <v>0.42852003443059766</v>
      </c>
      <c r="AG44" s="22">
        <f>Table1[[#This Row],[GPS]]*Table1[[#This Row],[ITL]]</f>
        <v>33.276486861264964</v>
      </c>
      <c r="AH44" s="22">
        <f>Table1[[#This Row],[Nprefill]]+Table1[[#This Row],[Ndecode]]</f>
        <v>33.705006895695561</v>
      </c>
      <c r="AI44" s="34">
        <f>Table1[[#This Row],[Run]]/Table1[[#This Row],[ITL]]/Table1[[#This Row],[GPS]]</f>
        <v>0.8380959506080724</v>
      </c>
      <c r="AJ44" s="64">
        <f>Table1[[#This Row],[Prefill]]+Table1[[#This Row],[ITL]]</f>
        <v>0.21140997451213189</v>
      </c>
      <c r="AK44" s="34">
        <f>Table1[[#This Row],[TTFT]]/Table1[[#This Row],[estTTFT]]</f>
        <v>0.82475031940661081</v>
      </c>
      <c r="AL44" s="22">
        <f>Table1[[#This Row],[In-Tok]]*Table1[[#This Row],[RPS]]/Table1[[#This Row],[PPS]]</f>
        <v>0.90286580227593005</v>
      </c>
      <c r="AM44" s="34">
        <f>Table1[[#This Row],[Prefill]]/Table1[[#This Row],[estPrefill]]</f>
        <v>0.21426001721529886</v>
      </c>
      <c r="AN44" s="34">
        <f>Table1[[#This Row],[Prefill]]/Table1[[#This Row],[TTFT]]</f>
        <v>1.1094720677220513</v>
      </c>
      <c r="AO44" s="64">
        <f>Table1[[#This Row],[Run]]/(Table1[[#This Row],[Out-Tok]]*Table1[[#This Row],[RPS]])</f>
        <v>1.5493827160493828E-2</v>
      </c>
      <c r="AP44" s="34">
        <f>Table1[[#This Row],[ITL]]/Table1[[#This Row],[estITL]]</f>
        <v>1.1592960207524365</v>
      </c>
      <c r="AQ44" s="69">
        <f>Table1[[#This Row],[E2E]]-Table1[[#This Row],[TTFT]]+Table1[[#This Row],[ITL]]</f>
        <v>15.93774146338138</v>
      </c>
      <c r="AR44" s="34">
        <f>Table1[[#This Row],[estDecode]]/Table1[[#This Row],[Run]]</f>
        <v>0.57147280147582635</v>
      </c>
      <c r="AS44" s="69">
        <f>Table1[[#This Row],[Prefill]]+Table1[[#This Row],[Out-Tok]]*Table1[[#This Row],[ITL]]</f>
        <v>16.359186998386608</v>
      </c>
      <c r="AT44" s="22">
        <f>Table1[[#This Row],[estPrefill]]+Table1[[#This Row],[Out-Tok]]*Table1[[#This Row],[ITL]]</f>
        <v>17.068604758323794</v>
      </c>
      <c r="AU44" s="34">
        <f>Table1[[#This Row],[E2E]]/Table1[[#This Row],[estE2E]]</f>
        <v>0.94290893737896397</v>
      </c>
      <c r="AV44" s="22">
        <f>Table1[[#This Row],[N]]/Table1[[#This Row],[estE2E]]</f>
        <v>1.9746785031892395</v>
      </c>
      <c r="AW44" s="22">
        <f>Table1[[#This Row],[PPS]]/Table1[[#This Row],[In-Tok]]</f>
        <v>2.2151686274509799</v>
      </c>
      <c r="AX44" s="34">
        <f>Table1[[#This Row],[RPS]]/Table1[[#This Row],[RPS(IL)]]</f>
        <v>0.90286580227593016</v>
      </c>
      <c r="AY44" s="22">
        <f>Table1[[#This Row],[GPS]]/Table1[[#This Row],[Out-Tok]]</f>
        <v>2.0584575163398693</v>
      </c>
      <c r="AZ44" s="89">
        <f>Table1[[#This Row],[RPS]]/Table1[[#This Row],[RPS(OL)]]</f>
        <v>0.971601300548669</v>
      </c>
      <c r="BA44" s="131">
        <f>MaxTok/Table1[[#This Row],[tok/req]]</f>
        <v>71.176561833496379</v>
      </c>
      <c r="BB44" s="34">
        <f>Table1[[#This Row],[N]]/Table1[[#This Row],[N-max]]</f>
        <v>0.47354081213618915</v>
      </c>
      <c r="BC44" s="69">
        <f>Table1[[#This Row],[RPS]]</f>
        <v>2</v>
      </c>
      <c r="BD44" s="48">
        <f>Table1[[#This Row],[PPS]]/Table1[[#This Row],[RPS success]]</f>
        <v>5537.9215686274501</v>
      </c>
      <c r="BE44" s="34">
        <f>ABS(Table1[[#This Row],[est-In-Tok3]]-Table1[[#This Row],[In-Tok]])/Table1[[#This Row],[In-Tok]]</f>
        <v>0.10758431372549003</v>
      </c>
      <c r="BF44" s="48">
        <f>Table1[[#This Row],[GPS]]/Table1[[#This Row],[RPS success]]</f>
        <v>926.30588235294124</v>
      </c>
      <c r="BG44" s="34">
        <f>ABS(Table1[[#This Row],[est-Out-Tok3]]-Table1[[#This Row],[Out-Tok]])/Table1[[#This Row],[Out-Tok]]</f>
        <v>2.9228758169934709E-2</v>
      </c>
      <c r="BH44" s="157">
        <f>Table1[[#This Row],[est-In-Tok3]]+AvgOutLoad*Table1[[#This Row],[est-Out-Tok3]]</f>
        <v>6001.0745098039206</v>
      </c>
      <c r="BI44" s="34">
        <f>ABS(Table1[[#This Row],[est-Tok/Req3]]-Table1[[#This Row],[tok/req]])/Table1[[#This Row],[tok/req]]</f>
        <v>0.10111458895484782</v>
      </c>
      <c r="BJ44" s="157">
        <f>MaxTok/Table1[[#This Row],[est-Tok/Req3]]</f>
        <v>64.640467529410827</v>
      </c>
      <c r="BK44" s="34">
        <f>ABS(Table1[[#This Row],[est-N-max3]]-Table1[[#This Row],[N-max]])/Table1[[#This Row],[N-max]]</f>
        <v>9.1829306385653522E-2</v>
      </c>
      <c r="BL44" s="69">
        <f>MaxTok*Table1[[#This Row],[Kvcache]]/Table1[[#This Row],[Run]]</f>
        <v>5446.10324584522</v>
      </c>
      <c r="BM44" s="165">
        <f>ABS(Table1[[#This Row],[est-Tok/Req]]-Table1[[#This Row],[tok/req]])/Table1[[#This Row],[tok/req]]</f>
        <v>7.1500076234494599E-4</v>
      </c>
      <c r="BN44" s="69">
        <f>MaxTok/Table1[[#This Row],[est-Tok/Req]]</f>
        <v>71.227489542819413</v>
      </c>
      <c r="BO44" s="175">
        <f>Table1[[#This Row],[Run]]/Table1[[#This Row],[Kvcache]]</f>
        <v>71.227489542819413</v>
      </c>
      <c r="BP44" s="131" cm="1">
        <f t="array" aca="1" ref="BP44" ca="1">_xlfn.CEILING.MATH(INDIRECT("Table1"&amp;BP$3)/BP$2)*BP$2</f>
        <v>6000</v>
      </c>
      <c r="BQ44" s="182" cm="1">
        <f t="array" aca="1" ref="BQ44" ca="1">_xlfn.CEILING.MATH(INDIRECT("Table1"&amp;BQ$3)/BQ$2)*BQ$2</f>
        <v>0.02</v>
      </c>
      <c r="BR44" s="34" cm="1">
        <f t="array" aca="1" ref="BR44" ca="1">_xlfn.CEILING.MATH(INDIRECT("Table1"&amp;BR$3)/BR$2)*BR$2</f>
        <v>0.4</v>
      </c>
      <c r="BS44" s="34" cm="1">
        <f t="array" aca="1" ref="BS44" ca="1">_xlfn.CEILING.MATH(INDIRECT("Table1"&amp;BS$3)/BS$2)*BS$2</f>
        <v>0.4</v>
      </c>
      <c r="BT44" s="20" cm="1">
        <f t="array" aca="1" ref="BT44" ca="1">_xlfn.CEILING.MATH(INDIRECT("Table1"&amp;BT$3)/BT$2)*BT$2</f>
        <v>28</v>
      </c>
      <c r="BU44" s="131" cm="1">
        <f t="array" aca="1" ref="BU44" ca="1">_xlfn.CEILING.MATH(INDIRECT("Table1"&amp;BU$3)/BU$2)*BU$2</f>
        <v>10</v>
      </c>
      <c r="BV44" s="131" cm="1">
        <f t="array" aca="1" ref="BV44" ca="1">_xlfn.CEILING.MATH(INDIRECT("Table1"&amp;BV$3)/BV$2)*BV$2</f>
        <v>5000</v>
      </c>
      <c r="BW44" s="34"/>
      <c r="BX44" s="34"/>
      <c r="BY44" s="190">
        <v>0.59490561158520816</v>
      </c>
      <c r="BZ44" s="34"/>
      <c r="CA44" s="24">
        <f>(Table1[[#This Row],[In-Tok]]+Table1[[#This Row],[Out-Tok]])*Table1[[#This Row],[RPS]]</f>
        <v>11800</v>
      </c>
      <c r="CB44" s="20">
        <f t="shared" si="17"/>
        <v>387820.62595088029</v>
      </c>
      <c r="CC44" s="20">
        <f>Table1[[#This Row],[Supply]]/(Table1[[#This Row],[Prefill]]+Table1[[#This Row],[Out-Tok]]*Table1[[#This Row],[ITL]])</f>
        <v>23706.595320973367</v>
      </c>
      <c r="CD44" s="20">
        <f>Table1[[#This Row],[MaxRun]]/Table1[[#This Row],[ITL]]</f>
        <v>2356.8362760024756</v>
      </c>
      <c r="CE44" s="20">
        <f>Table1[[#This Row],[Out-Tok]]*Table1[[#This Row],[RPS]]</f>
        <v>1800</v>
      </c>
      <c r="CF44" s="22">
        <f>Table1[[#This Row],[Supply]]/Table1[[#This Row],[Demand-T]]</f>
        <v>32.866154741600027</v>
      </c>
      <c r="CG44" s="22"/>
      <c r="CH44" s="71">
        <f>Table1[[#This Row],[Prefill]]+Table1[[#This Row],[Out-Tok]]*Table1[[#This Row],[ITL]]</f>
        <v>16.359186998386608</v>
      </c>
      <c r="CI44" s="71">
        <f>Table1[[#This Row],[GPS]]*Table1[[#This Row],[ITL]]</f>
        <v>33.276486861264964</v>
      </c>
      <c r="CJ44" s="72">
        <f>Table1[[#This Row],[PPS]]*Table1[[#This Row],[Prefill]]/Table1[[#This Row],[In-Tok]]</f>
        <v>0.42852003443059766</v>
      </c>
      <c r="CK44" s="71">
        <f t="shared" si="12"/>
        <v>33.705006895695561</v>
      </c>
      <c r="CL44" s="71">
        <f>Table1[[#This Row],[PPS]]/Table1[[#This Row],[In-Tok]]</f>
        <v>2.2151686274509799</v>
      </c>
      <c r="CM44" s="71">
        <f>Table1[[#This Row],[GPS]]/Table1[[#This Row],[Out-Tok]]</f>
        <v>2.0584575163398693</v>
      </c>
      <c r="CN44" s="71">
        <f>Table1[[#This Row],[Run]]/Table1[[#This Row],[E2E]]</f>
        <v>1.7328598441322089</v>
      </c>
      <c r="CO44" s="71">
        <f>Table1[[#This Row],[N2]]/Table1[[#This Row],[E2E]]</f>
        <v>2.0942409440707186</v>
      </c>
      <c r="CP44" s="71"/>
      <c r="CQ44" s="71">
        <f>Table1[[#This Row],[In-Tok]]+AvgOutLoad*Table1[[#This Row],[Out-Tok]]</f>
        <v>5450</v>
      </c>
      <c r="CR44" s="71">
        <f t="shared" si="13"/>
        <v>390820.2162742014</v>
      </c>
      <c r="CS44" s="71" t="e">
        <f t="shared" si="14"/>
        <v>#DIV/0!</v>
      </c>
      <c r="CT44" s="71" t="e">
        <f t="shared" si="18"/>
        <v>#DIV/0!</v>
      </c>
      <c r="CU44" s="71">
        <f t="shared" si="15"/>
        <v>0</v>
      </c>
      <c r="CV44" s="71" t="e">
        <f t="shared" si="16"/>
        <v>#DIV/0!</v>
      </c>
      <c r="CW44" s="71">
        <f>Table1[[#This Row],[N(maxT)]]/Table1[[#This Row],[e2e sat]]</f>
        <v>0</v>
      </c>
      <c r="CX44" s="71" t="e">
        <f>Table1[[#This Row],[RPS]]/CW44</f>
        <v>#DIV/0!</v>
      </c>
      <c r="CY44" s="110" t="e">
        <f>Table1[[#This Row],[Kvcache]]/$T$4</f>
        <v>#DIV/0!</v>
      </c>
      <c r="GJ44"/>
    </row>
    <row r="45" spans="1:192" hidden="1" x14ac:dyDescent="0.25">
      <c r="A45" s="3">
        <v>5000</v>
      </c>
      <c r="B45" s="3">
        <v>1000</v>
      </c>
      <c r="C45">
        <v>2</v>
      </c>
      <c r="D45" s="199">
        <f>Table1[[#This Row],[Kvcache]]</f>
        <v>0.49386129038198118</v>
      </c>
      <c r="E45" s="203" t="s">
        <v>138</v>
      </c>
      <c r="F45" s="219">
        <v>46092</v>
      </c>
      <c r="G45" s="10"/>
      <c r="H45" s="10">
        <v>0.18828923375344761</v>
      </c>
      <c r="I45" s="10">
        <v>0.16248296045972282</v>
      </c>
      <c r="J45" s="10">
        <v>1.1704781419399841</v>
      </c>
      <c r="K45" s="10">
        <v>3.2295448025067626</v>
      </c>
      <c r="L45" s="10">
        <v>4.105344993273417</v>
      </c>
      <c r="M45" s="10">
        <v>2.0872182953329547E-2</v>
      </c>
      <c r="N45" s="10">
        <v>20.658373428792796</v>
      </c>
      <c r="O45" s="47">
        <v>11753.010185185187</v>
      </c>
      <c r="P45" s="47">
        <v>2126.0847222222224</v>
      </c>
      <c r="Q45" s="5">
        <v>34.896800825593395</v>
      </c>
      <c r="R45" s="5">
        <v>54</v>
      </c>
      <c r="S45" s="170">
        <v>0.49386129038198118</v>
      </c>
      <c r="T45" s="165">
        <v>0.76237393328161362</v>
      </c>
      <c r="U45" s="26">
        <f>(Table1[[#This Row],[In-Tok]]+Table1[[#This Row],[Out-Tok]])*Table1[[#This Row],[RPS]]</f>
        <v>12000</v>
      </c>
      <c r="V45" s="54">
        <f>Table1[[#This Row],[In-Tok]]+AvgOutLoad*Table1[[#This Row],[Out-Tok]]</f>
        <v>5500</v>
      </c>
      <c r="W45" s="20">
        <f>Table1[[#This Row],[In-Tok]]*Table1[[#This Row],[RPS]]</f>
        <v>10000</v>
      </c>
      <c r="X45" s="35">
        <f>Table1[[#This Row],[Out-Tok]]*Table1[[#This Row],[RPS]]</f>
        <v>2000</v>
      </c>
      <c r="Y45" s="75">
        <f>Table1[[#This Row],[In-Tok]]/Table1[[#This Row],[Out-Tok]]</f>
        <v>5</v>
      </c>
      <c r="Z45" s="26">
        <f>Table1[[#This Row],[In-Tok]]*Table1[[#This Row],[N]]+AvgOutLoad*Table1[[#This Row],[Out-Tok]]*Table1[[#This Row],[Ndecode]]</f>
        <v>245977.82501995796</v>
      </c>
      <c r="AA45" s="20">
        <f>Table1[[#This Row],[tok(N)]]/Table1[[#This Row],[Kvcache]]</f>
        <v>498070.67249531613</v>
      </c>
      <c r="AB45" s="20">
        <f>Table1[[#This Row],[tok/req]]*Table1[[#This Row],[Run]]</f>
        <v>191932.40454076367</v>
      </c>
      <c r="AC45" s="20">
        <f>Table1[[#This Row],[tok(Run)]]/Table1[[#This Row],[Kvcache]]</f>
        <v>388636.25936811516</v>
      </c>
      <c r="AD45" s="20">
        <f>Table1[[#This Row],[tok/req]]*Table1[[#This Row],[MaxRun]]</f>
        <v>297000</v>
      </c>
      <c r="AE45" s="20">
        <f>Table1[[#This Row],[tok(MaxRun)]]/Table1[[#This Row],[MaxKvcache]]</f>
        <v>389572.6060852753</v>
      </c>
      <c r="AF45" s="75">
        <f>Table1[[#This Row],[PPS]]*Table1[[#This Row],[Prefill]]/Table1[[#This Row],[In-Tok]]</f>
        <v>0.38193277784043289</v>
      </c>
      <c r="AG45" s="22">
        <f>Table1[[#This Row],[GPS]]*Table1[[#This Row],[ITL]]</f>
        <v>44.376029296501052</v>
      </c>
      <c r="AH45" s="22">
        <f>Table1[[#This Row],[Nprefill]]+Table1[[#This Row],[Ndecode]]</f>
        <v>44.757962074341485</v>
      </c>
      <c r="AI45" s="34">
        <f>Table1[[#This Row],[Run]]/Table1[[#This Row],[ITL]]/Table1[[#This Row],[GPS]]</f>
        <v>0.78638853856049995</v>
      </c>
      <c r="AJ45" s="64">
        <f>Table1[[#This Row],[Prefill]]+Table1[[#This Row],[ITL]]</f>
        <v>0.18335514341305237</v>
      </c>
      <c r="AK45" s="34">
        <f>Table1[[#This Row],[TTFT]]/Table1[[#This Row],[estTTFT]]</f>
        <v>1.0269100187131375</v>
      </c>
      <c r="AL45" s="22">
        <f>Table1[[#This Row],[In-Tok]]*Table1[[#This Row],[RPS]]/Table1[[#This Row],[PPS]]</f>
        <v>0.85084585501381782</v>
      </c>
      <c r="AM45" s="34">
        <f>Table1[[#This Row],[Prefill]]/Table1[[#This Row],[estPrefill]]</f>
        <v>0.19096638892021645</v>
      </c>
      <c r="AN45" s="34">
        <f>Table1[[#This Row],[Prefill]]/Table1[[#This Row],[TTFT]]</f>
        <v>0.86294344727369587</v>
      </c>
      <c r="AO45" s="64">
        <f>Table1[[#This Row],[Run]]/(Table1[[#This Row],[Out-Tok]]*Table1[[#This Row],[RPS]])</f>
        <v>1.7448400412796699E-2</v>
      </c>
      <c r="AP45" s="34">
        <f>Table1[[#This Row],[ITL]]/Table1[[#This Row],[estITL]]</f>
        <v>1.1962232903608652</v>
      </c>
      <c r="AQ45" s="69">
        <f>Table1[[#This Row],[E2E]]-Table1[[#This Row],[TTFT]]+Table1[[#This Row],[ITL]]</f>
        <v>20.490956377992678</v>
      </c>
      <c r="AR45" s="34">
        <f>Table1[[#This Row],[estDecode]]/Table1[[#This Row],[Run]]</f>
        <v>0.58718724620064777</v>
      </c>
      <c r="AS45" s="69">
        <f>Table1[[#This Row],[Prefill]]+Table1[[#This Row],[Out-Tok]]*Table1[[#This Row],[ITL]]</f>
        <v>21.034665913789269</v>
      </c>
      <c r="AT45" s="22">
        <f>Table1[[#This Row],[estPrefill]]+Table1[[#This Row],[Out-Tok]]*Table1[[#This Row],[ITL]]</f>
        <v>21.723028808343365</v>
      </c>
      <c r="AU45" s="34">
        <f>Table1[[#This Row],[E2E]]/Table1[[#This Row],[estE2E]]</f>
        <v>0.95098955173591371</v>
      </c>
      <c r="AV45" s="22">
        <f>Table1[[#This Row],[N]]/Table1[[#This Row],[estE2E]]</f>
        <v>2.0603923361345853</v>
      </c>
      <c r="AW45" s="22">
        <f>Table1[[#This Row],[PPS]]/Table1[[#This Row],[In-Tok]]</f>
        <v>2.3506020370370373</v>
      </c>
      <c r="AX45" s="34">
        <f>Table1[[#This Row],[RPS]]/Table1[[#This Row],[RPS(IL)]]</f>
        <v>0.85084585501381793</v>
      </c>
      <c r="AY45" s="22">
        <f>Table1[[#This Row],[GPS]]/Table1[[#This Row],[Out-Tok]]</f>
        <v>2.1260847222222226</v>
      </c>
      <c r="AZ45" s="89">
        <f>Table1[[#This Row],[RPS]]/Table1[[#This Row],[RPS(OL)]]</f>
        <v>0.94069628509891345</v>
      </c>
      <c r="BA45" s="131">
        <f>MaxTok/Table1[[#This Row],[tok/req]]</f>
        <v>70.529502180464604</v>
      </c>
      <c r="BB45" s="34">
        <f>Table1[[#This Row],[N]]/Table1[[#This Row],[N-max]]</f>
        <v>0.63459914915915328</v>
      </c>
      <c r="BC45" s="69">
        <f>Table1[[#This Row],[RPS]]</f>
        <v>2</v>
      </c>
      <c r="BD45" s="48">
        <f>Table1[[#This Row],[PPS]]/Table1[[#This Row],[RPS success]]</f>
        <v>5876.5050925925934</v>
      </c>
      <c r="BE45" s="34">
        <f>ABS(Table1[[#This Row],[est-In-Tok3]]-Table1[[#This Row],[In-Tok]])/Table1[[#This Row],[In-Tok]]</f>
        <v>0.17530101851851868</v>
      </c>
      <c r="BF45" s="48">
        <f>Table1[[#This Row],[GPS]]/Table1[[#This Row],[RPS success]]</f>
        <v>1063.0423611111112</v>
      </c>
      <c r="BG45" s="34">
        <f>ABS(Table1[[#This Row],[est-Out-Tok3]]-Table1[[#This Row],[Out-Tok]])/Table1[[#This Row],[Out-Tok]]</f>
        <v>6.3042361111111181E-2</v>
      </c>
      <c r="BH45" s="157">
        <f>Table1[[#This Row],[est-In-Tok3]]+AvgOutLoad*Table1[[#This Row],[est-Out-Tok3]]</f>
        <v>6408.0262731481489</v>
      </c>
      <c r="BI45" s="34">
        <f>ABS(Table1[[#This Row],[est-Tok/Req3]]-Table1[[#This Row],[tok/req]])/Table1[[#This Row],[tok/req]]</f>
        <v>0.16509568602693617</v>
      </c>
      <c r="BJ45" s="157">
        <f>MaxTok/Table1[[#This Row],[est-Tok/Req3]]</f>
        <v>60.535373211255724</v>
      </c>
      <c r="BK45" s="34">
        <f>ABS(Table1[[#This Row],[est-N-max3]]-Table1[[#This Row],[N-max]])/Table1[[#This Row],[N-max]]</f>
        <v>0.14170139672383897</v>
      </c>
      <c r="BL45" s="69">
        <f>MaxTok*Table1[[#This Row],[Kvcache]]/Table1[[#This Row],[Run]]</f>
        <v>5489.7539525209158</v>
      </c>
      <c r="BM45" s="165">
        <f>ABS(Table1[[#This Row],[est-Tok/Req]]-Table1[[#This Row],[tok/req]])/Table1[[#This Row],[tok/req]]</f>
        <v>1.8629177234698463E-3</v>
      </c>
      <c r="BN45" s="69">
        <f>MaxTok/Table1[[#This Row],[est-Tok/Req]]</f>
        <v>70.661138066930036</v>
      </c>
      <c r="BO45" s="175">
        <f>Table1[[#This Row],[Run]]/Table1[[#This Row],[Kvcache]]</f>
        <v>70.661138066930036</v>
      </c>
      <c r="BP45" s="131" cm="1">
        <f t="array" aca="1" ref="BP45" ca="1">_xlfn.CEILING.MATH(INDIRECT("Table1"&amp;BP$3)/BP$2)*BP$2</f>
        <v>6000</v>
      </c>
      <c r="BQ45" s="182" cm="1">
        <f t="array" aca="1" ref="BQ45" ca="1">_xlfn.CEILING.MATH(INDIRECT("Table1"&amp;BQ$3)/BQ$2)*BQ$2</f>
        <v>2.5000000000000001E-2</v>
      </c>
      <c r="BR45" s="34" cm="1">
        <f t="array" aca="1" ref="BR45" ca="1">_xlfn.CEILING.MATH(INDIRECT("Table1"&amp;BR$3)/BR$2)*BR$2</f>
        <v>0.5</v>
      </c>
      <c r="BS45" s="34" cm="1">
        <f t="array" aca="1" ref="BS45" ca="1">_xlfn.CEILING.MATH(INDIRECT("Table1"&amp;BS$3)/BS$2)*BS$2</f>
        <v>0.5</v>
      </c>
      <c r="BT45" s="20" cm="1">
        <f t="array" aca="1" ref="BT45" ca="1">_xlfn.CEILING.MATH(INDIRECT("Table1"&amp;BT$3)/BT$2)*BT$2</f>
        <v>35</v>
      </c>
      <c r="BU45" s="131" cm="1">
        <f t="array" aca="1" ref="BU45" ca="1">_xlfn.CEILING.MATH(INDIRECT("Table1"&amp;BU$3)/BU$2)*BU$2</f>
        <v>5</v>
      </c>
      <c r="BV45" s="131" cm="1">
        <f t="array" aca="1" ref="BV45" ca="1">_xlfn.CEILING.MATH(INDIRECT("Table1"&amp;BV$3)/BV$2)*BV$2</f>
        <v>5000</v>
      </c>
      <c r="BW45" s="34"/>
      <c r="BX45" s="34"/>
      <c r="BY45" s="190">
        <v>0.76237393328161362</v>
      </c>
      <c r="BZ45" s="34"/>
      <c r="CA45" s="24">
        <f>(Table1[[#This Row],[In-Tok]]+Table1[[#This Row],[Out-Tok]])*Table1[[#This Row],[RPS]]</f>
        <v>12000</v>
      </c>
      <c r="CB45" s="20">
        <f t="shared" si="17"/>
        <v>389572.6060852753</v>
      </c>
      <c r="CC45" s="20">
        <f>Table1[[#This Row],[Supply]]/(Table1[[#This Row],[Prefill]]+Table1[[#This Row],[Out-Tok]]*Table1[[#This Row],[ITL]])</f>
        <v>18520.503614459172</v>
      </c>
      <c r="CD45" s="20">
        <f>Table1[[#This Row],[MaxRun]]/Table1[[#This Row],[ITL]]</f>
        <v>2587.1754823510628</v>
      </c>
      <c r="CE45" s="20">
        <f>Table1[[#This Row],[Out-Tok]]*Table1[[#This Row],[RPS]]</f>
        <v>2000</v>
      </c>
      <c r="CF45" s="22">
        <f>Table1[[#This Row],[Supply]]/Table1[[#This Row],[Demand-T]]</f>
        <v>32.464383840439609</v>
      </c>
      <c r="CG45" s="22"/>
      <c r="CH45" s="71">
        <f>Table1[[#This Row],[Prefill]]+Table1[[#This Row],[Out-Tok]]*Table1[[#This Row],[ITL]]</f>
        <v>21.034665913789269</v>
      </c>
      <c r="CI45" s="71">
        <f>Table1[[#This Row],[GPS]]*Table1[[#This Row],[ITL]]</f>
        <v>44.376029296501052</v>
      </c>
      <c r="CJ45" s="72">
        <f>Table1[[#This Row],[PPS]]*Table1[[#This Row],[Prefill]]/Table1[[#This Row],[In-Tok]]</f>
        <v>0.38193277784043289</v>
      </c>
      <c r="CK45" s="71">
        <f t="shared" si="12"/>
        <v>44.757962074341485</v>
      </c>
      <c r="CL45" s="71">
        <f>Table1[[#This Row],[PPS]]/Table1[[#This Row],[In-Tok]]</f>
        <v>2.3506020370370373</v>
      </c>
      <c r="CM45" s="71">
        <f>Table1[[#This Row],[GPS]]/Table1[[#This Row],[Out-Tok]]</f>
        <v>2.1260847222222226</v>
      </c>
      <c r="CN45" s="71">
        <f>Table1[[#This Row],[Run]]/Table1[[#This Row],[E2E]]</f>
        <v>1.6892327436077645</v>
      </c>
      <c r="CO45" s="71">
        <f>Table1[[#This Row],[N2]]/Table1[[#This Row],[E2E]]</f>
        <v>2.1665772587864867</v>
      </c>
      <c r="CP45" s="71"/>
      <c r="CQ45" s="71">
        <f>Table1[[#This Row],[In-Tok]]+AvgOutLoad*Table1[[#This Row],[Out-Tok]]</f>
        <v>5500</v>
      </c>
      <c r="CR45" s="71">
        <f t="shared" si="13"/>
        <v>438310.03301549674</v>
      </c>
      <c r="CS45" s="71" t="e">
        <f t="shared" si="14"/>
        <v>#DIV/0!</v>
      </c>
      <c r="CT45" s="71" t="e">
        <f t="shared" si="18"/>
        <v>#DIV/0!</v>
      </c>
      <c r="CU45" s="71">
        <f t="shared" si="15"/>
        <v>0</v>
      </c>
      <c r="CV45" s="71" t="e">
        <f t="shared" si="16"/>
        <v>#DIV/0!</v>
      </c>
      <c r="CW45" s="71">
        <f>Table1[[#This Row],[N(maxT)]]/Table1[[#This Row],[e2e sat]]</f>
        <v>0</v>
      </c>
      <c r="CX45" s="71" t="e">
        <f>Table1[[#This Row],[RPS]]/CW45</f>
        <v>#DIV/0!</v>
      </c>
      <c r="CY45" s="110" t="e">
        <f>Table1[[#This Row],[Kvcache]]/$T$4</f>
        <v>#DIV/0!</v>
      </c>
      <c r="GJ45"/>
    </row>
    <row r="46" spans="1:192" hidden="1" x14ac:dyDescent="0.25">
      <c r="A46" s="3">
        <v>5000</v>
      </c>
      <c r="B46" s="3">
        <v>1100</v>
      </c>
      <c r="C46">
        <v>2</v>
      </c>
      <c r="D46" s="199">
        <f>Table1[[#This Row],[Kvcache]]</f>
        <v>0.43729828190854692</v>
      </c>
      <c r="E46" s="203" t="s">
        <v>138</v>
      </c>
      <c r="F46" s="219">
        <v>46092</v>
      </c>
      <c r="G46" s="10"/>
      <c r="H46" s="10">
        <v>0.23504210296204842</v>
      </c>
      <c r="I46" s="10">
        <v>0.20141286979510664</v>
      </c>
      <c r="J46" s="10">
        <v>1.3894296544767464</v>
      </c>
      <c r="K46" s="10">
        <v>3.5152292529741924</v>
      </c>
      <c r="L46" s="10">
        <v>3.620838298797608</v>
      </c>
      <c r="M46" s="10">
        <v>1.8766042390591448E-2</v>
      </c>
      <c r="N46" s="10">
        <v>20.971273956765248</v>
      </c>
      <c r="O46" s="47">
        <v>10473.480827886708</v>
      </c>
      <c r="P46" s="47">
        <v>2125.919564270152</v>
      </c>
      <c r="Q46" s="5">
        <v>30.68896198830409</v>
      </c>
      <c r="R46" s="5">
        <v>46</v>
      </c>
      <c r="S46" s="170">
        <v>0.43729828190854692</v>
      </c>
      <c r="T46" s="165">
        <v>0.65254719420739582</v>
      </c>
      <c r="U46" s="26">
        <f>(Table1[[#This Row],[In-Tok]]+Table1[[#This Row],[Out-Tok]])*Table1[[#This Row],[RPS]]</f>
        <v>12200</v>
      </c>
      <c r="V46" s="54">
        <f>Table1[[#This Row],[In-Tok]]+AvgOutLoad*Table1[[#This Row],[Out-Tok]]</f>
        <v>5550</v>
      </c>
      <c r="W46" s="20">
        <f>Table1[[#This Row],[In-Tok]]*Table1[[#This Row],[RPS]]</f>
        <v>10000</v>
      </c>
      <c r="X46" s="35">
        <f>Table1[[#This Row],[Out-Tok]]*Table1[[#This Row],[RPS]]</f>
        <v>2200</v>
      </c>
      <c r="Y46" s="75">
        <f>Table1[[#This Row],[In-Tok]]/Table1[[#This Row],[Out-Tok]]</f>
        <v>4.5454545454545459</v>
      </c>
      <c r="Z46" s="26">
        <f>Table1[[#This Row],[In-Tok]]*Table1[[#This Row],[N]]+AvgOutLoad*Table1[[#This Row],[Out-Tok]]*Table1[[#This Row],[Ndecode]]</f>
        <v>223527.2803048403</v>
      </c>
      <c r="AA46" s="20">
        <f>Table1[[#This Row],[tok(N)]]/Table1[[#This Row],[Kvcache]]</f>
        <v>511155.17611749278</v>
      </c>
      <c r="AB46" s="20">
        <f>Table1[[#This Row],[tok/req]]*Table1[[#This Row],[Run]]</f>
        <v>170323.7390350877</v>
      </c>
      <c r="AC46" s="20">
        <f>Table1[[#This Row],[tok(Run)]]/Table1[[#This Row],[Kvcache]]</f>
        <v>389490.98608786176</v>
      </c>
      <c r="AD46" s="20">
        <f>Table1[[#This Row],[tok/req]]*Table1[[#This Row],[MaxRun]]</f>
        <v>255300</v>
      </c>
      <c r="AE46" s="20">
        <f>Table1[[#This Row],[tok(MaxRun)]]/Table1[[#This Row],[MaxKvcache]]</f>
        <v>391236.07038123172</v>
      </c>
      <c r="AF46" s="75">
        <f>Table1[[#This Row],[PPS]]*Table1[[#This Row],[Prefill]]/Table1[[#This Row],[In-Tok]]</f>
        <v>0.42189876605773824</v>
      </c>
      <c r="AG46" s="22">
        <f>Table1[[#This Row],[GPS]]*Table1[[#This Row],[ITL]]</f>
        <v>39.895096662081372</v>
      </c>
      <c r="AH46" s="22">
        <f>Table1[[#This Row],[Nprefill]]+Table1[[#This Row],[Ndecode]]</f>
        <v>40.316995428139109</v>
      </c>
      <c r="AI46" s="34">
        <f>Table1[[#This Row],[Run]]/Table1[[#This Row],[ITL]]/Table1[[#This Row],[GPS]]</f>
        <v>0.76924144960081453</v>
      </c>
      <c r="AJ46" s="64">
        <f>Table1[[#This Row],[Prefill]]+Table1[[#This Row],[ITL]]</f>
        <v>0.2201789121856981</v>
      </c>
      <c r="AK46" s="34">
        <f>Table1[[#This Row],[TTFT]]/Table1[[#This Row],[estTTFT]]</f>
        <v>1.0675050604474545</v>
      </c>
      <c r="AL46" s="22">
        <f>Table1[[#This Row],[In-Tok]]*Table1[[#This Row],[RPS]]/Table1[[#This Row],[PPS]]</f>
        <v>0.9547924099287014</v>
      </c>
      <c r="AM46" s="34">
        <f>Table1[[#This Row],[Prefill]]/Table1[[#This Row],[estPrefill]]</f>
        <v>0.21094938302886912</v>
      </c>
      <c r="AN46" s="34">
        <f>Table1[[#This Row],[Prefill]]/Table1[[#This Row],[TTFT]]</f>
        <v>0.85692251412347265</v>
      </c>
      <c r="AO46" s="64">
        <f>Table1[[#This Row],[Run]]/(Table1[[#This Row],[Out-Tok]]*Table1[[#This Row],[RPS]])</f>
        <v>1.3949528176501859E-2</v>
      </c>
      <c r="AP46" s="34">
        <f>Table1[[#This Row],[ITL]]/Table1[[#This Row],[estITL]]</f>
        <v>1.3452815144101478</v>
      </c>
      <c r="AQ46" s="69">
        <f>Table1[[#This Row],[E2E]]-Table1[[#This Row],[TTFT]]+Table1[[#This Row],[ITL]]</f>
        <v>20.754997896193792</v>
      </c>
      <c r="AR46" s="34">
        <f>Table1[[#This Row],[estDecode]]/Table1[[#This Row],[Run]]</f>
        <v>0.67630172386096854</v>
      </c>
      <c r="AS46" s="69">
        <f>Table1[[#This Row],[Prefill]]+Table1[[#This Row],[Out-Tok]]*Table1[[#This Row],[ITL]]</f>
        <v>20.844059499445699</v>
      </c>
      <c r="AT46" s="22">
        <f>Table1[[#This Row],[estPrefill]]+Table1[[#This Row],[Out-Tok]]*Table1[[#This Row],[ITL]]</f>
        <v>21.597439039579292</v>
      </c>
      <c r="AU46" s="34">
        <f>Table1[[#This Row],[E2E]]/Table1[[#This Row],[estE2E]]</f>
        <v>0.9710074383510684</v>
      </c>
      <c r="AV46" s="22">
        <f>Table1[[#This Row],[N]]/Table1[[#This Row],[estE2E]]</f>
        <v>1.8667488934338237</v>
      </c>
      <c r="AW46" s="22">
        <f>Table1[[#This Row],[PPS]]/Table1[[#This Row],[In-Tok]]</f>
        <v>2.0946961655773415</v>
      </c>
      <c r="AX46" s="34">
        <f>Table1[[#This Row],[RPS]]/Table1[[#This Row],[RPS(IL)]]</f>
        <v>0.9547924099287014</v>
      </c>
      <c r="AY46" s="22">
        <f>Table1[[#This Row],[GPS]]/Table1[[#This Row],[Out-Tok]]</f>
        <v>1.9326541493365019</v>
      </c>
      <c r="AZ46" s="89">
        <f>Table1[[#This Row],[RPS]]/Table1[[#This Row],[RPS(OL)]]</f>
        <v>1.034846302266041</v>
      </c>
      <c r="BA46" s="131">
        <f>MaxTok/Table1[[#This Row],[tok/req]]</f>
        <v>69.894101259919864</v>
      </c>
      <c r="BB46" s="34">
        <f>Table1[[#This Row],[N]]/Table1[[#This Row],[N-max]]</f>
        <v>0.57682972813699407</v>
      </c>
      <c r="BC46" s="69">
        <f>Table1[[#This Row],[RPS]]</f>
        <v>2</v>
      </c>
      <c r="BD46" s="48">
        <f>Table1[[#This Row],[PPS]]/Table1[[#This Row],[RPS success]]</f>
        <v>5236.7404139433538</v>
      </c>
      <c r="BE46" s="34">
        <f>ABS(Table1[[#This Row],[est-In-Tok3]]-Table1[[#This Row],[In-Tok]])/Table1[[#This Row],[In-Tok]]</f>
        <v>4.734808278867076E-2</v>
      </c>
      <c r="BF46" s="48">
        <f>Table1[[#This Row],[GPS]]/Table1[[#This Row],[RPS success]]</f>
        <v>1062.959782135076</v>
      </c>
      <c r="BG46" s="34">
        <f>ABS(Table1[[#This Row],[est-Out-Tok3]]-Table1[[#This Row],[Out-Tok]])/Table1[[#This Row],[Out-Tok]]</f>
        <v>3.3672925331749079E-2</v>
      </c>
      <c r="BH46" s="157">
        <f>Table1[[#This Row],[est-In-Tok3]]+AvgOutLoad*Table1[[#This Row],[est-Out-Tok3]]</f>
        <v>5768.2203050108919</v>
      </c>
      <c r="BI46" s="34">
        <f>ABS(Table1[[#This Row],[est-Tok/Req3]]-Table1[[#This Row],[tok/req]])/Table1[[#This Row],[tok/req]]</f>
        <v>3.9318973875836383E-2</v>
      </c>
      <c r="BJ46" s="157">
        <f>MaxTok/Table1[[#This Row],[est-Tok/Req3]]</f>
        <v>67.249904039825466</v>
      </c>
      <c r="BK46" s="34">
        <f>ABS(Table1[[#This Row],[est-N-max3]]-Table1[[#This Row],[N-max]])/Table1[[#This Row],[N-max]]</f>
        <v>3.7831478943569863E-2</v>
      </c>
      <c r="BL46" s="69">
        <f>MaxTok*Table1[[#This Row],[Kvcache]]/Table1[[#This Row],[Run]]</f>
        <v>5527.5041809902777</v>
      </c>
      <c r="BM46" s="165">
        <f>ABS(Table1[[#This Row],[est-Tok/Req]]-Table1[[#This Row],[tok/req]])/Table1[[#This Row],[tok/req]]</f>
        <v>4.0533007224724778E-3</v>
      </c>
      <c r="BN46" s="69">
        <f>MaxTok/Table1[[#This Row],[est-Tok/Req]]</f>
        <v>70.178556051866977</v>
      </c>
      <c r="BO46" s="175">
        <f>Table1[[#This Row],[Run]]/Table1[[#This Row],[Kvcache]]</f>
        <v>70.178556051866991</v>
      </c>
      <c r="BP46" s="131" cm="1">
        <f t="array" aca="1" ref="BP46" ca="1">_xlfn.CEILING.MATH(INDIRECT("Table1"&amp;BP$3)/BP$2)*BP$2</f>
        <v>6000</v>
      </c>
      <c r="BQ46" s="182" cm="1">
        <f t="array" aca="1" ref="BQ46" ca="1">_xlfn.CEILING.MATH(INDIRECT("Table1"&amp;BQ$3)/BQ$2)*BQ$2</f>
        <v>0.02</v>
      </c>
      <c r="BR46" s="34" cm="1">
        <f t="array" aca="1" ref="BR46" ca="1">_xlfn.CEILING.MATH(INDIRECT("Table1"&amp;BR$3)/BR$2)*BR$2</f>
        <v>0.5</v>
      </c>
      <c r="BS46" s="34" cm="1">
        <f t="array" aca="1" ref="BS46" ca="1">_xlfn.CEILING.MATH(INDIRECT("Table1"&amp;BS$3)/BS$2)*BS$2</f>
        <v>0.44</v>
      </c>
      <c r="BT46" s="20" cm="1">
        <f t="array" aca="1" ref="BT46" ca="1">_xlfn.CEILING.MATH(INDIRECT("Table1"&amp;BT$3)/BT$2)*BT$2</f>
        <v>31</v>
      </c>
      <c r="BU46" s="131" cm="1">
        <f t="array" aca="1" ref="BU46" ca="1">_xlfn.CEILING.MATH(INDIRECT("Table1"&amp;BU$3)/BU$2)*BU$2</f>
        <v>5</v>
      </c>
      <c r="BV46" s="131" cm="1">
        <f t="array" aca="1" ref="BV46" ca="1">_xlfn.CEILING.MATH(INDIRECT("Table1"&amp;BV$3)/BV$2)*BV$2</f>
        <v>5000</v>
      </c>
      <c r="BW46" s="34"/>
      <c r="BX46" s="34"/>
      <c r="BY46" s="190">
        <v>0.65254719420739582</v>
      </c>
      <c r="BZ46" s="34"/>
      <c r="CA46" s="24">
        <f>(Table1[[#This Row],[In-Tok]]+Table1[[#This Row],[Out-Tok]])*Table1[[#This Row],[RPS]]</f>
        <v>12200</v>
      </c>
      <c r="CB46" s="20">
        <f t="shared" si="17"/>
        <v>391236.07038123172</v>
      </c>
      <c r="CC46" s="20">
        <f>Table1[[#This Row],[Supply]]/(Table1[[#This Row],[Prefill]]+Table1[[#This Row],[Out-Tok]]*Table1[[#This Row],[ITL]])</f>
        <v>18769.667702763742</v>
      </c>
      <c r="CD46" s="20">
        <f>Table1[[#This Row],[MaxRun]]/Table1[[#This Row],[ITL]]</f>
        <v>2451.2360700550576</v>
      </c>
      <c r="CE46" s="20">
        <f>Table1[[#This Row],[Out-Tok]]*Table1[[#This Row],[RPS]]</f>
        <v>2200</v>
      </c>
      <c r="CF46" s="22">
        <f>Table1[[#This Row],[Supply]]/Table1[[#This Row],[Demand-T]]</f>
        <v>32.068530359117354</v>
      </c>
      <c r="CG46" s="22"/>
      <c r="CH46" s="71">
        <f>Table1[[#This Row],[Prefill]]+Table1[[#This Row],[Out-Tok]]*Table1[[#This Row],[ITL]]</f>
        <v>20.844059499445699</v>
      </c>
      <c r="CI46" s="71">
        <f>Table1[[#This Row],[GPS]]*Table1[[#This Row],[ITL]]</f>
        <v>39.895096662081372</v>
      </c>
      <c r="CJ46" s="72">
        <f>Table1[[#This Row],[PPS]]*Table1[[#This Row],[Prefill]]/Table1[[#This Row],[In-Tok]]</f>
        <v>0.42189876605773824</v>
      </c>
      <c r="CK46" s="71">
        <f t="shared" si="12"/>
        <v>40.316995428139109</v>
      </c>
      <c r="CL46" s="71">
        <f>Table1[[#This Row],[PPS]]/Table1[[#This Row],[In-Tok]]</f>
        <v>2.0946961655773415</v>
      </c>
      <c r="CM46" s="71">
        <f>Table1[[#This Row],[GPS]]/Table1[[#This Row],[Out-Tok]]</f>
        <v>1.9326541493365019</v>
      </c>
      <c r="CN46" s="71">
        <f>Table1[[#This Row],[Run]]/Table1[[#This Row],[E2E]]</f>
        <v>1.463380911029678</v>
      </c>
      <c r="CO46" s="71">
        <f>Table1[[#This Row],[N2]]/Table1[[#This Row],[E2E]]</f>
        <v>1.9224867078298316</v>
      </c>
      <c r="CP46" s="71"/>
      <c r="CQ46" s="71">
        <f>Table1[[#This Row],[In-Tok]]+AvgOutLoad*Table1[[#This Row],[Out-Tok]]</f>
        <v>5550</v>
      </c>
      <c r="CR46" s="71">
        <f t="shared" si="13"/>
        <v>424227.74091790378</v>
      </c>
      <c r="CS46" s="71" t="e">
        <f t="shared" si="14"/>
        <v>#DIV/0!</v>
      </c>
      <c r="CT46" s="71" t="e">
        <f t="shared" si="18"/>
        <v>#DIV/0!</v>
      </c>
      <c r="CU46" s="71">
        <f t="shared" si="15"/>
        <v>0</v>
      </c>
      <c r="CV46" s="71" t="e">
        <f t="shared" si="16"/>
        <v>#DIV/0!</v>
      </c>
      <c r="CW46" s="71">
        <f>Table1[[#This Row],[N(maxT)]]/Table1[[#This Row],[e2e sat]]</f>
        <v>0</v>
      </c>
      <c r="CX46" s="71" t="e">
        <f>Table1[[#This Row],[RPS]]/CW46</f>
        <v>#DIV/0!</v>
      </c>
      <c r="CY46" s="110" t="e">
        <f>Table1[[#This Row],[Kvcache]]/$T$4</f>
        <v>#DIV/0!</v>
      </c>
      <c r="GJ46"/>
    </row>
    <row r="47" spans="1:192" hidden="1" x14ac:dyDescent="0.25">
      <c r="A47" s="3">
        <v>5000</v>
      </c>
      <c r="B47" s="3">
        <v>1200</v>
      </c>
      <c r="C47">
        <v>2</v>
      </c>
      <c r="D47" s="199">
        <f>Table1[[#This Row],[Kvcache]]</f>
        <v>0.51077284626098474</v>
      </c>
      <c r="E47" s="203" t="s">
        <v>138</v>
      </c>
      <c r="F47" s="219">
        <v>46092</v>
      </c>
      <c r="G47" s="10"/>
      <c r="H47" s="10">
        <v>0.18824029019694385</v>
      </c>
      <c r="I47" s="10">
        <v>0.16432492611937052</v>
      </c>
      <c r="J47" s="10">
        <v>1.0480099242489727</v>
      </c>
      <c r="K47" s="10">
        <v>2.0461770534515371</v>
      </c>
      <c r="L47" s="10">
        <v>2.385656719207764</v>
      </c>
      <c r="M47" s="10">
        <v>2.0326716039575112E-2</v>
      </c>
      <c r="N47" s="10">
        <v>24.388625301044417</v>
      </c>
      <c r="O47" s="47">
        <v>9556.6426785919048</v>
      </c>
      <c r="P47" s="47">
        <v>2145.7577571379429</v>
      </c>
      <c r="Q47" s="5">
        <v>35.480311890838209</v>
      </c>
      <c r="R47" s="5">
        <v>55</v>
      </c>
      <c r="S47" s="170">
        <v>0.51077284626098474</v>
      </c>
      <c r="T47" s="165">
        <v>0.79175071114559081</v>
      </c>
      <c r="U47" s="26">
        <f>(Table1[[#This Row],[In-Tok]]+Table1[[#This Row],[Out-Tok]])*Table1[[#This Row],[RPS]]</f>
        <v>12400</v>
      </c>
      <c r="V47" s="54">
        <f>Table1[[#This Row],[In-Tok]]+AvgOutLoad*Table1[[#This Row],[Out-Tok]]</f>
        <v>5600</v>
      </c>
      <c r="W47" s="20">
        <f>Table1[[#This Row],[In-Tok]]*Table1[[#This Row],[RPS]]</f>
        <v>10000</v>
      </c>
      <c r="X47" s="35">
        <f>Table1[[#This Row],[Out-Tok]]*Table1[[#This Row],[RPS]]</f>
        <v>2400</v>
      </c>
      <c r="Y47" s="75">
        <f>Table1[[#This Row],[In-Tok]]/Table1[[#This Row],[Out-Tok]]</f>
        <v>4.166666666666667</v>
      </c>
      <c r="Z47" s="26">
        <f>Table1[[#This Row],[In-Tok]]*Table1[[#This Row],[N]]+AvgOutLoad*Table1[[#This Row],[Out-Tok]]*Table1[[#This Row],[Ndecode]]</f>
        <v>245821.16286883669</v>
      </c>
      <c r="AA47" s="20">
        <f>Table1[[#This Row],[tok(N)]]/Table1[[#This Row],[Kvcache]]</f>
        <v>481272.9663848101</v>
      </c>
      <c r="AB47" s="20">
        <f>Table1[[#This Row],[tok/req]]*Table1[[#This Row],[Run]]</f>
        <v>198689.74658869396</v>
      </c>
      <c r="AC47" s="20">
        <f>Table1[[#This Row],[tok(Run)]]/Table1[[#This Row],[Kvcache]]</f>
        <v>388998.2563543939</v>
      </c>
      <c r="AD47" s="20">
        <f>Table1[[#This Row],[tok/req]]*Table1[[#This Row],[MaxRun]]</f>
        <v>308000</v>
      </c>
      <c r="AE47" s="20">
        <f>Table1[[#This Row],[tok(MaxRun)]]/Table1[[#This Row],[MaxKvcache]]</f>
        <v>389011.33357285173</v>
      </c>
      <c r="AF47" s="75">
        <f>Table1[[#This Row],[PPS]]*Table1[[#This Row],[Prefill]]/Table1[[#This Row],[In-Tok]]</f>
        <v>0.3140789204217676</v>
      </c>
      <c r="AG47" s="22">
        <f>Table1[[#This Row],[GPS]]*Table1[[#This Row],[ITL]]</f>
        <v>43.61620861905854</v>
      </c>
      <c r="AH47" s="22">
        <f>Table1[[#This Row],[Nprefill]]+Table1[[#This Row],[Ndecode]]</f>
        <v>43.930287539480311</v>
      </c>
      <c r="AI47" s="34">
        <f>Table1[[#This Row],[Run]]/Table1[[#This Row],[ITL]]/Table1[[#This Row],[GPS]]</f>
        <v>0.81346620933335156</v>
      </c>
      <c r="AJ47" s="64">
        <f>Table1[[#This Row],[Prefill]]+Table1[[#This Row],[ITL]]</f>
        <v>0.18465164215894564</v>
      </c>
      <c r="AK47" s="34">
        <f>Table1[[#This Row],[TTFT]]/Table1[[#This Row],[estTTFT]]</f>
        <v>1.0194346933286906</v>
      </c>
      <c r="AL47" s="22">
        <f>Table1[[#This Row],[In-Tok]]*Table1[[#This Row],[RPS]]/Table1[[#This Row],[PPS]]</f>
        <v>1.046392581193945</v>
      </c>
      <c r="AM47" s="34">
        <f>Table1[[#This Row],[Prefill]]/Table1[[#This Row],[estPrefill]]</f>
        <v>0.1570394602108838</v>
      </c>
      <c r="AN47" s="34">
        <f>Table1[[#This Row],[Prefill]]/Table1[[#This Row],[TTFT]]</f>
        <v>0.87295300037759072</v>
      </c>
      <c r="AO47" s="64">
        <f>Table1[[#This Row],[Run]]/(Table1[[#This Row],[Out-Tok]]*Table1[[#This Row],[RPS]])</f>
        <v>1.4783463287849253E-2</v>
      </c>
      <c r="AP47" s="34">
        <f>Table1[[#This Row],[ITL]]/Table1[[#This Row],[estITL]]</f>
        <v>1.3749630681115121</v>
      </c>
      <c r="AQ47" s="69">
        <f>Table1[[#This Row],[E2E]]-Table1[[#This Row],[TTFT]]+Table1[[#This Row],[ITL]]</f>
        <v>24.22071172688705</v>
      </c>
      <c r="AR47" s="34">
        <f>Table1[[#This Row],[estDecode]]/Table1[[#This Row],[Run]]</f>
        <v>0.68265216499242121</v>
      </c>
      <c r="AS47" s="69">
        <f>Table1[[#This Row],[Prefill]]+Table1[[#This Row],[Out-Tok]]*Table1[[#This Row],[ITL]]</f>
        <v>24.556384173609505</v>
      </c>
      <c r="AT47" s="22">
        <f>Table1[[#This Row],[estPrefill]]+Table1[[#This Row],[Out-Tok]]*Table1[[#This Row],[ITL]]</f>
        <v>25.43845182868408</v>
      </c>
      <c r="AU47" s="34">
        <f>Table1[[#This Row],[E2E]]/Table1[[#This Row],[estE2E]]</f>
        <v>0.95873072250191371</v>
      </c>
      <c r="AV47" s="22">
        <f>Table1[[#This Row],[N]]/Table1[[#This Row],[estE2E]]</f>
        <v>1.7269245721135069</v>
      </c>
      <c r="AW47" s="22">
        <f>Table1[[#This Row],[PPS]]/Table1[[#This Row],[In-Tok]]</f>
        <v>1.9113285357183809</v>
      </c>
      <c r="AX47" s="34">
        <f>Table1[[#This Row],[RPS]]/Table1[[#This Row],[RPS(IL)]]</f>
        <v>1.046392581193945</v>
      </c>
      <c r="AY47" s="22">
        <f>Table1[[#This Row],[GPS]]/Table1[[#This Row],[Out-Tok]]</f>
        <v>1.7881314642816191</v>
      </c>
      <c r="AZ47" s="89">
        <f>Table1[[#This Row],[RPS]]/Table1[[#This Row],[RPS(OL)]]</f>
        <v>1.1184859949900265</v>
      </c>
      <c r="BA47" s="131">
        <f>MaxTok/Table1[[#This Row],[tok/req]]</f>
        <v>69.270046784384874</v>
      </c>
      <c r="BB47" s="34">
        <f>Table1[[#This Row],[N]]/Table1[[#This Row],[N-max]]</f>
        <v>0.63418879557308527</v>
      </c>
      <c r="BC47" s="69">
        <f>Table1[[#This Row],[RPS]]</f>
        <v>2</v>
      </c>
      <c r="BD47" s="48">
        <f>Table1[[#This Row],[PPS]]/Table1[[#This Row],[RPS success]]</f>
        <v>4778.3213392959524</v>
      </c>
      <c r="BE47" s="34">
        <f>ABS(Table1[[#This Row],[est-In-Tok3]]-Table1[[#This Row],[In-Tok]])/Table1[[#This Row],[In-Tok]]</f>
        <v>4.4335732140809526E-2</v>
      </c>
      <c r="BF47" s="48">
        <f>Table1[[#This Row],[GPS]]/Table1[[#This Row],[RPS success]]</f>
        <v>1072.8788785689715</v>
      </c>
      <c r="BG47" s="34">
        <f>ABS(Table1[[#This Row],[est-Out-Tok3]]-Table1[[#This Row],[Out-Tok]])/Table1[[#This Row],[Out-Tok]]</f>
        <v>0.10593426785919045</v>
      </c>
      <c r="BH47" s="157">
        <f>Table1[[#This Row],[est-In-Tok3]]+AvgOutLoad*Table1[[#This Row],[est-Out-Tok3]]</f>
        <v>5314.7607785804385</v>
      </c>
      <c r="BI47" s="34">
        <f>ABS(Table1[[#This Row],[est-Tok/Req3]]-Table1[[#This Row],[tok/req]])/Table1[[#This Row],[tok/req]]</f>
        <v>5.0935575253493133E-2</v>
      </c>
      <c r="BJ47" s="157">
        <f>MaxTok/Table1[[#This Row],[est-Tok/Req3]]</f>
        <v>72.987718197199058</v>
      </c>
      <c r="BK47" s="34">
        <f>ABS(Table1[[#This Row],[est-N-max3]]-Table1[[#This Row],[N-max]])/Table1[[#This Row],[N-max]]</f>
        <v>5.3669249342159185E-2</v>
      </c>
      <c r="BL47" s="69">
        <f>MaxTok*Table1[[#This Row],[Kvcache]]/Table1[[#This Row],[Run]]</f>
        <v>5584.3660779272086</v>
      </c>
      <c r="BM47" s="165">
        <f>ABS(Table1[[#This Row],[est-Tok/Req]]-Table1[[#This Row],[tok/req]])/Table1[[#This Row],[tok/req]]</f>
        <v>2.7917717987127485E-3</v>
      </c>
      <c r="BN47" s="69">
        <f>MaxTok/Table1[[#This Row],[est-Tok/Req]]</f>
        <v>69.463974348998917</v>
      </c>
      <c r="BO47" s="175">
        <f>Table1[[#This Row],[Run]]/Table1[[#This Row],[Kvcache]]</f>
        <v>69.463974348998917</v>
      </c>
      <c r="BP47" s="131" cm="1">
        <f t="array" aca="1" ref="BP47" ca="1">_xlfn.CEILING.MATH(INDIRECT("Table1"&amp;BP$3)/BP$2)*BP$2</f>
        <v>6000</v>
      </c>
      <c r="BQ47" s="182" cm="1">
        <f t="array" aca="1" ref="BQ47" ca="1">_xlfn.CEILING.MATH(INDIRECT("Table1"&amp;BQ$3)/BQ$2)*BQ$2</f>
        <v>2.5000000000000001E-2</v>
      </c>
      <c r="BR47" s="34" cm="1">
        <f t="array" aca="1" ref="BR47" ca="1">_xlfn.CEILING.MATH(INDIRECT("Table1"&amp;BR$3)/BR$2)*BR$2</f>
        <v>0.60000000000000009</v>
      </c>
      <c r="BS47" s="34" cm="1">
        <f t="array" aca="1" ref="BS47" ca="1">_xlfn.CEILING.MATH(INDIRECT("Table1"&amp;BS$3)/BS$2)*BS$2</f>
        <v>0.52</v>
      </c>
      <c r="BT47" s="20" cm="1">
        <f t="array" aca="1" ref="BT47" ca="1">_xlfn.CEILING.MATH(INDIRECT("Table1"&amp;BT$3)/BT$2)*BT$2</f>
        <v>36</v>
      </c>
      <c r="BU47" s="131" cm="1">
        <f t="array" aca="1" ref="BU47" ca="1">_xlfn.CEILING.MATH(INDIRECT("Table1"&amp;BU$3)/BU$2)*BU$2</f>
        <v>5</v>
      </c>
      <c r="BV47" s="131" cm="1">
        <f t="array" aca="1" ref="BV47" ca="1">_xlfn.CEILING.MATH(INDIRECT("Table1"&amp;BV$3)/BV$2)*BV$2</f>
        <v>5000</v>
      </c>
      <c r="BW47" s="34"/>
      <c r="BX47" s="34"/>
      <c r="BY47" s="190">
        <v>0.79175071114559081</v>
      </c>
      <c r="BZ47" s="34"/>
      <c r="CA47" s="24">
        <f>(Table1[[#This Row],[In-Tok]]+Table1[[#This Row],[Out-Tok]])*Table1[[#This Row],[RPS]]</f>
        <v>12400</v>
      </c>
      <c r="CB47" s="20">
        <f t="shared" si="17"/>
        <v>389011.33357285173</v>
      </c>
      <c r="CC47" s="20">
        <f>Table1[[#This Row],[Supply]]/(Table1[[#This Row],[Prefill]]+Table1[[#This Row],[Out-Tok]]*Table1[[#This Row],[ITL]])</f>
        <v>15841.55594010124</v>
      </c>
      <c r="CD47" s="20">
        <f>Table1[[#This Row],[MaxRun]]/Table1[[#This Row],[ITL]]</f>
        <v>2705.7986097172666</v>
      </c>
      <c r="CE47" s="20">
        <f>Table1[[#This Row],[Out-Tok]]*Table1[[#This Row],[RPS]]</f>
        <v>2400</v>
      </c>
      <c r="CF47" s="22">
        <f>Table1[[#This Row],[Supply]]/Table1[[#This Row],[Demand-T]]</f>
        <v>31.371881739746108</v>
      </c>
      <c r="CG47" s="22"/>
      <c r="CH47" s="71">
        <f>Table1[[#This Row],[Prefill]]+Table1[[#This Row],[Out-Tok]]*Table1[[#This Row],[ITL]]</f>
        <v>24.556384173609505</v>
      </c>
      <c r="CI47" s="71">
        <f>Table1[[#This Row],[GPS]]*Table1[[#This Row],[ITL]]</f>
        <v>43.61620861905854</v>
      </c>
      <c r="CJ47" s="72">
        <f>Table1[[#This Row],[PPS]]*Table1[[#This Row],[Prefill]]/Table1[[#This Row],[In-Tok]]</f>
        <v>0.3140789204217676</v>
      </c>
      <c r="CK47" s="71">
        <f t="shared" si="12"/>
        <v>43.930287539480311</v>
      </c>
      <c r="CL47" s="71">
        <f>Table1[[#This Row],[PPS]]/Table1[[#This Row],[In-Tok]]</f>
        <v>1.9113285357183809</v>
      </c>
      <c r="CM47" s="71">
        <f>Table1[[#This Row],[GPS]]/Table1[[#This Row],[Out-Tok]]</f>
        <v>1.7881314642816191</v>
      </c>
      <c r="CN47" s="71">
        <f>Table1[[#This Row],[Run]]/Table1[[#This Row],[E2E]]</f>
        <v>1.4547893312100211</v>
      </c>
      <c r="CO47" s="71">
        <f>Table1[[#This Row],[N2]]/Table1[[#This Row],[E2E]]</f>
        <v>1.8012613256065335</v>
      </c>
      <c r="CP47" s="71"/>
      <c r="CQ47" s="71">
        <f>Table1[[#This Row],[In-Tok]]+AvgOutLoad*Table1[[#This Row],[Out-Tok]]</f>
        <v>5600</v>
      </c>
      <c r="CR47" s="71">
        <f t="shared" si="13"/>
        <v>482995.32492561667</v>
      </c>
      <c r="CS47" s="71" t="e">
        <f t="shared" si="14"/>
        <v>#DIV/0!</v>
      </c>
      <c r="CT47" s="71" t="e">
        <f t="shared" si="18"/>
        <v>#DIV/0!</v>
      </c>
      <c r="CU47" s="71">
        <f t="shared" si="15"/>
        <v>0</v>
      </c>
      <c r="CV47" s="71" t="e">
        <f t="shared" si="16"/>
        <v>#DIV/0!</v>
      </c>
      <c r="CW47" s="71">
        <f>Table1[[#This Row],[N(maxT)]]/Table1[[#This Row],[e2e sat]]</f>
        <v>0</v>
      </c>
      <c r="CX47" s="71" t="e">
        <f>Table1[[#This Row],[RPS]]/CW47</f>
        <v>#DIV/0!</v>
      </c>
      <c r="CY47" s="110" t="e">
        <f>Table1[[#This Row],[Kvcache]]/$T$4</f>
        <v>#DIV/0!</v>
      </c>
      <c r="GJ47"/>
    </row>
    <row r="48" spans="1:192" hidden="1" x14ac:dyDescent="0.25">
      <c r="A48" s="3">
        <v>5000</v>
      </c>
      <c r="B48" s="3">
        <v>1300</v>
      </c>
      <c r="C48">
        <v>2</v>
      </c>
      <c r="D48" s="199">
        <f>Table1[[#This Row],[Kvcache]]</f>
        <v>0.56726287207545623</v>
      </c>
      <c r="E48" s="203" t="s">
        <v>138</v>
      </c>
      <c r="F48" s="219">
        <v>46092</v>
      </c>
      <c r="G48" s="10"/>
      <c r="H48" s="10">
        <v>0.4180031805995803</v>
      </c>
      <c r="I48" s="10">
        <v>0.17561969466664892</v>
      </c>
      <c r="J48" s="10">
        <v>1.9199125414060869</v>
      </c>
      <c r="K48" s="10">
        <v>5.2925902485847471</v>
      </c>
      <c r="L48" s="10">
        <v>5.6682829332351696</v>
      </c>
      <c r="M48" s="10">
        <v>2.1851780945371161E-2</v>
      </c>
      <c r="N48" s="10">
        <v>28.635474381773509</v>
      </c>
      <c r="O48" s="47">
        <v>9893.9683430799232</v>
      </c>
      <c r="P48" s="47">
        <v>2384.682456140351</v>
      </c>
      <c r="Q48" s="5">
        <v>39.140350877192986</v>
      </c>
      <c r="R48" s="5">
        <v>63</v>
      </c>
      <c r="S48" s="170">
        <v>0.56726287207545623</v>
      </c>
      <c r="T48" s="165">
        <v>0.91130074993535037</v>
      </c>
      <c r="U48" s="26">
        <f>(Table1[[#This Row],[In-Tok]]+Table1[[#This Row],[Out-Tok]])*Table1[[#This Row],[RPS]]</f>
        <v>12600</v>
      </c>
      <c r="V48" s="54">
        <f>Table1[[#This Row],[In-Tok]]+AvgOutLoad*Table1[[#This Row],[Out-Tok]]</f>
        <v>5650</v>
      </c>
      <c r="W48" s="20">
        <f>Table1[[#This Row],[In-Tok]]*Table1[[#This Row],[RPS]]</f>
        <v>10000</v>
      </c>
      <c r="X48" s="35">
        <f>Table1[[#This Row],[Out-Tok]]*Table1[[#This Row],[RPS]]</f>
        <v>2600</v>
      </c>
      <c r="Y48" s="75">
        <f>Table1[[#This Row],[In-Tok]]/Table1[[#This Row],[Out-Tok]]</f>
        <v>3.8461538461538463</v>
      </c>
      <c r="Z48" s="26">
        <f>Table1[[#This Row],[In-Tok]]*Table1[[#This Row],[N]]+AvgOutLoad*Table1[[#This Row],[Out-Tok]]*Table1[[#This Row],[Ndecode]]</f>
        <v>296156.58210499788</v>
      </c>
      <c r="AA48" s="20">
        <f>Table1[[#This Row],[tok(N)]]/Table1[[#This Row],[Kvcache]]</f>
        <v>522079.96800750197</v>
      </c>
      <c r="AB48" s="20">
        <f>Table1[[#This Row],[tok/req]]*Table1[[#This Row],[Run]]</f>
        <v>221142.98245614037</v>
      </c>
      <c r="AC48" s="20">
        <f>Table1[[#This Row],[tok(Run)]]/Table1[[#This Row],[Kvcache]]</f>
        <v>389842.15844594239</v>
      </c>
      <c r="AD48" s="20">
        <f>Table1[[#This Row],[tok/req]]*Table1[[#This Row],[MaxRun]]</f>
        <v>355950</v>
      </c>
      <c r="AE48" s="20">
        <f>Table1[[#This Row],[tok(MaxRun)]]/Table1[[#This Row],[MaxKvcache]]</f>
        <v>390595.53064699209</v>
      </c>
      <c r="AF48" s="75">
        <f>Table1[[#This Row],[PPS]]*Table1[[#This Row],[Prefill]]/Table1[[#This Row],[In-Tok]]</f>
        <v>0.34751513989063726</v>
      </c>
      <c r="AG48" s="22">
        <f>Table1[[#This Row],[GPS]]*Table1[[#This Row],[ITL]]</f>
        <v>52.109558655848623</v>
      </c>
      <c r="AH48" s="22">
        <f>Table1[[#This Row],[Nprefill]]+Table1[[#This Row],[Ndecode]]</f>
        <v>52.457073795739262</v>
      </c>
      <c r="AI48" s="34">
        <f>Table1[[#This Row],[Run]]/Table1[[#This Row],[ITL]]/Table1[[#This Row],[GPS]]</f>
        <v>0.75111652999578782</v>
      </c>
      <c r="AJ48" s="64">
        <f>Table1[[#This Row],[Prefill]]+Table1[[#This Row],[ITL]]</f>
        <v>0.19747147561202008</v>
      </c>
      <c r="AK48" s="34">
        <f>Table1[[#This Row],[TTFT]]/Table1[[#This Row],[estTTFT]]</f>
        <v>2.116777520925845</v>
      </c>
      <c r="AL48" s="22">
        <f>Table1[[#This Row],[In-Tok]]*Table1[[#This Row],[RPS]]/Table1[[#This Row],[PPS]]</f>
        <v>1.0107167976734268</v>
      </c>
      <c r="AM48" s="34">
        <f>Table1[[#This Row],[Prefill]]/Table1[[#This Row],[estPrefill]]</f>
        <v>0.17375756994531863</v>
      </c>
      <c r="AN48" s="34">
        <f>Table1[[#This Row],[Prefill]]/Table1[[#This Row],[TTFT]]</f>
        <v>0.42013961332720362</v>
      </c>
      <c r="AO48" s="64">
        <f>Table1[[#This Row],[Run]]/(Table1[[#This Row],[Out-Tok]]*Table1[[#This Row],[RPS]])</f>
        <v>1.5053981106612687E-2</v>
      </c>
      <c r="AP48" s="34">
        <f>Table1[[#This Row],[ITL]]/Table1[[#This Row],[estITL]]</f>
        <v>1.4515616029152871</v>
      </c>
      <c r="AQ48" s="69">
        <f>Table1[[#This Row],[E2E]]-Table1[[#This Row],[TTFT]]+Table1[[#This Row],[ITL]]</f>
        <v>28.239322982119301</v>
      </c>
      <c r="AR48" s="34">
        <f>Table1[[#This Row],[estDecode]]/Table1[[#This Row],[Run]]</f>
        <v>0.72148875391340206</v>
      </c>
      <c r="AS48" s="69">
        <f>Table1[[#This Row],[Prefill]]+Table1[[#This Row],[Out-Tok]]*Table1[[#This Row],[ITL]]</f>
        <v>28.582934923649159</v>
      </c>
      <c r="AT48" s="22">
        <f>Table1[[#This Row],[estPrefill]]+Table1[[#This Row],[Out-Tok]]*Table1[[#This Row],[ITL]]</f>
        <v>29.418032026655936</v>
      </c>
      <c r="AU48" s="34">
        <f>Table1[[#This Row],[E2E]]/Table1[[#This Row],[estE2E]]</f>
        <v>0.97339870851410637</v>
      </c>
      <c r="AV48" s="22">
        <f>Table1[[#This Row],[N]]/Table1[[#This Row],[estE2E]]</f>
        <v>1.7831605373264754</v>
      </c>
      <c r="AW48" s="22">
        <f>Table1[[#This Row],[PPS]]/Table1[[#This Row],[In-Tok]]</f>
        <v>1.9787936686159846</v>
      </c>
      <c r="AX48" s="34">
        <f>Table1[[#This Row],[RPS]]/Table1[[#This Row],[RPS(IL)]]</f>
        <v>1.0107167976734268</v>
      </c>
      <c r="AY48" s="22">
        <f>Table1[[#This Row],[GPS]]/Table1[[#This Row],[Out-Tok]]</f>
        <v>1.8343711201079622</v>
      </c>
      <c r="AZ48" s="89">
        <f>Table1[[#This Row],[RPS]]/Table1[[#This Row],[RPS(OL)]]</f>
        <v>1.0902919142568543</v>
      </c>
      <c r="BA48" s="131">
        <f>MaxTok/Table1[[#This Row],[tok/req]]</f>
        <v>68.657037520806242</v>
      </c>
      <c r="BB48" s="34">
        <f>Table1[[#This Row],[N]]/Table1[[#This Row],[N-max]]</f>
        <v>0.76404511015847942</v>
      </c>
      <c r="BC48" s="69">
        <f>Table1[[#This Row],[RPS]]</f>
        <v>2</v>
      </c>
      <c r="BD48" s="48">
        <f>Table1[[#This Row],[PPS]]/Table1[[#This Row],[RPS success]]</f>
        <v>4946.9841715399616</v>
      </c>
      <c r="BE48" s="34">
        <f>ABS(Table1[[#This Row],[est-In-Tok3]]-Table1[[#This Row],[In-Tok]])/Table1[[#This Row],[In-Tok]]</f>
        <v>1.0603165692007678E-2</v>
      </c>
      <c r="BF48" s="48">
        <f>Table1[[#This Row],[GPS]]/Table1[[#This Row],[RPS success]]</f>
        <v>1192.3412280701755</v>
      </c>
      <c r="BG48" s="34">
        <f>ABS(Table1[[#This Row],[est-Out-Tok3]]-Table1[[#This Row],[Out-Tok]])/Table1[[#This Row],[Out-Tok]]</f>
        <v>8.2814439946018864E-2</v>
      </c>
      <c r="BH48" s="157">
        <f>Table1[[#This Row],[est-In-Tok3]]+AvgOutLoad*Table1[[#This Row],[est-Out-Tok3]]</f>
        <v>5543.1547855750496</v>
      </c>
      <c r="BI48" s="34">
        <f>ABS(Table1[[#This Row],[est-Tok/Req3]]-Table1[[#This Row],[tok/req]])/Table1[[#This Row],[tok/req]]</f>
        <v>1.8910657420345207E-2</v>
      </c>
      <c r="BJ48" s="157">
        <f>MaxTok/Table1[[#This Row],[est-Tok/Req3]]</f>
        <v>69.980413139827746</v>
      </c>
      <c r="BK48" s="34">
        <f>ABS(Table1[[#This Row],[est-N-max3]]-Table1[[#This Row],[N-max]])/Table1[[#This Row],[N-max]]</f>
        <v>1.9275163432742944E-2</v>
      </c>
      <c r="BL48" s="69">
        <f>MaxTok*Table1[[#This Row],[Kvcache]]/Table1[[#This Row],[Run]]</f>
        <v>5622.0299235847033</v>
      </c>
      <c r="BM48" s="165">
        <f>ABS(Table1[[#This Row],[est-Tok/Req]]-Table1[[#This Row],[tok/req]])/Table1[[#This Row],[tok/req]]</f>
        <v>4.9504560027073836E-3</v>
      </c>
      <c r="BN48" s="69">
        <f>MaxTok/Table1[[#This Row],[est-Tok/Req]]</f>
        <v>68.998612114326093</v>
      </c>
      <c r="BO48" s="175">
        <f>Table1[[#This Row],[Run]]/Table1[[#This Row],[Kvcache]]</f>
        <v>68.998612114326093</v>
      </c>
      <c r="BP48" s="131" cm="1">
        <f t="array" aca="1" ref="BP48" ca="1">_xlfn.CEILING.MATH(INDIRECT("Table1"&amp;BP$3)/BP$2)*BP$2</f>
        <v>6000</v>
      </c>
      <c r="BQ48" s="182" cm="1">
        <f t="array" aca="1" ref="BQ48" ca="1">_xlfn.CEILING.MATH(INDIRECT("Table1"&amp;BQ$3)/BQ$2)*BQ$2</f>
        <v>2.5000000000000001E-2</v>
      </c>
      <c r="BR48" s="34" cm="1">
        <f t="array" aca="1" ref="BR48" ca="1">_xlfn.CEILING.MATH(INDIRECT("Table1"&amp;BR$3)/BR$2)*BR$2</f>
        <v>0.60000000000000009</v>
      </c>
      <c r="BS48" s="34" cm="1">
        <f t="array" aca="1" ref="BS48" ca="1">_xlfn.CEILING.MATH(INDIRECT("Table1"&amp;BS$3)/BS$2)*BS$2</f>
        <v>0.57000000000000006</v>
      </c>
      <c r="BT48" s="20" cm="1">
        <f t="array" aca="1" ref="BT48" ca="1">_xlfn.CEILING.MATH(INDIRECT("Table1"&amp;BT$3)/BT$2)*BT$2</f>
        <v>40</v>
      </c>
      <c r="BU48" s="131" cm="1">
        <f t="array" aca="1" ref="BU48" ca="1">_xlfn.CEILING.MATH(INDIRECT("Table1"&amp;BU$3)/BU$2)*BU$2</f>
        <v>5</v>
      </c>
      <c r="BV48" s="131" cm="1">
        <f t="array" aca="1" ref="BV48" ca="1">_xlfn.CEILING.MATH(INDIRECT("Table1"&amp;BV$3)/BV$2)*BV$2</f>
        <v>5000</v>
      </c>
      <c r="BW48" s="34"/>
      <c r="BX48" s="34"/>
      <c r="BY48" s="190">
        <v>0.91130074993535037</v>
      </c>
      <c r="BZ48" s="34"/>
      <c r="CA48" s="24">
        <f>(Table1[[#This Row],[In-Tok]]+Table1[[#This Row],[Out-Tok]])*Table1[[#This Row],[RPS]]</f>
        <v>12600</v>
      </c>
      <c r="CB48" s="20">
        <f t="shared" si="17"/>
        <v>390595.53064699209</v>
      </c>
      <c r="CC48" s="20">
        <f>Table1[[#This Row],[Supply]]/(Table1[[#This Row],[Prefill]]+Table1[[#This Row],[Out-Tok]]*Table1[[#This Row],[ITL]])</f>
        <v>13665.340235016183</v>
      </c>
      <c r="CD48" s="20">
        <f>Table1[[#This Row],[MaxRun]]/Table1[[#This Row],[ITL]]</f>
        <v>2883.0602026213896</v>
      </c>
      <c r="CE48" s="20">
        <f>Table1[[#This Row],[Out-Tok]]*Table1[[#This Row],[RPS]]</f>
        <v>2600</v>
      </c>
      <c r="CF48" s="22">
        <f>Table1[[#This Row],[Supply]]/Table1[[#This Row],[Demand-T]]</f>
        <v>30.999645289443816</v>
      </c>
      <c r="CG48" s="22"/>
      <c r="CH48" s="71">
        <f>Table1[[#This Row],[Prefill]]+Table1[[#This Row],[Out-Tok]]*Table1[[#This Row],[ITL]]</f>
        <v>28.582934923649159</v>
      </c>
      <c r="CI48" s="71">
        <f>Table1[[#This Row],[GPS]]*Table1[[#This Row],[ITL]]</f>
        <v>52.109558655848623</v>
      </c>
      <c r="CJ48" s="72">
        <f>Table1[[#This Row],[PPS]]*Table1[[#This Row],[Prefill]]/Table1[[#This Row],[In-Tok]]</f>
        <v>0.34751513989063726</v>
      </c>
      <c r="CK48" s="71">
        <f t="shared" si="12"/>
        <v>52.457073795739262</v>
      </c>
      <c r="CL48" s="71">
        <f>Table1[[#This Row],[PPS]]/Table1[[#This Row],[In-Tok]]</f>
        <v>1.9787936686159846</v>
      </c>
      <c r="CM48" s="71">
        <f>Table1[[#This Row],[GPS]]/Table1[[#This Row],[Out-Tok]]</f>
        <v>1.8343711201079622</v>
      </c>
      <c r="CN48" s="71">
        <f>Table1[[#This Row],[Run]]/Table1[[#This Row],[E2E]]</f>
        <v>1.3668483488475343</v>
      </c>
      <c r="CO48" s="71">
        <f>Table1[[#This Row],[N2]]/Table1[[#This Row],[E2E]]</f>
        <v>1.8318912093570279</v>
      </c>
      <c r="CP48" s="71"/>
      <c r="CQ48" s="71">
        <f>Table1[[#This Row],[In-Tok]]+AvgOutLoad*Table1[[#This Row],[Out-Tok]]</f>
        <v>5650</v>
      </c>
      <c r="CR48" s="71">
        <f t="shared" si="13"/>
        <v>525466.98495152709</v>
      </c>
      <c r="CS48" s="71" t="e">
        <f t="shared" si="14"/>
        <v>#DIV/0!</v>
      </c>
      <c r="CT48" s="71" t="e">
        <f t="shared" si="18"/>
        <v>#DIV/0!</v>
      </c>
      <c r="CU48" s="71">
        <f t="shared" si="15"/>
        <v>0</v>
      </c>
      <c r="CV48" s="71" t="e">
        <f t="shared" si="16"/>
        <v>#DIV/0!</v>
      </c>
      <c r="CW48" s="71">
        <f>Table1[[#This Row],[N(maxT)]]/Table1[[#This Row],[e2e sat]]</f>
        <v>0</v>
      </c>
      <c r="CX48" s="71" t="e">
        <f>Table1[[#This Row],[RPS]]/CW48</f>
        <v>#DIV/0!</v>
      </c>
      <c r="CY48" s="110" t="e">
        <f>Table1[[#This Row],[Kvcache]]/$T$4</f>
        <v>#DIV/0!</v>
      </c>
      <c r="GJ48"/>
    </row>
    <row r="49" spans="1:192" ht="15.75" hidden="1" thickBot="1" x14ac:dyDescent="0.3">
      <c r="A49" s="3">
        <v>5000</v>
      </c>
      <c r="B49" s="3">
        <v>1400</v>
      </c>
      <c r="C49">
        <v>2</v>
      </c>
      <c r="D49" s="199">
        <f>Table1[[#This Row],[Kvcache]]</f>
        <v>0.67386728678039765</v>
      </c>
      <c r="E49" s="204" t="s">
        <v>138</v>
      </c>
      <c r="F49" s="219">
        <v>46092</v>
      </c>
      <c r="G49" s="10"/>
      <c r="H49" s="10">
        <v>1.8249674372255154</v>
      </c>
      <c r="I49" s="10">
        <v>0.19329064533754595</v>
      </c>
      <c r="J49" s="10">
        <v>2.2599220545800045</v>
      </c>
      <c r="K49" s="10">
        <v>6.5031854073206565</v>
      </c>
      <c r="L49" s="10">
        <v>7.7864677302042651</v>
      </c>
      <c r="M49" s="10">
        <v>2.4655918108415869E-2</v>
      </c>
      <c r="N49" s="10">
        <v>35.467737052007756</v>
      </c>
      <c r="O49" s="47">
        <v>9392.272259079069</v>
      </c>
      <c r="P49" s="47">
        <v>2441.3438891346009</v>
      </c>
      <c r="Q49" s="5">
        <v>46.14006734006734</v>
      </c>
      <c r="R49" s="5">
        <v>69.333333333333329</v>
      </c>
      <c r="S49" s="170">
        <v>0.67386728678039765</v>
      </c>
      <c r="T49" s="166">
        <v>0.9954228083785881</v>
      </c>
      <c r="U49" s="32">
        <f>(Table1[[#This Row],[In-Tok]]+Table1[[#This Row],[Out-Tok]])*Table1[[#This Row],[RPS]]</f>
        <v>12800</v>
      </c>
      <c r="V49" s="140">
        <f>Table1[[#This Row],[In-Tok]]+AvgOutLoad*Table1[[#This Row],[Out-Tok]]</f>
        <v>5700</v>
      </c>
      <c r="W49" s="33">
        <f>Table1[[#This Row],[In-Tok]]*Table1[[#This Row],[RPS]]</f>
        <v>10000</v>
      </c>
      <c r="X49" s="39">
        <f>Table1[[#This Row],[Out-Tok]]*Table1[[#This Row],[RPS]]</f>
        <v>2800</v>
      </c>
      <c r="Y49" s="78">
        <f>Table1[[#This Row],[In-Tok]]/Table1[[#This Row],[Out-Tok]]</f>
        <v>3.5714285714285716</v>
      </c>
      <c r="Z49" s="32">
        <f>Table1[[#This Row],[In-Tok]]*Table1[[#This Row],[N]]+AvgOutLoad*Table1[[#This Row],[Out-Tok]]*Table1[[#This Row],[Ndecode]]</f>
        <v>344918.81589455344</v>
      </c>
      <c r="AA49" s="33">
        <f>Table1[[#This Row],[tok(N)]]/Table1[[#This Row],[Kvcache]]</f>
        <v>511849.77021589247</v>
      </c>
      <c r="AB49" s="33">
        <f>Table1[[#This Row],[tok/req]]*Table1[[#This Row],[Run]]</f>
        <v>262998.38383838383</v>
      </c>
      <c r="AC49" s="33">
        <f>Table1[[#This Row],[tok(Run)]]/Table1[[#This Row],[Kvcache]]</f>
        <v>390282.16534287814</v>
      </c>
      <c r="AD49" s="33">
        <f>Table1[[#This Row],[tok/req]]*Table1[[#This Row],[MaxRun]]</f>
        <v>395200</v>
      </c>
      <c r="AE49" s="33">
        <f>Table1[[#This Row],[tok(MaxRun)]]/Table1[[#This Row],[MaxKvcache]]</f>
        <v>397017.22391084093</v>
      </c>
      <c r="AF49" s="78">
        <f>Table1[[#This Row],[PPS]]*Table1[[#This Row],[Prefill]]/Table1[[#This Row],[In-Tok]]</f>
        <v>0.36308767322866475</v>
      </c>
      <c r="AG49" s="91">
        <f>Table1[[#This Row],[GPS]]*Table1[[#This Row],[ITL]]</f>
        <v>60.193575004984233</v>
      </c>
      <c r="AH49" s="91">
        <f>Table1[[#This Row],[Nprefill]]+Table1[[#This Row],[Ndecode]]</f>
        <v>60.556662678212895</v>
      </c>
      <c r="AI49" s="93">
        <f>Table1[[#This Row],[Run]]/Table1[[#This Row],[ITL]]/Table1[[#This Row],[GPS]]</f>
        <v>0.76652811095281825</v>
      </c>
      <c r="AJ49" s="92">
        <f>Table1[[#This Row],[Prefill]]+Table1[[#This Row],[ITL]]</f>
        <v>0.21794656344596181</v>
      </c>
      <c r="AK49" s="93">
        <f>Table1[[#This Row],[TTFT]]/Table1[[#This Row],[estTTFT]]</f>
        <v>8.3734627808343589</v>
      </c>
      <c r="AL49" s="91">
        <f>Table1[[#This Row],[In-Tok]]*Table1[[#This Row],[RPS]]/Table1[[#This Row],[PPS]]</f>
        <v>1.0647050813857604</v>
      </c>
      <c r="AM49" s="93">
        <f>Table1[[#This Row],[Prefill]]/Table1[[#This Row],[estPrefill]]</f>
        <v>0.18154383661433238</v>
      </c>
      <c r="AN49" s="93">
        <f>Table1[[#This Row],[Prefill]]/Table1[[#This Row],[TTFT]]</f>
        <v>0.10591457216979405</v>
      </c>
      <c r="AO49" s="92">
        <f>Table1[[#This Row],[Run]]/(Table1[[#This Row],[Out-Tok]]*Table1[[#This Row],[RPS]])</f>
        <v>1.6478595478595478E-2</v>
      </c>
      <c r="AP49" s="93">
        <f>Table1[[#This Row],[ITL]]/Table1[[#This Row],[estITL]]</f>
        <v>1.4962390538952273</v>
      </c>
      <c r="AQ49" s="94">
        <f>Table1[[#This Row],[E2E]]-Table1[[#This Row],[TTFT]]+Table1[[#This Row],[ITL]]</f>
        <v>33.667425532890654</v>
      </c>
      <c r="AR49" s="93">
        <f>Table1[[#This Row],[estDecode]]/Table1[[#This Row],[Run]]</f>
        <v>0.72967872553697743</v>
      </c>
      <c r="AS49" s="94">
        <f>Table1[[#This Row],[Prefill]]+Table1[[#This Row],[Out-Tok]]*Table1[[#This Row],[ITL]]</f>
        <v>34.711575997119766</v>
      </c>
      <c r="AT49" s="91">
        <f>Table1[[#This Row],[estPrefill]]+Table1[[#This Row],[Out-Tok]]*Table1[[#This Row],[ITL]]</f>
        <v>35.582990433167978</v>
      </c>
      <c r="AU49" s="93">
        <f>Table1[[#This Row],[E2E]]/Table1[[#This Row],[estE2E]]</f>
        <v>0.99676099788811479</v>
      </c>
      <c r="AV49" s="91">
        <f>Table1[[#This Row],[N]]/Table1[[#This Row],[estE2E]]</f>
        <v>1.7018429856802086</v>
      </c>
      <c r="AW49" s="91">
        <f>Table1[[#This Row],[PPS]]/Table1[[#This Row],[In-Tok]]</f>
        <v>1.8784544518158137</v>
      </c>
      <c r="AX49" s="93">
        <f>Table1[[#This Row],[RPS]]/Table1[[#This Row],[RPS(IL)]]</f>
        <v>1.0647050813857604</v>
      </c>
      <c r="AY49" s="91">
        <f>Table1[[#This Row],[GPS]]/Table1[[#This Row],[Out-Tok]]</f>
        <v>1.7438170636675721</v>
      </c>
      <c r="AZ49" s="95">
        <f>Table1[[#This Row],[RPS]]/Table1[[#This Row],[RPS(OL)]]</f>
        <v>1.1469092955161406</v>
      </c>
      <c r="BA49" s="132">
        <f>MaxTok/Table1[[#This Row],[tok/req]]</f>
        <v>68.054782805711454</v>
      </c>
      <c r="BB49" s="93">
        <f>Table1[[#This Row],[N]]/Table1[[#This Row],[N-max]]</f>
        <v>0.8898222899497773</v>
      </c>
      <c r="BC49" s="94">
        <f>Table1[[#This Row],[RPS]]</f>
        <v>2</v>
      </c>
      <c r="BD49" s="152">
        <f>Table1[[#This Row],[PPS]]/Table1[[#This Row],[RPS success]]</f>
        <v>4696.1361295395345</v>
      </c>
      <c r="BE49" s="93">
        <f>ABS(Table1[[#This Row],[est-In-Tok3]]-Table1[[#This Row],[In-Tok]])/Table1[[#This Row],[In-Tok]]</f>
        <v>6.0772774092093099E-2</v>
      </c>
      <c r="BF49" s="152">
        <f>Table1[[#This Row],[GPS]]/Table1[[#This Row],[RPS success]]</f>
        <v>1220.6719445673004</v>
      </c>
      <c r="BG49" s="93">
        <f>ABS(Table1[[#This Row],[est-Out-Tok3]]-Table1[[#This Row],[Out-Tok]])/Table1[[#This Row],[Out-Tok]]</f>
        <v>0.12809146816621397</v>
      </c>
      <c r="BH49" s="158">
        <f>Table1[[#This Row],[est-In-Tok3]]+AvgOutLoad*Table1[[#This Row],[est-Out-Tok3]]</f>
        <v>5306.4721018231849</v>
      </c>
      <c r="BI49" s="93">
        <f>ABS(Table1[[#This Row],[est-Tok/Req3]]-Table1[[#This Row],[tok/req]])/Table1[[#This Row],[tok/req]]</f>
        <v>6.9039982136283359E-2</v>
      </c>
      <c r="BJ49" s="158">
        <f>MaxTok/Table1[[#This Row],[est-Tok/Req3]]</f>
        <v>73.101724563722357</v>
      </c>
      <c r="BK49" s="93">
        <f>ABS(Table1[[#This Row],[est-N-max3]]-Table1[[#This Row],[N-max]])/Table1[[#This Row],[N-max]]</f>
        <v>7.4159986263115971E-2</v>
      </c>
      <c r="BL49" s="94">
        <f>MaxTok*Table1[[#This Row],[Kvcache]]/Table1[[#This Row],[Run]]</f>
        <v>5665.3879928513452</v>
      </c>
      <c r="BM49" s="166">
        <f>ABS(Table1[[#This Row],[est-Tok/Req]]-Table1[[#This Row],[tok/req]])/Table1[[#This Row],[tok/req]]</f>
        <v>6.0722819559043528E-3</v>
      </c>
      <c r="BN49" s="94">
        <f>MaxTok/Table1[[#This Row],[est-Tok/Req]]</f>
        <v>68.470555323311956</v>
      </c>
      <c r="BO49" s="176">
        <f>Table1[[#This Row],[Run]]/Table1[[#This Row],[Kvcache]]</f>
        <v>68.470555323311956</v>
      </c>
      <c r="BP49" s="132" cm="1">
        <f t="array" aca="1" ref="BP49" ca="1">_xlfn.CEILING.MATH(INDIRECT("Table1"&amp;BP$3)/BP$2)*BP$2</f>
        <v>6000</v>
      </c>
      <c r="BQ49" s="183" cm="1">
        <f t="array" aca="1" ref="BQ49" ca="1">_xlfn.CEILING.MATH(INDIRECT("Table1"&amp;BQ$3)/BQ$2)*BQ$2</f>
        <v>2.5000000000000001E-2</v>
      </c>
      <c r="BR49" s="93" cm="1">
        <f t="array" aca="1" ref="BR49" ca="1">_xlfn.CEILING.MATH(INDIRECT("Table1"&amp;BR$3)/BR$2)*BR$2</f>
        <v>0.70000000000000007</v>
      </c>
      <c r="BS49" s="93" cm="1">
        <f t="array" aca="1" ref="BS49" ca="1">_xlfn.CEILING.MATH(INDIRECT("Table1"&amp;BS$3)/BS$2)*BS$2</f>
        <v>0.68</v>
      </c>
      <c r="BT49" s="33" cm="1">
        <f t="array" aca="1" ref="BT49" ca="1">_xlfn.CEILING.MATH(INDIRECT("Table1"&amp;BT$3)/BT$2)*BT$2</f>
        <v>47</v>
      </c>
      <c r="BU49" s="132" cm="1">
        <f t="array" aca="1" ref="BU49" ca="1">_xlfn.CEILING.MATH(INDIRECT("Table1"&amp;BU$3)/BU$2)*BU$2</f>
        <v>5</v>
      </c>
      <c r="BV49" s="132" cm="1">
        <f t="array" aca="1" ref="BV49" ca="1">_xlfn.CEILING.MATH(INDIRECT("Table1"&amp;BV$3)/BV$2)*BV$2</f>
        <v>5000</v>
      </c>
      <c r="BW49" s="93"/>
      <c r="BX49" s="93"/>
      <c r="BY49" s="190">
        <v>0.9954228083785881</v>
      </c>
      <c r="BZ49" s="93"/>
      <c r="CA49" s="111">
        <f>(Table1[[#This Row],[In-Tok]]+Table1[[#This Row],[Out-Tok]])*Table1[[#This Row],[RPS]]</f>
        <v>12800</v>
      </c>
      <c r="CB49" s="33">
        <f t="shared" si="17"/>
        <v>397017.22391084093</v>
      </c>
      <c r="CC49" s="33">
        <f>Table1[[#This Row],[Supply]]/(Table1[[#This Row],[Prefill]]+Table1[[#This Row],[Out-Tok]]*Table1[[#This Row],[ITL]])</f>
        <v>11437.602946745601</v>
      </c>
      <c r="CD49" s="33">
        <f>Table1[[#This Row],[MaxRun]]/Table1[[#This Row],[ITL]]</f>
        <v>2812.0361622091696</v>
      </c>
      <c r="CE49" s="33">
        <f>Table1[[#This Row],[Out-Tok]]*Table1[[#This Row],[RPS]]</f>
        <v>2800</v>
      </c>
      <c r="CF49" s="91">
        <f>Table1[[#This Row],[Supply]]/Table1[[#This Row],[Demand-T]]</f>
        <v>31.016970618034449</v>
      </c>
      <c r="CG49" s="91"/>
      <c r="CH49" s="112">
        <f>Table1[[#This Row],[Prefill]]+Table1[[#This Row],[Out-Tok]]*Table1[[#This Row],[ITL]]</f>
        <v>34.711575997119766</v>
      </c>
      <c r="CI49" s="112">
        <f>Table1[[#This Row],[GPS]]*Table1[[#This Row],[ITL]]</f>
        <v>60.193575004984233</v>
      </c>
      <c r="CJ49" s="113">
        <f>Table1[[#This Row],[PPS]]*Table1[[#This Row],[Prefill]]/Table1[[#This Row],[In-Tok]]</f>
        <v>0.36308767322866475</v>
      </c>
      <c r="CK49" s="112">
        <f t="shared" si="12"/>
        <v>60.556662678212895</v>
      </c>
      <c r="CL49" s="112">
        <f>Table1[[#This Row],[PPS]]/Table1[[#This Row],[In-Tok]]</f>
        <v>1.8784544518158137</v>
      </c>
      <c r="CM49" s="112">
        <f>Table1[[#This Row],[GPS]]/Table1[[#This Row],[Out-Tok]]</f>
        <v>1.7438170636675721</v>
      </c>
      <c r="CN49" s="112">
        <f>Table1[[#This Row],[Run]]/Table1[[#This Row],[E2E]]</f>
        <v>1.3009024870239203</v>
      </c>
      <c r="CO49" s="112">
        <f>Table1[[#This Row],[N2]]/Table1[[#This Row],[E2E]]</f>
        <v>1.7073731709868112</v>
      </c>
      <c r="CP49" s="112"/>
      <c r="CQ49" s="112">
        <f>Table1[[#This Row],[In-Tok]]+AvgOutLoad*Table1[[#This Row],[Out-Tok]]</f>
        <v>5700</v>
      </c>
      <c r="CR49" s="112">
        <f t="shared" si="13"/>
        <v>516768.91086431971</v>
      </c>
      <c r="CS49" s="112" t="e">
        <f t="shared" si="14"/>
        <v>#DIV/0!</v>
      </c>
      <c r="CT49" s="112" t="e">
        <f t="shared" si="18"/>
        <v>#DIV/0!</v>
      </c>
      <c r="CU49" s="112">
        <f t="shared" si="15"/>
        <v>0</v>
      </c>
      <c r="CV49" s="112" t="e">
        <f t="shared" si="16"/>
        <v>#DIV/0!</v>
      </c>
      <c r="CW49" s="112">
        <f>Table1[[#This Row],[N(maxT)]]/Table1[[#This Row],[e2e sat]]</f>
        <v>0</v>
      </c>
      <c r="CX49" s="112" t="e">
        <f>Table1[[#This Row],[RPS]]/CW49</f>
        <v>#DIV/0!</v>
      </c>
      <c r="CY49" s="114" t="e">
        <f>Table1[[#This Row],[Kvcache]]/$T$4</f>
        <v>#DIV/0!</v>
      </c>
      <c r="GJ49"/>
    </row>
    <row r="50" spans="1:192" hidden="1" x14ac:dyDescent="0.25">
      <c r="A50" s="3">
        <v>5000</v>
      </c>
      <c r="B50" s="3">
        <v>1500</v>
      </c>
      <c r="C50">
        <v>2</v>
      </c>
      <c r="D50" s="199">
        <f>Table1[[#This Row],[Kvcache]]</f>
        <v>0.71598852315687067</v>
      </c>
      <c r="E50" s="207" t="s">
        <v>138</v>
      </c>
      <c r="F50" s="219">
        <v>46092</v>
      </c>
      <c r="G50" s="10"/>
      <c r="H50" s="10">
        <v>1.6748234095749341</v>
      </c>
      <c r="I50" s="10">
        <v>0.2054726877016777</v>
      </c>
      <c r="J50" s="10">
        <v>2.2110054026521362</v>
      </c>
      <c r="K50" s="10">
        <v>7.0016373594601946</v>
      </c>
      <c r="L50" s="10">
        <v>8.4012144899368302</v>
      </c>
      <c r="M50" s="10">
        <v>2.5381527339316323E-2</v>
      </c>
      <c r="N50" s="10">
        <v>38.719617624598435</v>
      </c>
      <c r="O50" s="47">
        <v>9991.0628879892047</v>
      </c>
      <c r="P50" s="47">
        <v>2529.5523346828609</v>
      </c>
      <c r="Q50" s="5">
        <v>48.647619047619052</v>
      </c>
      <c r="R50" s="5">
        <v>68.666666666666671</v>
      </c>
      <c r="S50" s="170">
        <v>0.71598852315687067</v>
      </c>
      <c r="T50" s="170">
        <v>0.99756917507111453</v>
      </c>
      <c r="U50" s="53">
        <f>(Table1[[#This Row],[In-Tok]]+Table1[[#This Row],[Out-Tok]])*Table1[[#This Row],[RPS]]</f>
        <v>13000</v>
      </c>
      <c r="V50" s="54">
        <f>Table1[[#This Row],[In-Tok]]+AvgOutLoad*Table1[[#This Row],[Out-Tok]]</f>
        <v>5750</v>
      </c>
      <c r="W50" s="54">
        <f>Table1[[#This Row],[In-Tok]]*Table1[[#This Row],[RPS]]</f>
        <v>10000</v>
      </c>
      <c r="X50" s="55">
        <f>Table1[[#This Row],[Out-Tok]]*Table1[[#This Row],[RPS]]</f>
        <v>3000</v>
      </c>
      <c r="Y50" s="74">
        <f>Table1[[#This Row],[In-Tok]]/Table1[[#This Row],[Out-Tok]]</f>
        <v>3.3333333333333335</v>
      </c>
      <c r="Z50" s="53">
        <f>Table1[[#This Row],[In-Tok]]*Table1[[#This Row],[N]]+AvgOutLoad*Table1[[#This Row],[Out-Tok]]*Table1[[#This Row],[Ndecode]]</f>
        <v>371225.32554375241</v>
      </c>
      <c r="AA50" s="54">
        <f>Table1[[#This Row],[tok(N)]]/Table1[[#This Row],[Kvcache]]</f>
        <v>518479.43582528376</v>
      </c>
      <c r="AB50" s="54">
        <f>Table1[[#This Row],[tok/req]]*Table1[[#This Row],[Run]]</f>
        <v>279723.80952380953</v>
      </c>
      <c r="AC50" s="54">
        <f>Table1[[#This Row],[tok(Run)]]/Table1[[#This Row],[Kvcache]]</f>
        <v>390681.97390996863</v>
      </c>
      <c r="AD50" s="54">
        <f>Table1[[#This Row],[tok/req]]*Table1[[#This Row],[MaxRun]]</f>
        <v>394833.33333333337</v>
      </c>
      <c r="AE50" s="54">
        <f>Table1[[#This Row],[tok(MaxRun)]]/Table1[[#This Row],[MaxKvcache]]</f>
        <v>395795.44276233931</v>
      </c>
      <c r="AF50" s="74">
        <f>Table1[[#This Row],[PPS]]*Table1[[#This Row],[Prefill]]/Table1[[#This Row],[In-Tok]]</f>
        <v>0.41057810891832558</v>
      </c>
      <c r="AG50" s="56">
        <f>Table1[[#This Row],[GPS]]*Table1[[#This Row],[ITL]]</f>
        <v>64.20390173898447</v>
      </c>
      <c r="AH50" s="56">
        <f>Table1[[#This Row],[Nprefill]]+Table1[[#This Row],[Ndecode]]</f>
        <v>64.6144798479028</v>
      </c>
      <c r="AI50" s="86">
        <f>Table1[[#This Row],[Run]]/Table1[[#This Row],[ITL]]/Table1[[#This Row],[GPS]]</f>
        <v>0.75770502617413871</v>
      </c>
      <c r="AJ50" s="85">
        <f>Table1[[#This Row],[Prefill]]+Table1[[#This Row],[ITL]]</f>
        <v>0.23085421504099402</v>
      </c>
      <c r="AK50" s="86">
        <f>Table1[[#This Row],[TTFT]]/Table1[[#This Row],[estTTFT]]</f>
        <v>7.2548963824529986</v>
      </c>
      <c r="AL50" s="56">
        <f>Table1[[#This Row],[In-Tok]]*Table1[[#This Row],[RPS]]/Table1[[#This Row],[PPS]]</f>
        <v>1.0008945106352538</v>
      </c>
      <c r="AM50" s="86">
        <f>Table1[[#This Row],[Prefill]]/Table1[[#This Row],[estPrefill]]</f>
        <v>0.20528905445916279</v>
      </c>
      <c r="AN50" s="86">
        <f>Table1[[#This Row],[Prefill]]/Table1[[#This Row],[TTFT]]</f>
        <v>0.12268319545033475</v>
      </c>
      <c r="AO50" s="85">
        <f>Table1[[#This Row],[Run]]/(Table1[[#This Row],[Out-Tok]]*Table1[[#This Row],[RPS]])</f>
        <v>1.6215873015873017E-2</v>
      </c>
      <c r="AP50" s="86">
        <f>Table1[[#This Row],[ITL]]/Table1[[#This Row],[estITL]]</f>
        <v>1.5652273124284732</v>
      </c>
      <c r="AQ50" s="87">
        <f>Table1[[#This Row],[E2E]]-Table1[[#This Row],[TTFT]]+Table1[[#This Row],[ITL]]</f>
        <v>37.070175742362814</v>
      </c>
      <c r="AR50" s="86">
        <f>Table1[[#This Row],[estDecode]]/Table1[[#This Row],[Run]]</f>
        <v>0.76201418421066858</v>
      </c>
      <c r="AS50" s="87">
        <f>Table1[[#This Row],[Prefill]]+Table1[[#This Row],[Out-Tok]]*Table1[[#This Row],[ITL]]</f>
        <v>38.277763696676161</v>
      </c>
      <c r="AT50" s="56">
        <f>Table1[[#This Row],[estPrefill]]+Table1[[#This Row],[Out-Tok]]*Table1[[#This Row],[ITL]]</f>
        <v>39.073185519609737</v>
      </c>
      <c r="AU50" s="86">
        <f>Table1[[#This Row],[E2E]]/Table1[[#This Row],[estE2E]]</f>
        <v>0.99095113719781414</v>
      </c>
      <c r="AV50" s="56">
        <f>Table1[[#This Row],[N]]/Table1[[#This Row],[estE2E]]</f>
        <v>1.6536783215557023</v>
      </c>
      <c r="AW50" s="56">
        <f>Table1[[#This Row],[PPS]]/Table1[[#This Row],[In-Tok]]</f>
        <v>1.998212577597841</v>
      </c>
      <c r="AX50" s="86">
        <f>Table1[[#This Row],[RPS]]/Table1[[#This Row],[RPS(IL)]]</f>
        <v>1.0008945106352538</v>
      </c>
      <c r="AY50" s="56">
        <f>Table1[[#This Row],[GPS]]/Table1[[#This Row],[Out-Tok]]</f>
        <v>1.6863682231219073</v>
      </c>
      <c r="AZ50" s="88">
        <f>Table1[[#This Row],[RPS]]/Table1[[#This Row],[RPS(OL)]]</f>
        <v>1.1859806017320931</v>
      </c>
      <c r="BA50" s="137">
        <f>MaxTok/Table1[[#This Row],[tok/req]]</f>
        <v>67.463002085661785</v>
      </c>
      <c r="BB50" s="57">
        <f>Table1[[#This Row],[N]]/Table1[[#This Row],[N-max]]</f>
        <v>0.95777652713791117</v>
      </c>
      <c r="BC50" s="58">
        <f>Table1[[#This Row],[RPS]]</f>
        <v>2</v>
      </c>
      <c r="BD50" s="154">
        <f>Table1[[#This Row],[PPS]]/Table1[[#This Row],[RPS success]]</f>
        <v>4995.5314439946023</v>
      </c>
      <c r="BE50" s="57">
        <f>ABS(Table1[[#This Row],[est-In-Tok3]]-Table1[[#This Row],[In-Tok]])/Table1[[#This Row],[In-Tok]]</f>
        <v>8.9371120107953176E-4</v>
      </c>
      <c r="BF50" s="154">
        <f>Table1[[#This Row],[GPS]]/Table1[[#This Row],[RPS success]]</f>
        <v>1264.7761673414304</v>
      </c>
      <c r="BG50" s="57">
        <f>ABS(Table1[[#This Row],[est-Out-Tok3]]-Table1[[#This Row],[Out-Tok]])/Table1[[#This Row],[Out-Tok]]</f>
        <v>0.15681588843904637</v>
      </c>
      <c r="BH50" s="161">
        <f>Table1[[#This Row],[est-In-Tok3]]+AvgOutLoad*Table1[[#This Row],[est-Out-Tok3]]</f>
        <v>5627.9195276653172</v>
      </c>
      <c r="BI50" s="57">
        <f>ABS(Table1[[#This Row],[est-Tok/Req3]]-Table1[[#This Row],[tok/req]])/Table1[[#This Row],[tok/req]]</f>
        <v>2.1231386492988311E-2</v>
      </c>
      <c r="BJ50" s="161">
        <f>MaxTok/Table1[[#This Row],[est-Tok/Req3]]</f>
        <v>68.926405234773597</v>
      </c>
      <c r="BK50" s="57">
        <f>ABS(Table1[[#This Row],[est-N-max3]]-Table1[[#This Row],[N-max]])/Table1[[#This Row],[N-max]]</f>
        <v>2.1691936378011197E-2</v>
      </c>
      <c r="BL50" s="58">
        <f>MaxTok*Table1[[#This Row],[Kvcache]]/Table1[[#This Row],[Run]]</f>
        <v>5709.2357861670953</v>
      </c>
      <c r="BM50" s="169">
        <f>ABS(Table1[[#This Row],[est-Tok/Req]]-Table1[[#This Row],[tok/req]])/Table1[[#This Row],[tok/req]]</f>
        <v>7.0894284926790807E-3</v>
      </c>
      <c r="BN50" s="58">
        <f>MaxTok/Table1[[#This Row],[est-Tok/Req]]</f>
        <v>67.944691114777171</v>
      </c>
      <c r="BO50" s="179">
        <f>Table1[[#This Row],[Run]]/Table1[[#This Row],[Kvcache]]</f>
        <v>67.944691114777157</v>
      </c>
      <c r="BP50" s="137" cm="1">
        <f t="array" aca="1" ref="BP50" ca="1">_xlfn.CEILING.MATH(INDIRECT("Table1"&amp;BP$3)/BP$2)*BP$2</f>
        <v>6000</v>
      </c>
      <c r="BQ50" s="186" cm="1">
        <f t="array" aca="1" ref="BQ50" ca="1">_xlfn.CEILING.MATH(INDIRECT("Table1"&amp;BQ$3)/BQ$2)*BQ$2</f>
        <v>0.03</v>
      </c>
      <c r="BR50" s="57" cm="1">
        <f t="array" aca="1" ref="BR50" ca="1">_xlfn.CEILING.MATH(INDIRECT("Table1"&amp;BR$3)/BR$2)*BR$2</f>
        <v>0.8</v>
      </c>
      <c r="BS50" s="57" cm="1">
        <f t="array" aca="1" ref="BS50" ca="1">_xlfn.CEILING.MATH(INDIRECT("Table1"&amp;BS$3)/BS$2)*BS$2</f>
        <v>0.72</v>
      </c>
      <c r="BT50" s="50" cm="1">
        <f t="array" aca="1" ref="BT50" ca="1">_xlfn.CEILING.MATH(INDIRECT("Table1"&amp;BT$3)/BT$2)*BT$2</f>
        <v>49</v>
      </c>
      <c r="BU50" s="137" cm="1">
        <f t="array" aca="1" ref="BU50" ca="1">_xlfn.CEILING.MATH(INDIRECT("Table1"&amp;BU$3)/BU$2)*BU$2</f>
        <v>5</v>
      </c>
      <c r="BV50" s="137" cm="1">
        <f t="array" aca="1" ref="BV50" ca="1">_xlfn.CEILING.MATH(INDIRECT("Table1"&amp;BV$3)/BV$2)*BV$2</f>
        <v>5000</v>
      </c>
      <c r="BW50" s="57"/>
      <c r="BX50" s="57"/>
      <c r="BY50" s="190">
        <v>0.99756917507111453</v>
      </c>
      <c r="BZ50" s="57"/>
      <c r="CA50" s="50">
        <f>(Table1[[#This Row],[In-Tok]]+Table1[[#This Row],[Out-Tok]])*Table1[[#This Row],[RPS]]</f>
        <v>13000</v>
      </c>
      <c r="CB50" s="50">
        <f t="shared" si="17"/>
        <v>395795.44276233931</v>
      </c>
      <c r="CC50" s="50">
        <f>Table1[[#This Row],[Supply]]/(Table1[[#This Row],[Prefill]]+Table1[[#This Row],[Out-Tok]]*Table1[[#This Row],[ITL]])</f>
        <v>10340.0879397954</v>
      </c>
      <c r="CD50" s="50">
        <f>Table1[[#This Row],[MaxRun]]/Table1[[#This Row],[ITL]]</f>
        <v>2705.3796152094083</v>
      </c>
      <c r="CE50" s="50">
        <f>Table1[[#This Row],[Out-Tok]]*Table1[[#This Row],[RPS]]</f>
        <v>3000</v>
      </c>
      <c r="CF50" s="51">
        <f>Table1[[#This Row],[Supply]]/Table1[[#This Row],[Demand-T]]</f>
        <v>30.445803289410716</v>
      </c>
      <c r="CG50" s="51"/>
      <c r="CH50" s="8">
        <f>Table1[[#This Row],[Prefill]]+Table1[[#This Row],[Out-Tok]]*Table1[[#This Row],[ITL]]</f>
        <v>38.277763696676161</v>
      </c>
      <c r="CI50" s="8">
        <f>Table1[[#This Row],[GPS]]*Table1[[#This Row],[ITL]]</f>
        <v>64.20390173898447</v>
      </c>
      <c r="CJ50" s="14">
        <f>Table1[[#This Row],[PPS]]*Table1[[#This Row],[Prefill]]/Table1[[#This Row],[In-Tok]]</f>
        <v>0.41057810891832558</v>
      </c>
      <c r="CK50" s="8">
        <f t="shared" si="12"/>
        <v>64.6144798479028</v>
      </c>
      <c r="CL50" s="8">
        <f>Table1[[#This Row],[PPS]]/Table1[[#This Row],[In-Tok]]</f>
        <v>1.998212577597841</v>
      </c>
      <c r="CM50" s="8">
        <f>Table1[[#This Row],[GPS]]/Table1[[#This Row],[Out-Tok]]</f>
        <v>1.6863682231219073</v>
      </c>
      <c r="CN50" s="8">
        <f>Table1[[#This Row],[Run]]/Table1[[#This Row],[E2E]]</f>
        <v>1.2564075275555768</v>
      </c>
      <c r="CO50" s="8">
        <f>Table1[[#This Row],[N2]]/Table1[[#This Row],[E2E]]</f>
        <v>1.6687788726212383</v>
      </c>
      <c r="CP50" s="8"/>
      <c r="CQ50" s="8">
        <f>Table1[[#This Row],[In-Tok]]+AvgOutLoad*Table1[[#This Row],[Out-Tok]]</f>
        <v>5750</v>
      </c>
      <c r="CR50" s="8">
        <f t="shared" si="13"/>
        <v>510938.49091722176</v>
      </c>
      <c r="CS50" s="8" t="e">
        <f t="shared" si="14"/>
        <v>#DIV/0!</v>
      </c>
      <c r="CT50" s="8" t="e">
        <f t="shared" si="18"/>
        <v>#DIV/0!</v>
      </c>
      <c r="CU50" s="8">
        <f t="shared" si="15"/>
        <v>0</v>
      </c>
      <c r="CV50" s="8" t="e">
        <f t="shared" si="16"/>
        <v>#DIV/0!</v>
      </c>
      <c r="CW50" s="8">
        <f>Table1[[#This Row],[N(maxT)]]/Table1[[#This Row],[e2e sat]]</f>
        <v>0</v>
      </c>
      <c r="CX50" s="8" t="e">
        <f>Table1[[#This Row],[RPS]]/CW50</f>
        <v>#DIV/0!</v>
      </c>
      <c r="CY50" s="8" t="e">
        <f>Table1[[#This Row],[Kvcache]]/$T$4</f>
        <v>#DIV/0!</v>
      </c>
      <c r="GJ50"/>
    </row>
    <row r="51" spans="1:192" hidden="1" x14ac:dyDescent="0.25">
      <c r="A51" s="3">
        <v>5000</v>
      </c>
      <c r="B51" s="3">
        <v>1600</v>
      </c>
      <c r="C51">
        <v>2</v>
      </c>
      <c r="D51" s="199">
        <f>Table1[[#This Row],[Kvcache]]</f>
        <v>0.68742814378966433</v>
      </c>
      <c r="E51" s="208" t="s">
        <v>138</v>
      </c>
      <c r="F51" s="219">
        <v>46092</v>
      </c>
      <c r="G51" s="10"/>
      <c r="H51" s="10">
        <v>1.3661789128068271</v>
      </c>
      <c r="I51" s="10">
        <v>0.18625423975646438</v>
      </c>
      <c r="J51" s="10">
        <v>1.5875425631830991</v>
      </c>
      <c r="K51" s="10">
        <v>5.1241823712984704</v>
      </c>
      <c r="L51" s="10">
        <v>6.0669184684753406</v>
      </c>
      <c r="M51" s="10">
        <v>2.4125358087585144E-2</v>
      </c>
      <c r="N51" s="10">
        <v>39.494148024441749</v>
      </c>
      <c r="O51" s="47">
        <v>8649.2764985994381</v>
      </c>
      <c r="P51" s="47">
        <v>2556.0095611577967</v>
      </c>
      <c r="Q51" s="5">
        <v>46.273929773929773</v>
      </c>
      <c r="R51" s="5">
        <v>66.333333333333329</v>
      </c>
      <c r="S51" s="170">
        <v>0.68742814378966433</v>
      </c>
      <c r="T51" s="170">
        <v>0.98492371347297647</v>
      </c>
      <c r="U51" s="26">
        <f>(Table1[[#This Row],[In-Tok]]+Table1[[#This Row],[Out-Tok]])*Table1[[#This Row],[RPS]]</f>
        <v>13200</v>
      </c>
      <c r="V51" s="54">
        <f>Table1[[#This Row],[In-Tok]]+AvgOutLoad*Table1[[#This Row],[Out-Tok]]</f>
        <v>5800</v>
      </c>
      <c r="W51" s="20">
        <f>Table1[[#This Row],[In-Tok]]*Table1[[#This Row],[RPS]]</f>
        <v>10000</v>
      </c>
      <c r="X51" s="35">
        <f>Table1[[#This Row],[Out-Tok]]*Table1[[#This Row],[RPS]]</f>
        <v>3200</v>
      </c>
      <c r="Y51" s="75">
        <f>Table1[[#This Row],[In-Tok]]/Table1[[#This Row],[Out-Tok]]</f>
        <v>3.125</v>
      </c>
      <c r="Z51" s="26">
        <f>Table1[[#This Row],[In-Tok]]*Table1[[#This Row],[N]]+AvgOutLoad*Table1[[#This Row],[Out-Tok]]*Table1[[#This Row],[Ndecode]]</f>
        <v>359265.91086038464</v>
      </c>
      <c r="AA51" s="20">
        <f>Table1[[#This Row],[tok(N)]]/Table1[[#This Row],[Kvcache]]</f>
        <v>522623.22121381015</v>
      </c>
      <c r="AB51" s="20">
        <f>Table1[[#This Row],[tok/req]]*Table1[[#This Row],[Run]]</f>
        <v>268388.79268879269</v>
      </c>
      <c r="AC51" s="20">
        <f>Table1[[#This Row],[tok(Run)]]/Table1[[#This Row],[Kvcache]]</f>
        <v>390424.50489328947</v>
      </c>
      <c r="AD51" s="20">
        <f>Table1[[#This Row],[tok/req]]*Table1[[#This Row],[MaxRun]]</f>
        <v>384733.33333333331</v>
      </c>
      <c r="AE51" s="20">
        <f>Table1[[#This Row],[tok(MaxRun)]]/Table1[[#This Row],[MaxKvcache]]</f>
        <v>390622.46960905293</v>
      </c>
      <c r="AF51" s="75">
        <f>Table1[[#This Row],[PPS]]*Table1[[#This Row],[Prefill]]/Table1[[#This Row],[In-Tok]]</f>
        <v>0.32219288373801852</v>
      </c>
      <c r="AG51" s="22">
        <f>Table1[[#This Row],[GPS]]*Table1[[#This Row],[ITL]]</f>
        <v>61.664645938223202</v>
      </c>
      <c r="AH51" s="22">
        <f>Table1[[#This Row],[Nprefill]]+Table1[[#This Row],[Ndecode]]</f>
        <v>61.986838821961221</v>
      </c>
      <c r="AI51" s="34">
        <f>Table1[[#This Row],[Run]]/Table1[[#This Row],[ITL]]/Table1[[#This Row],[GPS]]</f>
        <v>0.75041264033669886</v>
      </c>
      <c r="AJ51" s="64">
        <f>Table1[[#This Row],[Prefill]]+Table1[[#This Row],[ITL]]</f>
        <v>0.21037959784404953</v>
      </c>
      <c r="AK51" s="34">
        <f>Table1[[#This Row],[TTFT]]/Table1[[#This Row],[estTTFT]]</f>
        <v>6.4938754841595907</v>
      </c>
      <c r="AL51" s="22">
        <f>Table1[[#This Row],[In-Tok]]*Table1[[#This Row],[RPS]]/Table1[[#This Row],[PPS]]</f>
        <v>1.1561660679502248</v>
      </c>
      <c r="AM51" s="34">
        <f>Table1[[#This Row],[Prefill]]/Table1[[#This Row],[estPrefill]]</f>
        <v>0.16109644186900923</v>
      </c>
      <c r="AN51" s="34">
        <f>Table1[[#This Row],[Prefill]]/Table1[[#This Row],[TTFT]]</f>
        <v>0.13633224609930725</v>
      </c>
      <c r="AO51" s="64">
        <f>Table1[[#This Row],[Run]]/(Table1[[#This Row],[Out-Tok]]*Table1[[#This Row],[RPS]])</f>
        <v>1.4460603054353054E-2</v>
      </c>
      <c r="AP51" s="34">
        <f>Table1[[#This Row],[ITL]]/Table1[[#This Row],[estITL]]</f>
        <v>1.668350759432728</v>
      </c>
      <c r="AQ51" s="69">
        <f>Table1[[#This Row],[E2E]]-Table1[[#This Row],[TTFT]]+Table1[[#This Row],[ITL]]</f>
        <v>38.152094469722513</v>
      </c>
      <c r="AR51" s="34">
        <f>Table1[[#This Row],[estDecode]]/Table1[[#This Row],[Run]]</f>
        <v>0.8244835624748903</v>
      </c>
      <c r="AS51" s="69">
        <f>Table1[[#This Row],[Prefill]]+Table1[[#This Row],[Out-Tok]]*Table1[[#This Row],[ITL]]</f>
        <v>38.786827179892697</v>
      </c>
      <c r="AT51" s="22">
        <f>Table1[[#This Row],[estPrefill]]+Table1[[#This Row],[Out-Tok]]*Table1[[#This Row],[ITL]]</f>
        <v>39.756739008086456</v>
      </c>
      <c r="AU51" s="34">
        <f>Table1[[#This Row],[E2E]]/Table1[[#This Row],[estE2E]]</f>
        <v>0.99339505728597877</v>
      </c>
      <c r="AV51" s="22">
        <f>Table1[[#This Row],[N]]/Table1[[#This Row],[estE2E]]</f>
        <v>1.5591529981710321</v>
      </c>
      <c r="AW51" s="22">
        <f>Table1[[#This Row],[PPS]]/Table1[[#This Row],[In-Tok]]</f>
        <v>1.7298552997198877</v>
      </c>
      <c r="AX51" s="34">
        <f>Table1[[#This Row],[RPS]]/Table1[[#This Row],[RPS(IL)]]</f>
        <v>1.1561660679502246</v>
      </c>
      <c r="AY51" s="22">
        <f>Table1[[#This Row],[GPS]]/Table1[[#This Row],[Out-Tok]]</f>
        <v>1.597505975723623</v>
      </c>
      <c r="AZ51" s="89">
        <f>Table1[[#This Row],[RPS]]/Table1[[#This Row],[RPS(OL)]]</f>
        <v>1.2519514983936502</v>
      </c>
      <c r="BA51" s="135">
        <f>MaxTok/Table1[[#This Row],[tok/req]]</f>
        <v>66.881424481475051</v>
      </c>
      <c r="BB51" s="4">
        <f>Table1[[#This Row],[N]]/Table1[[#This Row],[N-max]]</f>
        <v>0.92681696453894247</v>
      </c>
      <c r="BC51" s="44">
        <f>Table1[[#This Row],[RPS]]</f>
        <v>2</v>
      </c>
      <c r="BD51" s="47">
        <f>Table1[[#This Row],[PPS]]/Table1[[#This Row],[RPS success]]</f>
        <v>4324.6382492997191</v>
      </c>
      <c r="BE51" s="4">
        <f>ABS(Table1[[#This Row],[est-In-Tok3]]-Table1[[#This Row],[In-Tok]])/Table1[[#This Row],[In-Tok]]</f>
        <v>0.1350723501400562</v>
      </c>
      <c r="BF51" s="47">
        <f>Table1[[#This Row],[GPS]]/Table1[[#This Row],[RPS success]]</f>
        <v>1278.0047805788984</v>
      </c>
      <c r="BG51" s="4">
        <f>ABS(Table1[[#This Row],[est-Out-Tok3]]-Table1[[#This Row],[Out-Tok]])/Table1[[#This Row],[Out-Tok]]</f>
        <v>0.20124701213818852</v>
      </c>
      <c r="BH51" s="162">
        <f>Table1[[#This Row],[est-In-Tok3]]+AvgOutLoad*Table1[[#This Row],[est-Out-Tok3]]</f>
        <v>4963.6406395891681</v>
      </c>
      <c r="BI51" s="4">
        <f>ABS(Table1[[#This Row],[est-Tok/Req3]]-Table1[[#This Row],[tok/req]])/Table1[[#This Row],[tok/req]]</f>
        <v>0.1441998897260055</v>
      </c>
      <c r="BJ51" s="162">
        <f>MaxTok/Table1[[#This Row],[est-Tok/Req3]]</f>
        <v>78.150754689739614</v>
      </c>
      <c r="BK51" s="4">
        <f>ABS(Table1[[#This Row],[est-N-max3]]-Table1[[#This Row],[N-max]])/Table1[[#This Row],[N-max]]</f>
        <v>0.16849716188963595</v>
      </c>
      <c r="BL51" s="44">
        <f>MaxTok*Table1[[#This Row],[Kvcache]]/Table1[[#This Row],[Run]]</f>
        <v>5762.6790617862462</v>
      </c>
      <c r="BM51" s="170">
        <f>ABS(Table1[[#This Row],[est-Tok/Req]]-Table1[[#This Row],[tok/req]])/Table1[[#This Row],[tok/req]]</f>
        <v>6.4346445196127302E-3</v>
      </c>
      <c r="BN51" s="44">
        <f>MaxTok/Table1[[#This Row],[est-Tok/Req]]</f>
        <v>67.31456980918783</v>
      </c>
      <c r="BO51" s="180">
        <f>Table1[[#This Row],[Run]]/Table1[[#This Row],[Kvcache]]</f>
        <v>67.31456980918783</v>
      </c>
      <c r="BP51" s="135" cm="1">
        <f t="array" aca="1" ref="BP51" ca="1">_xlfn.CEILING.MATH(INDIRECT("Table1"&amp;BP$3)/BP$2)*BP$2</f>
        <v>6000</v>
      </c>
      <c r="BQ51" s="187" cm="1">
        <f t="array" aca="1" ref="BQ51" ca="1">_xlfn.CEILING.MATH(INDIRECT("Table1"&amp;BQ$3)/BQ$2)*BQ$2</f>
        <v>2.5000000000000001E-2</v>
      </c>
      <c r="BR51" s="4" cm="1">
        <f t="array" aca="1" ref="BR51" ca="1">_xlfn.CEILING.MATH(INDIRECT("Table1"&amp;BR$3)/BR$2)*BR$2</f>
        <v>0.70000000000000007</v>
      </c>
      <c r="BS51" s="4" cm="1">
        <f t="array" aca="1" ref="BS51" ca="1">_xlfn.CEILING.MATH(INDIRECT("Table1"&amp;BS$3)/BS$2)*BS$2</f>
        <v>0.69000000000000006</v>
      </c>
      <c r="BT51" s="3" cm="1">
        <f t="array" aca="1" ref="BT51" ca="1">_xlfn.CEILING.MATH(INDIRECT("Table1"&amp;BT$3)/BT$2)*BT$2</f>
        <v>47</v>
      </c>
      <c r="BU51" s="135" cm="1">
        <f t="array" aca="1" ref="BU51" ca="1">_xlfn.CEILING.MATH(INDIRECT("Table1"&amp;BU$3)/BU$2)*BU$2</f>
        <v>5</v>
      </c>
      <c r="BV51" s="135" cm="1">
        <f t="array" aca="1" ref="BV51" ca="1">_xlfn.CEILING.MATH(INDIRECT("Table1"&amp;BV$3)/BV$2)*BV$2</f>
        <v>5000</v>
      </c>
      <c r="BW51" s="4"/>
      <c r="BX51" s="4"/>
      <c r="BY51" s="190">
        <v>0.98492371347297647</v>
      </c>
      <c r="BZ51" s="4"/>
      <c r="CA51" s="12">
        <f>(Table1[[#This Row],[In-Tok]]+Table1[[#This Row],[Out-Tok]])*Table1[[#This Row],[RPS]]</f>
        <v>13200</v>
      </c>
      <c r="CB51" s="3">
        <f t="shared" si="17"/>
        <v>390622.46960905293</v>
      </c>
      <c r="CC51" s="3">
        <f>Table1[[#This Row],[Supply]]/(Table1[[#This Row],[Prefill]]+Table1[[#This Row],[Out-Tok]]*Table1[[#This Row],[ITL]])</f>
        <v>10071.008587460687</v>
      </c>
      <c r="CD51" s="3">
        <f>Table1[[#This Row],[MaxRun]]/Table1[[#This Row],[ITL]]</f>
        <v>2749.5274098115178</v>
      </c>
      <c r="CE51" s="3">
        <f>Table1[[#This Row],[Out-Tok]]*Table1[[#This Row],[RPS]]</f>
        <v>3200</v>
      </c>
      <c r="CF51" s="5">
        <f>Table1[[#This Row],[Supply]]/Table1[[#This Row],[Demand-T]]</f>
        <v>29.592611334019161</v>
      </c>
      <c r="CH51" s="8">
        <f>Table1[[#This Row],[Prefill]]+Table1[[#This Row],[Out-Tok]]*Table1[[#This Row],[ITL]]</f>
        <v>38.786827179892697</v>
      </c>
      <c r="CI51" s="8">
        <f>Table1[[#This Row],[GPS]]*Table1[[#This Row],[ITL]]</f>
        <v>61.664645938223202</v>
      </c>
      <c r="CJ51" s="14">
        <f>Table1[[#This Row],[PPS]]*Table1[[#This Row],[Prefill]]/Table1[[#This Row],[In-Tok]]</f>
        <v>0.32219288373801852</v>
      </c>
      <c r="CK51" s="8">
        <f t="shared" si="12"/>
        <v>61.986838821961221</v>
      </c>
      <c r="CL51" s="8">
        <f>Table1[[#This Row],[PPS]]/Table1[[#This Row],[In-Tok]]</f>
        <v>1.7298552997198877</v>
      </c>
      <c r="CM51" s="8">
        <f>Table1[[#This Row],[GPS]]/Table1[[#This Row],[Out-Tok]]</f>
        <v>1.597505975723623</v>
      </c>
      <c r="CN51" s="8">
        <f>Table1[[#This Row],[Run]]/Table1[[#This Row],[E2E]]</f>
        <v>1.1716654767509409</v>
      </c>
      <c r="CO51" s="8">
        <f>Table1[[#This Row],[N2]]/Table1[[#This Row],[E2E]]</f>
        <v>1.5695195851192794</v>
      </c>
      <c r="CP51" s="8"/>
      <c r="CQ51" s="8">
        <f>Table1[[#This Row],[In-Tok]]+AvgOutLoad*Table1[[#This Row],[Out-Tok]]</f>
        <v>5800</v>
      </c>
      <c r="CR51" s="8">
        <f t="shared" si="13"/>
        <v>538893.2661908787</v>
      </c>
      <c r="CS51" s="8" t="e">
        <f t="shared" si="14"/>
        <v>#DIV/0!</v>
      </c>
      <c r="CT51" s="8" t="e">
        <f t="shared" si="18"/>
        <v>#DIV/0!</v>
      </c>
      <c r="CU51" s="8">
        <f t="shared" si="15"/>
        <v>0</v>
      </c>
      <c r="CV51" s="8" t="e">
        <f t="shared" si="16"/>
        <v>#DIV/0!</v>
      </c>
      <c r="CW51" s="8">
        <f>Table1[[#This Row],[N(maxT)]]/Table1[[#This Row],[e2e sat]]</f>
        <v>0</v>
      </c>
      <c r="CX51" s="8" t="e">
        <f>Table1[[#This Row],[RPS]]/CW51</f>
        <v>#DIV/0!</v>
      </c>
      <c r="CY51" s="8" t="e">
        <f>Table1[[#This Row],[Kvcache]]/$T$4</f>
        <v>#DIV/0!</v>
      </c>
      <c r="GJ51"/>
    </row>
    <row r="52" spans="1:192" hidden="1" x14ac:dyDescent="0.25">
      <c r="A52" s="3">
        <v>5000</v>
      </c>
      <c r="B52" s="3">
        <v>1700</v>
      </c>
      <c r="C52">
        <v>2</v>
      </c>
      <c r="D52" s="199">
        <f>Table1[[#This Row],[Kvcache]]</f>
        <v>0.71036971783084368</v>
      </c>
      <c r="E52" s="208" t="s">
        <v>138</v>
      </c>
      <c r="F52" s="219">
        <v>46092</v>
      </c>
      <c r="G52" s="10"/>
      <c r="H52" s="10">
        <v>3.2103631128871375</v>
      </c>
      <c r="I52" s="10">
        <v>0.19055890054550972</v>
      </c>
      <c r="J52" s="10">
        <v>2.314320123485555</v>
      </c>
      <c r="K52" s="10">
        <v>7.9766825318336485</v>
      </c>
      <c r="L52" s="10">
        <v>8.8034968773523961</v>
      </c>
      <c r="M52" s="10">
        <v>2.4324583818512577E-2</v>
      </c>
      <c r="N52" s="10">
        <v>44.130213181764738</v>
      </c>
      <c r="O52" s="47">
        <v>7827.5383694083694</v>
      </c>
      <c r="P52" s="47">
        <v>2467.4315440115438</v>
      </c>
      <c r="Q52" s="5">
        <v>47.339983687809784</v>
      </c>
      <c r="R52" s="5">
        <v>67.333333333333329</v>
      </c>
      <c r="S52" s="170">
        <v>0.71036971783084368</v>
      </c>
      <c r="T52" s="170">
        <v>0.99922420480993013</v>
      </c>
      <c r="U52" s="26">
        <f>(Table1[[#This Row],[In-Tok]]+Table1[[#This Row],[Out-Tok]])*Table1[[#This Row],[RPS]]</f>
        <v>13400</v>
      </c>
      <c r="V52" s="54">
        <f>Table1[[#This Row],[In-Tok]]+AvgOutLoad*Table1[[#This Row],[Out-Tok]]</f>
        <v>5850</v>
      </c>
      <c r="W52" s="20">
        <f>Table1[[#This Row],[In-Tok]]*Table1[[#This Row],[RPS]]</f>
        <v>10000</v>
      </c>
      <c r="X52" s="35">
        <f>Table1[[#This Row],[Out-Tok]]*Table1[[#This Row],[RPS]]</f>
        <v>3400</v>
      </c>
      <c r="Y52" s="75">
        <f>Table1[[#This Row],[In-Tok]]/Table1[[#This Row],[Out-Tok]]</f>
        <v>2.9411764705882355</v>
      </c>
      <c r="Z52" s="26">
        <f>Table1[[#This Row],[In-Tok]]*Table1[[#This Row],[N]]+AvgOutLoad*Table1[[#This Row],[Out-Tok]]*Table1[[#This Row],[Ndecode]]</f>
        <v>352604.19274684385</v>
      </c>
      <c r="AA52" s="20">
        <f>Table1[[#This Row],[tok(N)]]/Table1[[#This Row],[Kvcache]]</f>
        <v>496367.15064873797</v>
      </c>
      <c r="AB52" s="20">
        <f>Table1[[#This Row],[tok/req]]*Table1[[#This Row],[Run]]</f>
        <v>276938.90457368724</v>
      </c>
      <c r="AC52" s="20">
        <f>Table1[[#This Row],[tok(Run)]]/Table1[[#This Row],[Kvcache]]</f>
        <v>389851.78791029647</v>
      </c>
      <c r="AD52" s="20">
        <f>Table1[[#This Row],[tok/req]]*Table1[[#This Row],[MaxRun]]</f>
        <v>393900</v>
      </c>
      <c r="AE52" s="20">
        <f>Table1[[#This Row],[tok(MaxRun)]]/Table1[[#This Row],[MaxKvcache]]</f>
        <v>394205.82298136648</v>
      </c>
      <c r="AF52" s="75">
        <f>Table1[[#This Row],[PPS]]*Table1[[#This Row],[Prefill]]/Table1[[#This Row],[In-Tok]]</f>
        <v>0.29832142113045013</v>
      </c>
      <c r="AG52" s="22">
        <f>Table1[[#This Row],[GPS]]*Table1[[#This Row],[ITL]]</f>
        <v>60.019245408750706</v>
      </c>
      <c r="AH52" s="22">
        <f>Table1[[#This Row],[Nprefill]]+Table1[[#This Row],[Ndecode]]</f>
        <v>60.317566829881159</v>
      </c>
      <c r="AI52" s="34">
        <f>Table1[[#This Row],[Run]]/Table1[[#This Row],[ITL]]/Table1[[#This Row],[GPS]]</f>
        <v>0.78874673224244995</v>
      </c>
      <c r="AJ52" s="64">
        <f>Table1[[#This Row],[Prefill]]+Table1[[#This Row],[ITL]]</f>
        <v>0.2148834843640223</v>
      </c>
      <c r="AK52" s="34">
        <f>Table1[[#This Row],[TTFT]]/Table1[[#This Row],[estTTFT]]</f>
        <v>14.940017946882497</v>
      </c>
      <c r="AL52" s="22">
        <f>Table1[[#This Row],[In-Tok]]*Table1[[#This Row],[RPS]]/Table1[[#This Row],[PPS]]</f>
        <v>1.2775408472070935</v>
      </c>
      <c r="AM52" s="34">
        <f>Table1[[#This Row],[Prefill]]/Table1[[#This Row],[estPrefill]]</f>
        <v>0.14916071056522509</v>
      </c>
      <c r="AN52" s="34">
        <f>Table1[[#This Row],[Prefill]]/Table1[[#This Row],[TTFT]]</f>
        <v>5.9357429002520737E-2</v>
      </c>
      <c r="AO52" s="64">
        <f>Table1[[#This Row],[Run]]/(Table1[[#This Row],[Out-Tok]]*Table1[[#This Row],[RPS]])</f>
        <v>1.3923524614061702E-2</v>
      </c>
      <c r="AP52" s="34">
        <f>Table1[[#This Row],[ITL]]/Table1[[#This Row],[estITL]]</f>
        <v>1.7470133815073372</v>
      </c>
      <c r="AQ52" s="69">
        <f>Table1[[#This Row],[E2E]]-Table1[[#This Row],[TTFT]]+Table1[[#This Row],[ITL]]</f>
        <v>40.944174652696113</v>
      </c>
      <c r="AR52" s="34">
        <f>Table1[[#This Row],[estDecode]]/Table1[[#This Row],[Run]]</f>
        <v>0.86489625604242415</v>
      </c>
      <c r="AS52" s="69">
        <f>Table1[[#This Row],[Prefill]]+Table1[[#This Row],[Out-Tok]]*Table1[[#This Row],[ITL]]</f>
        <v>41.54235139201689</v>
      </c>
      <c r="AT52" s="22">
        <f>Table1[[#This Row],[estPrefill]]+Table1[[#This Row],[Out-Tok]]*Table1[[#This Row],[ITL]]</f>
        <v>42.629333338678471</v>
      </c>
      <c r="AU52" s="34">
        <f>Table1[[#This Row],[E2E]]/Table1[[#This Row],[estE2E]]</f>
        <v>1.0352076780362054</v>
      </c>
      <c r="AV52" s="22">
        <f>Table1[[#This Row],[N]]/Table1[[#This Row],[estE2E]]</f>
        <v>1.4149310370555055</v>
      </c>
      <c r="AW52" s="22">
        <f>Table1[[#This Row],[PPS]]/Table1[[#This Row],[In-Tok]]</f>
        <v>1.5655076738816738</v>
      </c>
      <c r="AX52" s="34">
        <f>Table1[[#This Row],[RPS]]/Table1[[#This Row],[RPS(IL)]]</f>
        <v>1.2775408472070937</v>
      </c>
      <c r="AY52" s="22">
        <f>Table1[[#This Row],[GPS]]/Table1[[#This Row],[Out-Tok]]</f>
        <v>1.4514303200067904</v>
      </c>
      <c r="AZ52" s="89">
        <f>Table1[[#This Row],[RPS]]/Table1[[#This Row],[RPS(OL)]]</f>
        <v>1.377951095847745</v>
      </c>
      <c r="BA52" s="135">
        <f>MaxTok/Table1[[#This Row],[tok/req]]</f>
        <v>66.309788374795772</v>
      </c>
      <c r="BB52" s="4">
        <f>Table1[[#This Row],[N]]/Table1[[#This Row],[N-max]]</f>
        <v>0.90963292612177526</v>
      </c>
      <c r="BC52" s="44">
        <f>Table1[[#This Row],[RPS]]</f>
        <v>2</v>
      </c>
      <c r="BD52" s="47">
        <f>Table1[[#This Row],[PPS]]/Table1[[#This Row],[RPS success]]</f>
        <v>3913.7691847041847</v>
      </c>
      <c r="BE52" s="4">
        <f>ABS(Table1[[#This Row],[est-In-Tok3]]-Table1[[#This Row],[In-Tok]])/Table1[[#This Row],[In-Tok]]</f>
        <v>0.21724616305916306</v>
      </c>
      <c r="BF52" s="47">
        <f>Table1[[#This Row],[GPS]]/Table1[[#This Row],[RPS success]]</f>
        <v>1233.7157720057719</v>
      </c>
      <c r="BG52" s="4">
        <f>ABS(Table1[[#This Row],[est-Out-Tok3]]-Table1[[#This Row],[Out-Tok]])/Table1[[#This Row],[Out-Tok]]</f>
        <v>0.27428483999660475</v>
      </c>
      <c r="BH52" s="162">
        <f>Table1[[#This Row],[est-In-Tok3]]+AvgOutLoad*Table1[[#This Row],[est-Out-Tok3]]</f>
        <v>4530.6270707070707</v>
      </c>
      <c r="BI52" s="4">
        <f>ABS(Table1[[#This Row],[est-Tok/Req3]]-Table1[[#This Row],[tok/req]])/Table1[[#This Row],[tok/req]]</f>
        <v>0.2255338340671674</v>
      </c>
      <c r="BJ52" s="162">
        <f>MaxTok/Table1[[#This Row],[est-Tok/Req3]]</f>
        <v>85.619993863678545</v>
      </c>
      <c r="BK52" s="4">
        <f>ABS(Table1[[#This Row],[est-N-max3]]-Table1[[#This Row],[N-max]])/Table1[[#This Row],[N-max]]</f>
        <v>0.29121199090152045</v>
      </c>
      <c r="BL52" s="44">
        <f>MaxTok*Table1[[#This Row],[Kvcache]]/Table1[[#This Row],[Run]]</f>
        <v>5820.8960508309974</v>
      </c>
      <c r="BM52" s="170">
        <f>ABS(Table1[[#This Row],[est-Tok/Req]]-Table1[[#This Row],[tok/req]])/Table1[[#This Row],[tok/req]]</f>
        <v>4.9750340459833488E-3</v>
      </c>
      <c r="BN52" s="44">
        <f>MaxTok/Table1[[#This Row],[est-Tok/Req]]</f>
        <v>66.641331266717344</v>
      </c>
      <c r="BO52" s="180">
        <f>Table1[[#This Row],[Run]]/Table1[[#This Row],[Kvcache]]</f>
        <v>66.641331266717344</v>
      </c>
      <c r="BP52" s="135" cm="1">
        <f t="array" aca="1" ref="BP52" ca="1">_xlfn.CEILING.MATH(INDIRECT("Table1"&amp;BP$3)/BP$2)*BP$2</f>
        <v>6000</v>
      </c>
      <c r="BQ52" s="187" cm="1">
        <f t="array" aca="1" ref="BQ52" ca="1">_xlfn.CEILING.MATH(INDIRECT("Table1"&amp;BQ$3)/BQ$2)*BQ$2</f>
        <v>2.5000000000000001E-2</v>
      </c>
      <c r="BR52" s="4" cm="1">
        <f t="array" aca="1" ref="BR52" ca="1">_xlfn.CEILING.MATH(INDIRECT("Table1"&amp;BR$3)/BR$2)*BR$2</f>
        <v>0.8</v>
      </c>
      <c r="BS52" s="4" cm="1">
        <f t="array" aca="1" ref="BS52" ca="1">_xlfn.CEILING.MATH(INDIRECT("Table1"&amp;BS$3)/BS$2)*BS$2</f>
        <v>0.72</v>
      </c>
      <c r="BT52" s="3" cm="1">
        <f t="array" aca="1" ref="BT52" ca="1">_xlfn.CEILING.MATH(INDIRECT("Table1"&amp;BT$3)/BT$2)*BT$2</f>
        <v>48</v>
      </c>
      <c r="BU52" s="135" cm="1">
        <f t="array" aca="1" ref="BU52" ca="1">_xlfn.CEILING.MATH(INDIRECT("Table1"&amp;BU$3)/BU$2)*BU$2</f>
        <v>5</v>
      </c>
      <c r="BV52" s="135" cm="1">
        <f t="array" aca="1" ref="BV52" ca="1">_xlfn.CEILING.MATH(INDIRECT("Table1"&amp;BV$3)/BV$2)*BV$2</f>
        <v>5000</v>
      </c>
      <c r="BW52" s="4"/>
      <c r="BX52" s="4"/>
      <c r="BY52" s="190">
        <v>0.99922420480993013</v>
      </c>
      <c r="BZ52" s="4"/>
      <c r="CA52" s="12">
        <f>(Table1[[#This Row],[In-Tok]]+Table1[[#This Row],[Out-Tok]])*Table1[[#This Row],[RPS]]</f>
        <v>13400</v>
      </c>
      <c r="CB52" s="3">
        <f t="shared" si="17"/>
        <v>394205.82298136648</v>
      </c>
      <c r="CC52" s="3">
        <f>Table1[[#This Row],[Supply]]/(Table1[[#This Row],[Prefill]]+Table1[[#This Row],[Out-Tok]]*Table1[[#This Row],[ITL]])</f>
        <v>9489.2515655028674</v>
      </c>
      <c r="CD52" s="3">
        <f>Table1[[#This Row],[MaxRun]]/Table1[[#This Row],[ITL]]</f>
        <v>2768.1186175974085</v>
      </c>
      <c r="CE52" s="3">
        <f>Table1[[#This Row],[Out-Tok]]*Table1[[#This Row],[RPS]]</f>
        <v>3400</v>
      </c>
      <c r="CF52" s="5">
        <f>Table1[[#This Row],[Supply]]/Table1[[#This Row],[Demand-T]]</f>
        <v>29.418344998609438</v>
      </c>
      <c r="CH52" s="8">
        <f>Table1[[#This Row],[Prefill]]+Table1[[#This Row],[Out-Tok]]*Table1[[#This Row],[ITL]]</f>
        <v>41.54235139201689</v>
      </c>
      <c r="CI52" s="8">
        <f>Table1[[#This Row],[GPS]]*Table1[[#This Row],[ITL]]</f>
        <v>60.019245408750706</v>
      </c>
      <c r="CJ52" s="14">
        <f>Table1[[#This Row],[PPS]]*Table1[[#This Row],[Prefill]]/Table1[[#This Row],[In-Tok]]</f>
        <v>0.29832142113045013</v>
      </c>
      <c r="CK52" s="8">
        <f t="shared" si="12"/>
        <v>60.317566829881159</v>
      </c>
      <c r="CL52" s="8">
        <f>Table1[[#This Row],[PPS]]/Table1[[#This Row],[In-Tok]]</f>
        <v>1.5655076738816738</v>
      </c>
      <c r="CM52" s="8">
        <f>Table1[[#This Row],[GPS]]/Table1[[#This Row],[Out-Tok]]</f>
        <v>1.4514303200067904</v>
      </c>
      <c r="CN52" s="8">
        <f>Table1[[#This Row],[Run]]/Table1[[#This Row],[E2E]]</f>
        <v>1.0727340811344952</v>
      </c>
      <c r="CO52" s="8">
        <f>Table1[[#This Row],[N2]]/Table1[[#This Row],[E2E]]</f>
        <v>1.3668088704091119</v>
      </c>
      <c r="CP52" s="8"/>
      <c r="CQ52" s="8">
        <f>Table1[[#This Row],[In-Tok]]+AvgOutLoad*Table1[[#This Row],[Out-Tok]]</f>
        <v>5850</v>
      </c>
      <c r="CR52" s="8">
        <f t="shared" si="13"/>
        <v>550455.63962589612</v>
      </c>
      <c r="CS52" s="8" t="e">
        <f t="shared" si="14"/>
        <v>#DIV/0!</v>
      </c>
      <c r="CT52" s="8" t="e">
        <f t="shared" si="18"/>
        <v>#DIV/0!</v>
      </c>
      <c r="CU52" s="8">
        <f t="shared" si="15"/>
        <v>0</v>
      </c>
      <c r="CV52" s="8" t="e">
        <f t="shared" si="16"/>
        <v>#DIV/0!</v>
      </c>
      <c r="CW52" s="8">
        <f>Table1[[#This Row],[N(maxT)]]/Table1[[#This Row],[e2e sat]]</f>
        <v>0</v>
      </c>
      <c r="CX52" s="8" t="e">
        <f>Table1[[#This Row],[RPS]]/CW52</f>
        <v>#DIV/0!</v>
      </c>
      <c r="CY52" s="8" t="e">
        <f>Table1[[#This Row],[Kvcache]]/$T$4</f>
        <v>#DIV/0!</v>
      </c>
      <c r="GJ52"/>
    </row>
    <row r="53" spans="1:192" hidden="1" x14ac:dyDescent="0.25">
      <c r="A53" s="3">
        <v>5000</v>
      </c>
      <c r="B53" s="3">
        <v>1800</v>
      </c>
      <c r="C53">
        <v>2</v>
      </c>
      <c r="D53" s="199">
        <f>Table1[[#This Row],[Kvcache]]</f>
        <v>0.69163114163282824</v>
      </c>
      <c r="E53" s="208" t="s">
        <v>138</v>
      </c>
      <c r="F53" s="219">
        <v>46092</v>
      </c>
      <c r="G53" s="10"/>
      <c r="H53" s="10">
        <v>3.2667168117106846</v>
      </c>
      <c r="I53" s="10">
        <v>0.19339880353494768</v>
      </c>
      <c r="J53" s="10">
        <v>1.9306123339336396</v>
      </c>
      <c r="K53" s="10">
        <v>6.0410357594490049</v>
      </c>
      <c r="L53" s="10">
        <v>6.8753524398803707</v>
      </c>
      <c r="M53" s="10">
        <v>2.4144724083930518E-2</v>
      </c>
      <c r="N53" s="10">
        <v>46.483889755176939</v>
      </c>
      <c r="O53" s="47">
        <v>7565.4439826839834</v>
      </c>
      <c r="P53" s="47">
        <v>2546.24316017316</v>
      </c>
      <c r="Q53" s="5">
        <v>45.810464897421419</v>
      </c>
      <c r="R53" s="5">
        <v>67</v>
      </c>
      <c r="S53" s="170">
        <v>0.69163114163282824</v>
      </c>
      <c r="T53" s="170">
        <v>0.99824153090250833</v>
      </c>
      <c r="U53" s="26">
        <f>(Table1[[#This Row],[In-Tok]]+Table1[[#This Row],[Out-Tok]])*Table1[[#This Row],[RPS]]</f>
        <v>13600</v>
      </c>
      <c r="V53" s="54">
        <f>Table1[[#This Row],[In-Tok]]+AvgOutLoad*Table1[[#This Row],[Out-Tok]]</f>
        <v>5900</v>
      </c>
      <c r="W53" s="20">
        <f>Table1[[#This Row],[In-Tok]]*Table1[[#This Row],[RPS]]</f>
        <v>10000</v>
      </c>
      <c r="X53" s="35">
        <f>Table1[[#This Row],[Out-Tok]]*Table1[[#This Row],[RPS]]</f>
        <v>3600</v>
      </c>
      <c r="Y53" s="75">
        <f>Table1[[#This Row],[In-Tok]]/Table1[[#This Row],[Out-Tok]]</f>
        <v>2.7777777777777777</v>
      </c>
      <c r="Z53" s="26">
        <f>Table1[[#This Row],[In-Tok]]*Table1[[#This Row],[N]]+AvgOutLoad*Table1[[#This Row],[Out-Tok]]*Table1[[#This Row],[Ndecode]]</f>
        <v>364185.34527702158</v>
      </c>
      <c r="AA53" s="20">
        <f>Table1[[#This Row],[tok(N)]]/Table1[[#This Row],[Kvcache]]</f>
        <v>526560.07422864076</v>
      </c>
      <c r="AB53" s="20">
        <f>Table1[[#This Row],[tok/req]]*Table1[[#This Row],[Run]]</f>
        <v>270281.74289478635</v>
      </c>
      <c r="AC53" s="20">
        <f>Table1[[#This Row],[tok(Run)]]/Table1[[#This Row],[Kvcache]]</f>
        <v>390788.85640790447</v>
      </c>
      <c r="AD53" s="20">
        <f>Table1[[#This Row],[tok/req]]*Table1[[#This Row],[MaxRun]]</f>
        <v>395300</v>
      </c>
      <c r="AE53" s="20">
        <f>Table1[[#This Row],[tok(MaxRun)]]/Table1[[#This Row],[MaxKvcache]]</f>
        <v>395996.3473395161</v>
      </c>
      <c r="AF53" s="75">
        <f>Table1[[#This Row],[PPS]]*Table1[[#This Row],[Prefill]]/Table1[[#This Row],[In-Tok]]</f>
        <v>0.29262956289235037</v>
      </c>
      <c r="AG53" s="22">
        <f>Table1[[#This Row],[GPS]]*Table1[[#This Row],[ITL]]</f>
        <v>61.478338552976247</v>
      </c>
      <c r="AH53" s="22">
        <f>Table1[[#This Row],[Nprefill]]+Table1[[#This Row],[Ndecode]]</f>
        <v>61.770968115868598</v>
      </c>
      <c r="AI53" s="34">
        <f>Table1[[#This Row],[Run]]/Table1[[#This Row],[ITL]]/Table1[[#This Row],[GPS]]</f>
        <v>0.74514806313359083</v>
      </c>
      <c r="AJ53" s="64">
        <f>Table1[[#This Row],[Prefill]]+Table1[[#This Row],[ITL]]</f>
        <v>0.21754352761887819</v>
      </c>
      <c r="AK53" s="34">
        <f>Table1[[#This Row],[TTFT]]/Table1[[#This Row],[estTTFT]]</f>
        <v>15.016382456727261</v>
      </c>
      <c r="AL53" s="22">
        <f>Table1[[#This Row],[In-Tok]]*Table1[[#This Row],[RPS]]/Table1[[#This Row],[PPS]]</f>
        <v>1.3217994902729175</v>
      </c>
      <c r="AM53" s="34">
        <f>Table1[[#This Row],[Prefill]]/Table1[[#This Row],[estPrefill]]</f>
        <v>0.14631478144617518</v>
      </c>
      <c r="AN53" s="34">
        <f>Table1[[#This Row],[Prefill]]/Table1[[#This Row],[TTFT]]</f>
        <v>5.9202806573756955E-2</v>
      </c>
      <c r="AO53" s="64">
        <f>Table1[[#This Row],[Run]]/(Table1[[#This Row],[Out-Tok]]*Table1[[#This Row],[RPS]])</f>
        <v>1.2725129138172616E-2</v>
      </c>
      <c r="AP53" s="34">
        <f>Table1[[#This Row],[ITL]]/Table1[[#This Row],[estITL]]</f>
        <v>1.8974050339105484</v>
      </c>
      <c r="AQ53" s="69">
        <f>Table1[[#This Row],[E2E]]-Table1[[#This Row],[TTFT]]+Table1[[#This Row],[ITL]]</f>
        <v>43.241317667550184</v>
      </c>
      <c r="AR53" s="34">
        <f>Table1[[#This Row],[estDecode]]/Table1[[#This Row],[Run]]</f>
        <v>0.94391789658489478</v>
      </c>
      <c r="AS53" s="69">
        <f>Table1[[#This Row],[Prefill]]+Table1[[#This Row],[Out-Tok]]*Table1[[#This Row],[ITL]]</f>
        <v>43.653902154609881</v>
      </c>
      <c r="AT53" s="22">
        <f>Table1[[#This Row],[estPrefill]]+Table1[[#This Row],[Out-Tok]]*Table1[[#This Row],[ITL]]</f>
        <v>44.78230284134785</v>
      </c>
      <c r="AU53" s="34">
        <f>Table1[[#This Row],[E2E]]/Table1[[#This Row],[estE2E]]</f>
        <v>1.0379968604977143</v>
      </c>
      <c r="AV53" s="22">
        <f>Table1[[#This Row],[N]]/Table1[[#This Row],[estE2E]]</f>
        <v>1.3793611359091382</v>
      </c>
      <c r="AW53" s="22">
        <f>Table1[[#This Row],[PPS]]/Table1[[#This Row],[In-Tok]]</f>
        <v>1.5130887965367967</v>
      </c>
      <c r="AX53" s="34">
        <f>Table1[[#This Row],[RPS]]/Table1[[#This Row],[RPS(IL)]]</f>
        <v>1.3217994902729175</v>
      </c>
      <c r="AY53" s="22">
        <f>Table1[[#This Row],[GPS]]/Table1[[#This Row],[Out-Tok]]</f>
        <v>1.4145795334295335</v>
      </c>
      <c r="AZ53" s="89">
        <f>Table1[[#This Row],[RPS]]/Table1[[#This Row],[RPS(OL)]]</f>
        <v>1.4138476859983702</v>
      </c>
      <c r="BA53" s="135">
        <f>MaxTok/Table1[[#This Row],[tok/req]]</f>
        <v>65.747841015687342</v>
      </c>
      <c r="BB53" s="4">
        <f>Table1[[#This Row],[N]]/Table1[[#This Row],[N-max]]</f>
        <v>0.93951325490870696</v>
      </c>
      <c r="BC53" s="44">
        <f>Table1[[#This Row],[RPS]]</f>
        <v>2</v>
      </c>
      <c r="BD53" s="47">
        <f>Table1[[#This Row],[PPS]]/Table1[[#This Row],[RPS success]]</f>
        <v>3782.7219913419917</v>
      </c>
      <c r="BE53" s="4">
        <f>ABS(Table1[[#This Row],[est-In-Tok3]]-Table1[[#This Row],[In-Tok]])/Table1[[#This Row],[In-Tok]]</f>
        <v>0.24345560173160166</v>
      </c>
      <c r="BF53" s="47">
        <f>Table1[[#This Row],[GPS]]/Table1[[#This Row],[RPS success]]</f>
        <v>1273.12158008658</v>
      </c>
      <c r="BG53" s="4">
        <f>ABS(Table1[[#This Row],[est-Out-Tok3]]-Table1[[#This Row],[Out-Tok]])/Table1[[#This Row],[Out-Tok]]</f>
        <v>0.29271023328523332</v>
      </c>
      <c r="BH53" s="162">
        <f>Table1[[#This Row],[est-In-Tok3]]+AvgOutLoad*Table1[[#This Row],[est-Out-Tok3]]</f>
        <v>4419.2827813852819</v>
      </c>
      <c r="BI53" s="4">
        <f>ABS(Table1[[#This Row],[est-Tok/Req3]]-Table1[[#This Row],[tok/req]])/Table1[[#This Row],[tok/req]]</f>
        <v>0.25096902010418953</v>
      </c>
      <c r="BJ53" s="162">
        <f>MaxTok/Table1[[#This Row],[est-Tok/Req3]]</f>
        <v>87.777198514316197</v>
      </c>
      <c r="BK53" s="4">
        <f>ABS(Table1[[#This Row],[est-N-max3]]-Table1[[#This Row],[N-max]])/Table1[[#This Row],[N-max]]</f>
        <v>0.33505826439795461</v>
      </c>
      <c r="BL53" s="44">
        <f>MaxTok*Table1[[#This Row],[Kvcache]]/Table1[[#This Row],[Run]]</f>
        <v>5856.5701355802103</v>
      </c>
      <c r="BM53" s="170">
        <f>ABS(Table1[[#This Row],[est-Tok/Req]]-Table1[[#This Row],[tok/req]])/Table1[[#This Row],[tok/req]]</f>
        <v>7.3609939694558877E-3</v>
      </c>
      <c r="BN53" s="44">
        <f>MaxTok/Table1[[#This Row],[est-Tok/Req]]</f>
        <v>66.235399391170247</v>
      </c>
      <c r="BO53" s="180">
        <f>Table1[[#This Row],[Run]]/Table1[[#This Row],[Kvcache]]</f>
        <v>66.235399391170247</v>
      </c>
      <c r="BP53" s="135" cm="1">
        <f t="array" aca="1" ref="BP53" ca="1">_xlfn.CEILING.MATH(INDIRECT("Table1"&amp;BP$3)/BP$2)*BP$2</f>
        <v>6000</v>
      </c>
      <c r="BQ53" s="187" cm="1">
        <f t="array" aca="1" ref="BQ53" ca="1">_xlfn.CEILING.MATH(INDIRECT("Table1"&amp;BQ$3)/BQ$2)*BQ$2</f>
        <v>2.5000000000000001E-2</v>
      </c>
      <c r="BR53" s="4" cm="1">
        <f t="array" aca="1" ref="BR53" ca="1">_xlfn.CEILING.MATH(INDIRECT("Table1"&amp;BR$3)/BR$2)*BR$2</f>
        <v>0.70000000000000007</v>
      </c>
      <c r="BS53" s="4" cm="1">
        <f t="array" aca="1" ref="BS53" ca="1">_xlfn.CEILING.MATH(INDIRECT("Table1"&amp;BS$3)/BS$2)*BS$2</f>
        <v>0.70000000000000007</v>
      </c>
      <c r="BT53" s="3" cm="1">
        <f t="array" aca="1" ref="BT53" ca="1">_xlfn.CEILING.MATH(INDIRECT("Table1"&amp;BT$3)/BT$2)*BT$2</f>
        <v>46</v>
      </c>
      <c r="BU53" s="135" cm="1">
        <f t="array" aca="1" ref="BU53" ca="1">_xlfn.CEILING.MATH(INDIRECT("Table1"&amp;BU$3)/BU$2)*BU$2</f>
        <v>5</v>
      </c>
      <c r="BV53" s="135" cm="1">
        <f t="array" aca="1" ref="BV53" ca="1">_xlfn.CEILING.MATH(INDIRECT("Table1"&amp;BV$3)/BV$2)*BV$2</f>
        <v>5000</v>
      </c>
      <c r="BW53" s="4"/>
      <c r="BX53" s="4"/>
      <c r="BY53" s="190">
        <v>0.99824153090250833</v>
      </c>
      <c r="BZ53" s="4"/>
      <c r="CA53" s="12">
        <f>(Table1[[#This Row],[In-Tok]]+Table1[[#This Row],[Out-Tok]])*Table1[[#This Row],[RPS]]</f>
        <v>13600</v>
      </c>
      <c r="CB53" s="3">
        <f t="shared" si="17"/>
        <v>395996.3473395161</v>
      </c>
      <c r="CC53" s="3">
        <f>Table1[[#This Row],[Supply]]/(Table1[[#This Row],[Prefill]]+Table1[[#This Row],[Out-Tok]]*Table1[[#This Row],[ITL]])</f>
        <v>9071.2703285266016</v>
      </c>
      <c r="CD53" s="3">
        <f>Table1[[#This Row],[MaxRun]]/Table1[[#This Row],[ITL]]</f>
        <v>2774.9333463947819</v>
      </c>
      <c r="CE53" s="3">
        <f>Table1[[#This Row],[Out-Tok]]*Table1[[#This Row],[RPS]]</f>
        <v>3600</v>
      </c>
      <c r="CF53" s="5">
        <f>Table1[[#This Row],[Supply]]/Table1[[#This Row],[Demand-T]]</f>
        <v>29.117378480846771</v>
      </c>
      <c r="CH53" s="8">
        <f>Table1[[#This Row],[Prefill]]+Table1[[#This Row],[Out-Tok]]*Table1[[#This Row],[ITL]]</f>
        <v>43.653902154609881</v>
      </c>
      <c r="CI53" s="8">
        <f>Table1[[#This Row],[GPS]]*Table1[[#This Row],[ITL]]</f>
        <v>61.478338552976247</v>
      </c>
      <c r="CJ53" s="14">
        <f>Table1[[#This Row],[PPS]]*Table1[[#This Row],[Prefill]]/Table1[[#This Row],[In-Tok]]</f>
        <v>0.29262956289235037</v>
      </c>
      <c r="CK53" s="8">
        <f t="shared" si="12"/>
        <v>61.770968115868598</v>
      </c>
      <c r="CL53" s="8">
        <f>Table1[[#This Row],[PPS]]/Table1[[#This Row],[In-Tok]]</f>
        <v>1.5130887965367967</v>
      </c>
      <c r="CM53" s="8">
        <f>Table1[[#This Row],[GPS]]/Table1[[#This Row],[Out-Tok]]</f>
        <v>1.4145795334295335</v>
      </c>
      <c r="CN53" s="8">
        <f>Table1[[#This Row],[Run]]/Table1[[#This Row],[E2E]]</f>
        <v>0.98551272577870874</v>
      </c>
      <c r="CO53" s="8">
        <f>Table1[[#This Row],[N2]]/Table1[[#This Row],[E2E]]</f>
        <v>1.3288683120368412</v>
      </c>
      <c r="CP53" s="8"/>
      <c r="CQ53" s="8">
        <f>Table1[[#This Row],[In-Tok]]+AvgOutLoad*Table1[[#This Row],[Out-Tok]]</f>
        <v>5900</v>
      </c>
      <c r="CR53" s="8">
        <f t="shared" si="13"/>
        <v>562279.55942183058</v>
      </c>
      <c r="CS53" s="8" t="e">
        <f t="shared" si="14"/>
        <v>#DIV/0!</v>
      </c>
      <c r="CT53" s="8" t="e">
        <f t="shared" si="18"/>
        <v>#DIV/0!</v>
      </c>
      <c r="CU53" s="8">
        <f t="shared" si="15"/>
        <v>0</v>
      </c>
      <c r="CV53" s="8" t="e">
        <f t="shared" si="16"/>
        <v>#DIV/0!</v>
      </c>
      <c r="CW53" s="8">
        <f>Table1[[#This Row],[N(maxT)]]/Table1[[#This Row],[e2e sat]]</f>
        <v>0</v>
      </c>
      <c r="CX53" s="8" t="e">
        <f>Table1[[#This Row],[RPS]]/CW53</f>
        <v>#DIV/0!</v>
      </c>
      <c r="CY53" s="8" t="e">
        <f>Table1[[#This Row],[Kvcache]]/$T$4</f>
        <v>#DIV/0!</v>
      </c>
      <c r="GJ53"/>
    </row>
    <row r="54" spans="1:192" hidden="1" x14ac:dyDescent="0.25">
      <c r="A54" s="3">
        <v>3000</v>
      </c>
      <c r="B54" s="3">
        <v>100</v>
      </c>
      <c r="C54">
        <v>3</v>
      </c>
      <c r="D54" s="199">
        <f>Table1[[#This Row],[Kvcache]]</f>
        <v>1.6875256696937891E-2</v>
      </c>
      <c r="E54" s="208" t="s">
        <v>139</v>
      </c>
      <c r="F54" s="219">
        <v>46092</v>
      </c>
      <c r="G54" s="10"/>
      <c r="H54" s="10">
        <v>9.4931888558958594E-2</v>
      </c>
      <c r="I54" s="10">
        <v>8.4236843585686033E-2</v>
      </c>
      <c r="J54" s="10">
        <v>0.654660305900999</v>
      </c>
      <c r="K54" s="10">
        <v>0.81828073263168333</v>
      </c>
      <c r="L54" s="10">
        <v>0.89854340076446548</v>
      </c>
      <c r="M54" s="10">
        <v>8.4535995613054232E-3</v>
      </c>
      <c r="N54" s="10">
        <v>0.93151865672171708</v>
      </c>
      <c r="O54" s="47">
        <v>11118.395</v>
      </c>
      <c r="P54" s="47">
        <v>347.12833333333333</v>
      </c>
      <c r="Q54" s="5">
        <v>2.1341911764705888</v>
      </c>
      <c r="R54" s="5">
        <v>5.5</v>
      </c>
      <c r="S54" s="170">
        <v>1.6875256696937891E-2</v>
      </c>
      <c r="T54" s="170">
        <v>4.3444530643910018E-2</v>
      </c>
      <c r="U54" s="26">
        <f>(Table1[[#This Row],[In-Tok]]+Table1[[#This Row],[Out-Tok]])*Table1[[#This Row],[RPS]]</f>
        <v>9300</v>
      </c>
      <c r="V54" s="54">
        <f>Table1[[#This Row],[In-Tok]]+AvgOutLoad*Table1[[#This Row],[Out-Tok]]</f>
        <v>3050</v>
      </c>
      <c r="W54" s="20">
        <f>Table1[[#This Row],[In-Tok]]*Table1[[#This Row],[RPS]]</f>
        <v>9000</v>
      </c>
      <c r="X54" s="35">
        <f>Table1[[#This Row],[Out-Tok]]*Table1[[#This Row],[RPS]]</f>
        <v>300</v>
      </c>
      <c r="Y54" s="75">
        <f>Table1[[#This Row],[In-Tok]]/Table1[[#This Row],[Out-Tok]]</f>
        <v>30</v>
      </c>
      <c r="Z54" s="26">
        <f>Table1[[#This Row],[In-Tok]]*Table1[[#This Row],[N]]+AvgOutLoad*Table1[[#This Row],[Out-Tok]]*Table1[[#This Row],[Ndecode]]</f>
        <v>9886.7544760080891</v>
      </c>
      <c r="AA54" s="20">
        <f>Table1[[#This Row],[tok(N)]]/Table1[[#This Row],[Kvcache]]</f>
        <v>585872.8346219525</v>
      </c>
      <c r="AB54" s="20">
        <f>Table1[[#This Row],[tok/req]]*Table1[[#This Row],[Run]]</f>
        <v>6509.2830882352955</v>
      </c>
      <c r="AC54" s="20">
        <f>Table1[[#This Row],[tok(Run)]]/Table1[[#This Row],[Kvcache]]</f>
        <v>385729.4265287497</v>
      </c>
      <c r="AD54" s="20">
        <f>Table1[[#This Row],[tok/req]]*Table1[[#This Row],[MaxRun]]</f>
        <v>16775</v>
      </c>
      <c r="AE54" s="20">
        <f>Table1[[#This Row],[tok(MaxRun)]]/Table1[[#This Row],[MaxKvcache]]</f>
        <v>386124.55357142846</v>
      </c>
      <c r="AF54" s="75">
        <f>Table1[[#This Row],[PPS]]*Table1[[#This Row],[Prefill]]/Table1[[#This Row],[In-Tok]]</f>
        <v>0.3121928335129579</v>
      </c>
      <c r="AG54" s="22">
        <f>Table1[[#This Row],[GPS]]*Table1[[#This Row],[ITL]]</f>
        <v>2.9344839263833493</v>
      </c>
      <c r="AH54" s="22">
        <f>Table1[[#This Row],[Nprefill]]+Table1[[#This Row],[Ndecode]]</f>
        <v>3.2466767598963071</v>
      </c>
      <c r="AI54" s="34">
        <f>Table1[[#This Row],[Run]]/Table1[[#This Row],[ITL]]/Table1[[#This Row],[GPS]]</f>
        <v>0.7272798999791783</v>
      </c>
      <c r="AJ54" s="64">
        <f>Table1[[#This Row],[Prefill]]+Table1[[#This Row],[ITL]]</f>
        <v>9.2690443146991458E-2</v>
      </c>
      <c r="AK54" s="34">
        <f>Table1[[#This Row],[TTFT]]/Table1[[#This Row],[estTTFT]]</f>
        <v>1.0241820551921688</v>
      </c>
      <c r="AL54" s="22">
        <f>Table1[[#This Row],[In-Tok]]*Table1[[#This Row],[RPS]]/Table1[[#This Row],[PPS]]</f>
        <v>0.80946935236605644</v>
      </c>
      <c r="AM54" s="34">
        <f>Table1[[#This Row],[Prefill]]/Table1[[#This Row],[estPrefill]]</f>
        <v>0.10406427783765262</v>
      </c>
      <c r="AN54" s="34">
        <f>Table1[[#This Row],[Prefill]]/Table1[[#This Row],[TTFT]]</f>
        <v>0.88733980609023411</v>
      </c>
      <c r="AO54" s="64">
        <f>Table1[[#This Row],[Run]]/(Table1[[#This Row],[Out-Tok]]*Table1[[#This Row],[RPS]])</f>
        <v>7.1139705882352963E-3</v>
      </c>
      <c r="AP54" s="34">
        <f>Table1[[#This Row],[ITL]]/Table1[[#This Row],[estITL]]</f>
        <v>1.1883096024160591</v>
      </c>
      <c r="AQ54" s="69">
        <f>Table1[[#This Row],[E2E]]-Table1[[#This Row],[TTFT]]+Table1[[#This Row],[ITL]]</f>
        <v>0.84504036772406388</v>
      </c>
      <c r="AR54" s="34">
        <f>Table1[[#This Row],[estDecode]]/Table1[[#This Row],[Run]]</f>
        <v>0.39595345395511683</v>
      </c>
      <c r="AS54" s="69">
        <f>Table1[[#This Row],[Prefill]]+Table1[[#This Row],[Out-Tok]]*Table1[[#This Row],[ITL]]</f>
        <v>0.92959679971622833</v>
      </c>
      <c r="AT54" s="22">
        <f>Table1[[#This Row],[estPrefill]]+Table1[[#This Row],[Out-Tok]]*Table1[[#This Row],[ITL]]</f>
        <v>1.6548293084965988</v>
      </c>
      <c r="AU54" s="34">
        <f>Table1[[#This Row],[E2E]]/Table1[[#This Row],[estE2E]]</f>
        <v>0.56290920878600792</v>
      </c>
      <c r="AV54" s="22">
        <f>Table1[[#This Row],[N]]/Table1[[#This Row],[estE2E]]</f>
        <v>1.9619405718925118</v>
      </c>
      <c r="AW54" s="22">
        <f>Table1[[#This Row],[PPS]]/Table1[[#This Row],[In-Tok]]</f>
        <v>3.7061316666666668</v>
      </c>
      <c r="AX54" s="34">
        <f>Table1[[#This Row],[RPS]]/Table1[[#This Row],[RPS(IL)]]</f>
        <v>0.80946935236605644</v>
      </c>
      <c r="AY54" s="22">
        <f>Table1[[#This Row],[GPS]]/Table1[[#This Row],[Out-Tok]]</f>
        <v>3.4712833333333335</v>
      </c>
      <c r="AZ54" s="89">
        <f>Table1[[#This Row],[RPS]]/Table1[[#This Row],[RPS(OL)]]</f>
        <v>0.86423368878944862</v>
      </c>
      <c r="BA54" s="135">
        <f>MaxTok/Table1[[#This Row],[tok/req]]</f>
        <v>127.18434819428042</v>
      </c>
      <c r="BB54" s="4">
        <f>Table1[[#This Row],[N]]/Table1[[#This Row],[N-max]]</f>
        <v>2.5527329470894068E-2</v>
      </c>
      <c r="BC54" s="44">
        <f>Table1[[#This Row],[RPS]]</f>
        <v>3</v>
      </c>
      <c r="BD54" s="47">
        <f>Table1[[#This Row],[PPS]]/Table1[[#This Row],[RPS success]]</f>
        <v>3706.1316666666667</v>
      </c>
      <c r="BE54" s="4">
        <f>ABS(Table1[[#This Row],[est-In-Tok3]]-Table1[[#This Row],[In-Tok]])/Table1[[#This Row],[In-Tok]]</f>
        <v>0.23537722222222221</v>
      </c>
      <c r="BF54" s="47">
        <f>Table1[[#This Row],[GPS]]/Table1[[#This Row],[RPS success]]</f>
        <v>115.70944444444444</v>
      </c>
      <c r="BG54" s="4">
        <f>ABS(Table1[[#This Row],[est-Out-Tok3]]-Table1[[#This Row],[Out-Tok]])/Table1[[#This Row],[Out-Tok]]</f>
        <v>0.15709444444444443</v>
      </c>
      <c r="BH54" s="162">
        <f>Table1[[#This Row],[est-In-Tok3]]+AvgOutLoad*Table1[[#This Row],[est-Out-Tok3]]</f>
        <v>3763.986388888889</v>
      </c>
      <c r="BI54" s="4">
        <f>ABS(Table1[[#This Row],[est-Tok/Req3]]-Table1[[#This Row],[tok/req]])/Table1[[#This Row],[tok/req]]</f>
        <v>0.23409389799635705</v>
      </c>
      <c r="BJ54" s="162">
        <f>MaxTok/Table1[[#This Row],[est-Tok/Req3]]</f>
        <v>103.05889073819556</v>
      </c>
      <c r="BK54" s="4">
        <f>ABS(Table1[[#This Row],[est-N-max3]]-Table1[[#This Row],[N-max]])/Table1[[#This Row],[N-max]]</f>
        <v>0.18968888702587855</v>
      </c>
      <c r="BL54" s="44">
        <f>MaxTok*Table1[[#This Row],[Kvcache]]/Table1[[#This Row],[Run]]</f>
        <v>3067.2598917964865</v>
      </c>
      <c r="BM54" s="170">
        <f>ABS(Table1[[#This Row],[est-Tok/Req]]-Table1[[#This Row],[tok/req]])/Table1[[#This Row],[tok/req]]</f>
        <v>5.6589809168808196E-3</v>
      </c>
      <c r="BN54" s="44">
        <f>MaxTok/Table1[[#This Row],[est-Tok/Req]]</f>
        <v>126.46866443565564</v>
      </c>
      <c r="BO54" s="180">
        <f>Table1[[#This Row],[Run]]/Table1[[#This Row],[Kvcache]]</f>
        <v>126.46866443565564</v>
      </c>
      <c r="BP54" s="135" cm="1">
        <f t="array" aca="1" ref="BP54" ca="1">_xlfn.CEILING.MATH(INDIRECT("Table1"&amp;BP$3)/BP$2)*BP$2</f>
        <v>4000</v>
      </c>
      <c r="BQ54" s="187" cm="1">
        <f t="array" aca="1" ref="BQ54" ca="1">_xlfn.CEILING.MATH(INDIRECT("Table1"&amp;BQ$3)/BQ$2)*BQ$2</f>
        <v>0.01</v>
      </c>
      <c r="BR54" s="4" cm="1">
        <f t="array" aca="1" ref="BR54" ca="1">_xlfn.CEILING.MATH(INDIRECT("Table1"&amp;BR$3)/BR$2)*BR$2</f>
        <v>0.1</v>
      </c>
      <c r="BS54" s="4" cm="1">
        <f t="array" aca="1" ref="BS54" ca="1">_xlfn.CEILING.MATH(INDIRECT("Table1"&amp;BS$3)/BS$2)*BS$2</f>
        <v>0.02</v>
      </c>
      <c r="BT54" s="3" cm="1">
        <f t="array" aca="1" ref="BT54" ca="1">_xlfn.CEILING.MATH(INDIRECT("Table1"&amp;BT$3)/BT$2)*BT$2</f>
        <v>3</v>
      </c>
      <c r="BU54" s="135" cm="1">
        <f t="array" aca="1" ref="BU54" ca="1">_xlfn.CEILING.MATH(INDIRECT("Table1"&amp;BU$3)/BU$2)*BU$2</f>
        <v>30</v>
      </c>
      <c r="BV54" s="135" cm="1">
        <f t="array" aca="1" ref="BV54" ca="1">_xlfn.CEILING.MATH(INDIRECT("Table1"&amp;BV$3)/BV$2)*BV$2</f>
        <v>3000</v>
      </c>
      <c r="BW54" s="4"/>
      <c r="BX54" s="4"/>
      <c r="BY54" s="190">
        <v>4.3444530643910018E-2</v>
      </c>
      <c r="BZ54" s="4"/>
      <c r="CA54" s="12">
        <f>(Table1[[#This Row],[In-Tok]]+Table1[[#This Row],[Out-Tok]])*Table1[[#This Row],[RPS]]</f>
        <v>9300</v>
      </c>
      <c r="CB54" s="3">
        <f t="shared" si="17"/>
        <v>386124.55357142846</v>
      </c>
      <c r="CC54" s="3">
        <f>Table1[[#This Row],[Supply]]/(Table1[[#This Row],[Prefill]]+Table1[[#This Row],[Out-Tok]]*Table1[[#This Row],[ITL]])</f>
        <v>415367.7741675725</v>
      </c>
      <c r="CD54" s="3">
        <f>Table1[[#This Row],[MaxRun]]/Table1[[#This Row],[ITL]]</f>
        <v>650.61042460244926</v>
      </c>
      <c r="CE54" s="3">
        <f>Table1[[#This Row],[Out-Tok]]*Table1[[#This Row],[RPS]]</f>
        <v>300</v>
      </c>
      <c r="CF54" s="5">
        <f>Table1[[#This Row],[Supply]]/Table1[[#This Row],[Demand-T]]</f>
        <v>41.518769201228864</v>
      </c>
      <c r="CH54" s="8">
        <f>Table1[[#This Row],[Prefill]]+Table1[[#This Row],[Out-Tok]]*Table1[[#This Row],[ITL]]</f>
        <v>0.92959679971622833</v>
      </c>
      <c r="CI54" s="8">
        <f>Table1[[#This Row],[GPS]]*Table1[[#This Row],[ITL]]</f>
        <v>2.9344839263833493</v>
      </c>
      <c r="CJ54" s="14">
        <f>Table1[[#This Row],[PPS]]*Table1[[#This Row],[Prefill]]/Table1[[#This Row],[In-Tok]]</f>
        <v>0.3121928335129579</v>
      </c>
      <c r="CK54" s="8">
        <f t="shared" si="12"/>
        <v>3.2466767598963071</v>
      </c>
      <c r="CL54" s="8">
        <f>Table1[[#This Row],[PPS]]/Table1[[#This Row],[In-Tok]]</f>
        <v>3.7061316666666668</v>
      </c>
      <c r="CM54" s="8">
        <f>Table1[[#This Row],[GPS]]/Table1[[#This Row],[Out-Tok]]</f>
        <v>3.4712833333333335</v>
      </c>
      <c r="CN54" s="8">
        <f>Table1[[#This Row],[Run]]/Table1[[#This Row],[E2E]]</f>
        <v>2.2910879573592475</v>
      </c>
      <c r="CO54" s="8">
        <f>Table1[[#This Row],[N2]]/Table1[[#This Row],[E2E]]</f>
        <v>3.4853588132333275</v>
      </c>
      <c r="CP54" s="8"/>
      <c r="CQ54" s="8">
        <f>Table1[[#This Row],[In-Tok]]+AvgOutLoad*Table1[[#This Row],[Out-Tok]]</f>
        <v>3050</v>
      </c>
      <c r="CR54" s="8">
        <f t="shared" si="13"/>
        <v>47794.33093066587</v>
      </c>
      <c r="CS54" s="8" t="e">
        <f t="shared" si="14"/>
        <v>#DIV/0!</v>
      </c>
      <c r="CT54" s="8" t="e">
        <f t="shared" si="18"/>
        <v>#DIV/0!</v>
      </c>
      <c r="CU54" s="8">
        <f t="shared" si="15"/>
        <v>0</v>
      </c>
      <c r="CV54" s="8" t="e">
        <f t="shared" si="16"/>
        <v>#DIV/0!</v>
      </c>
      <c r="CW54" s="8">
        <f>Table1[[#This Row],[N(maxT)]]/Table1[[#This Row],[e2e sat]]</f>
        <v>0</v>
      </c>
      <c r="CX54" s="8" t="e">
        <f>Table1[[#This Row],[RPS]]/CW54</f>
        <v>#DIV/0!</v>
      </c>
      <c r="CY54" s="8" t="e">
        <f>Table1[[#This Row],[Kvcache]]/$T$4</f>
        <v>#DIV/0!</v>
      </c>
      <c r="GJ54"/>
    </row>
    <row r="55" spans="1:192" hidden="1" x14ac:dyDescent="0.25">
      <c r="A55" s="3">
        <v>3000</v>
      </c>
      <c r="B55" s="3">
        <v>200</v>
      </c>
      <c r="C55">
        <v>3</v>
      </c>
      <c r="D55" s="199">
        <f>Table1[[#This Row],[Kvcache]]</f>
        <v>4.1308812120658976E-2</v>
      </c>
      <c r="E55" s="208" t="s">
        <v>139</v>
      </c>
      <c r="F55" s="219">
        <v>46092</v>
      </c>
      <c r="G55" s="10"/>
      <c r="H55" s="10">
        <v>0.1025615991401071</v>
      </c>
      <c r="I55" s="10">
        <v>8.9675797590644396E-2</v>
      </c>
      <c r="J55" s="10">
        <v>0.64672680205278432</v>
      </c>
      <c r="K55" s="10">
        <v>0.77011402845382682</v>
      </c>
      <c r="L55" s="10">
        <v>0.83509726047515853</v>
      </c>
      <c r="M55" s="10">
        <v>9.0757148595714369E-3</v>
      </c>
      <c r="N55" s="10">
        <v>1.8909375709416696</v>
      </c>
      <c r="O55" s="47">
        <v>10789.9125</v>
      </c>
      <c r="P55" s="47">
        <v>674.40625</v>
      </c>
      <c r="Q55" s="5">
        <v>5.1470588235294112</v>
      </c>
      <c r="R55" s="5">
        <v>10.5</v>
      </c>
      <c r="S55" s="170">
        <v>4.1308812120658976E-2</v>
      </c>
      <c r="T55" s="170">
        <v>8.5221101629169904E-2</v>
      </c>
      <c r="U55" s="26">
        <f>(Table1[[#This Row],[In-Tok]]+Table1[[#This Row],[Out-Tok]])*Table1[[#This Row],[RPS]]</f>
        <v>9600</v>
      </c>
      <c r="V55" s="54">
        <f>Table1[[#This Row],[In-Tok]]+AvgOutLoad*Table1[[#This Row],[Out-Tok]]</f>
        <v>3100</v>
      </c>
      <c r="W55" s="20">
        <f>Table1[[#This Row],[In-Tok]]*Table1[[#This Row],[RPS]]</f>
        <v>9000</v>
      </c>
      <c r="X55" s="35">
        <f>Table1[[#This Row],[Out-Tok]]*Table1[[#This Row],[RPS]]</f>
        <v>600</v>
      </c>
      <c r="Y55" s="75">
        <f>Table1[[#This Row],[In-Tok]]/Table1[[#This Row],[Out-Tok]]</f>
        <v>15</v>
      </c>
      <c r="Z55" s="26">
        <f>Table1[[#This Row],[In-Tok]]*Table1[[#This Row],[N]]+AvgOutLoad*Table1[[#This Row],[Out-Tok]]*Table1[[#This Row],[Ndecode]]</f>
        <v>19941.822365360596</v>
      </c>
      <c r="AA55" s="20">
        <f>Table1[[#This Row],[tok(N)]]/Table1[[#This Row],[Kvcache]]</f>
        <v>482749.8381486375</v>
      </c>
      <c r="AB55" s="20">
        <f>Table1[[#This Row],[tok/req]]*Table1[[#This Row],[Run]]</f>
        <v>15955.882352941175</v>
      </c>
      <c r="AC55" s="20">
        <f>Table1[[#This Row],[tok(Run)]]/Table1[[#This Row],[Kvcache]]</f>
        <v>386258.56164383551</v>
      </c>
      <c r="AD55" s="20">
        <f>Table1[[#This Row],[tok/req]]*Table1[[#This Row],[MaxRun]]</f>
        <v>32550</v>
      </c>
      <c r="AE55" s="20">
        <f>Table1[[#This Row],[tok(MaxRun)]]/Table1[[#This Row],[MaxKvcache]]</f>
        <v>381947.65589440143</v>
      </c>
      <c r="AF55" s="75">
        <f>Table1[[#This Row],[PPS]]*Table1[[#This Row],[Prefill]]/Table1[[#This Row],[In-Tok]]</f>
        <v>0.32253133645692128</v>
      </c>
      <c r="AG55" s="22">
        <f>Table1[[#This Row],[GPS]]*Table1[[#This Row],[ITL]]</f>
        <v>6.1207188245128492</v>
      </c>
      <c r="AH55" s="22">
        <f>Table1[[#This Row],[Nprefill]]+Table1[[#This Row],[Ndecode]]</f>
        <v>6.4432501609697708</v>
      </c>
      <c r="AI55" s="34">
        <f>Table1[[#This Row],[Run]]/Table1[[#This Row],[ITL]]/Table1[[#This Row],[GPS]]</f>
        <v>0.84092391287702517</v>
      </c>
      <c r="AJ55" s="64">
        <f>Table1[[#This Row],[Prefill]]+Table1[[#This Row],[ITL]]</f>
        <v>9.8751512450215836E-2</v>
      </c>
      <c r="AK55" s="34">
        <f>Table1[[#This Row],[TTFT]]/Table1[[#This Row],[estTTFT]]</f>
        <v>1.0385825654246263</v>
      </c>
      <c r="AL55" s="22">
        <f>Table1[[#This Row],[In-Tok]]*Table1[[#This Row],[RPS]]/Table1[[#This Row],[PPS]]</f>
        <v>0.83411241750106868</v>
      </c>
      <c r="AM55" s="34">
        <f>Table1[[#This Row],[Prefill]]/Table1[[#This Row],[estPrefill]]</f>
        <v>0.10751044548564043</v>
      </c>
      <c r="AN55" s="34">
        <f>Table1[[#This Row],[Prefill]]/Table1[[#This Row],[TTFT]]</f>
        <v>0.8743603682323664</v>
      </c>
      <c r="AO55" s="64">
        <f>Table1[[#This Row],[Run]]/(Table1[[#This Row],[Out-Tok]]*Table1[[#This Row],[RPS]])</f>
        <v>8.5784313725490186E-3</v>
      </c>
      <c r="AP55" s="34">
        <f>Table1[[#This Row],[ITL]]/Table1[[#This Row],[estITL]]</f>
        <v>1.0579690464871847</v>
      </c>
      <c r="AQ55" s="69">
        <f>Table1[[#This Row],[E2E]]-Table1[[#This Row],[TTFT]]+Table1[[#This Row],[ITL]]</f>
        <v>1.7974516866611341</v>
      </c>
      <c r="AR55" s="34">
        <f>Table1[[#This Row],[estDecode]]/Table1[[#This Row],[Run]]</f>
        <v>0.34921918483702036</v>
      </c>
      <c r="AS55" s="69">
        <f>Table1[[#This Row],[Prefill]]+Table1[[#This Row],[Out-Tok]]*Table1[[#This Row],[ITL]]</f>
        <v>1.9048187695049317</v>
      </c>
      <c r="AT55" s="22">
        <f>Table1[[#This Row],[estPrefill]]+Table1[[#This Row],[Out-Tok]]*Table1[[#This Row],[ITL]]</f>
        <v>2.6492553894153561</v>
      </c>
      <c r="AU55" s="34">
        <f>Table1[[#This Row],[E2E]]/Table1[[#This Row],[estE2E]]</f>
        <v>0.71376190400388928</v>
      </c>
      <c r="AV55" s="22">
        <f>Table1[[#This Row],[N]]/Table1[[#This Row],[estE2E]]</f>
        <v>2.4320985385979275</v>
      </c>
      <c r="AW55" s="22">
        <f>Table1[[#This Row],[PPS]]/Table1[[#This Row],[In-Tok]]</f>
        <v>3.5966374999999999</v>
      </c>
      <c r="AX55" s="34">
        <f>Table1[[#This Row],[RPS]]/Table1[[#This Row],[RPS(IL)]]</f>
        <v>0.83411241750106868</v>
      </c>
      <c r="AY55" s="22">
        <f>Table1[[#This Row],[GPS]]/Table1[[#This Row],[Out-Tok]]</f>
        <v>3.37203125</v>
      </c>
      <c r="AZ55" s="89">
        <f>Table1[[#This Row],[RPS]]/Table1[[#This Row],[RPS(OL)]]</f>
        <v>0.88967147027477878</v>
      </c>
      <c r="BA55" s="135">
        <f>MaxTok/Table1[[#This Row],[tok/req]]</f>
        <v>125.13298773953396</v>
      </c>
      <c r="BB55" s="4">
        <f>Table1[[#This Row],[N]]/Table1[[#This Row],[N-max]]</f>
        <v>5.149121968046895E-2</v>
      </c>
      <c r="BC55" s="44">
        <f>Table1[[#This Row],[RPS]]</f>
        <v>3</v>
      </c>
      <c r="BD55" s="47">
        <f>Table1[[#This Row],[PPS]]/Table1[[#This Row],[RPS success]]</f>
        <v>3596.6375000000003</v>
      </c>
      <c r="BE55" s="4">
        <f>ABS(Table1[[#This Row],[est-In-Tok3]]-Table1[[#This Row],[In-Tok]])/Table1[[#This Row],[In-Tok]]</f>
        <v>0.19887916666666675</v>
      </c>
      <c r="BF55" s="47">
        <f>Table1[[#This Row],[GPS]]/Table1[[#This Row],[RPS success]]</f>
        <v>224.80208333333334</v>
      </c>
      <c r="BG55" s="4">
        <f>ABS(Table1[[#This Row],[est-Out-Tok3]]-Table1[[#This Row],[Out-Tok]])/Table1[[#This Row],[Out-Tok]]</f>
        <v>0.12401041666666672</v>
      </c>
      <c r="BH55" s="162">
        <f>Table1[[#This Row],[est-In-Tok3]]+AvgOutLoad*Table1[[#This Row],[est-Out-Tok3]]</f>
        <v>3709.0385416666668</v>
      </c>
      <c r="BI55" s="4">
        <f>ABS(Table1[[#This Row],[est-Tok/Req3]]-Table1[[#This Row],[tok/req]])/Table1[[#This Row],[tok/req]]</f>
        <v>0.19646404569892478</v>
      </c>
      <c r="BJ55" s="162">
        <f>MaxTok/Table1[[#This Row],[est-Tok/Req3]]</f>
        <v>104.5856648926182</v>
      </c>
      <c r="BK55" s="4">
        <f>ABS(Table1[[#This Row],[est-N-max3]]-Table1[[#This Row],[N-max]])/Table1[[#This Row],[N-max]]</f>
        <v>0.16420388594640845</v>
      </c>
      <c r="BL55" s="44">
        <f>MaxTok*Table1[[#This Row],[Kvcache]]/Table1[[#This Row],[Run]]</f>
        <v>3113.2721228474888</v>
      </c>
      <c r="BM55" s="170">
        <f>ABS(Table1[[#This Row],[est-Tok/Req]]-Table1[[#This Row],[tok/req]])/Table1[[#This Row],[tok/req]]</f>
        <v>4.2813299508028535E-3</v>
      </c>
      <c r="BN55" s="44">
        <f>MaxTok/Table1[[#This Row],[est-Tok/Req]]</f>
        <v>124.59953601414048</v>
      </c>
      <c r="BO55" s="180">
        <f>Table1[[#This Row],[Run]]/Table1[[#This Row],[Kvcache]]</f>
        <v>124.59953601414048</v>
      </c>
      <c r="BP55" s="135" cm="1">
        <f t="array" aca="1" ref="BP55" ca="1">_xlfn.CEILING.MATH(INDIRECT("Table1"&amp;BP$3)/BP$2)*BP$2</f>
        <v>4000</v>
      </c>
      <c r="BQ55" s="187" cm="1">
        <f t="array" aca="1" ref="BQ55" ca="1">_xlfn.CEILING.MATH(INDIRECT("Table1"&amp;BQ$3)/BQ$2)*BQ$2</f>
        <v>0.01</v>
      </c>
      <c r="BR55" s="4" cm="1">
        <f t="array" aca="1" ref="BR55" ca="1">_xlfn.CEILING.MATH(INDIRECT("Table1"&amp;BR$3)/BR$2)*BR$2</f>
        <v>0.1</v>
      </c>
      <c r="BS55" s="4" cm="1">
        <f t="array" aca="1" ref="BS55" ca="1">_xlfn.CEILING.MATH(INDIRECT("Table1"&amp;BS$3)/BS$2)*BS$2</f>
        <v>0.05</v>
      </c>
      <c r="BT55" s="3" cm="1">
        <f t="array" aca="1" ref="BT55" ca="1">_xlfn.CEILING.MATH(INDIRECT("Table1"&amp;BT$3)/BT$2)*BT$2</f>
        <v>6</v>
      </c>
      <c r="BU55" s="135" cm="1">
        <f t="array" aca="1" ref="BU55" ca="1">_xlfn.CEILING.MATH(INDIRECT("Table1"&amp;BU$3)/BU$2)*BU$2</f>
        <v>15</v>
      </c>
      <c r="BV55" s="135" cm="1">
        <f t="array" aca="1" ref="BV55" ca="1">_xlfn.CEILING.MATH(INDIRECT("Table1"&amp;BV$3)/BV$2)*BV$2</f>
        <v>3000</v>
      </c>
      <c r="BW55" s="4"/>
      <c r="BX55" s="4"/>
      <c r="BY55" s="190">
        <v>8.5221101629169904E-2</v>
      </c>
      <c r="BZ55" s="4"/>
      <c r="CA55" s="12">
        <f>(Table1[[#This Row],[In-Tok]]+Table1[[#This Row],[Out-Tok]])*Table1[[#This Row],[RPS]]</f>
        <v>9600</v>
      </c>
      <c r="CB55" s="3">
        <f t="shared" si="17"/>
        <v>381947.65589440143</v>
      </c>
      <c r="CC55" s="3">
        <f>Table1[[#This Row],[Supply]]/(Table1[[#This Row],[Prefill]]+Table1[[#This Row],[Out-Tok]]*Table1[[#This Row],[ITL]])</f>
        <v>200516.5331259681</v>
      </c>
      <c r="CD55" s="3">
        <f>Table1[[#This Row],[MaxRun]]/Table1[[#This Row],[ITL]]</f>
        <v>1156.9336589421914</v>
      </c>
      <c r="CE55" s="3">
        <f>Table1[[#This Row],[Out-Tok]]*Table1[[#This Row],[RPS]]</f>
        <v>600</v>
      </c>
      <c r="CF55" s="5">
        <f>Table1[[#This Row],[Supply]]/Table1[[#This Row],[Demand-T]]</f>
        <v>39.786214155666812</v>
      </c>
      <c r="CH55" s="8">
        <f>Table1[[#This Row],[Prefill]]+Table1[[#This Row],[Out-Tok]]*Table1[[#This Row],[ITL]]</f>
        <v>1.9048187695049317</v>
      </c>
      <c r="CI55" s="8">
        <f>Table1[[#This Row],[GPS]]*Table1[[#This Row],[ITL]]</f>
        <v>6.1207188245128492</v>
      </c>
      <c r="CJ55" s="14">
        <f>Table1[[#This Row],[PPS]]*Table1[[#This Row],[Prefill]]/Table1[[#This Row],[In-Tok]]</f>
        <v>0.32253133645692128</v>
      </c>
      <c r="CK55" s="8">
        <f t="shared" si="12"/>
        <v>6.4432501609697708</v>
      </c>
      <c r="CL55" s="8">
        <f>Table1[[#This Row],[PPS]]/Table1[[#This Row],[In-Tok]]</f>
        <v>3.5966374999999999</v>
      </c>
      <c r="CM55" s="8">
        <f>Table1[[#This Row],[GPS]]/Table1[[#This Row],[Out-Tok]]</f>
        <v>3.37203125</v>
      </c>
      <c r="CN55" s="8">
        <f>Table1[[#This Row],[Run]]/Table1[[#This Row],[E2E]]</f>
        <v>2.7219612654722511</v>
      </c>
      <c r="CO55" s="8">
        <f>Table1[[#This Row],[N2]]/Table1[[#This Row],[E2E]]</f>
        <v>3.4074367445991838</v>
      </c>
      <c r="CP55" s="8"/>
      <c r="CQ55" s="8">
        <f>Table1[[#This Row],[In-Tok]]+AvgOutLoad*Table1[[#This Row],[Out-Tok]]</f>
        <v>3100</v>
      </c>
      <c r="CR55" s="8">
        <f t="shared" si="13"/>
        <v>90144.147133183913</v>
      </c>
      <c r="CS55" s="8" t="e">
        <f t="shared" si="14"/>
        <v>#DIV/0!</v>
      </c>
      <c r="CT55" s="8" t="e">
        <f t="shared" si="18"/>
        <v>#DIV/0!</v>
      </c>
      <c r="CU55" s="8">
        <f t="shared" si="15"/>
        <v>0</v>
      </c>
      <c r="CV55" s="8" t="e">
        <f t="shared" si="16"/>
        <v>#DIV/0!</v>
      </c>
      <c r="CW55" s="8">
        <f>Table1[[#This Row],[N(maxT)]]/Table1[[#This Row],[e2e sat]]</f>
        <v>0</v>
      </c>
      <c r="CX55" s="8" t="e">
        <f>Table1[[#This Row],[RPS]]/CW55</f>
        <v>#DIV/0!</v>
      </c>
      <c r="CY55" s="8" t="e">
        <f>Table1[[#This Row],[Kvcache]]/$T$4</f>
        <v>#DIV/0!</v>
      </c>
      <c r="GJ55"/>
    </row>
    <row r="56" spans="1:192" hidden="1" x14ac:dyDescent="0.25">
      <c r="A56" s="3">
        <v>3000</v>
      </c>
      <c r="B56" s="3">
        <v>300</v>
      </c>
      <c r="C56">
        <v>3</v>
      </c>
      <c r="D56" s="199">
        <f>Table1[[#This Row],[Kvcache]]</f>
        <v>6.8285948980057493E-2</v>
      </c>
      <c r="E56" s="208" t="s">
        <v>139</v>
      </c>
      <c r="F56" s="219">
        <v>46092</v>
      </c>
      <c r="G56" s="10"/>
      <c r="H56" s="10">
        <v>0.10188700940503526</v>
      </c>
      <c r="I56" s="10">
        <v>8.9116244570299888E-2</v>
      </c>
      <c r="J56" s="10">
        <v>0.65832686801715679</v>
      </c>
      <c r="K56" s="10">
        <v>0.78860384225845337</v>
      </c>
      <c r="L56" s="10">
        <v>0.84649495363235472</v>
      </c>
      <c r="M56" s="10">
        <v>9.7737484105561365E-3</v>
      </c>
      <c r="N56" s="10">
        <v>3.0226365075213431</v>
      </c>
      <c r="O56" s="47">
        <v>10572.581249999999</v>
      </c>
      <c r="P56" s="47">
        <v>987.625</v>
      </c>
      <c r="Q56" s="5">
        <v>8.382352941176471</v>
      </c>
      <c r="R56" s="5">
        <v>15.5</v>
      </c>
      <c r="S56" s="170">
        <v>6.8285948980057493E-2</v>
      </c>
      <c r="T56" s="170">
        <v>0.1267649340574088</v>
      </c>
      <c r="U56" s="26">
        <f>(Table1[[#This Row],[In-Tok]]+Table1[[#This Row],[Out-Tok]])*Table1[[#This Row],[RPS]]</f>
        <v>9900</v>
      </c>
      <c r="V56" s="54">
        <f>Table1[[#This Row],[In-Tok]]+AvgOutLoad*Table1[[#This Row],[Out-Tok]]</f>
        <v>3150</v>
      </c>
      <c r="W56" s="20">
        <f>Table1[[#This Row],[In-Tok]]*Table1[[#This Row],[RPS]]</f>
        <v>9000</v>
      </c>
      <c r="X56" s="35">
        <f>Table1[[#This Row],[Out-Tok]]*Table1[[#This Row],[RPS]]</f>
        <v>900</v>
      </c>
      <c r="Y56" s="75">
        <f>Table1[[#This Row],[In-Tok]]/Table1[[#This Row],[Out-Tok]]</f>
        <v>10</v>
      </c>
      <c r="Z56" s="26">
        <f>Table1[[#This Row],[In-Tok]]*Table1[[#This Row],[N]]+AvgOutLoad*Table1[[#This Row],[Out-Tok]]*Table1[[#This Row],[Ndecode]]</f>
        <v>31348.503299437205</v>
      </c>
      <c r="AA56" s="20">
        <f>Table1[[#This Row],[tok(N)]]/Table1[[#This Row],[Kvcache]]</f>
        <v>459076.92237816524</v>
      </c>
      <c r="AB56" s="20">
        <f>Table1[[#This Row],[tok/req]]*Table1[[#This Row],[Run]]</f>
        <v>26404.411764705885</v>
      </c>
      <c r="AC56" s="20">
        <f>Table1[[#This Row],[tok(Run)]]/Table1[[#This Row],[Kvcache]]</f>
        <v>386674.15711564815</v>
      </c>
      <c r="AD56" s="20">
        <f>Table1[[#This Row],[tok/req]]*Table1[[#This Row],[MaxRun]]</f>
        <v>48825</v>
      </c>
      <c r="AE56" s="20">
        <f>Table1[[#This Row],[tok(MaxRun)]]/Table1[[#This Row],[MaxKvcache]]</f>
        <v>385161.7197062425</v>
      </c>
      <c r="AF56" s="75">
        <f>Table1[[#This Row],[PPS]]*Table1[[#This Row],[Prefill]]/Table1[[#This Row],[In-Tok]]</f>
        <v>0.31406291213812226</v>
      </c>
      <c r="AG56" s="22">
        <f>Table1[[#This Row],[GPS]]*Table1[[#This Row],[ITL]]</f>
        <v>9.6527982739755043</v>
      </c>
      <c r="AH56" s="22">
        <f>Table1[[#This Row],[Nprefill]]+Table1[[#This Row],[Ndecode]]</f>
        <v>9.9668611861136274</v>
      </c>
      <c r="AI56" s="34">
        <f>Table1[[#This Row],[Run]]/Table1[[#This Row],[ITL]]/Table1[[#This Row],[GPS]]</f>
        <v>0.86838579894244483</v>
      </c>
      <c r="AJ56" s="64">
        <f>Table1[[#This Row],[Prefill]]+Table1[[#This Row],[ITL]]</f>
        <v>9.8889992980856017E-2</v>
      </c>
      <c r="AK56" s="34">
        <f>Table1[[#This Row],[TTFT]]/Table1[[#This Row],[estTTFT]]</f>
        <v>1.0303065692881526</v>
      </c>
      <c r="AL56" s="22">
        <f>Table1[[#This Row],[In-Tok]]*Table1[[#This Row],[RPS]]/Table1[[#This Row],[PPS]]</f>
        <v>0.85125853253669725</v>
      </c>
      <c r="AM56" s="34">
        <f>Table1[[#This Row],[Prefill]]/Table1[[#This Row],[estPrefill]]</f>
        <v>0.1046876373793741</v>
      </c>
      <c r="AN56" s="34">
        <f>Table1[[#This Row],[Prefill]]/Table1[[#This Row],[TTFT]]</f>
        <v>0.87465757500087904</v>
      </c>
      <c r="AO56" s="64">
        <f>Table1[[#This Row],[Run]]/(Table1[[#This Row],[Out-Tok]]*Table1[[#This Row],[RPS]])</f>
        <v>9.3137254901960783E-3</v>
      </c>
      <c r="AP56" s="34">
        <f>Table1[[#This Row],[ITL]]/Table1[[#This Row],[estITL]]</f>
        <v>1.0493919346070799</v>
      </c>
      <c r="AQ56" s="69">
        <f>Table1[[#This Row],[E2E]]-Table1[[#This Row],[TTFT]]+Table1[[#This Row],[ITL]]</f>
        <v>2.9305232465268642</v>
      </c>
      <c r="AR56" s="34">
        <f>Table1[[#This Row],[estDecode]]/Table1[[#This Row],[Run]]</f>
        <v>0.34960628204180133</v>
      </c>
      <c r="AS56" s="69">
        <f>Table1[[#This Row],[Prefill]]+Table1[[#This Row],[Out-Tok]]*Table1[[#This Row],[ITL]]</f>
        <v>3.0212407677371407</v>
      </c>
      <c r="AT56" s="22">
        <f>Table1[[#This Row],[estPrefill]]+Table1[[#This Row],[Out-Tok]]*Table1[[#This Row],[ITL]]</f>
        <v>3.7833830557035384</v>
      </c>
      <c r="AU56" s="34">
        <f>Table1[[#This Row],[E2E]]/Table1[[#This Row],[estE2E]]</f>
        <v>0.79892425985379611</v>
      </c>
      <c r="AV56" s="22">
        <f>Table1[[#This Row],[N]]/Table1[[#This Row],[estE2E]]</f>
        <v>2.6343780260601291</v>
      </c>
      <c r="AW56" s="22">
        <f>Table1[[#This Row],[PPS]]/Table1[[#This Row],[In-Tok]]</f>
        <v>3.5241937499999998</v>
      </c>
      <c r="AX56" s="34">
        <f>Table1[[#This Row],[RPS]]/Table1[[#This Row],[RPS(IL)]]</f>
        <v>0.85125853253669725</v>
      </c>
      <c r="AY56" s="22">
        <f>Table1[[#This Row],[GPS]]/Table1[[#This Row],[Out-Tok]]</f>
        <v>3.2920833333333333</v>
      </c>
      <c r="AZ56" s="89">
        <f>Table1[[#This Row],[RPS]]/Table1[[#This Row],[RPS(OL)]]</f>
        <v>0.91127705353752697</v>
      </c>
      <c r="BA56" s="135">
        <f>MaxTok/Table1[[#This Row],[tok/req]]</f>
        <v>123.14674983890644</v>
      </c>
      <c r="BB56" s="4">
        <f>Table1[[#This Row],[N]]/Table1[[#This Row],[N-max]]</f>
        <v>8.093482937350524E-2</v>
      </c>
      <c r="BC56" s="44">
        <f>Table1[[#This Row],[RPS]]</f>
        <v>3</v>
      </c>
      <c r="BD56" s="47">
        <f>Table1[[#This Row],[PPS]]/Table1[[#This Row],[RPS success]]</f>
        <v>3524.1937499999999</v>
      </c>
      <c r="BE56" s="4">
        <f>ABS(Table1[[#This Row],[est-In-Tok3]]-Table1[[#This Row],[In-Tok]])/Table1[[#This Row],[In-Tok]]</f>
        <v>0.17473124999999998</v>
      </c>
      <c r="BF56" s="47">
        <f>Table1[[#This Row],[GPS]]/Table1[[#This Row],[RPS success]]</f>
        <v>329.20833333333331</v>
      </c>
      <c r="BG56" s="4">
        <f>ABS(Table1[[#This Row],[est-Out-Tok3]]-Table1[[#This Row],[Out-Tok]])/Table1[[#This Row],[Out-Tok]]</f>
        <v>9.7361111111111051E-2</v>
      </c>
      <c r="BH56" s="162">
        <f>Table1[[#This Row],[est-In-Tok3]]+AvgOutLoad*Table1[[#This Row],[est-Out-Tok3]]</f>
        <v>3688.7979166666664</v>
      </c>
      <c r="BI56" s="4">
        <f>ABS(Table1[[#This Row],[est-Tok/Req3]]-Table1[[#This Row],[tok/req]])/Table1[[#This Row],[tok/req]]</f>
        <v>0.1710469576719576</v>
      </c>
      <c r="BJ56" s="162">
        <f>MaxTok/Table1[[#This Row],[est-Tok/Req3]]</f>
        <v>105.15953184637641</v>
      </c>
      <c r="BK56" s="4">
        <f>ABS(Table1[[#This Row],[est-N-max3]]-Table1[[#This Row],[N-max]])/Table1[[#This Row],[N-max]]</f>
        <v>0.14606327829244287</v>
      </c>
      <c r="BL56" s="44">
        <f>MaxTok*Table1[[#This Row],[Kvcache]]/Table1[[#This Row],[Run]]</f>
        <v>3160.0860900334001</v>
      </c>
      <c r="BM56" s="170">
        <f>ABS(Table1[[#This Row],[est-Tok/Req]]-Table1[[#This Row],[tok/req]])/Table1[[#This Row],[tok/req]]</f>
        <v>3.20193334393653E-3</v>
      </c>
      <c r="BN56" s="44">
        <f>MaxTok/Table1[[#This Row],[est-Tok/Req]]</f>
        <v>122.75370067163433</v>
      </c>
      <c r="BO56" s="180">
        <f>Table1[[#This Row],[Run]]/Table1[[#This Row],[Kvcache]]</f>
        <v>122.75370067163433</v>
      </c>
      <c r="BP56" s="135" cm="1">
        <f t="array" aca="1" ref="BP56" ca="1">_xlfn.CEILING.MATH(INDIRECT("Table1"&amp;BP$3)/BP$2)*BP$2</f>
        <v>4000</v>
      </c>
      <c r="BQ56" s="187" cm="1">
        <f t="array" aca="1" ref="BQ56" ca="1">_xlfn.CEILING.MATH(INDIRECT("Table1"&amp;BQ$3)/BQ$2)*BQ$2</f>
        <v>0.01</v>
      </c>
      <c r="BR56" s="4" cm="1">
        <f t="array" aca="1" ref="BR56" ca="1">_xlfn.CEILING.MATH(INDIRECT("Table1"&amp;BR$3)/BR$2)*BR$2</f>
        <v>0.1</v>
      </c>
      <c r="BS56" s="4" cm="1">
        <f t="array" aca="1" ref="BS56" ca="1">_xlfn.CEILING.MATH(INDIRECT("Table1"&amp;BS$3)/BS$2)*BS$2</f>
        <v>7.0000000000000007E-2</v>
      </c>
      <c r="BT56" s="3" cm="1">
        <f t="array" aca="1" ref="BT56" ca="1">_xlfn.CEILING.MATH(INDIRECT("Table1"&amp;BT$3)/BT$2)*BT$2</f>
        <v>9</v>
      </c>
      <c r="BU56" s="135" cm="1">
        <f t="array" aca="1" ref="BU56" ca="1">_xlfn.CEILING.MATH(INDIRECT("Table1"&amp;BU$3)/BU$2)*BU$2</f>
        <v>10</v>
      </c>
      <c r="BV56" s="135" cm="1">
        <f t="array" aca="1" ref="BV56" ca="1">_xlfn.CEILING.MATH(INDIRECT("Table1"&amp;BV$3)/BV$2)*BV$2</f>
        <v>3000</v>
      </c>
      <c r="BW56" s="4"/>
      <c r="BX56" s="4"/>
      <c r="BY56" s="190">
        <v>0.1267649340574088</v>
      </c>
      <c r="BZ56" s="4"/>
      <c r="CA56" s="12">
        <f>(Table1[[#This Row],[In-Tok]]+Table1[[#This Row],[Out-Tok]])*Table1[[#This Row],[RPS]]</f>
        <v>9900</v>
      </c>
      <c r="CB56" s="3">
        <f t="shared" si="17"/>
        <v>385161.7197062425</v>
      </c>
      <c r="CC56" s="3">
        <f>Table1[[#This Row],[Supply]]/(Table1[[#This Row],[Prefill]]+Table1[[#This Row],[Out-Tok]]*Table1[[#This Row],[ITL]])</f>
        <v>127484.61619453198</v>
      </c>
      <c r="CD56" s="3">
        <f>Table1[[#This Row],[MaxRun]]/Table1[[#This Row],[ITL]]</f>
        <v>1585.8808052864574</v>
      </c>
      <c r="CE56" s="3">
        <f>Table1[[#This Row],[Out-Tok]]*Table1[[#This Row],[RPS]]</f>
        <v>900</v>
      </c>
      <c r="CF56" s="5">
        <f>Table1[[#This Row],[Supply]]/Table1[[#This Row],[Demand-T]]</f>
        <v>38.905224212751769</v>
      </c>
      <c r="CH56" s="8">
        <f>Table1[[#This Row],[Prefill]]+Table1[[#This Row],[Out-Tok]]*Table1[[#This Row],[ITL]]</f>
        <v>3.0212407677371407</v>
      </c>
      <c r="CI56" s="8">
        <f>Table1[[#This Row],[GPS]]*Table1[[#This Row],[ITL]]</f>
        <v>9.6527982739755043</v>
      </c>
      <c r="CJ56" s="14">
        <f>Table1[[#This Row],[PPS]]*Table1[[#This Row],[Prefill]]/Table1[[#This Row],[In-Tok]]</f>
        <v>0.31406291213812226</v>
      </c>
      <c r="CK56" s="8">
        <f t="shared" si="12"/>
        <v>9.9668611861136274</v>
      </c>
      <c r="CL56" s="8">
        <f>Table1[[#This Row],[PPS]]/Table1[[#This Row],[In-Tok]]</f>
        <v>3.5241937499999998</v>
      </c>
      <c r="CM56" s="8">
        <f>Table1[[#This Row],[GPS]]/Table1[[#This Row],[Out-Tok]]</f>
        <v>3.2920833333333333</v>
      </c>
      <c r="CN56" s="8">
        <f>Table1[[#This Row],[Run]]/Table1[[#This Row],[E2E]]</f>
        <v>2.77319251597681</v>
      </c>
      <c r="CO56" s="8">
        <f>Table1[[#This Row],[N2]]/Table1[[#This Row],[E2E]]</f>
        <v>3.2974064732271651</v>
      </c>
      <c r="CP56" s="8"/>
      <c r="CQ56" s="8">
        <f>Table1[[#This Row],[In-Tok]]+AvgOutLoad*Table1[[#This Row],[Out-Tok]]</f>
        <v>3150</v>
      </c>
      <c r="CR56" s="8">
        <f t="shared" si="13"/>
        <v>128402.40964386944</v>
      </c>
      <c r="CS56" s="8" t="e">
        <f t="shared" si="14"/>
        <v>#DIV/0!</v>
      </c>
      <c r="CT56" s="8" t="e">
        <f t="shared" si="18"/>
        <v>#DIV/0!</v>
      </c>
      <c r="CU56" s="8">
        <f t="shared" si="15"/>
        <v>0</v>
      </c>
      <c r="CV56" s="8" t="e">
        <f t="shared" si="16"/>
        <v>#DIV/0!</v>
      </c>
      <c r="CW56" s="8">
        <f>Table1[[#This Row],[N(maxT)]]/Table1[[#This Row],[e2e sat]]</f>
        <v>0</v>
      </c>
      <c r="CX56" s="8" t="e">
        <f>Table1[[#This Row],[RPS]]/CW56</f>
        <v>#DIV/0!</v>
      </c>
      <c r="CY56" s="8" t="e">
        <f>Table1[[#This Row],[Kvcache]]/$T$4</f>
        <v>#DIV/0!</v>
      </c>
      <c r="GJ56"/>
    </row>
    <row r="57" spans="1:192" hidden="1" x14ac:dyDescent="0.25">
      <c r="A57" s="3">
        <v>3000</v>
      </c>
      <c r="B57" s="3">
        <v>400</v>
      </c>
      <c r="C57">
        <v>3</v>
      </c>
      <c r="D57" s="199">
        <f>Table1[[#This Row],[Kvcache]]</f>
        <v>9.8829461963218179E-2</v>
      </c>
      <c r="E57" s="208" t="s">
        <v>139</v>
      </c>
      <c r="F57" s="219">
        <v>46092</v>
      </c>
      <c r="G57" s="10"/>
      <c r="H57" s="10">
        <v>0.10506066984149426</v>
      </c>
      <c r="I57" s="10">
        <v>9.1278880747759722E-2</v>
      </c>
      <c r="J57" s="10">
        <v>0.69672424544182121</v>
      </c>
      <c r="K57" s="10">
        <v>0.94447686672210696</v>
      </c>
      <c r="L57" s="10">
        <v>1.372889928817743</v>
      </c>
      <c r="M57" s="10">
        <v>1.0705457534636925E-2</v>
      </c>
      <c r="N57" s="10">
        <v>4.3475740983831273</v>
      </c>
      <c r="O57" s="47">
        <v>11033.8375</v>
      </c>
      <c r="P57" s="47">
        <v>1352.6312499999999</v>
      </c>
      <c r="Q57" s="5">
        <v>12.02941176470588</v>
      </c>
      <c r="R57" s="5">
        <v>21.5</v>
      </c>
      <c r="S57" s="170">
        <v>9.8829461963218179E-2</v>
      </c>
      <c r="T57" s="170">
        <v>0.17564003103180759</v>
      </c>
      <c r="U57" s="26">
        <f>(Table1[[#This Row],[In-Tok]]+Table1[[#This Row],[Out-Tok]])*Table1[[#This Row],[RPS]]</f>
        <v>10200</v>
      </c>
      <c r="V57" s="54">
        <f>Table1[[#This Row],[In-Tok]]+AvgOutLoad*Table1[[#This Row],[Out-Tok]]</f>
        <v>3200</v>
      </c>
      <c r="W57" s="20">
        <f>Table1[[#This Row],[In-Tok]]*Table1[[#This Row],[RPS]]</f>
        <v>9000</v>
      </c>
      <c r="X57" s="35">
        <f>Table1[[#This Row],[Out-Tok]]*Table1[[#This Row],[RPS]]</f>
        <v>1200</v>
      </c>
      <c r="Y57" s="75">
        <f>Table1[[#This Row],[In-Tok]]/Table1[[#This Row],[Out-Tok]]</f>
        <v>7.5</v>
      </c>
      <c r="Z57" s="26">
        <f>Table1[[#This Row],[In-Tok]]*Table1[[#This Row],[N]]+AvgOutLoad*Table1[[#This Row],[Out-Tok]]*Table1[[#This Row],[Ndecode]]</f>
        <v>47344.872839425807</v>
      </c>
      <c r="AA57" s="20">
        <f>Table1[[#This Row],[tok(N)]]/Table1[[#This Row],[Kvcache]]</f>
        <v>479056.26418411918</v>
      </c>
      <c r="AB57" s="20">
        <f>Table1[[#This Row],[tok/req]]*Table1[[#This Row],[Run]]</f>
        <v>38494.117647058818</v>
      </c>
      <c r="AC57" s="20">
        <f>Table1[[#This Row],[tok(Run)]]/Table1[[#This Row],[Kvcache]]</f>
        <v>389500.42712349637</v>
      </c>
      <c r="AD57" s="20">
        <f>Table1[[#This Row],[tok/req]]*Table1[[#This Row],[MaxRun]]</f>
        <v>68800</v>
      </c>
      <c r="AE57" s="20">
        <f>Table1[[#This Row],[tok(MaxRun)]]/Table1[[#This Row],[MaxKvcache]]</f>
        <v>391710.24734982336</v>
      </c>
      <c r="AF57" s="75">
        <f>Table1[[#This Row],[PPS]]*Table1[[#This Row],[Prefill]]/Table1[[#This Row],[In-Tok]]</f>
        <v>0.33571877911755305</v>
      </c>
      <c r="AG57" s="22">
        <f>Table1[[#This Row],[GPS]]*Table1[[#This Row],[ITL]]</f>
        <v>14.48053640689786</v>
      </c>
      <c r="AH57" s="22">
        <f>Table1[[#This Row],[Nprefill]]+Table1[[#This Row],[Ndecode]]</f>
        <v>14.816255186015413</v>
      </c>
      <c r="AI57" s="34">
        <f>Table1[[#This Row],[Run]]/Table1[[#This Row],[ITL]]/Table1[[#This Row],[GPS]]</f>
        <v>0.83072970687574965</v>
      </c>
      <c r="AJ57" s="64">
        <f>Table1[[#This Row],[Prefill]]+Table1[[#This Row],[ITL]]</f>
        <v>0.10198433828239664</v>
      </c>
      <c r="AK57" s="34">
        <f>Table1[[#This Row],[TTFT]]/Table1[[#This Row],[estTTFT]]</f>
        <v>1.0301647450079952</v>
      </c>
      <c r="AL57" s="22">
        <f>Table1[[#This Row],[In-Tok]]*Table1[[#This Row],[RPS]]/Table1[[#This Row],[PPS]]</f>
        <v>0.81567269773548867</v>
      </c>
      <c r="AM57" s="34">
        <f>Table1[[#This Row],[Prefill]]/Table1[[#This Row],[estPrefill]]</f>
        <v>0.11190625970585102</v>
      </c>
      <c r="AN57" s="34">
        <f>Table1[[#This Row],[Prefill]]/Table1[[#This Row],[TTFT]]</f>
        <v>0.86882066224661225</v>
      </c>
      <c r="AO57" s="64">
        <f>Table1[[#This Row],[Run]]/(Table1[[#This Row],[Out-Tok]]*Table1[[#This Row],[RPS]])</f>
        <v>1.0024509803921567E-2</v>
      </c>
      <c r="AP57" s="34">
        <f>Table1[[#This Row],[ITL]]/Table1[[#This Row],[estITL]]</f>
        <v>1.0679282821838303</v>
      </c>
      <c r="AQ57" s="69">
        <f>Table1[[#This Row],[E2E]]-Table1[[#This Row],[TTFT]]+Table1[[#This Row],[ITL]]</f>
        <v>4.2532188860762696</v>
      </c>
      <c r="AR57" s="34">
        <f>Table1[[#This Row],[estDecode]]/Table1[[#This Row],[Run]]</f>
        <v>0.35356831815792955</v>
      </c>
      <c r="AS57" s="69">
        <f>Table1[[#This Row],[Prefill]]+Table1[[#This Row],[Out-Tok]]*Table1[[#This Row],[ITL]]</f>
        <v>4.3734618946025297</v>
      </c>
      <c r="AT57" s="22">
        <f>Table1[[#This Row],[estPrefill]]+Table1[[#This Row],[Out-Tok]]*Table1[[#This Row],[ITL]]</f>
        <v>5.0978557115902579</v>
      </c>
      <c r="AU57" s="34">
        <f>Table1[[#This Row],[E2E]]/Table1[[#This Row],[estE2E]]</f>
        <v>0.8528240782685701</v>
      </c>
      <c r="AV57" s="22">
        <f>Table1[[#This Row],[N]]/Table1[[#This Row],[estE2E]]</f>
        <v>2.9063700552233822</v>
      </c>
      <c r="AW57" s="22">
        <f>Table1[[#This Row],[PPS]]/Table1[[#This Row],[In-Tok]]</f>
        <v>3.6779458333333332</v>
      </c>
      <c r="AX57" s="34">
        <f>Table1[[#This Row],[RPS]]/Table1[[#This Row],[RPS(IL)]]</f>
        <v>0.81567269773548867</v>
      </c>
      <c r="AY57" s="22">
        <f>Table1[[#This Row],[GPS]]/Table1[[#This Row],[Out-Tok]]</f>
        <v>3.3815781249999999</v>
      </c>
      <c r="AZ57" s="89">
        <f>Table1[[#This Row],[RPS]]/Table1[[#This Row],[RPS(OL)]]</f>
        <v>0.88715974882289617</v>
      </c>
      <c r="BA57" s="135">
        <f>MaxTok/Table1[[#This Row],[tok/req]]</f>
        <v>121.22258187267353</v>
      </c>
      <c r="BB57" s="4">
        <f>Table1[[#This Row],[N]]/Table1[[#This Row],[N-max]]</f>
        <v>0.1222235573366826</v>
      </c>
      <c r="BC57" s="44">
        <f>Table1[[#This Row],[RPS]]</f>
        <v>3</v>
      </c>
      <c r="BD57" s="47">
        <f>Table1[[#This Row],[PPS]]/Table1[[#This Row],[RPS success]]</f>
        <v>3677.9458333333332</v>
      </c>
      <c r="BE57" s="4">
        <f>ABS(Table1[[#This Row],[est-In-Tok3]]-Table1[[#This Row],[In-Tok]])/Table1[[#This Row],[In-Tok]]</f>
        <v>0.22598194444444442</v>
      </c>
      <c r="BF57" s="47">
        <f>Table1[[#This Row],[GPS]]/Table1[[#This Row],[RPS success]]</f>
        <v>450.8770833333333</v>
      </c>
      <c r="BG57" s="4">
        <f>ABS(Table1[[#This Row],[est-Out-Tok3]]-Table1[[#This Row],[Out-Tok]])/Table1[[#This Row],[Out-Tok]]</f>
        <v>0.12719270833333327</v>
      </c>
      <c r="BH57" s="162">
        <f>Table1[[#This Row],[est-In-Tok3]]+AvgOutLoad*Table1[[#This Row],[est-Out-Tok3]]</f>
        <v>3903.3843749999996</v>
      </c>
      <c r="BI57" s="4">
        <f>ABS(Table1[[#This Row],[est-Tok/Req3]]-Table1[[#This Row],[tok/req]])/Table1[[#This Row],[tok/req]]</f>
        <v>0.21980761718749989</v>
      </c>
      <c r="BJ57" s="162">
        <f>MaxTok/Table1[[#This Row],[est-Tok/Req3]]</f>
        <v>99.378443095949351</v>
      </c>
      <c r="BK57" s="4">
        <f>ABS(Table1[[#This Row],[est-N-max3]]-Table1[[#This Row],[N-max]])/Table1[[#This Row],[N-max]]</f>
        <v>0.18019859368832972</v>
      </c>
      <c r="BL57" s="44">
        <f>MaxTok*Table1[[#This Row],[Kvcache]]/Table1[[#This Row],[Run]]</f>
        <v>3186.9521878151877</v>
      </c>
      <c r="BM57" s="170">
        <f>ABS(Table1[[#This Row],[est-Tok/Req]]-Table1[[#This Row],[tok/req]])/Table1[[#This Row],[tok/req]]</f>
        <v>4.0774413077538443E-3</v>
      </c>
      <c r="BN57" s="44">
        <f>MaxTok/Table1[[#This Row],[est-Tok/Req]]</f>
        <v>121.71888347609263</v>
      </c>
      <c r="BO57" s="180">
        <f>Table1[[#This Row],[Run]]/Table1[[#This Row],[Kvcache]]</f>
        <v>121.71888347609261</v>
      </c>
      <c r="BP57" s="135" cm="1">
        <f t="array" aca="1" ref="BP57" ca="1">_xlfn.CEILING.MATH(INDIRECT("Table1"&amp;BP$3)/BP$2)*BP$2</f>
        <v>4000</v>
      </c>
      <c r="BQ57" s="187" cm="1">
        <f t="array" aca="1" ref="BQ57" ca="1">_xlfn.CEILING.MATH(INDIRECT("Table1"&amp;BQ$3)/BQ$2)*BQ$2</f>
        <v>1.4999999999999999E-2</v>
      </c>
      <c r="BR57" s="4" cm="1">
        <f t="array" aca="1" ref="BR57" ca="1">_xlfn.CEILING.MATH(INDIRECT("Table1"&amp;BR$3)/BR$2)*BR$2</f>
        <v>0.1</v>
      </c>
      <c r="BS57" s="4" cm="1">
        <f t="array" aca="1" ref="BS57" ca="1">_xlfn.CEILING.MATH(INDIRECT("Table1"&amp;BS$3)/BS$2)*BS$2</f>
        <v>0.1</v>
      </c>
      <c r="BT57" s="3" cm="1">
        <f t="array" aca="1" ref="BT57" ca="1">_xlfn.CEILING.MATH(INDIRECT("Table1"&amp;BT$3)/BT$2)*BT$2</f>
        <v>13</v>
      </c>
      <c r="BU57" s="135" cm="1">
        <f t="array" aca="1" ref="BU57" ca="1">_xlfn.CEILING.MATH(INDIRECT("Table1"&amp;BU$3)/BU$2)*BU$2</f>
        <v>10</v>
      </c>
      <c r="BV57" s="135" cm="1">
        <f t="array" aca="1" ref="BV57" ca="1">_xlfn.CEILING.MATH(INDIRECT("Table1"&amp;BV$3)/BV$2)*BV$2</f>
        <v>3000</v>
      </c>
      <c r="BW57" s="4"/>
      <c r="BX57" s="4"/>
      <c r="BY57" s="190">
        <v>0.17564003103180759</v>
      </c>
      <c r="BZ57" s="4"/>
      <c r="CA57" s="12">
        <f>(Table1[[#This Row],[In-Tok]]+Table1[[#This Row],[Out-Tok]])*Table1[[#This Row],[RPS]]</f>
        <v>10200</v>
      </c>
      <c r="CB57" s="3">
        <f t="shared" si="17"/>
        <v>391710.24734982336</v>
      </c>
      <c r="CC57" s="3">
        <f>Table1[[#This Row],[Supply]]/(Table1[[#This Row],[Prefill]]+Table1[[#This Row],[Out-Tok]]*Table1[[#This Row],[ITL]])</f>
        <v>89565.259007572284</v>
      </c>
      <c r="CD57" s="3">
        <f>Table1[[#This Row],[MaxRun]]/Table1[[#This Row],[ITL]]</f>
        <v>2008.3214501050443</v>
      </c>
      <c r="CE57" s="3">
        <f>Table1[[#This Row],[Out-Tok]]*Table1[[#This Row],[RPS]]</f>
        <v>1200</v>
      </c>
      <c r="CF57" s="5">
        <f>Table1[[#This Row],[Supply]]/Table1[[#This Row],[Demand-T]]</f>
        <v>38.402965426453271</v>
      </c>
      <c r="CH57" s="8">
        <f>Table1[[#This Row],[Prefill]]+Table1[[#This Row],[Out-Tok]]*Table1[[#This Row],[ITL]]</f>
        <v>4.3734618946025297</v>
      </c>
      <c r="CI57" s="8">
        <f>Table1[[#This Row],[GPS]]*Table1[[#This Row],[ITL]]</f>
        <v>14.48053640689786</v>
      </c>
      <c r="CJ57" s="14">
        <f>Table1[[#This Row],[PPS]]*Table1[[#This Row],[Prefill]]/Table1[[#This Row],[In-Tok]]</f>
        <v>0.33571877911755305</v>
      </c>
      <c r="CK57" s="8">
        <f t="shared" si="12"/>
        <v>14.816255186015413</v>
      </c>
      <c r="CL57" s="8">
        <f>Table1[[#This Row],[PPS]]/Table1[[#This Row],[In-Tok]]</f>
        <v>3.6779458333333332</v>
      </c>
      <c r="CM57" s="8">
        <f>Table1[[#This Row],[GPS]]/Table1[[#This Row],[Out-Tok]]</f>
        <v>3.3815781249999999</v>
      </c>
      <c r="CN57" s="8">
        <f>Table1[[#This Row],[Run]]/Table1[[#This Row],[E2E]]</f>
        <v>2.7669250695875767</v>
      </c>
      <c r="CO57" s="8">
        <f>Table1[[#This Row],[N2]]/Table1[[#This Row],[E2E]]</f>
        <v>3.4079362078096866</v>
      </c>
      <c r="CP57" s="8"/>
      <c r="CQ57" s="8">
        <f>Table1[[#This Row],[In-Tok]]+AvgOutLoad*Table1[[#This Row],[Out-Tok]]</f>
        <v>3200</v>
      </c>
      <c r="CR57" s="8">
        <f t="shared" si="13"/>
        <v>167347.19751379566</v>
      </c>
      <c r="CS57" s="8" t="e">
        <f t="shared" si="14"/>
        <v>#DIV/0!</v>
      </c>
      <c r="CT57" s="8" t="e">
        <f t="shared" si="18"/>
        <v>#DIV/0!</v>
      </c>
      <c r="CU57" s="8">
        <f t="shared" si="15"/>
        <v>0</v>
      </c>
      <c r="CV57" s="8" t="e">
        <f t="shared" si="16"/>
        <v>#DIV/0!</v>
      </c>
      <c r="CW57" s="8">
        <f>Table1[[#This Row],[N(maxT)]]/Table1[[#This Row],[e2e sat]]</f>
        <v>0</v>
      </c>
      <c r="CX57" s="8" t="e">
        <f>Table1[[#This Row],[RPS]]/CW57</f>
        <v>#DIV/0!</v>
      </c>
      <c r="CY57" s="8" t="e">
        <f>Table1[[#This Row],[Kvcache]]/$T$4</f>
        <v>#DIV/0!</v>
      </c>
      <c r="GJ57"/>
    </row>
    <row r="58" spans="1:192" hidden="1" x14ac:dyDescent="0.25">
      <c r="A58" s="3">
        <v>3000</v>
      </c>
      <c r="B58" s="3">
        <v>500</v>
      </c>
      <c r="C58">
        <v>3</v>
      </c>
      <c r="D58" s="199">
        <f>Table1[[#This Row],[Kvcache]]</f>
        <v>0.1145187788071008</v>
      </c>
      <c r="E58" s="208" t="s">
        <v>139</v>
      </c>
      <c r="F58" s="219">
        <v>46092</v>
      </c>
      <c r="G58" s="10"/>
      <c r="H58" s="10">
        <v>0.10315848703317755</v>
      </c>
      <c r="I58" s="10">
        <v>9.1119561946509747E-2</v>
      </c>
      <c r="J58" s="10">
        <v>0.66142926622897702</v>
      </c>
      <c r="K58" s="10">
        <v>0.79806160330772391</v>
      </c>
      <c r="L58" s="10">
        <v>0.84770335435867294</v>
      </c>
      <c r="M58" s="10">
        <v>1.0615078085420126E-2</v>
      </c>
      <c r="N58" s="10">
        <v>5.3740730903695129</v>
      </c>
      <c r="O58" s="47">
        <v>9890.9187500000007</v>
      </c>
      <c r="P58" s="47">
        <v>1519.2375</v>
      </c>
      <c r="Q58" s="5">
        <v>13.617647058823525</v>
      </c>
      <c r="R58" s="5">
        <v>23</v>
      </c>
      <c r="S58" s="170">
        <v>0.1145187788071008</v>
      </c>
      <c r="T58" s="170">
        <v>0.19379363847944139</v>
      </c>
      <c r="U58" s="26">
        <f>(Table1[[#This Row],[In-Tok]]+Table1[[#This Row],[Out-Tok]])*Table1[[#This Row],[RPS]]</f>
        <v>10500</v>
      </c>
      <c r="V58" s="54">
        <f>Table1[[#This Row],[In-Tok]]+AvgOutLoad*Table1[[#This Row],[Out-Tok]]</f>
        <v>3250</v>
      </c>
      <c r="W58" s="20">
        <f>Table1[[#This Row],[In-Tok]]*Table1[[#This Row],[RPS]]</f>
        <v>9000</v>
      </c>
      <c r="X58" s="35">
        <f>Table1[[#This Row],[Out-Tok]]*Table1[[#This Row],[RPS]]</f>
        <v>1500</v>
      </c>
      <c r="Y58" s="75">
        <f>Table1[[#This Row],[In-Tok]]/Table1[[#This Row],[Out-Tok]]</f>
        <v>6</v>
      </c>
      <c r="Z58" s="26">
        <f>Table1[[#This Row],[In-Tok]]*Table1[[#This Row],[N]]+AvgOutLoad*Table1[[#This Row],[Out-Tok]]*Table1[[#This Row],[Ndecode]]</f>
        <v>53313.436435343508</v>
      </c>
      <c r="AA58" s="20">
        <f>Table1[[#This Row],[tok(N)]]/Table1[[#This Row],[Kvcache]]</f>
        <v>465543.17982334073</v>
      </c>
      <c r="AB58" s="20">
        <f>Table1[[#This Row],[tok/req]]*Table1[[#This Row],[Run]]</f>
        <v>44257.352941176461</v>
      </c>
      <c r="AC58" s="20">
        <f>Table1[[#This Row],[tok(Run)]]/Table1[[#This Row],[Kvcache]]</f>
        <v>386463.71714917605</v>
      </c>
      <c r="AD58" s="20">
        <f>Table1[[#This Row],[tok/req]]*Table1[[#This Row],[MaxRun]]</f>
        <v>74750</v>
      </c>
      <c r="AE58" s="20">
        <f>Table1[[#This Row],[tok(MaxRun)]]/Table1[[#This Row],[MaxKvcache]]</f>
        <v>385719.5756605285</v>
      </c>
      <c r="AF58" s="75">
        <f>Table1[[#This Row],[PPS]]*Table1[[#This Row],[Prefill]]/Table1[[#This Row],[In-Tok]]</f>
        <v>0.30041872791617324</v>
      </c>
      <c r="AG58" s="22">
        <f>Table1[[#This Row],[GPS]]*Table1[[#This Row],[ITL]]</f>
        <v>16.126824692798458</v>
      </c>
      <c r="AH58" s="22">
        <f>Table1[[#This Row],[Nprefill]]+Table1[[#This Row],[Ndecode]]</f>
        <v>16.427243420714632</v>
      </c>
      <c r="AI58" s="34">
        <f>Table1[[#This Row],[Run]]/Table1[[#This Row],[ITL]]/Table1[[#This Row],[GPS]]</f>
        <v>0.84440969119634424</v>
      </c>
      <c r="AJ58" s="64">
        <f>Table1[[#This Row],[Prefill]]+Table1[[#This Row],[ITL]]</f>
        <v>0.10173464003192988</v>
      </c>
      <c r="AK58" s="34">
        <f>Table1[[#This Row],[TTFT]]/Table1[[#This Row],[estTTFT]]</f>
        <v>1.0139956950828233</v>
      </c>
      <c r="AL58" s="22">
        <f>Table1[[#This Row],[In-Tok]]*Table1[[#This Row],[RPS]]/Table1[[#This Row],[PPS]]</f>
        <v>0.90992558198903406</v>
      </c>
      <c r="AM58" s="34">
        <f>Table1[[#This Row],[Prefill]]/Table1[[#This Row],[estPrefill]]</f>
        <v>0.10013957597205776</v>
      </c>
      <c r="AN58" s="34">
        <f>Table1[[#This Row],[Prefill]]/Table1[[#This Row],[TTFT]]</f>
        <v>0.88329680443262149</v>
      </c>
      <c r="AO58" s="64">
        <f>Table1[[#This Row],[Run]]/(Table1[[#This Row],[Out-Tok]]*Table1[[#This Row],[RPS]])</f>
        <v>9.0784313725490173E-3</v>
      </c>
      <c r="AP58" s="34">
        <f>Table1[[#This Row],[ITL]]/Table1[[#This Row],[estITL]]</f>
        <v>1.1692634608130164</v>
      </c>
      <c r="AQ58" s="69">
        <f>Table1[[#This Row],[E2E]]-Table1[[#This Row],[TTFT]]+Table1[[#This Row],[ITL]]</f>
        <v>5.2815296814217554</v>
      </c>
      <c r="AR58" s="34">
        <f>Table1[[#This Row],[estDecode]]/Table1[[#This Row],[Run]]</f>
        <v>0.38784451224263444</v>
      </c>
      <c r="AS58" s="69">
        <f>Table1[[#This Row],[Prefill]]+Table1[[#This Row],[Out-Tok]]*Table1[[#This Row],[ITL]]</f>
        <v>5.398658604656573</v>
      </c>
      <c r="AT58" s="22">
        <f>Table1[[#This Row],[estPrefill]]+Table1[[#This Row],[Out-Tok]]*Table1[[#This Row],[ITL]]</f>
        <v>6.2174646246990974</v>
      </c>
      <c r="AU58" s="34">
        <f>Table1[[#This Row],[E2E]]/Table1[[#This Row],[estE2E]]</f>
        <v>0.86435121303639073</v>
      </c>
      <c r="AV58" s="22">
        <f>Table1[[#This Row],[N]]/Table1[[#This Row],[estE2E]]</f>
        <v>2.6421128888223713</v>
      </c>
      <c r="AW58" s="22">
        <f>Table1[[#This Row],[PPS]]/Table1[[#This Row],[In-Tok]]</f>
        <v>3.2969729166666668</v>
      </c>
      <c r="AX58" s="34">
        <f>Table1[[#This Row],[RPS]]/Table1[[#This Row],[RPS(IL)]]</f>
        <v>0.90992558198903406</v>
      </c>
      <c r="AY58" s="22">
        <f>Table1[[#This Row],[GPS]]/Table1[[#This Row],[Out-Tok]]</f>
        <v>3.038475</v>
      </c>
      <c r="AZ58" s="89">
        <f>Table1[[#This Row],[RPS]]/Table1[[#This Row],[RPS(OL)]]</f>
        <v>0.98733739787228791</v>
      </c>
      <c r="BA58" s="135">
        <f>MaxTok/Table1[[#This Row],[tok/req]]</f>
        <v>119.3576190746324</v>
      </c>
      <c r="BB58" s="4">
        <f>Table1[[#This Row],[N]]/Table1[[#This Row],[N-max]]</f>
        <v>0.1376304549979582</v>
      </c>
      <c r="BC58" s="44">
        <f>Table1[[#This Row],[RPS]]</f>
        <v>3</v>
      </c>
      <c r="BD58" s="47">
        <f>Table1[[#This Row],[PPS]]/Table1[[#This Row],[RPS success]]</f>
        <v>3296.9729166666671</v>
      </c>
      <c r="BE58" s="4">
        <f>ABS(Table1[[#This Row],[est-In-Tok3]]-Table1[[#This Row],[In-Tok]])/Table1[[#This Row],[In-Tok]]</f>
        <v>9.8990972222222348E-2</v>
      </c>
      <c r="BF58" s="47">
        <f>Table1[[#This Row],[GPS]]/Table1[[#This Row],[RPS success]]</f>
        <v>506.41249999999997</v>
      </c>
      <c r="BG58" s="4">
        <f>ABS(Table1[[#This Row],[est-Out-Tok3]]-Table1[[#This Row],[Out-Tok]])/Table1[[#This Row],[Out-Tok]]</f>
        <v>1.2824999999999932E-2</v>
      </c>
      <c r="BH58" s="162">
        <f>Table1[[#This Row],[est-In-Tok3]]+AvgOutLoad*Table1[[#This Row],[est-Out-Tok3]]</f>
        <v>3550.1791666666672</v>
      </c>
      <c r="BI58" s="4">
        <f>ABS(Table1[[#This Row],[est-Tok/Req3]]-Table1[[#This Row],[tok/req]])/Table1[[#This Row],[tok/req]]</f>
        <v>9.2362820512820687E-2</v>
      </c>
      <c r="BJ58" s="162">
        <f>MaxTok/Table1[[#This Row],[est-Tok/Req3]]</f>
        <v>109.26554514057771</v>
      </c>
      <c r="BK58" s="4">
        <f>ABS(Table1[[#This Row],[est-N-max3]]-Table1[[#This Row],[N-max]])/Table1[[#This Row],[N-max]]</f>
        <v>8.4553244378511527E-2</v>
      </c>
      <c r="BL58" s="44">
        <f>MaxTok*Table1[[#This Row],[Kvcache]]/Table1[[#This Row],[Run]]</f>
        <v>3262.1816629403411</v>
      </c>
      <c r="BM58" s="170">
        <f>ABS(Table1[[#This Row],[est-Tok/Req]]-Table1[[#This Row],[tok/req]])/Table1[[#This Row],[tok/req]]</f>
        <v>3.7482039816434105E-3</v>
      </c>
      <c r="BN58" s="44">
        <f>MaxTok/Table1[[#This Row],[est-Tok/Req]]</f>
        <v>118.91191296897723</v>
      </c>
      <c r="BO58" s="180">
        <f>Table1[[#This Row],[Run]]/Table1[[#This Row],[Kvcache]]</f>
        <v>118.91191296897723</v>
      </c>
      <c r="BP58" s="135" cm="1">
        <f t="array" aca="1" ref="BP58" ca="1">_xlfn.CEILING.MATH(INDIRECT("Table1"&amp;BP$3)/BP$2)*BP$2</f>
        <v>4000</v>
      </c>
      <c r="BQ58" s="187" cm="1">
        <f t="array" aca="1" ref="BQ58" ca="1">_xlfn.CEILING.MATH(INDIRECT("Table1"&amp;BQ$3)/BQ$2)*BQ$2</f>
        <v>1.4999999999999999E-2</v>
      </c>
      <c r="BR58" s="4" cm="1">
        <f t="array" aca="1" ref="BR58" ca="1">_xlfn.CEILING.MATH(INDIRECT("Table1"&amp;BR$3)/BR$2)*BR$2</f>
        <v>0.2</v>
      </c>
      <c r="BS58" s="4" cm="1">
        <f t="array" aca="1" ref="BS58" ca="1">_xlfn.CEILING.MATH(INDIRECT("Table1"&amp;BS$3)/BS$2)*BS$2</f>
        <v>0.12</v>
      </c>
      <c r="BT58" s="3" cm="1">
        <f t="array" aca="1" ref="BT58" ca="1">_xlfn.CEILING.MATH(INDIRECT("Table1"&amp;BT$3)/BT$2)*BT$2</f>
        <v>14</v>
      </c>
      <c r="BU58" s="135" cm="1">
        <f t="array" aca="1" ref="BU58" ca="1">_xlfn.CEILING.MATH(INDIRECT("Table1"&amp;BU$3)/BU$2)*BU$2</f>
        <v>10</v>
      </c>
      <c r="BV58" s="135" cm="1">
        <f t="array" aca="1" ref="BV58" ca="1">_xlfn.CEILING.MATH(INDIRECT("Table1"&amp;BV$3)/BV$2)*BV$2</f>
        <v>3000</v>
      </c>
      <c r="BW58" s="4"/>
      <c r="BX58" s="4"/>
      <c r="BY58" s="190">
        <v>0.19379363847944139</v>
      </c>
      <c r="BZ58" s="4"/>
      <c r="CA58" s="12">
        <f>(Table1[[#This Row],[In-Tok]]+Table1[[#This Row],[Out-Tok]])*Table1[[#This Row],[RPS]]</f>
        <v>10500</v>
      </c>
      <c r="CB58" s="3">
        <f t="shared" si="17"/>
        <v>385719.5756605285</v>
      </c>
      <c r="CC58" s="3">
        <f>Table1[[#This Row],[Supply]]/(Table1[[#This Row],[Prefill]]+Table1[[#This Row],[Out-Tok]]*Table1[[#This Row],[ITL]])</f>
        <v>71447.299024952037</v>
      </c>
      <c r="CD58" s="3">
        <f>Table1[[#This Row],[MaxRun]]/Table1[[#This Row],[ITL]]</f>
        <v>2166.7292331641574</v>
      </c>
      <c r="CE58" s="3">
        <f>Table1[[#This Row],[Out-Tok]]*Table1[[#This Row],[RPS]]</f>
        <v>1500</v>
      </c>
      <c r="CF58" s="5">
        <f>Table1[[#This Row],[Supply]]/Table1[[#This Row],[Demand-T]]</f>
        <v>36.735197681955093</v>
      </c>
      <c r="CH58" s="8">
        <f>Table1[[#This Row],[Prefill]]+Table1[[#This Row],[Out-Tok]]*Table1[[#This Row],[ITL]]</f>
        <v>5.398658604656573</v>
      </c>
      <c r="CI58" s="8">
        <f>Table1[[#This Row],[GPS]]*Table1[[#This Row],[ITL]]</f>
        <v>16.126824692798458</v>
      </c>
      <c r="CJ58" s="14">
        <f>Table1[[#This Row],[PPS]]*Table1[[#This Row],[Prefill]]/Table1[[#This Row],[In-Tok]]</f>
        <v>0.30041872791617324</v>
      </c>
      <c r="CK58" s="8">
        <f t="shared" si="12"/>
        <v>16.427243420714632</v>
      </c>
      <c r="CL58" s="8">
        <f>Table1[[#This Row],[PPS]]/Table1[[#This Row],[In-Tok]]</f>
        <v>3.2969729166666668</v>
      </c>
      <c r="CM58" s="8">
        <f>Table1[[#This Row],[GPS]]/Table1[[#This Row],[Out-Tok]]</f>
        <v>3.038475</v>
      </c>
      <c r="CN58" s="8">
        <f>Table1[[#This Row],[Run]]/Table1[[#This Row],[E2E]]</f>
        <v>2.5339527077193504</v>
      </c>
      <c r="CO58" s="8">
        <f>Table1[[#This Row],[N2]]/Table1[[#This Row],[E2E]]</f>
        <v>3.0567584668977994</v>
      </c>
      <c r="CP58" s="8"/>
      <c r="CQ58" s="8">
        <f>Table1[[#This Row],[In-Tok]]+AvgOutLoad*Table1[[#This Row],[Out-Tok]]</f>
        <v>3250</v>
      </c>
      <c r="CR58" s="8">
        <f t="shared" si="13"/>
        <v>191692.72120842809</v>
      </c>
      <c r="CS58" s="8" t="e">
        <f t="shared" si="14"/>
        <v>#DIV/0!</v>
      </c>
      <c r="CT58" s="8" t="e">
        <f t="shared" si="18"/>
        <v>#DIV/0!</v>
      </c>
      <c r="CU58" s="8">
        <f t="shared" si="15"/>
        <v>0</v>
      </c>
      <c r="CV58" s="8" t="e">
        <f t="shared" si="16"/>
        <v>#DIV/0!</v>
      </c>
      <c r="CW58" s="8">
        <f>Table1[[#This Row],[N(maxT)]]/Table1[[#This Row],[e2e sat]]</f>
        <v>0</v>
      </c>
      <c r="CX58" s="8" t="e">
        <f>Table1[[#This Row],[RPS]]/CW58</f>
        <v>#DIV/0!</v>
      </c>
      <c r="CY58" s="8" t="e">
        <f>Table1[[#This Row],[Kvcache]]/$T$4</f>
        <v>#DIV/0!</v>
      </c>
      <c r="GJ58"/>
    </row>
    <row r="59" spans="1:192" hidden="1" x14ac:dyDescent="0.25">
      <c r="A59" s="3">
        <v>3000</v>
      </c>
      <c r="B59" s="3">
        <v>600</v>
      </c>
      <c r="C59">
        <v>3</v>
      </c>
      <c r="D59" s="199">
        <f>Table1[[#This Row],[Kvcache]]</f>
        <v>0.15360972938438372</v>
      </c>
      <c r="E59" s="208" t="s">
        <v>139</v>
      </c>
      <c r="F59" s="219">
        <v>46092</v>
      </c>
      <c r="G59" s="10"/>
      <c r="H59" s="10">
        <v>0.10816178198688285</v>
      </c>
      <c r="I59" s="10">
        <v>9.5279410350119442E-2</v>
      </c>
      <c r="J59" s="10">
        <v>0.65740238307618215</v>
      </c>
      <c r="K59" s="10">
        <v>0.79283959865570064</v>
      </c>
      <c r="L59" s="10">
        <v>0.85448841571807865</v>
      </c>
      <c r="M59" s="10">
        <v>1.1505180267543465E-2</v>
      </c>
      <c r="N59" s="10">
        <v>6.9374556738527806</v>
      </c>
      <c r="O59" s="47">
        <v>10032.375</v>
      </c>
      <c r="P59" s="47">
        <v>1828.9375</v>
      </c>
      <c r="Q59" s="5">
        <v>18.058823529411761</v>
      </c>
      <c r="R59" s="5">
        <v>25</v>
      </c>
      <c r="S59" s="170">
        <v>0.15360972938438372</v>
      </c>
      <c r="T59" s="170">
        <v>0.21408068269976727</v>
      </c>
      <c r="U59" s="26">
        <f>(Table1[[#This Row],[In-Tok]]+Table1[[#This Row],[Out-Tok]])*Table1[[#This Row],[RPS]]</f>
        <v>10800</v>
      </c>
      <c r="V59" s="54">
        <f>Table1[[#This Row],[In-Tok]]+AvgOutLoad*Table1[[#This Row],[Out-Tok]]</f>
        <v>3300</v>
      </c>
      <c r="W59" s="20">
        <f>Table1[[#This Row],[In-Tok]]*Table1[[#This Row],[RPS]]</f>
        <v>9000</v>
      </c>
      <c r="X59" s="35">
        <f>Table1[[#This Row],[Out-Tok]]*Table1[[#This Row],[RPS]]</f>
        <v>1800</v>
      </c>
      <c r="Y59" s="75">
        <f>Table1[[#This Row],[In-Tok]]/Table1[[#This Row],[Out-Tok]]</f>
        <v>5</v>
      </c>
      <c r="Z59" s="26">
        <f>Table1[[#This Row],[In-Tok]]*Table1[[#This Row],[N]]+AvgOutLoad*Table1[[#This Row],[Out-Tok]]*Table1[[#This Row],[Ndecode]]</f>
        <v>70395.322371793183</v>
      </c>
      <c r="AA59" s="20">
        <f>Table1[[#This Row],[tok(N)]]/Table1[[#This Row],[Kvcache]]</f>
        <v>458273.85188369273</v>
      </c>
      <c r="AB59" s="20">
        <f>Table1[[#This Row],[tok/req]]*Table1[[#This Row],[Run]]</f>
        <v>59594.117647058811</v>
      </c>
      <c r="AC59" s="20">
        <f>Table1[[#This Row],[tok(Run)]]/Table1[[#This Row],[Kvcache]]</f>
        <v>387957.96259710926</v>
      </c>
      <c r="AD59" s="20">
        <f>Table1[[#This Row],[tok/req]]*Table1[[#This Row],[MaxRun]]</f>
        <v>82500</v>
      </c>
      <c r="AE59" s="20">
        <f>Table1[[#This Row],[tok(MaxRun)]]/Table1[[#This Row],[MaxKvcache]]</f>
        <v>385368.72621851781</v>
      </c>
      <c r="AF59" s="75">
        <f>Table1[[#This Row],[PPS]]*Table1[[#This Row],[Prefill]]/Table1[[#This Row],[In-Tok]]</f>
        <v>0.31862625813709317</v>
      </c>
      <c r="AG59" s="22">
        <f>Table1[[#This Row],[GPS]]*Table1[[#This Row],[ITL]]</f>
        <v>21.042255635570275</v>
      </c>
      <c r="AH59" s="22">
        <f>Table1[[#This Row],[Nprefill]]+Table1[[#This Row],[Ndecode]]</f>
        <v>21.360881893707369</v>
      </c>
      <c r="AI59" s="34">
        <f>Table1[[#This Row],[Run]]/Table1[[#This Row],[ITL]]/Table1[[#This Row],[GPS]]</f>
        <v>0.85821709621684961</v>
      </c>
      <c r="AJ59" s="64">
        <f>Table1[[#This Row],[Prefill]]+Table1[[#This Row],[ITL]]</f>
        <v>0.10678459061766291</v>
      </c>
      <c r="AK59" s="34">
        <f>Table1[[#This Row],[TTFT]]/Table1[[#This Row],[estTTFT]]</f>
        <v>1.012896911073536</v>
      </c>
      <c r="AL59" s="22">
        <f>Table1[[#This Row],[In-Tok]]*Table1[[#This Row],[RPS]]/Table1[[#This Row],[PPS]]</f>
        <v>0.8970956528239824</v>
      </c>
      <c r="AM59" s="34">
        <f>Table1[[#This Row],[Prefill]]/Table1[[#This Row],[estPrefill]]</f>
        <v>0.10620875271236439</v>
      </c>
      <c r="AN59" s="34">
        <f>Table1[[#This Row],[Prefill]]/Table1[[#This Row],[TTFT]]</f>
        <v>0.88089719492301177</v>
      </c>
      <c r="AO59" s="64">
        <f>Table1[[#This Row],[Run]]/(Table1[[#This Row],[Out-Tok]]*Table1[[#This Row],[RPS]])</f>
        <v>1.0032679738562089E-2</v>
      </c>
      <c r="AP59" s="34">
        <f>Table1[[#This Row],[ITL]]/Table1[[#This Row],[estITL]]</f>
        <v>1.1467704110320198</v>
      </c>
      <c r="AQ59" s="69">
        <f>Table1[[#This Row],[E2E]]-Table1[[#This Row],[TTFT]]+Table1[[#This Row],[ITL]]</f>
        <v>6.8407990721334411</v>
      </c>
      <c r="AR59" s="34">
        <f>Table1[[#This Row],[estDecode]]/Table1[[#This Row],[Run]]</f>
        <v>0.37880646327774764</v>
      </c>
      <c r="AS59" s="69">
        <f>Table1[[#This Row],[Prefill]]+Table1[[#This Row],[Out-Tok]]*Table1[[#This Row],[ITL]]</f>
        <v>6.9983875708761989</v>
      </c>
      <c r="AT59" s="22">
        <f>Table1[[#This Row],[estPrefill]]+Table1[[#This Row],[Out-Tok]]*Table1[[#This Row],[ITL]]</f>
        <v>7.8002038133500617</v>
      </c>
      <c r="AU59" s="34">
        <f>Table1[[#This Row],[E2E]]/Table1[[#This Row],[estE2E]]</f>
        <v>0.8893941542885474</v>
      </c>
      <c r="AV59" s="22">
        <f>Table1[[#This Row],[N]]/Table1[[#This Row],[estE2E]]</f>
        <v>2.7385030449009786</v>
      </c>
      <c r="AW59" s="22">
        <f>Table1[[#This Row],[PPS]]/Table1[[#This Row],[In-Tok]]</f>
        <v>3.344125</v>
      </c>
      <c r="AX59" s="34">
        <f>Table1[[#This Row],[RPS]]/Table1[[#This Row],[RPS(IL)]]</f>
        <v>0.8970956528239824</v>
      </c>
      <c r="AY59" s="22">
        <f>Table1[[#This Row],[GPS]]/Table1[[#This Row],[Out-Tok]]</f>
        <v>3.0482291666666668</v>
      </c>
      <c r="AZ59" s="89">
        <f>Table1[[#This Row],[RPS]]/Table1[[#This Row],[RPS(OL)]]</f>
        <v>0.98417797218330316</v>
      </c>
      <c r="BA59" s="135">
        <f>MaxTok/Table1[[#This Row],[tok/req]]</f>
        <v>117.54917030077434</v>
      </c>
      <c r="BB59" s="4">
        <f>Table1[[#This Row],[N]]/Table1[[#This Row],[N-max]]</f>
        <v>0.18171869558118572</v>
      </c>
      <c r="BC59" s="44">
        <f>Table1[[#This Row],[RPS]]</f>
        <v>3</v>
      </c>
      <c r="BD59" s="47">
        <f>Table1[[#This Row],[PPS]]/Table1[[#This Row],[RPS success]]</f>
        <v>3344.125</v>
      </c>
      <c r="BE59" s="4">
        <f>ABS(Table1[[#This Row],[est-In-Tok3]]-Table1[[#This Row],[In-Tok]])/Table1[[#This Row],[In-Tok]]</f>
        <v>0.11470833333333333</v>
      </c>
      <c r="BF59" s="47">
        <f>Table1[[#This Row],[GPS]]/Table1[[#This Row],[RPS success]]</f>
        <v>609.64583333333337</v>
      </c>
      <c r="BG59" s="4">
        <f>ABS(Table1[[#This Row],[est-Out-Tok3]]-Table1[[#This Row],[Out-Tok]])/Table1[[#This Row],[Out-Tok]]</f>
        <v>1.6076388888888953E-2</v>
      </c>
      <c r="BH59" s="162">
        <f>Table1[[#This Row],[est-In-Tok3]]+AvgOutLoad*Table1[[#This Row],[est-Out-Tok3]]</f>
        <v>3648.9479166666665</v>
      </c>
      <c r="BI59" s="4">
        <f>ABS(Table1[[#This Row],[est-Tok/Req3]]-Table1[[#This Row],[tok/req]])/Table1[[#This Row],[tok/req]]</f>
        <v>0.10574179292929288</v>
      </c>
      <c r="BJ59" s="162">
        <f>MaxTok/Table1[[#This Row],[est-Tok/Req3]]</f>
        <v>106.3079744769049</v>
      </c>
      <c r="BK59" s="4">
        <f>ABS(Table1[[#This Row],[est-N-max3]]-Table1[[#This Row],[N-max]])/Table1[[#This Row],[N-max]]</f>
        <v>9.56297334562759E-2</v>
      </c>
      <c r="BL59" s="44">
        <f>MaxTok*Table1[[#This Row],[Kvcache]]/Table1[[#This Row],[Run]]</f>
        <v>3299.6112671743649</v>
      </c>
      <c r="BM59" s="170">
        <f>ABS(Table1[[#This Row],[est-Tok/Req]]-Table1[[#This Row],[tok/req]])/Table1[[#This Row],[tok/req]]</f>
        <v>1.1779782595002678E-4</v>
      </c>
      <c r="BN59" s="44">
        <f>MaxTok/Table1[[#This Row],[est-Tok/Req]]</f>
        <v>117.56301896882098</v>
      </c>
      <c r="BO59" s="180">
        <f>Table1[[#This Row],[Run]]/Table1[[#This Row],[Kvcache]]</f>
        <v>117.56301896882098</v>
      </c>
      <c r="BP59" s="135" cm="1">
        <f t="array" aca="1" ref="BP59" ca="1">_xlfn.CEILING.MATH(INDIRECT("Table1"&amp;BP$3)/BP$2)*BP$2</f>
        <v>4000</v>
      </c>
      <c r="BQ59" s="187" cm="1">
        <f t="array" aca="1" ref="BQ59" ca="1">_xlfn.CEILING.MATH(INDIRECT("Table1"&amp;BQ$3)/BQ$2)*BQ$2</f>
        <v>1.4999999999999999E-2</v>
      </c>
      <c r="BR59" s="4" cm="1">
        <f t="array" aca="1" ref="BR59" ca="1">_xlfn.CEILING.MATH(INDIRECT("Table1"&amp;BR$3)/BR$2)*BR$2</f>
        <v>0.2</v>
      </c>
      <c r="BS59" s="4" cm="1">
        <f t="array" aca="1" ref="BS59" ca="1">_xlfn.CEILING.MATH(INDIRECT("Table1"&amp;BS$3)/BS$2)*BS$2</f>
        <v>0.16</v>
      </c>
      <c r="BT59" s="3" cm="1">
        <f t="array" aca="1" ref="BT59" ca="1">_xlfn.CEILING.MATH(INDIRECT("Table1"&amp;BT$3)/BT$2)*BT$2</f>
        <v>19</v>
      </c>
      <c r="BU59" s="135" cm="1">
        <f t="array" aca="1" ref="BU59" ca="1">_xlfn.CEILING.MATH(INDIRECT("Table1"&amp;BU$3)/BU$2)*BU$2</f>
        <v>5</v>
      </c>
      <c r="BV59" s="135" cm="1">
        <f t="array" aca="1" ref="BV59" ca="1">_xlfn.CEILING.MATH(INDIRECT("Table1"&amp;BV$3)/BV$2)*BV$2</f>
        <v>3000</v>
      </c>
      <c r="BW59" s="4"/>
      <c r="BX59" s="4"/>
      <c r="BY59" s="190">
        <v>0.21408068269976727</v>
      </c>
      <c r="BZ59" s="4"/>
      <c r="CA59" s="12">
        <f>(Table1[[#This Row],[In-Tok]]+Table1[[#This Row],[Out-Tok]])*Table1[[#This Row],[RPS]]</f>
        <v>10800</v>
      </c>
      <c r="CB59" s="3">
        <f t="shared" si="17"/>
        <v>385368.72621851781</v>
      </c>
      <c r="CC59" s="3">
        <f>Table1[[#This Row],[Supply]]/(Table1[[#This Row],[Prefill]]+Table1[[#This Row],[Out-Tok]]*Table1[[#This Row],[ITL]])</f>
        <v>55065.359315370071</v>
      </c>
      <c r="CD59" s="3">
        <f>Table1[[#This Row],[MaxRun]]/Table1[[#This Row],[ITL]]</f>
        <v>2172.9342277692003</v>
      </c>
      <c r="CE59" s="3">
        <f>Table1[[#This Row],[Out-Tok]]*Table1[[#This Row],[RPS]]</f>
        <v>1800</v>
      </c>
      <c r="CF59" s="5">
        <f>Table1[[#This Row],[Supply]]/Table1[[#This Row],[Demand-T]]</f>
        <v>35.682289464677574</v>
      </c>
      <c r="CH59" s="8">
        <f>Table1[[#This Row],[Prefill]]+Table1[[#This Row],[Out-Tok]]*Table1[[#This Row],[ITL]]</f>
        <v>6.9983875708761989</v>
      </c>
      <c r="CI59" s="8">
        <f>Table1[[#This Row],[GPS]]*Table1[[#This Row],[ITL]]</f>
        <v>21.042255635570275</v>
      </c>
      <c r="CJ59" s="14">
        <f>Table1[[#This Row],[PPS]]*Table1[[#This Row],[Prefill]]/Table1[[#This Row],[In-Tok]]</f>
        <v>0.31862625813709317</v>
      </c>
      <c r="CK59" s="8">
        <f t="shared" si="12"/>
        <v>21.360881893707369</v>
      </c>
      <c r="CL59" s="8">
        <f>Table1[[#This Row],[PPS]]/Table1[[#This Row],[In-Tok]]</f>
        <v>3.344125</v>
      </c>
      <c r="CM59" s="8">
        <f>Table1[[#This Row],[GPS]]/Table1[[#This Row],[Out-Tok]]</f>
        <v>3.0482291666666668</v>
      </c>
      <c r="CN59" s="8">
        <f>Table1[[#This Row],[Run]]/Table1[[#This Row],[E2E]]</f>
        <v>2.6030902939640153</v>
      </c>
      <c r="CO59" s="8">
        <f>Table1[[#This Row],[N2]]/Table1[[#This Row],[E2E]]</f>
        <v>3.0790657119751228</v>
      </c>
      <c r="CP59" s="8"/>
      <c r="CQ59" s="8">
        <f>Table1[[#This Row],[In-Tok]]+AvgOutLoad*Table1[[#This Row],[Out-Tok]]</f>
        <v>3300</v>
      </c>
      <c r="CR59" s="8">
        <f t="shared" si="13"/>
        <v>200959.16095116953</v>
      </c>
      <c r="CS59" s="8" t="e">
        <f t="shared" si="14"/>
        <v>#DIV/0!</v>
      </c>
      <c r="CT59" s="8" t="e">
        <f t="shared" si="18"/>
        <v>#DIV/0!</v>
      </c>
      <c r="CU59" s="8">
        <f t="shared" si="15"/>
        <v>0</v>
      </c>
      <c r="CV59" s="8" t="e">
        <f t="shared" si="16"/>
        <v>#DIV/0!</v>
      </c>
      <c r="CW59" s="8">
        <f>Table1[[#This Row],[N(maxT)]]/Table1[[#This Row],[e2e sat]]</f>
        <v>0</v>
      </c>
      <c r="CX59" s="8" t="e">
        <f>Table1[[#This Row],[RPS]]/CW59</f>
        <v>#DIV/0!</v>
      </c>
      <c r="CY59" s="8" t="e">
        <f>Table1[[#This Row],[Kvcache]]/$T$4</f>
        <v>#DIV/0!</v>
      </c>
      <c r="GJ59"/>
    </row>
    <row r="60" spans="1:192" hidden="1" x14ac:dyDescent="0.25">
      <c r="A60" s="3">
        <v>3000</v>
      </c>
      <c r="B60" s="3">
        <v>700</v>
      </c>
      <c r="C60">
        <v>3</v>
      </c>
      <c r="D60" s="199">
        <f>Table1[[#This Row],[Kvcache]]</f>
        <v>0.166508465294574</v>
      </c>
      <c r="E60" s="208" t="s">
        <v>139</v>
      </c>
      <c r="F60" s="219">
        <v>46092</v>
      </c>
      <c r="G60" s="10"/>
      <c r="H60" s="10">
        <v>0.1082284531207207</v>
      </c>
      <c r="I60" s="10">
        <v>9.4523633663128437E-2</v>
      </c>
      <c r="J60" s="10">
        <v>0.67194647343241909</v>
      </c>
      <c r="K60" s="10">
        <v>0.86422576904296844</v>
      </c>
      <c r="L60" s="10">
        <v>0.91744881629943853</v>
      </c>
      <c r="M60" s="10">
        <v>1.1636336481284381E-2</v>
      </c>
      <c r="N60" s="10">
        <v>8.143381536004588</v>
      </c>
      <c r="O60" s="47">
        <v>9234.4812500000007</v>
      </c>
      <c r="P60" s="47">
        <v>1943.9875</v>
      </c>
      <c r="Q60" s="5">
        <v>19.323529411764707</v>
      </c>
      <c r="R60" s="5">
        <v>30</v>
      </c>
      <c r="S60" s="170">
        <v>0.166508465294574</v>
      </c>
      <c r="T60" s="170">
        <v>0.25791311093871216</v>
      </c>
      <c r="U60" s="26">
        <f>(Table1[[#This Row],[In-Tok]]+Table1[[#This Row],[Out-Tok]])*Table1[[#This Row],[RPS]]</f>
        <v>11100</v>
      </c>
      <c r="V60" s="54">
        <f>Table1[[#This Row],[In-Tok]]+AvgOutLoad*Table1[[#This Row],[Out-Tok]]</f>
        <v>3350</v>
      </c>
      <c r="W60" s="20">
        <f>Table1[[#This Row],[In-Tok]]*Table1[[#This Row],[RPS]]</f>
        <v>9000</v>
      </c>
      <c r="X60" s="35">
        <f>Table1[[#This Row],[Out-Tok]]*Table1[[#This Row],[RPS]]</f>
        <v>2100</v>
      </c>
      <c r="Y60" s="75">
        <f>Table1[[#This Row],[In-Tok]]/Table1[[#This Row],[Out-Tok]]</f>
        <v>4.2857142857142856</v>
      </c>
      <c r="Z60" s="26">
        <f>Table1[[#This Row],[In-Tok]]*Table1[[#This Row],[N]]+AvgOutLoad*Table1[[#This Row],[Out-Tok]]*Table1[[#This Row],[Ndecode]]</f>
        <v>76652.867151870276</v>
      </c>
      <c r="AA60" s="20">
        <f>Table1[[#This Row],[tok(N)]]/Table1[[#This Row],[Kvcache]]</f>
        <v>460354.17488391302</v>
      </c>
      <c r="AB60" s="20">
        <f>Table1[[#This Row],[tok/req]]*Table1[[#This Row],[Run]]</f>
        <v>64733.823529411769</v>
      </c>
      <c r="AC60" s="20">
        <f>Table1[[#This Row],[tok(Run)]]/Table1[[#This Row],[Kvcache]]</f>
        <v>388771.9667278757</v>
      </c>
      <c r="AD60" s="20">
        <f>Table1[[#This Row],[tok/req]]*Table1[[#This Row],[MaxRun]]</f>
        <v>100500</v>
      </c>
      <c r="AE60" s="20">
        <f>Table1[[#This Row],[tok(MaxRun)]]/Table1[[#This Row],[MaxKvcache]]</f>
        <v>389666.11520529405</v>
      </c>
      <c r="AF60" s="75">
        <f>Table1[[#This Row],[PPS]]*Table1[[#This Row],[Prefill]]/Table1[[#This Row],[In-Tok]]</f>
        <v>0.29095890758134285</v>
      </c>
      <c r="AG60" s="22">
        <f>Table1[[#This Row],[GPS]]*Table1[[#This Row],[ITL]]</f>
        <v>22.620892665410821</v>
      </c>
      <c r="AH60" s="22">
        <f>Table1[[#This Row],[Nprefill]]+Table1[[#This Row],[Ndecode]]</f>
        <v>22.911851572992163</v>
      </c>
      <c r="AI60" s="34">
        <f>Table1[[#This Row],[Run]]/Table1[[#This Row],[ITL]]/Table1[[#This Row],[GPS]]</f>
        <v>0.85423372532561237</v>
      </c>
      <c r="AJ60" s="64">
        <f>Table1[[#This Row],[Prefill]]+Table1[[#This Row],[ITL]]</f>
        <v>0.10615997014441282</v>
      </c>
      <c r="AK60" s="34">
        <f>Table1[[#This Row],[TTFT]]/Table1[[#This Row],[estTTFT]]</f>
        <v>1.019484585135942</v>
      </c>
      <c r="AL60" s="22">
        <f>Table1[[#This Row],[In-Tok]]*Table1[[#This Row],[RPS]]/Table1[[#This Row],[PPS]]</f>
        <v>0.97460807557544171</v>
      </c>
      <c r="AM60" s="34">
        <f>Table1[[#This Row],[Prefill]]/Table1[[#This Row],[estPrefill]]</f>
        <v>9.6986302527114265E-2</v>
      </c>
      <c r="AN60" s="34">
        <f>Table1[[#This Row],[Prefill]]/Table1[[#This Row],[TTFT]]</f>
        <v>0.87337138190171149</v>
      </c>
      <c r="AO60" s="64">
        <f>Table1[[#This Row],[Run]]/(Table1[[#This Row],[Out-Tok]]*Table1[[#This Row],[RPS]])</f>
        <v>9.2016806722689075E-3</v>
      </c>
      <c r="AP60" s="34">
        <f>Table1[[#This Row],[ITL]]/Table1[[#This Row],[estITL]]</f>
        <v>1.2645881655459739</v>
      </c>
      <c r="AQ60" s="69">
        <f>Table1[[#This Row],[E2E]]-Table1[[#This Row],[TTFT]]+Table1[[#This Row],[ITL]]</f>
        <v>8.0467894193651528</v>
      </c>
      <c r="AR60" s="34">
        <f>Table1[[#This Row],[estDecode]]/Table1[[#This Row],[Run]]</f>
        <v>0.41642441439637012</v>
      </c>
      <c r="AS60" s="69">
        <f>Table1[[#This Row],[Prefill]]+Table1[[#This Row],[Out-Tok]]*Table1[[#This Row],[ITL]]</f>
        <v>8.2399591705621944</v>
      </c>
      <c r="AT60" s="22">
        <f>Table1[[#This Row],[estPrefill]]+Table1[[#This Row],[Out-Tok]]*Table1[[#This Row],[ITL]]</f>
        <v>9.1200436124745075</v>
      </c>
      <c r="AU60" s="34">
        <f>Table1[[#This Row],[E2E]]/Table1[[#This Row],[estE2E]]</f>
        <v>0.89291037214624402</v>
      </c>
      <c r="AV60" s="22">
        <f>Table1[[#This Row],[N]]/Table1[[#This Row],[estE2E]]</f>
        <v>2.5122524130973507</v>
      </c>
      <c r="AW60" s="22">
        <f>Table1[[#This Row],[PPS]]/Table1[[#This Row],[In-Tok]]</f>
        <v>3.078160416666667</v>
      </c>
      <c r="AX60" s="34">
        <f>Table1[[#This Row],[RPS]]/Table1[[#This Row],[RPS(IL)]]</f>
        <v>0.97460807557544171</v>
      </c>
      <c r="AY60" s="22">
        <f>Table1[[#This Row],[GPS]]/Table1[[#This Row],[Out-Tok]]</f>
        <v>2.7771249999999998</v>
      </c>
      <c r="AZ60" s="89">
        <f>Table1[[#This Row],[RPS]]/Table1[[#This Row],[RPS(OL)]]</f>
        <v>1.0802538596570195</v>
      </c>
      <c r="BA60" s="135">
        <f>MaxTok/Table1[[#This Row],[tok/req]]</f>
        <v>115.79470507240457</v>
      </c>
      <c r="BB60" s="4">
        <f>Table1[[#This Row],[N]]/Table1[[#This Row],[N-max]]</f>
        <v>0.19786614214065962</v>
      </c>
      <c r="BC60" s="44">
        <f>Table1[[#This Row],[RPS]]</f>
        <v>3</v>
      </c>
      <c r="BD60" s="47">
        <f>Table1[[#This Row],[PPS]]/Table1[[#This Row],[RPS success]]</f>
        <v>3078.1604166666671</v>
      </c>
      <c r="BE60" s="4">
        <f>ABS(Table1[[#This Row],[est-In-Tok3]]-Table1[[#This Row],[In-Tok]])/Table1[[#This Row],[In-Tok]]</f>
        <v>2.6053472222222353E-2</v>
      </c>
      <c r="BF60" s="47">
        <f>Table1[[#This Row],[GPS]]/Table1[[#This Row],[RPS success]]</f>
        <v>647.99583333333328</v>
      </c>
      <c r="BG60" s="4">
        <f>ABS(Table1[[#This Row],[est-Out-Tok3]]-Table1[[#This Row],[Out-Tok]])/Table1[[#This Row],[Out-Tok]]</f>
        <v>7.4291666666666742E-2</v>
      </c>
      <c r="BH60" s="162">
        <f>Table1[[#This Row],[est-In-Tok3]]+AvgOutLoad*Table1[[#This Row],[est-Out-Tok3]]</f>
        <v>3402.1583333333338</v>
      </c>
      <c r="BI60" s="4">
        <f>ABS(Table1[[#This Row],[est-Tok/Req3]]-Table1[[#This Row],[tok/req]])/Table1[[#This Row],[tok/req]]</f>
        <v>1.5569651741293659E-2</v>
      </c>
      <c r="BJ60" s="162">
        <f>MaxTok/Table1[[#This Row],[est-Tok/Req3]]</f>
        <v>114.01946176105518</v>
      </c>
      <c r="BK60" s="4">
        <f>ABS(Table1[[#This Row],[est-N-max3]]-Table1[[#This Row],[N-max]])/Table1[[#This Row],[N-max]]</f>
        <v>1.5330954124710227E-2</v>
      </c>
      <c r="BL60" s="44">
        <f>MaxTok*Table1[[#This Row],[Kvcache]]/Table1[[#This Row],[Run]]</f>
        <v>3342.5920305222539</v>
      </c>
      <c r="BM60" s="170">
        <f>ABS(Table1[[#This Row],[est-Tok/Req]]-Table1[[#This Row],[tok/req]])/Table1[[#This Row],[tok/req]]</f>
        <v>2.2113341724615118E-3</v>
      </c>
      <c r="BN60" s="44">
        <f>MaxTok/Table1[[#This Row],[est-Tok/Req]]</f>
        <v>116.05133335160468</v>
      </c>
      <c r="BO60" s="180">
        <f>Table1[[#This Row],[Run]]/Table1[[#This Row],[Kvcache]]</f>
        <v>116.05133335160468</v>
      </c>
      <c r="BP60" s="135" cm="1">
        <f t="array" aca="1" ref="BP60" ca="1">_xlfn.CEILING.MATH(INDIRECT("Table1"&amp;BP$3)/BP$2)*BP$2</f>
        <v>4000</v>
      </c>
      <c r="BQ60" s="187" cm="1">
        <f t="array" aca="1" ref="BQ60" ca="1">_xlfn.CEILING.MATH(INDIRECT("Table1"&amp;BQ$3)/BQ$2)*BQ$2</f>
        <v>1.4999999999999999E-2</v>
      </c>
      <c r="BR60" s="4" cm="1">
        <f t="array" aca="1" ref="BR60" ca="1">_xlfn.CEILING.MATH(INDIRECT("Table1"&amp;BR$3)/BR$2)*BR$2</f>
        <v>0.2</v>
      </c>
      <c r="BS60" s="4" cm="1">
        <f t="array" aca="1" ref="BS60" ca="1">_xlfn.CEILING.MATH(INDIRECT("Table1"&amp;BS$3)/BS$2)*BS$2</f>
        <v>0.17</v>
      </c>
      <c r="BT60" s="3" cm="1">
        <f t="array" aca="1" ref="BT60" ca="1">_xlfn.CEILING.MATH(INDIRECT("Table1"&amp;BT$3)/BT$2)*BT$2</f>
        <v>20</v>
      </c>
      <c r="BU60" s="135" cm="1">
        <f t="array" aca="1" ref="BU60" ca="1">_xlfn.CEILING.MATH(INDIRECT("Table1"&amp;BU$3)/BU$2)*BU$2</f>
        <v>5</v>
      </c>
      <c r="BV60" s="135" cm="1">
        <f t="array" aca="1" ref="BV60" ca="1">_xlfn.CEILING.MATH(INDIRECT("Table1"&amp;BV$3)/BV$2)*BV$2</f>
        <v>3000</v>
      </c>
      <c r="BW60" s="4"/>
      <c r="BX60" s="4"/>
      <c r="BY60" s="190">
        <v>0.25791311093871216</v>
      </c>
      <c r="BZ60" s="4"/>
      <c r="CA60" s="12">
        <f>(Table1[[#This Row],[In-Tok]]+Table1[[#This Row],[Out-Tok]])*Table1[[#This Row],[RPS]]</f>
        <v>11100</v>
      </c>
      <c r="CB60" s="3">
        <f t="shared" si="17"/>
        <v>389666.11520529405</v>
      </c>
      <c r="CC60" s="3">
        <f>Table1[[#This Row],[Supply]]/(Table1[[#This Row],[Prefill]]+Table1[[#This Row],[Out-Tok]]*Table1[[#This Row],[ITL]])</f>
        <v>47289.811410401438</v>
      </c>
      <c r="CD60" s="3">
        <f>Table1[[#This Row],[MaxRun]]/Table1[[#This Row],[ITL]]</f>
        <v>2578.1310164286947</v>
      </c>
      <c r="CE60" s="3">
        <f>Table1[[#This Row],[Out-Tok]]*Table1[[#This Row],[RPS]]</f>
        <v>2100</v>
      </c>
      <c r="CF60" s="5">
        <f>Table1[[#This Row],[Supply]]/Table1[[#This Row],[Demand-T]]</f>
        <v>35.105055423900367</v>
      </c>
      <c r="CH60" s="8">
        <f>Table1[[#This Row],[Prefill]]+Table1[[#This Row],[Out-Tok]]*Table1[[#This Row],[ITL]]</f>
        <v>8.2399591705621944</v>
      </c>
      <c r="CI60" s="8">
        <f>Table1[[#This Row],[GPS]]*Table1[[#This Row],[ITL]]</f>
        <v>22.620892665410821</v>
      </c>
      <c r="CJ60" s="14">
        <f>Table1[[#This Row],[PPS]]*Table1[[#This Row],[Prefill]]/Table1[[#This Row],[In-Tok]]</f>
        <v>0.29095890758134285</v>
      </c>
      <c r="CK60" s="8">
        <f t="shared" si="12"/>
        <v>22.911851572992163</v>
      </c>
      <c r="CL60" s="8">
        <f>Table1[[#This Row],[PPS]]/Table1[[#This Row],[In-Tok]]</f>
        <v>3.078160416666667</v>
      </c>
      <c r="CM60" s="8">
        <f>Table1[[#This Row],[GPS]]/Table1[[#This Row],[Out-Tok]]</f>
        <v>2.7771249999999998</v>
      </c>
      <c r="CN60" s="8">
        <f>Table1[[#This Row],[Run]]/Table1[[#This Row],[E2E]]</f>
        <v>2.3729122019309767</v>
      </c>
      <c r="CO60" s="8">
        <f>Table1[[#This Row],[N2]]/Table1[[#This Row],[E2E]]</f>
        <v>2.8135549675145732</v>
      </c>
      <c r="CP60" s="8"/>
      <c r="CQ60" s="8">
        <f>Table1[[#This Row],[In-Tok]]+AvgOutLoad*Table1[[#This Row],[Out-Tok]]</f>
        <v>3350</v>
      </c>
      <c r="CR60" s="8">
        <f t="shared" si="13"/>
        <v>246025.50261624219</v>
      </c>
      <c r="CS60" s="8" t="e">
        <f t="shared" si="14"/>
        <v>#DIV/0!</v>
      </c>
      <c r="CT60" s="8" t="e">
        <f t="shared" si="18"/>
        <v>#DIV/0!</v>
      </c>
      <c r="CU60" s="8">
        <f t="shared" si="15"/>
        <v>0</v>
      </c>
      <c r="CV60" s="8" t="e">
        <f t="shared" si="16"/>
        <v>#DIV/0!</v>
      </c>
      <c r="CW60" s="8">
        <f>Table1[[#This Row],[N(maxT)]]/Table1[[#This Row],[e2e sat]]</f>
        <v>0</v>
      </c>
      <c r="CX60" s="8" t="e">
        <f>Table1[[#This Row],[RPS]]/CW60</f>
        <v>#DIV/0!</v>
      </c>
      <c r="CY60" s="8" t="e">
        <f>Table1[[#This Row],[Kvcache]]/$T$4</f>
        <v>#DIV/0!</v>
      </c>
      <c r="GJ60"/>
    </row>
    <row r="61" spans="1:192" hidden="1" x14ac:dyDescent="0.25">
      <c r="A61" s="3">
        <v>3000</v>
      </c>
      <c r="B61" s="3">
        <v>800</v>
      </c>
      <c r="C61">
        <v>3</v>
      </c>
      <c r="D61" s="199">
        <f>Table1[[#This Row],[Kvcache]]</f>
        <v>0.24204809930178434</v>
      </c>
      <c r="E61" s="208" t="s">
        <v>139</v>
      </c>
      <c r="F61" s="219">
        <v>46092</v>
      </c>
      <c r="G61" s="10"/>
      <c r="H61" s="10">
        <v>0.11407151165182131</v>
      </c>
      <c r="I61" s="10">
        <v>9.8829320237326823E-2</v>
      </c>
      <c r="J61" s="10">
        <v>0.68990817227784329</v>
      </c>
      <c r="K61" s="10">
        <v>0.86647276282310481</v>
      </c>
      <c r="L61" s="10">
        <v>1.0170542025566098</v>
      </c>
      <c r="M61" s="10">
        <v>1.3493247325563274E-2</v>
      </c>
      <c r="N61" s="10">
        <v>10.79955562404407</v>
      </c>
      <c r="O61" s="47">
        <v>9705.38823529412</v>
      </c>
      <c r="P61" s="47">
        <v>2421.5235294117647</v>
      </c>
      <c r="Q61" s="5">
        <v>27.694444444444443</v>
      </c>
      <c r="R61" s="5">
        <v>42</v>
      </c>
      <c r="S61" s="170">
        <v>0.24204809930178434</v>
      </c>
      <c r="T61" s="170">
        <v>0.36788207913110937</v>
      </c>
      <c r="U61" s="26">
        <f>(Table1[[#This Row],[In-Tok]]+Table1[[#This Row],[Out-Tok]])*Table1[[#This Row],[RPS]]</f>
        <v>11400</v>
      </c>
      <c r="V61" s="54">
        <f>Table1[[#This Row],[In-Tok]]+AvgOutLoad*Table1[[#This Row],[Out-Tok]]</f>
        <v>3400</v>
      </c>
      <c r="W61" s="20">
        <f>Table1[[#This Row],[In-Tok]]*Table1[[#This Row],[RPS]]</f>
        <v>9000</v>
      </c>
      <c r="X61" s="35">
        <f>Table1[[#This Row],[Out-Tok]]*Table1[[#This Row],[RPS]]</f>
        <v>2400</v>
      </c>
      <c r="Y61" s="75">
        <f>Table1[[#This Row],[In-Tok]]/Table1[[#This Row],[Out-Tok]]</f>
        <v>3.75</v>
      </c>
      <c r="Z61" s="26">
        <f>Table1[[#This Row],[In-Tok]]*Table1[[#This Row],[N]]+AvgOutLoad*Table1[[#This Row],[Out-Tok]]*Table1[[#This Row],[Ndecode]]</f>
        <v>112051.51093781451</v>
      </c>
      <c r="AA61" s="20">
        <f>Table1[[#This Row],[tok(N)]]/Table1[[#This Row],[Kvcache]]</f>
        <v>462930.76153475291</v>
      </c>
      <c r="AB61" s="20">
        <f>Table1[[#This Row],[tok/req]]*Table1[[#This Row],[Run]]</f>
        <v>94161.111111111109</v>
      </c>
      <c r="AC61" s="20">
        <f>Table1[[#This Row],[tok(Run)]]/Table1[[#This Row],[Kvcache]]</f>
        <v>389018.18019943021</v>
      </c>
      <c r="AD61" s="20">
        <f>Table1[[#This Row],[tok/req]]*Table1[[#This Row],[MaxRun]]</f>
        <v>142800</v>
      </c>
      <c r="AE61" s="20">
        <f>Table1[[#This Row],[tok(MaxRun)]]/Table1[[#This Row],[MaxKvcache]]</f>
        <v>388167.86166174611</v>
      </c>
      <c r="AF61" s="75">
        <f>Table1[[#This Row],[PPS]]*Table1[[#This Row],[Prefill]]/Table1[[#This Row],[In-Tok]]</f>
        <v>0.31972564064448894</v>
      </c>
      <c r="AG61" s="22">
        <f>Table1[[#This Row],[GPS]]*Table1[[#This Row],[ITL]]</f>
        <v>32.674215887023834</v>
      </c>
      <c r="AH61" s="22">
        <f>Table1[[#This Row],[Nprefill]]+Table1[[#This Row],[Ndecode]]</f>
        <v>32.993941527668326</v>
      </c>
      <c r="AI61" s="34">
        <f>Table1[[#This Row],[Run]]/Table1[[#This Row],[ITL]]/Table1[[#This Row],[GPS]]</f>
        <v>0.847593238050525</v>
      </c>
      <c r="AJ61" s="64">
        <f>Table1[[#This Row],[Prefill]]+Table1[[#This Row],[ITL]]</f>
        <v>0.11232256756289009</v>
      </c>
      <c r="AK61" s="34">
        <f>Table1[[#This Row],[TTFT]]/Table1[[#This Row],[estTTFT]]</f>
        <v>1.0155707274760433</v>
      </c>
      <c r="AL61" s="22">
        <f>Table1[[#This Row],[In-Tok]]*Table1[[#This Row],[RPS]]/Table1[[#This Row],[PPS]]</f>
        <v>0.92731993628766529</v>
      </c>
      <c r="AM61" s="34">
        <f>Table1[[#This Row],[Prefill]]/Table1[[#This Row],[estPrefill]]</f>
        <v>0.10657521354816299</v>
      </c>
      <c r="AN61" s="34">
        <f>Table1[[#This Row],[Prefill]]/Table1[[#This Row],[TTFT]]</f>
        <v>0.86638038548118845</v>
      </c>
      <c r="AO61" s="64">
        <f>Table1[[#This Row],[Run]]/(Table1[[#This Row],[Out-Tok]]*Table1[[#This Row],[RPS]])</f>
        <v>1.1539351851851851E-2</v>
      </c>
      <c r="AP61" s="34">
        <f>Table1[[#This Row],[ITL]]/Table1[[#This Row],[estITL]]</f>
        <v>1.1693245425563359</v>
      </c>
      <c r="AQ61" s="69">
        <f>Table1[[#This Row],[E2E]]-Table1[[#This Row],[TTFT]]+Table1[[#This Row],[ITL]]</f>
        <v>10.698977359717812</v>
      </c>
      <c r="AR61" s="34">
        <f>Table1[[#This Row],[estDecode]]/Table1[[#This Row],[Run]]</f>
        <v>0.3863221514040534</v>
      </c>
      <c r="AS61" s="69">
        <f>Table1[[#This Row],[Prefill]]+Table1[[#This Row],[Out-Tok]]*Table1[[#This Row],[ITL]]</f>
        <v>10.893427180687945</v>
      </c>
      <c r="AT61" s="22">
        <f>Table1[[#This Row],[estPrefill]]+Table1[[#This Row],[Out-Tok]]*Table1[[#This Row],[ITL]]</f>
        <v>11.721917796738284</v>
      </c>
      <c r="AU61" s="34">
        <f>Table1[[#This Row],[E2E]]/Table1[[#This Row],[estE2E]]</f>
        <v>0.92131303181883184</v>
      </c>
      <c r="AV61" s="22">
        <f>Table1[[#This Row],[N]]/Table1[[#This Row],[estE2E]]</f>
        <v>2.8147221384583632</v>
      </c>
      <c r="AW61" s="22">
        <f>Table1[[#This Row],[PPS]]/Table1[[#This Row],[In-Tok]]</f>
        <v>3.2351294117647065</v>
      </c>
      <c r="AX61" s="34">
        <f>Table1[[#This Row],[RPS]]/Table1[[#This Row],[RPS(IL)]]</f>
        <v>0.9273199362876654</v>
      </c>
      <c r="AY61" s="22">
        <f>Table1[[#This Row],[GPS]]/Table1[[#This Row],[Out-Tok]]</f>
        <v>3.0269044117647059</v>
      </c>
      <c r="AZ61" s="89">
        <f>Table1[[#This Row],[RPS]]/Table1[[#This Row],[RPS(OL)]]</f>
        <v>0.9911115753572739</v>
      </c>
      <c r="BA61" s="135">
        <f>MaxTok/Table1[[#This Row],[tok/req]]</f>
        <v>114.09184176251627</v>
      </c>
      <c r="BB61" s="4">
        <f>Table1[[#This Row],[N]]/Table1[[#This Row],[N-max]]</f>
        <v>0.28918756168688792</v>
      </c>
      <c r="BC61" s="44">
        <f>Table1[[#This Row],[RPS]]</f>
        <v>3</v>
      </c>
      <c r="BD61" s="47">
        <f>Table1[[#This Row],[PPS]]/Table1[[#This Row],[RPS success]]</f>
        <v>3235.1294117647067</v>
      </c>
      <c r="BE61" s="4">
        <f>ABS(Table1[[#This Row],[est-In-Tok3]]-Table1[[#This Row],[In-Tok]])/Table1[[#This Row],[In-Tok]]</f>
        <v>7.8376470588235561E-2</v>
      </c>
      <c r="BF61" s="47">
        <f>Table1[[#This Row],[GPS]]/Table1[[#This Row],[RPS success]]</f>
        <v>807.17450980392152</v>
      </c>
      <c r="BG61" s="4">
        <f>ABS(Table1[[#This Row],[est-Out-Tok3]]-Table1[[#This Row],[Out-Tok]])/Table1[[#This Row],[Out-Tok]]</f>
        <v>8.9681372549019044E-3</v>
      </c>
      <c r="BH61" s="162">
        <f>Table1[[#This Row],[est-In-Tok3]]+AvgOutLoad*Table1[[#This Row],[est-Out-Tok3]]</f>
        <v>3638.7166666666676</v>
      </c>
      <c r="BI61" s="4">
        <f>ABS(Table1[[#This Row],[est-Tok/Req3]]-Table1[[#This Row],[tok/req]])/Table1[[#This Row],[tok/req]]</f>
        <v>7.0210784313725766E-2</v>
      </c>
      <c r="BJ61" s="162">
        <f>MaxTok/Table1[[#This Row],[est-Tok/Req3]]</f>
        <v>106.60688850718115</v>
      </c>
      <c r="BK61" s="4">
        <f>ABS(Table1[[#This Row],[est-N-max3]]-Table1[[#This Row],[N-max]])/Table1[[#This Row],[N-max]]</f>
        <v>6.5604631669590768E-2</v>
      </c>
      <c r="BL61" s="44">
        <f>MaxTok*Table1[[#This Row],[Kvcache]]/Table1[[#This Row],[Run]]</f>
        <v>3390.3343285872988</v>
      </c>
      <c r="BM61" s="170">
        <f>ABS(Table1[[#This Row],[est-Tok/Req]]-Table1[[#This Row],[tok/req]])/Table1[[#This Row],[tok/req]]</f>
        <v>2.8428445331473997E-3</v>
      </c>
      <c r="BN61" s="44">
        <f>MaxTok/Table1[[#This Row],[est-Tok/Req]]</f>
        <v>114.41711182336182</v>
      </c>
      <c r="BO61" s="180">
        <f>Table1[[#This Row],[Run]]/Table1[[#This Row],[Kvcache]]</f>
        <v>114.41711182336181</v>
      </c>
      <c r="BP61" s="135" cm="1">
        <f t="array" aca="1" ref="BP61" ca="1">_xlfn.CEILING.MATH(INDIRECT("Table1"&amp;BP$3)/BP$2)*BP$2</f>
        <v>4000</v>
      </c>
      <c r="BQ61" s="187" cm="1">
        <f t="array" aca="1" ref="BQ61" ca="1">_xlfn.CEILING.MATH(INDIRECT("Table1"&amp;BQ$3)/BQ$2)*BQ$2</f>
        <v>1.4999999999999999E-2</v>
      </c>
      <c r="BR61" s="4" cm="1">
        <f t="array" aca="1" ref="BR61" ca="1">_xlfn.CEILING.MATH(INDIRECT("Table1"&amp;BR$3)/BR$2)*BR$2</f>
        <v>0.30000000000000004</v>
      </c>
      <c r="BS61" s="4" cm="1">
        <f t="array" aca="1" ref="BS61" ca="1">_xlfn.CEILING.MATH(INDIRECT("Table1"&amp;BS$3)/BS$2)*BS$2</f>
        <v>0.25</v>
      </c>
      <c r="BT61" s="3" cm="1">
        <f t="array" aca="1" ref="BT61" ca="1">_xlfn.CEILING.MATH(INDIRECT("Table1"&amp;BT$3)/BT$2)*BT$2</f>
        <v>28</v>
      </c>
      <c r="BU61" s="135" cm="1">
        <f t="array" aca="1" ref="BU61" ca="1">_xlfn.CEILING.MATH(INDIRECT("Table1"&amp;BU$3)/BU$2)*BU$2</f>
        <v>5</v>
      </c>
      <c r="BV61" s="135" cm="1">
        <f t="array" aca="1" ref="BV61" ca="1">_xlfn.CEILING.MATH(INDIRECT("Table1"&amp;BV$3)/BV$2)*BV$2</f>
        <v>3000</v>
      </c>
      <c r="BW61" s="4"/>
      <c r="BX61" s="4"/>
      <c r="BY61" s="190">
        <v>0.36788207913110937</v>
      </c>
      <c r="BZ61" s="4"/>
      <c r="CA61" s="12">
        <f>(Table1[[#This Row],[In-Tok]]+Table1[[#This Row],[Out-Tok]])*Table1[[#This Row],[RPS]]</f>
        <v>11400</v>
      </c>
      <c r="CB61" s="3">
        <f t="shared" si="17"/>
        <v>388167.86166174611</v>
      </c>
      <c r="CC61" s="3">
        <f>Table1[[#This Row],[Supply]]/(Table1[[#This Row],[Prefill]]+Table1[[#This Row],[Out-Tok]]*Table1[[#This Row],[ITL]])</f>
        <v>35633.217647968195</v>
      </c>
      <c r="CD61" s="3">
        <f>Table1[[#This Row],[MaxRun]]/Table1[[#This Row],[ITL]]</f>
        <v>3112.6680617815409</v>
      </c>
      <c r="CE61" s="3">
        <f>Table1[[#This Row],[Out-Tok]]*Table1[[#This Row],[RPS]]</f>
        <v>2400</v>
      </c>
      <c r="CF61" s="5">
        <f>Table1[[#This Row],[Supply]]/Table1[[#This Row],[Demand-T]]</f>
        <v>34.049812426468954</v>
      </c>
      <c r="CH61" s="8">
        <f>Table1[[#This Row],[Prefill]]+Table1[[#This Row],[Out-Tok]]*Table1[[#This Row],[ITL]]</f>
        <v>10.893427180687945</v>
      </c>
      <c r="CI61" s="8">
        <f>Table1[[#This Row],[GPS]]*Table1[[#This Row],[ITL]]</f>
        <v>32.674215887023834</v>
      </c>
      <c r="CJ61" s="14">
        <f>Table1[[#This Row],[PPS]]*Table1[[#This Row],[Prefill]]/Table1[[#This Row],[In-Tok]]</f>
        <v>0.31972564064448894</v>
      </c>
      <c r="CK61" s="8">
        <f t="shared" si="12"/>
        <v>32.993941527668326</v>
      </c>
      <c r="CL61" s="8">
        <f>Table1[[#This Row],[PPS]]/Table1[[#This Row],[In-Tok]]</f>
        <v>3.2351294117647065</v>
      </c>
      <c r="CM61" s="8">
        <f>Table1[[#This Row],[GPS]]/Table1[[#This Row],[Out-Tok]]</f>
        <v>3.0269044117647059</v>
      </c>
      <c r="CN61" s="8">
        <f>Table1[[#This Row],[Run]]/Table1[[#This Row],[E2E]]</f>
        <v>2.56440592636846</v>
      </c>
      <c r="CO61" s="8">
        <f>Table1[[#This Row],[N2]]/Table1[[#This Row],[E2E]]</f>
        <v>3.0551202916359634</v>
      </c>
      <c r="CP61" s="8"/>
      <c r="CQ61" s="8">
        <f>Table1[[#This Row],[In-Tok]]+AvgOutLoad*Table1[[#This Row],[Out-Tok]]</f>
        <v>3400</v>
      </c>
      <c r="CR61" s="8">
        <f t="shared" si="13"/>
        <v>310811.44522929547</v>
      </c>
      <c r="CS61" s="8" t="e">
        <f t="shared" si="14"/>
        <v>#DIV/0!</v>
      </c>
      <c r="CT61" s="8" t="e">
        <f t="shared" si="18"/>
        <v>#DIV/0!</v>
      </c>
      <c r="CU61" s="8">
        <f t="shared" si="15"/>
        <v>0</v>
      </c>
      <c r="CV61" s="8" t="e">
        <f t="shared" si="16"/>
        <v>#DIV/0!</v>
      </c>
      <c r="CW61" s="8">
        <f>Table1[[#This Row],[N(maxT)]]/Table1[[#This Row],[e2e sat]]</f>
        <v>0</v>
      </c>
      <c r="CX61" s="8" t="e">
        <f>Table1[[#This Row],[RPS]]/CW61</f>
        <v>#DIV/0!</v>
      </c>
      <c r="CY61" s="8" t="e">
        <f>Table1[[#This Row],[Kvcache]]/$T$4</f>
        <v>#DIV/0!</v>
      </c>
      <c r="GJ61"/>
    </row>
    <row r="62" spans="1:192" hidden="1" x14ac:dyDescent="0.25">
      <c r="A62" s="3">
        <v>3000</v>
      </c>
      <c r="B62" s="3">
        <v>900</v>
      </c>
      <c r="C62">
        <v>3</v>
      </c>
      <c r="D62" s="199">
        <f>Table1[[#This Row],[Kvcache]]</f>
        <v>0.37595034910783548</v>
      </c>
      <c r="E62" s="208" t="s">
        <v>139</v>
      </c>
      <c r="F62" s="219">
        <v>46092</v>
      </c>
      <c r="G62" s="10"/>
      <c r="H62" s="10">
        <v>0.14441751603154956</v>
      </c>
      <c r="I62" s="10">
        <v>0.1220509026578615</v>
      </c>
      <c r="J62" s="10">
        <v>0.91487284931049861</v>
      </c>
      <c r="K62" s="10">
        <v>1.7330931603908541</v>
      </c>
      <c r="L62" s="10">
        <v>1.9950839877128606</v>
      </c>
      <c r="M62" s="10">
        <v>1.7494420013152732E-2</v>
      </c>
      <c r="N62" s="10">
        <v>15.827367932306796</v>
      </c>
      <c r="O62" s="47">
        <v>10587.676470588234</v>
      </c>
      <c r="P62" s="47">
        <v>2964.8764705882354</v>
      </c>
      <c r="Q62" s="5">
        <v>42.527777777777771</v>
      </c>
      <c r="R62" s="5">
        <v>64</v>
      </c>
      <c r="S62" s="170">
        <v>0.37595034910783548</v>
      </c>
      <c r="T62" s="170">
        <v>0.57195500387897602</v>
      </c>
      <c r="U62" s="26">
        <f>(Table1[[#This Row],[In-Tok]]+Table1[[#This Row],[Out-Tok]])*Table1[[#This Row],[RPS]]</f>
        <v>11700</v>
      </c>
      <c r="V62" s="54">
        <f>Table1[[#This Row],[In-Tok]]+AvgOutLoad*Table1[[#This Row],[Out-Tok]]</f>
        <v>3450</v>
      </c>
      <c r="W62" s="20">
        <f>Table1[[#This Row],[In-Tok]]*Table1[[#This Row],[RPS]]</f>
        <v>9000</v>
      </c>
      <c r="X62" s="35">
        <f>Table1[[#This Row],[Out-Tok]]*Table1[[#This Row],[RPS]]</f>
        <v>2700</v>
      </c>
      <c r="Y62" s="75">
        <f>Table1[[#This Row],[In-Tok]]/Table1[[#This Row],[Out-Tok]]</f>
        <v>3.3333333333333335</v>
      </c>
      <c r="Z62" s="26">
        <f>Table1[[#This Row],[In-Tok]]*Table1[[#This Row],[N]]+AvgOutLoad*Table1[[#This Row],[Out-Tok]]*Table1[[#This Row],[Ndecode]]</f>
        <v>180239.57567965111</v>
      </c>
      <c r="AA62" s="20">
        <f>Table1[[#This Row],[tok(N)]]/Table1[[#This Row],[Kvcache]]</f>
        <v>479423.88165718183</v>
      </c>
      <c r="AB62" s="20">
        <f>Table1[[#This Row],[tok/req]]*Table1[[#This Row],[Run]]</f>
        <v>146720.83333333331</v>
      </c>
      <c r="AC62" s="20">
        <f>Table1[[#This Row],[tok(Run)]]/Table1[[#This Row],[Kvcache]]</f>
        <v>390266.51705874258</v>
      </c>
      <c r="AD62" s="20">
        <f>Table1[[#This Row],[tok/req]]*Table1[[#This Row],[MaxRun]]</f>
        <v>220800</v>
      </c>
      <c r="AE62" s="20">
        <f>Table1[[#This Row],[tok(MaxRun)]]/Table1[[#This Row],[MaxKvcache]]</f>
        <v>386044.35401831125</v>
      </c>
      <c r="AF62" s="75">
        <f>Table1[[#This Row],[PPS]]*Table1[[#This Row],[Prefill]]/Table1[[#This Row],[In-Tok]]</f>
        <v>0.43074515676156511</v>
      </c>
      <c r="AG62" s="22">
        <f>Table1[[#This Row],[GPS]]*Table1[[#This Row],[ITL]]</f>
        <v>51.868794263584462</v>
      </c>
      <c r="AH62" s="22">
        <f>Table1[[#This Row],[Nprefill]]+Table1[[#This Row],[Ndecode]]</f>
        <v>52.299539420346029</v>
      </c>
      <c r="AI62" s="34">
        <f>Table1[[#This Row],[Run]]/Table1[[#This Row],[ITL]]/Table1[[#This Row],[GPS]]</f>
        <v>0.81991066847750615</v>
      </c>
      <c r="AJ62" s="64">
        <f>Table1[[#This Row],[Prefill]]+Table1[[#This Row],[ITL]]</f>
        <v>0.13954532267101424</v>
      </c>
      <c r="AK62" s="34">
        <f>Table1[[#This Row],[TTFT]]/Table1[[#This Row],[estTTFT]]</f>
        <v>1.0349147736898483</v>
      </c>
      <c r="AL62" s="22">
        <f>Table1[[#This Row],[In-Tok]]*Table1[[#This Row],[RPS]]/Table1[[#This Row],[PPS]]</f>
        <v>0.85004486347890595</v>
      </c>
      <c r="AM62" s="34">
        <f>Table1[[#This Row],[Prefill]]/Table1[[#This Row],[estPrefill]]</f>
        <v>0.14358171892052168</v>
      </c>
      <c r="AN62" s="34">
        <f>Table1[[#This Row],[Prefill]]/Table1[[#This Row],[TTFT]]</f>
        <v>0.84512534221401625</v>
      </c>
      <c r="AO62" s="64">
        <f>Table1[[#This Row],[Run]]/(Table1[[#This Row],[Out-Tok]]*Table1[[#This Row],[RPS]])</f>
        <v>1.5751028806584359E-2</v>
      </c>
      <c r="AP62" s="34">
        <f>Table1[[#This Row],[ITL]]/Table1[[#This Row],[estITL]]</f>
        <v>1.1106842751655428</v>
      </c>
      <c r="AQ62" s="69">
        <f>Table1[[#This Row],[E2E]]-Table1[[#This Row],[TTFT]]+Table1[[#This Row],[ITL]]</f>
        <v>15.700444836288399</v>
      </c>
      <c r="AR62" s="34">
        <f>Table1[[#This Row],[estDecode]]/Table1[[#This Row],[Run]]</f>
        <v>0.36918093671220281</v>
      </c>
      <c r="AS62" s="69">
        <f>Table1[[#This Row],[Prefill]]+Table1[[#This Row],[Out-Tok]]*Table1[[#This Row],[ITL]]</f>
        <v>15.86702891449532</v>
      </c>
      <c r="AT62" s="22">
        <f>Table1[[#This Row],[estPrefill]]+Table1[[#This Row],[Out-Tok]]*Table1[[#This Row],[ITL]]</f>
        <v>16.595022875316364</v>
      </c>
      <c r="AU62" s="34">
        <f>Table1[[#This Row],[E2E]]/Table1[[#This Row],[estE2E]]</f>
        <v>0.95374185689425073</v>
      </c>
      <c r="AV62" s="22">
        <f>Table1[[#This Row],[N]]/Table1[[#This Row],[estE2E]]</f>
        <v>3.1515195738679571</v>
      </c>
      <c r="AW62" s="22">
        <f>Table1[[#This Row],[PPS]]/Table1[[#This Row],[In-Tok]]</f>
        <v>3.5292254901960782</v>
      </c>
      <c r="AX62" s="34">
        <f>Table1[[#This Row],[RPS]]/Table1[[#This Row],[RPS(IL)]]</f>
        <v>0.85004486347890584</v>
      </c>
      <c r="AY62" s="22">
        <f>Table1[[#This Row],[GPS]]/Table1[[#This Row],[Out-Tok]]</f>
        <v>3.2943071895424838</v>
      </c>
      <c r="AZ62" s="89">
        <f>Table1[[#This Row],[RPS]]/Table1[[#This Row],[RPS(OL)]]</f>
        <v>0.91066188651843438</v>
      </c>
      <c r="BA62" s="135">
        <f>MaxTok/Table1[[#This Row],[tok/req]]</f>
        <v>112.43833680943631</v>
      </c>
      <c r="BB62" s="4">
        <f>Table1[[#This Row],[N]]/Table1[[#This Row],[N-max]]</f>
        <v>0.46513974596569119</v>
      </c>
      <c r="BC62" s="44">
        <f>Table1[[#This Row],[RPS]]</f>
        <v>3</v>
      </c>
      <c r="BD62" s="47">
        <f>Table1[[#This Row],[PPS]]/Table1[[#This Row],[RPS success]]</f>
        <v>3529.2254901960782</v>
      </c>
      <c r="BE62" s="4">
        <f>ABS(Table1[[#This Row],[est-In-Tok3]]-Table1[[#This Row],[In-Tok]])/Table1[[#This Row],[In-Tok]]</f>
        <v>0.17640849673202608</v>
      </c>
      <c r="BF62" s="47">
        <f>Table1[[#This Row],[GPS]]/Table1[[#This Row],[RPS success]]</f>
        <v>988.29215686274517</v>
      </c>
      <c r="BG62" s="4">
        <f>ABS(Table1[[#This Row],[est-Out-Tok3]]-Table1[[#This Row],[Out-Tok]])/Table1[[#This Row],[Out-Tok]]</f>
        <v>9.8102396514161305E-2</v>
      </c>
      <c r="BH62" s="162">
        <f>Table1[[#This Row],[est-In-Tok3]]+AvgOutLoad*Table1[[#This Row],[est-Out-Tok3]]</f>
        <v>4023.3715686274509</v>
      </c>
      <c r="BI62" s="4">
        <f>ABS(Table1[[#This Row],[est-Tok/Req3]]-Table1[[#This Row],[tok/req]])/Table1[[#This Row],[tok/req]]</f>
        <v>0.16619465757317417</v>
      </c>
      <c r="BJ62" s="162">
        <f>MaxTok/Table1[[#This Row],[est-Tok/Req3]]</f>
        <v>96.414724659619054</v>
      </c>
      <c r="BK62" s="4">
        <f>ABS(Table1[[#This Row],[est-N-max3]]-Table1[[#This Row],[N-max]])/Table1[[#This Row],[N-max]]</f>
        <v>0.14251022030835023</v>
      </c>
      <c r="BL62" s="44">
        <f>MaxTok*Table1[[#This Row],[Kvcache]]/Table1[[#This Row],[Run]]</f>
        <v>3429.1881198531728</v>
      </c>
      <c r="BM62" s="170">
        <f>ABS(Table1[[#This Row],[est-Tok/Req]]-Table1[[#This Row],[tok/req]])/Table1[[#This Row],[tok/req]]</f>
        <v>6.0324290280658567E-3</v>
      </c>
      <c r="BN62" s="44">
        <f>MaxTok/Table1[[#This Row],[est-Tok/Req]]</f>
        <v>113.12072958224424</v>
      </c>
      <c r="BO62" s="180">
        <f>Table1[[#This Row],[Run]]/Table1[[#This Row],[Kvcache]]</f>
        <v>113.12072958224424</v>
      </c>
      <c r="BP62" s="135" cm="1">
        <f t="array" aca="1" ref="BP62" ca="1">_xlfn.CEILING.MATH(INDIRECT("Table1"&amp;BP$3)/BP$2)*BP$2</f>
        <v>4000</v>
      </c>
      <c r="BQ62" s="187" cm="1">
        <f t="array" aca="1" ref="BQ62" ca="1">_xlfn.CEILING.MATH(INDIRECT("Table1"&amp;BQ$3)/BQ$2)*BQ$2</f>
        <v>0.02</v>
      </c>
      <c r="BR62" s="4" cm="1">
        <f t="array" aca="1" ref="BR62" ca="1">_xlfn.CEILING.MATH(INDIRECT("Table1"&amp;BR$3)/BR$2)*BR$2</f>
        <v>0.4</v>
      </c>
      <c r="BS62" s="4" cm="1">
        <f t="array" aca="1" ref="BS62" ca="1">_xlfn.CEILING.MATH(INDIRECT("Table1"&amp;BS$3)/BS$2)*BS$2</f>
        <v>0.38</v>
      </c>
      <c r="BT62" s="3" cm="1">
        <f t="array" aca="1" ref="BT62" ca="1">_xlfn.CEILING.MATH(INDIRECT("Table1"&amp;BT$3)/BT$2)*BT$2</f>
        <v>43</v>
      </c>
      <c r="BU62" s="135" cm="1">
        <f t="array" aca="1" ref="BU62" ca="1">_xlfn.CEILING.MATH(INDIRECT("Table1"&amp;BU$3)/BU$2)*BU$2</f>
        <v>5</v>
      </c>
      <c r="BV62" s="135" cm="1">
        <f t="array" aca="1" ref="BV62" ca="1">_xlfn.CEILING.MATH(INDIRECT("Table1"&amp;BV$3)/BV$2)*BV$2</f>
        <v>3000</v>
      </c>
      <c r="BW62" s="4"/>
      <c r="BX62" s="4"/>
      <c r="BY62" s="190">
        <v>0.57195500387897602</v>
      </c>
      <c r="BZ62" s="4"/>
      <c r="CA62" s="12">
        <f>(Table1[[#This Row],[In-Tok]]+Table1[[#This Row],[Out-Tok]])*Table1[[#This Row],[RPS]]</f>
        <v>11700</v>
      </c>
      <c r="CB62" s="3">
        <f t="shared" si="17"/>
        <v>386044.35401831125</v>
      </c>
      <c r="CC62" s="3">
        <f>Table1[[#This Row],[Supply]]/(Table1[[#This Row],[Prefill]]+Table1[[#This Row],[Out-Tok]]*Table1[[#This Row],[ITL]])</f>
        <v>24329.971042382142</v>
      </c>
      <c r="CD62" s="3">
        <f>Table1[[#This Row],[MaxRun]]/Table1[[#This Row],[ITL]]</f>
        <v>3658.3093324547617</v>
      </c>
      <c r="CE62" s="3">
        <f>Table1[[#This Row],[Out-Tok]]*Table1[[#This Row],[RPS]]</f>
        <v>2700</v>
      </c>
      <c r="CF62" s="5">
        <f>Table1[[#This Row],[Supply]]/Table1[[#This Row],[Demand-T]]</f>
        <v>32.995243933188995</v>
      </c>
      <c r="CH62" s="8">
        <f>Table1[[#This Row],[Prefill]]+Table1[[#This Row],[Out-Tok]]*Table1[[#This Row],[ITL]]</f>
        <v>15.86702891449532</v>
      </c>
      <c r="CI62" s="8">
        <f>Table1[[#This Row],[GPS]]*Table1[[#This Row],[ITL]]</f>
        <v>51.868794263584462</v>
      </c>
      <c r="CJ62" s="14">
        <f>Table1[[#This Row],[PPS]]*Table1[[#This Row],[Prefill]]/Table1[[#This Row],[In-Tok]]</f>
        <v>0.43074515676156511</v>
      </c>
      <c r="CK62" s="8">
        <f t="shared" si="12"/>
        <v>52.299539420346029</v>
      </c>
      <c r="CL62" s="8">
        <f>Table1[[#This Row],[PPS]]/Table1[[#This Row],[In-Tok]]</f>
        <v>3.5292254901960782</v>
      </c>
      <c r="CM62" s="8">
        <f>Table1[[#This Row],[GPS]]/Table1[[#This Row],[Out-Tok]]</f>
        <v>3.2943071895424838</v>
      </c>
      <c r="CN62" s="8">
        <f>Table1[[#This Row],[Run]]/Table1[[#This Row],[E2E]]</f>
        <v>2.6869772636655616</v>
      </c>
      <c r="CO62" s="8">
        <f>Table1[[#This Row],[N2]]/Table1[[#This Row],[E2E]]</f>
        <v>3.3043737685273809</v>
      </c>
      <c r="CP62" s="8"/>
      <c r="CQ62" s="8">
        <f>Table1[[#This Row],[In-Tok]]+AvgOutLoad*Table1[[#This Row],[Out-Tok]]</f>
        <v>3450</v>
      </c>
      <c r="CR62" s="8">
        <f t="shared" si="13"/>
        <v>382514.74129196082</v>
      </c>
      <c r="CS62" s="8" t="e">
        <f t="shared" si="14"/>
        <v>#DIV/0!</v>
      </c>
      <c r="CT62" s="8" t="e">
        <f t="shared" si="18"/>
        <v>#DIV/0!</v>
      </c>
      <c r="CU62" s="8">
        <f t="shared" si="15"/>
        <v>0</v>
      </c>
      <c r="CV62" s="8" t="e">
        <f t="shared" si="16"/>
        <v>#DIV/0!</v>
      </c>
      <c r="CW62" s="8">
        <f>Table1[[#This Row],[N(maxT)]]/Table1[[#This Row],[e2e sat]]</f>
        <v>0</v>
      </c>
      <c r="CX62" s="8" t="e">
        <f>Table1[[#This Row],[RPS]]/CW62</f>
        <v>#DIV/0!</v>
      </c>
      <c r="CY62" s="8" t="e">
        <f>Table1[[#This Row],[Kvcache]]/$T$4</f>
        <v>#DIV/0!</v>
      </c>
      <c r="GJ62"/>
    </row>
    <row r="63" spans="1:192" hidden="1" x14ac:dyDescent="0.25">
      <c r="A63" s="3">
        <v>3000</v>
      </c>
      <c r="B63" s="3">
        <v>1000</v>
      </c>
      <c r="C63">
        <v>3</v>
      </c>
      <c r="D63" s="199">
        <f>Table1[[#This Row],[Kvcache]]</f>
        <v>0.35913983708301006</v>
      </c>
      <c r="E63" s="208" t="s">
        <v>139</v>
      </c>
      <c r="F63" s="219">
        <v>46092</v>
      </c>
      <c r="G63" s="10"/>
      <c r="H63" s="10">
        <v>0.13289371045961559</v>
      </c>
      <c r="I63" s="10">
        <v>0.1137712211585975</v>
      </c>
      <c r="J63" s="10">
        <v>1.2203961207733807</v>
      </c>
      <c r="K63" s="10">
        <v>3.6079246222972867</v>
      </c>
      <c r="L63" s="10">
        <v>3.7948041152954102</v>
      </c>
      <c r="M63" s="10">
        <v>1.6468549703887021E-2</v>
      </c>
      <c r="N63" s="10">
        <v>16.617148972318766</v>
      </c>
      <c r="O63" s="47">
        <v>10299.184313725489</v>
      </c>
      <c r="P63" s="47">
        <v>3171.2952941176472</v>
      </c>
      <c r="Q63" s="5">
        <v>39.854166666666671</v>
      </c>
      <c r="R63" s="5">
        <v>63.5</v>
      </c>
      <c r="S63" s="170">
        <v>0.35913983708301006</v>
      </c>
      <c r="T63" s="165">
        <v>0.57924747866563231</v>
      </c>
      <c r="U63" s="26">
        <f>(Table1[[#This Row],[In-Tok]]+Table1[[#This Row],[Out-Tok]])*Table1[[#This Row],[RPS]]</f>
        <v>12000</v>
      </c>
      <c r="V63" s="54">
        <f>Table1[[#This Row],[In-Tok]]+AvgOutLoad*Table1[[#This Row],[Out-Tok]]</f>
        <v>3500</v>
      </c>
      <c r="W63" s="20">
        <f>Table1[[#This Row],[In-Tok]]*Table1[[#This Row],[RPS]]</f>
        <v>9000</v>
      </c>
      <c r="X63" s="35">
        <f>Table1[[#This Row],[Out-Tok]]*Table1[[#This Row],[RPS]]</f>
        <v>3000</v>
      </c>
      <c r="Y63" s="75">
        <f>Table1[[#This Row],[In-Tok]]/Table1[[#This Row],[Out-Tok]]</f>
        <v>3</v>
      </c>
      <c r="Z63" s="26">
        <f>Table1[[#This Row],[In-Tok]]*Table1[[#This Row],[N]]+AvgOutLoad*Table1[[#This Row],[Out-Tok]]*Table1[[#This Row],[Ndecode]]</f>
        <v>183964.9703953882</v>
      </c>
      <c r="AA63" s="20">
        <f>Table1[[#This Row],[tok(N)]]/Table1[[#This Row],[Kvcache]]</f>
        <v>512237.71745730151</v>
      </c>
      <c r="AB63" s="20">
        <f>Table1[[#This Row],[tok/req]]*Table1[[#This Row],[Run]]</f>
        <v>139489.58333333334</v>
      </c>
      <c r="AC63" s="20">
        <f>Table1[[#This Row],[tok(Run)]]/Table1[[#This Row],[Kvcache]]</f>
        <v>388399.08283717441</v>
      </c>
      <c r="AD63" s="20">
        <f>Table1[[#This Row],[tok/req]]*Table1[[#This Row],[MaxRun]]</f>
        <v>222250</v>
      </c>
      <c r="AE63" s="20">
        <f>Table1[[#This Row],[tok(MaxRun)]]/Table1[[#This Row],[MaxKvcache]]</f>
        <v>383687.47070247104</v>
      </c>
      <c r="AF63" s="75">
        <f>Table1[[#This Row],[PPS]]*Table1[[#This Row],[Prefill]]/Table1[[#This Row],[In-Tok]]</f>
        <v>0.39058359210334032</v>
      </c>
      <c r="AG63" s="22">
        <f>Table1[[#This Row],[GPS]]*Table1[[#This Row],[ITL]]</f>
        <v>52.226634176879479</v>
      </c>
      <c r="AH63" s="22">
        <f>Table1[[#This Row],[Nprefill]]+Table1[[#This Row],[Ndecode]]</f>
        <v>52.617217768982819</v>
      </c>
      <c r="AI63" s="34">
        <f>Table1[[#This Row],[Run]]/Table1[[#This Row],[ITL]]/Table1[[#This Row],[GPS]]</f>
        <v>0.76310042365912123</v>
      </c>
      <c r="AJ63" s="64">
        <f>Table1[[#This Row],[Prefill]]+Table1[[#This Row],[ITL]]</f>
        <v>0.13023977086248453</v>
      </c>
      <c r="AK63" s="34">
        <f>Table1[[#This Row],[TTFT]]/Table1[[#This Row],[estTTFT]]</f>
        <v>1.0203773361973529</v>
      </c>
      <c r="AL63" s="22">
        <f>Table1[[#This Row],[In-Tok]]*Table1[[#This Row],[RPS]]/Table1[[#This Row],[PPS]]</f>
        <v>0.87385561087647534</v>
      </c>
      <c r="AM63" s="34">
        <f>Table1[[#This Row],[Prefill]]/Table1[[#This Row],[estPrefill]]</f>
        <v>0.13019453070111342</v>
      </c>
      <c r="AN63" s="34">
        <f>Table1[[#This Row],[Prefill]]/Table1[[#This Row],[TTFT]]</f>
        <v>0.85610688997332851</v>
      </c>
      <c r="AO63" s="64">
        <f>Table1[[#This Row],[Run]]/(Table1[[#This Row],[Out-Tok]]*Table1[[#This Row],[RPS]])</f>
        <v>1.3284722222222224E-2</v>
      </c>
      <c r="AP63" s="34">
        <f>Table1[[#This Row],[ITL]]/Table1[[#This Row],[estITL]]</f>
        <v>1.2396608245476899</v>
      </c>
      <c r="AQ63" s="69">
        <f>Table1[[#This Row],[E2E]]-Table1[[#This Row],[TTFT]]+Table1[[#This Row],[ITL]]</f>
        <v>16.500723811563038</v>
      </c>
      <c r="AR63" s="34">
        <f>Table1[[#This Row],[estDecode]]/Table1[[#This Row],[Run]]</f>
        <v>0.41402757080764546</v>
      </c>
      <c r="AS63" s="69">
        <f>Table1[[#This Row],[Prefill]]+Table1[[#This Row],[Out-Tok]]*Table1[[#This Row],[ITL]]</f>
        <v>16.582320925045618</v>
      </c>
      <c r="AT63" s="22">
        <f>Table1[[#This Row],[estPrefill]]+Table1[[#This Row],[Out-Tok]]*Table1[[#This Row],[ITL]]</f>
        <v>17.342405314763496</v>
      </c>
      <c r="AU63" s="34">
        <f>Table1[[#This Row],[E2E]]/Table1[[#This Row],[estE2E]]</f>
        <v>0.95818017574371162</v>
      </c>
      <c r="AV63" s="22">
        <f>Table1[[#This Row],[N]]/Table1[[#This Row],[estE2E]]</f>
        <v>3.0340207609027603</v>
      </c>
      <c r="AW63" s="22">
        <f>Table1[[#This Row],[PPS]]/Table1[[#This Row],[In-Tok]]</f>
        <v>3.4330614379084965</v>
      </c>
      <c r="AX63" s="34">
        <f>Table1[[#This Row],[RPS]]/Table1[[#This Row],[RPS(IL)]]</f>
        <v>0.87385561087647534</v>
      </c>
      <c r="AY63" s="22">
        <f>Table1[[#This Row],[GPS]]/Table1[[#This Row],[Out-Tok]]</f>
        <v>3.1712952941176473</v>
      </c>
      <c r="AZ63" s="89">
        <f>Table1[[#This Row],[RPS]]/Table1[[#This Row],[RPS(OL)]]</f>
        <v>0.94598570040595764</v>
      </c>
      <c r="BA63" s="135">
        <f>MaxTok/Table1[[#This Row],[tok/req]]</f>
        <v>110.83207485501579</v>
      </c>
      <c r="BB63" s="4">
        <f>Table1[[#This Row],[N]]/Table1[[#This Row],[N-max]]</f>
        <v>0.47474720506508306</v>
      </c>
      <c r="BC63" s="44">
        <f>Table1[[#This Row],[RPS]]</f>
        <v>3</v>
      </c>
      <c r="BD63" s="47">
        <f>Table1[[#This Row],[PPS]]/Table1[[#This Row],[RPS success]]</f>
        <v>3433.0614379084964</v>
      </c>
      <c r="BE63" s="4">
        <f>ABS(Table1[[#This Row],[est-In-Tok3]]-Table1[[#This Row],[In-Tok]])/Table1[[#This Row],[In-Tok]]</f>
        <v>0.14435381263616545</v>
      </c>
      <c r="BF63" s="47">
        <f>Table1[[#This Row],[GPS]]/Table1[[#This Row],[RPS success]]</f>
        <v>1057.0984313725492</v>
      </c>
      <c r="BG63" s="4">
        <f>ABS(Table1[[#This Row],[est-Out-Tok3]]-Table1[[#This Row],[Out-Tok]])/Table1[[#This Row],[Out-Tok]]</f>
        <v>5.7098431372549156E-2</v>
      </c>
      <c r="BH63" s="162">
        <f>Table1[[#This Row],[est-In-Tok3]]+AvgOutLoad*Table1[[#This Row],[est-Out-Tok3]]</f>
        <v>3961.6106535947711</v>
      </c>
      <c r="BI63" s="4">
        <f>ABS(Table1[[#This Row],[est-Tok/Req3]]-Table1[[#This Row],[tok/req]])/Table1[[#This Row],[tok/req]]</f>
        <v>0.13188875816993459</v>
      </c>
      <c r="BJ63" s="162">
        <f>MaxTok/Table1[[#This Row],[est-Tok/Req3]]</f>
        <v>97.91781573501251</v>
      </c>
      <c r="BK63" s="4">
        <f>ABS(Table1[[#This Row],[est-N-max3]]-Table1[[#This Row],[N-max]])/Table1[[#This Row],[N-max]]</f>
        <v>0.11652095421742287</v>
      </c>
      <c r="BL63" s="44">
        <f>MaxTok*Table1[[#This Row],[Kvcache]]/Table1[[#This Row],[Run]]</f>
        <v>3495.6130870760035</v>
      </c>
      <c r="BM63" s="170">
        <f>ABS(Table1[[#This Row],[est-Tok/Req]]-Table1[[#This Row],[tok/req]])/Table1[[#This Row],[tok/req]]</f>
        <v>1.253403692570438E-3</v>
      </c>
      <c r="BN63" s="44">
        <f>MaxTok/Table1[[#This Row],[est-Tok/Req]]</f>
        <v>110.97116652490696</v>
      </c>
      <c r="BO63" s="180">
        <f>Table1[[#This Row],[Run]]/Table1[[#This Row],[Kvcache]]</f>
        <v>110.97116652490698</v>
      </c>
      <c r="BP63" s="135" cm="1">
        <f t="array" aca="1" ref="BP63" ca="1">_xlfn.CEILING.MATH(INDIRECT("Table1"&amp;BP$3)/BP$2)*BP$2</f>
        <v>4000</v>
      </c>
      <c r="BQ63" s="187" cm="1">
        <f t="array" aca="1" ref="BQ63" ca="1">_xlfn.CEILING.MATH(INDIRECT("Table1"&amp;BQ$3)/BQ$2)*BQ$2</f>
        <v>0.02</v>
      </c>
      <c r="BR63" s="4" cm="1">
        <f t="array" aca="1" ref="BR63" ca="1">_xlfn.CEILING.MATH(INDIRECT("Table1"&amp;BR$3)/BR$2)*BR$2</f>
        <v>0.4</v>
      </c>
      <c r="BS63" s="4" cm="1">
        <f t="array" aca="1" ref="BS63" ca="1">_xlfn.CEILING.MATH(INDIRECT("Table1"&amp;BS$3)/BS$2)*BS$2</f>
        <v>0.36</v>
      </c>
      <c r="BT63" s="3" cm="1">
        <f t="array" aca="1" ref="BT63" ca="1">_xlfn.CEILING.MATH(INDIRECT("Table1"&amp;BT$3)/BT$2)*BT$2</f>
        <v>40</v>
      </c>
      <c r="BU63" s="135" cm="1">
        <f t="array" aca="1" ref="BU63" ca="1">_xlfn.CEILING.MATH(INDIRECT("Table1"&amp;BU$3)/BU$2)*BU$2</f>
        <v>5</v>
      </c>
      <c r="BV63" s="135" cm="1">
        <f t="array" aca="1" ref="BV63" ca="1">_xlfn.CEILING.MATH(INDIRECT("Table1"&amp;BV$3)/BV$2)*BV$2</f>
        <v>3000</v>
      </c>
      <c r="BW63" s="4"/>
      <c r="BX63" s="4"/>
      <c r="BY63" s="190">
        <v>0.57924747866563231</v>
      </c>
      <c r="BZ63" s="4"/>
      <c r="CA63" s="12">
        <f>(Table1[[#This Row],[In-Tok]]+Table1[[#This Row],[Out-Tok]])*Table1[[#This Row],[RPS]]</f>
        <v>12000</v>
      </c>
      <c r="CB63" s="3">
        <f t="shared" si="17"/>
        <v>383687.47070247104</v>
      </c>
      <c r="CC63" s="3">
        <f>Table1[[#This Row],[Supply]]/(Table1[[#This Row],[Prefill]]+Table1[[#This Row],[Out-Tok]]*Table1[[#This Row],[ITL]])</f>
        <v>23138.345496796945</v>
      </c>
      <c r="CD63" s="3">
        <f>Table1[[#This Row],[MaxRun]]/Table1[[#This Row],[ITL]]</f>
        <v>3855.8343716819395</v>
      </c>
      <c r="CE63" s="3">
        <f>Table1[[#This Row],[Out-Tok]]*Table1[[#This Row],[RPS]]</f>
        <v>3000</v>
      </c>
      <c r="CF63" s="5">
        <f>Table1[[#This Row],[Supply]]/Table1[[#This Row],[Demand-T]]</f>
        <v>31.973955891872585</v>
      </c>
      <c r="CG63" s="22"/>
      <c r="CH63" s="71">
        <f>Table1[[#This Row],[Prefill]]+Table1[[#This Row],[Out-Tok]]*Table1[[#This Row],[ITL]]</f>
        <v>16.582320925045618</v>
      </c>
      <c r="CI63" s="71">
        <f>Table1[[#This Row],[GPS]]*Table1[[#This Row],[ITL]]</f>
        <v>52.226634176879479</v>
      </c>
      <c r="CJ63" s="72">
        <f>Table1[[#This Row],[PPS]]*Table1[[#This Row],[Prefill]]/Table1[[#This Row],[In-Tok]]</f>
        <v>0.39058359210334032</v>
      </c>
      <c r="CK63" s="71">
        <f t="shared" si="12"/>
        <v>52.617217768982819</v>
      </c>
      <c r="CL63" s="71">
        <f>Table1[[#This Row],[PPS]]/Table1[[#This Row],[In-Tok]]</f>
        <v>3.4330614379084965</v>
      </c>
      <c r="CM63" s="71">
        <f>Table1[[#This Row],[GPS]]/Table1[[#This Row],[Out-Tok]]</f>
        <v>3.1712952941176473</v>
      </c>
      <c r="CN63" s="71">
        <f>Table1[[#This Row],[Run]]/Table1[[#This Row],[E2E]]</f>
        <v>2.3983757221564703</v>
      </c>
      <c r="CO63" s="71">
        <f>Table1[[#This Row],[N2]]/Table1[[#This Row],[E2E]]</f>
        <v>3.1664407568731439</v>
      </c>
      <c r="CP63" s="71"/>
      <c r="CQ63" s="8">
        <f>Table1[[#This Row],[In-Tok]]+AvgOutLoad*Table1[[#This Row],[Out-Tok]]</f>
        <v>3500</v>
      </c>
      <c r="CR63" s="71">
        <f t="shared" si="13"/>
        <v>422075.40244706377</v>
      </c>
      <c r="CS63" s="71" t="e">
        <f t="shared" si="14"/>
        <v>#DIV/0!</v>
      </c>
      <c r="CT63" s="71" t="e">
        <f t="shared" si="18"/>
        <v>#DIV/0!</v>
      </c>
      <c r="CU63" s="71">
        <f t="shared" si="15"/>
        <v>0</v>
      </c>
      <c r="CV63" s="71" t="e">
        <f t="shared" si="16"/>
        <v>#DIV/0!</v>
      </c>
      <c r="CW63" s="71">
        <f>Table1[[#This Row],[N(maxT)]]/Table1[[#This Row],[e2e sat]]</f>
        <v>0</v>
      </c>
      <c r="CX63" s="71" t="e">
        <f>Table1[[#This Row],[RPS]]/CW63</f>
        <v>#DIV/0!</v>
      </c>
      <c r="CY63" s="71" t="e">
        <f>Table1[[#This Row],[Kvcache]]/$T$4</f>
        <v>#DIV/0!</v>
      </c>
      <c r="GJ63"/>
    </row>
    <row r="64" spans="1:192" hidden="1" x14ac:dyDescent="0.25">
      <c r="A64" s="3">
        <v>3000</v>
      </c>
      <c r="B64" s="3">
        <v>1100</v>
      </c>
      <c r="C64">
        <v>3</v>
      </c>
      <c r="D64" s="199">
        <f>Table1[[#This Row],[Kvcache]]</f>
        <v>0.41449276685072783</v>
      </c>
      <c r="E64" s="208" t="s">
        <v>139</v>
      </c>
      <c r="F64" s="219">
        <v>46092</v>
      </c>
      <c r="G64" s="10"/>
      <c r="H64" s="10">
        <v>0.14606106181244749</v>
      </c>
      <c r="I64" s="10">
        <v>0.11382646205373795</v>
      </c>
      <c r="J64" s="10">
        <v>1.9206153177622225</v>
      </c>
      <c r="K64" s="10">
        <v>7.0599357128143296</v>
      </c>
      <c r="L64" s="10">
        <v>7.9736025595664985</v>
      </c>
      <c r="M64" s="10">
        <v>1.7667547286003699E-2</v>
      </c>
      <c r="N64" s="10">
        <v>19.365111650952493</v>
      </c>
      <c r="O64" s="47">
        <v>10961.267857142855</v>
      </c>
      <c r="P64" s="47">
        <v>3688.9303571428572</v>
      </c>
      <c r="Q64" s="5">
        <v>45.692156862745101</v>
      </c>
      <c r="R64" s="5">
        <v>67.5</v>
      </c>
      <c r="S64" s="170">
        <v>0.41449276685072783</v>
      </c>
      <c r="T64" s="170">
        <v>0.61369278510473235</v>
      </c>
      <c r="U64" s="26">
        <f>(Table1[[#This Row],[In-Tok]]+Table1[[#This Row],[Out-Tok]])*Table1[[#This Row],[RPS]]</f>
        <v>12300</v>
      </c>
      <c r="V64" s="54">
        <f>Table1[[#This Row],[In-Tok]]+AvgOutLoad*Table1[[#This Row],[Out-Tok]]</f>
        <v>3550</v>
      </c>
      <c r="W64" s="20">
        <f>Table1[[#This Row],[In-Tok]]*Table1[[#This Row],[RPS]]</f>
        <v>9000</v>
      </c>
      <c r="X64" s="35">
        <f>Table1[[#This Row],[Out-Tok]]*Table1[[#This Row],[RPS]]</f>
        <v>3300</v>
      </c>
      <c r="Y64" s="75">
        <f>Table1[[#This Row],[In-Tok]]/Table1[[#This Row],[Out-Tok]]</f>
        <v>2.7272727272727271</v>
      </c>
      <c r="Z64" s="26">
        <f>Table1[[#This Row],[In-Tok]]*Table1[[#This Row],[N]]+AvgOutLoad*Table1[[#This Row],[Out-Tok]]*Table1[[#This Row],[Ndecode]]</f>
        <v>232616.63023436753</v>
      </c>
      <c r="AA64" s="20">
        <f>Table1[[#This Row],[tok(N)]]/Table1[[#This Row],[Kvcache]]</f>
        <v>561207.93615233398</v>
      </c>
      <c r="AB64" s="20">
        <f>Table1[[#This Row],[tok/req]]*Table1[[#This Row],[Run]]</f>
        <v>162207.15686274512</v>
      </c>
      <c r="AC64" s="20">
        <f>Table1[[#This Row],[tok(Run)]]/Table1[[#This Row],[Kvcache]]</f>
        <v>391338.93239000993</v>
      </c>
      <c r="AD64" s="20">
        <f>Table1[[#This Row],[tok/req]]*Table1[[#This Row],[MaxRun]]</f>
        <v>239625</v>
      </c>
      <c r="AE64" s="20">
        <f>Table1[[#This Row],[tok(MaxRun)]]/Table1[[#This Row],[MaxKvcache]]</f>
        <v>390464.09835029393</v>
      </c>
      <c r="AF64" s="75">
        <f>Table1[[#This Row],[PPS]]*Table1[[#This Row],[Prefill]]/Table1[[#This Row],[In-Tok]]</f>
        <v>0.41589411326730957</v>
      </c>
      <c r="AG64" s="22">
        <f>Table1[[#This Row],[GPS]]*Table1[[#This Row],[ITL]]</f>
        <v>65.174351519595945</v>
      </c>
      <c r="AH64" s="22">
        <f>Table1[[#This Row],[Nprefill]]+Table1[[#This Row],[Ndecode]]</f>
        <v>65.590245632863258</v>
      </c>
      <c r="AI64" s="34">
        <f>Table1[[#This Row],[Run]]/Table1[[#This Row],[ITL]]/Table1[[#This Row],[GPS]]</f>
        <v>0.70107574218067759</v>
      </c>
      <c r="AJ64" s="64">
        <f>Table1[[#This Row],[Prefill]]+Table1[[#This Row],[ITL]]</f>
        <v>0.13149400933974165</v>
      </c>
      <c r="AK64" s="34">
        <f>Table1[[#This Row],[TTFT]]/Table1[[#This Row],[estTTFT]]</f>
        <v>1.1107811112144956</v>
      </c>
      <c r="AL64" s="22">
        <f>Table1[[#This Row],[In-Tok]]*Table1[[#This Row],[RPS]]/Table1[[#This Row],[PPS]]</f>
        <v>0.82107290117312437</v>
      </c>
      <c r="AM64" s="34">
        <f>Table1[[#This Row],[Prefill]]/Table1[[#This Row],[estPrefill]]</f>
        <v>0.13863137108910317</v>
      </c>
      <c r="AN64" s="34">
        <f>Table1[[#This Row],[Prefill]]/Table1[[#This Row],[TTFT]]</f>
        <v>0.77930737077551171</v>
      </c>
      <c r="AO64" s="64">
        <f>Table1[[#This Row],[Run]]/(Table1[[#This Row],[Out-Tok]]*Table1[[#This Row],[RPS]])</f>
        <v>1.3846108140225789E-2</v>
      </c>
      <c r="AP64" s="34">
        <f>Table1[[#This Row],[ITL]]/Table1[[#This Row],[estITL]]</f>
        <v>1.2759937382459006</v>
      </c>
      <c r="AQ64" s="69">
        <f>Table1[[#This Row],[E2E]]-Table1[[#This Row],[TTFT]]+Table1[[#This Row],[ITL]]</f>
        <v>19.236718136426049</v>
      </c>
      <c r="AR64" s="34">
        <f>Table1[[#This Row],[estDecode]]/Table1[[#This Row],[Run]]</f>
        <v>0.42100700551762799</v>
      </c>
      <c r="AS64" s="69">
        <f>Table1[[#This Row],[Prefill]]+Table1[[#This Row],[Out-Tok]]*Table1[[#This Row],[ITL]]</f>
        <v>19.548128476657805</v>
      </c>
      <c r="AT64" s="22">
        <f>Table1[[#This Row],[estPrefill]]+Table1[[#This Row],[Out-Tok]]*Table1[[#This Row],[ITL]]</f>
        <v>20.255374915777193</v>
      </c>
      <c r="AU64" s="34">
        <f>Table1[[#This Row],[E2E]]/Table1[[#This Row],[estE2E]]</f>
        <v>0.95604804806001087</v>
      </c>
      <c r="AV64" s="22">
        <f>Table1[[#This Row],[N]]/Table1[[#This Row],[estE2E]]</f>
        <v>3.238164976239176</v>
      </c>
      <c r="AW64" s="22">
        <f>Table1[[#This Row],[PPS]]/Table1[[#This Row],[In-Tok]]</f>
        <v>3.6537559523809517</v>
      </c>
      <c r="AX64" s="34">
        <f>Table1[[#This Row],[RPS]]/Table1[[#This Row],[RPS(IL)]]</f>
        <v>0.82107290117312437</v>
      </c>
      <c r="AY64" s="22">
        <f>Table1[[#This Row],[GPS]]/Table1[[#This Row],[Out-Tok]]</f>
        <v>3.353573051948052</v>
      </c>
      <c r="AZ64" s="89">
        <f>Table1[[#This Row],[RPS]]/Table1[[#This Row],[RPS(OL)]]</f>
        <v>0.89456825705864218</v>
      </c>
      <c r="BA64" s="135">
        <f>MaxTok/Table1[[#This Row],[tok/req]]</f>
        <v>109.27105971621276</v>
      </c>
      <c r="BB64" s="4">
        <f>Table1[[#This Row],[N]]/Table1[[#This Row],[N-max]]</f>
        <v>0.60025267260340753</v>
      </c>
      <c r="BC64" s="44">
        <f>Table1[[#This Row],[RPS]]</f>
        <v>3</v>
      </c>
      <c r="BD64" s="47">
        <f>Table1[[#This Row],[PPS]]/Table1[[#This Row],[RPS success]]</f>
        <v>3653.7559523809518</v>
      </c>
      <c r="BE64" s="4">
        <f>ABS(Table1[[#This Row],[est-In-Tok3]]-Table1[[#This Row],[In-Tok]])/Table1[[#This Row],[In-Tok]]</f>
        <v>0.21791865079365061</v>
      </c>
      <c r="BF64" s="47">
        <f>Table1[[#This Row],[GPS]]/Table1[[#This Row],[RPS success]]</f>
        <v>1229.6434523809523</v>
      </c>
      <c r="BG64" s="4">
        <f>ABS(Table1[[#This Row],[est-Out-Tok3]]-Table1[[#This Row],[Out-Tok]])/Table1[[#This Row],[Out-Tok]]</f>
        <v>0.11785768398268394</v>
      </c>
      <c r="BH64" s="162">
        <f>Table1[[#This Row],[est-In-Tok3]]+AvgOutLoad*Table1[[#This Row],[est-Out-Tok3]]</f>
        <v>4268.5776785714279</v>
      </c>
      <c r="BI64" s="4">
        <f>ABS(Table1[[#This Row],[est-Tok/Req3]]-Table1[[#This Row],[tok/req]])/Table1[[#This Row],[tok/req]]</f>
        <v>0.20241624748490927</v>
      </c>
      <c r="BJ64" s="162">
        <f>MaxTok/Table1[[#This Row],[est-Tok/Req3]]</f>
        <v>90.876233537907297</v>
      </c>
      <c r="BK64" s="4">
        <f>ABS(Table1[[#This Row],[est-N-max3]]-Table1[[#This Row],[N-max]])/Table1[[#This Row],[N-max]]</f>
        <v>0.16834124448027282</v>
      </c>
      <c r="BL64" s="44">
        <f>MaxTok*Table1[[#This Row],[Kvcache]]/Table1[[#This Row],[Run]]</f>
        <v>3518.9152320300182</v>
      </c>
      <c r="BM64" s="170">
        <f>ABS(Table1[[#This Row],[est-Tok/Req]]-Table1[[#This Row],[tok/req]])/Table1[[#This Row],[tok/req]]</f>
        <v>8.756272667600519E-3</v>
      </c>
      <c r="BN64" s="44">
        <f>MaxTok/Table1[[#This Row],[est-Tok/Req]]</f>
        <v>110.23631898310138</v>
      </c>
      <c r="BO64" s="180">
        <f>Table1[[#This Row],[Run]]/Table1[[#This Row],[Kvcache]]</f>
        <v>110.23631898310137</v>
      </c>
      <c r="BP64" s="135" cm="1">
        <f t="array" aca="1" ref="BP64" ca="1">_xlfn.CEILING.MATH(INDIRECT("Table1"&amp;BP$3)/BP$2)*BP$2</f>
        <v>4000</v>
      </c>
      <c r="BQ64" s="187" cm="1">
        <f t="array" aca="1" ref="BQ64" ca="1">_xlfn.CEILING.MATH(INDIRECT("Table1"&amp;BQ$3)/BQ$2)*BQ$2</f>
        <v>0.02</v>
      </c>
      <c r="BR64" s="4" cm="1">
        <f t="array" aca="1" ref="BR64" ca="1">_xlfn.CEILING.MATH(INDIRECT("Table1"&amp;BR$3)/BR$2)*BR$2</f>
        <v>0.5</v>
      </c>
      <c r="BS64" s="4" cm="1">
        <f t="array" aca="1" ref="BS64" ca="1">_xlfn.CEILING.MATH(INDIRECT("Table1"&amp;BS$3)/BS$2)*BS$2</f>
        <v>0.42</v>
      </c>
      <c r="BT64" s="3" cm="1">
        <f t="array" aca="1" ref="BT64" ca="1">_xlfn.CEILING.MATH(INDIRECT("Table1"&amp;BT$3)/BT$2)*BT$2</f>
        <v>46</v>
      </c>
      <c r="BU64" s="135" cm="1">
        <f t="array" aca="1" ref="BU64" ca="1">_xlfn.CEILING.MATH(INDIRECT("Table1"&amp;BU$3)/BU$2)*BU$2</f>
        <v>5</v>
      </c>
      <c r="BV64" s="135" cm="1">
        <f t="array" aca="1" ref="BV64" ca="1">_xlfn.CEILING.MATH(INDIRECT("Table1"&amp;BV$3)/BV$2)*BV$2</f>
        <v>3000</v>
      </c>
      <c r="BW64" s="4"/>
      <c r="BX64" s="4"/>
      <c r="BY64" s="190">
        <v>0.61369278510473235</v>
      </c>
      <c r="BZ64" s="4"/>
      <c r="CA64" s="12">
        <f>(Table1[[#This Row],[In-Tok]]+Table1[[#This Row],[Out-Tok]])*Table1[[#This Row],[RPS]]</f>
        <v>12300</v>
      </c>
      <c r="CB64" s="3">
        <f t="shared" si="17"/>
        <v>390464.09835029393</v>
      </c>
      <c r="CC64" s="3">
        <f>Table1[[#This Row],[Supply]]/(Table1[[#This Row],[Prefill]]+Table1[[#This Row],[Out-Tok]]*Table1[[#This Row],[ITL]])</f>
        <v>19974.500311707212</v>
      </c>
      <c r="CD64" s="3">
        <f>Table1[[#This Row],[MaxRun]]/Table1[[#This Row],[ITL]]</f>
        <v>3820.5642756917237</v>
      </c>
      <c r="CE64" s="3">
        <f>Table1[[#This Row],[Out-Tok]]*Table1[[#This Row],[RPS]]</f>
        <v>3300</v>
      </c>
      <c r="CF64" s="5">
        <f>Table1[[#This Row],[Supply]]/Table1[[#This Row],[Demand-T]]</f>
        <v>31.745048646365362</v>
      </c>
      <c r="CH64" s="8">
        <f>Table1[[#This Row],[Prefill]]+Table1[[#This Row],[Out-Tok]]*Table1[[#This Row],[ITL]]</f>
        <v>19.548128476657805</v>
      </c>
      <c r="CI64" s="8">
        <f>Table1[[#This Row],[GPS]]*Table1[[#This Row],[ITL]]</f>
        <v>65.174351519595945</v>
      </c>
      <c r="CJ64" s="14">
        <f>Table1[[#This Row],[PPS]]*Table1[[#This Row],[Prefill]]/Table1[[#This Row],[In-Tok]]</f>
        <v>0.41589411326730957</v>
      </c>
      <c r="CK64" s="8">
        <f t="shared" ref="CK64:CK88" si="19">CI64+CJ64</f>
        <v>65.590245632863258</v>
      </c>
      <c r="CL64" s="8">
        <f>Table1[[#This Row],[PPS]]/Table1[[#This Row],[In-Tok]]</f>
        <v>3.6537559523809517</v>
      </c>
      <c r="CM64" s="8">
        <f>Table1[[#This Row],[GPS]]/Table1[[#This Row],[Out-Tok]]</f>
        <v>3.353573051948052</v>
      </c>
      <c r="CN64" s="8">
        <f>Table1[[#This Row],[Run]]/Table1[[#This Row],[E2E]]</f>
        <v>2.3595090844982392</v>
      </c>
      <c r="CO64" s="8">
        <f>Table1[[#This Row],[N2]]/Table1[[#This Row],[E2E]]</f>
        <v>3.3870316275525907</v>
      </c>
      <c r="CP64" s="8"/>
      <c r="CQ64" s="8">
        <f>Table1[[#This Row],[In-Tok]]+AvgOutLoad*Table1[[#This Row],[Out-Tok]]</f>
        <v>3550</v>
      </c>
      <c r="CR64" s="8">
        <f t="shared" ref="CR64:CR88" si="20">CD64*CQ64/CF64</f>
        <v>427247.83098603034</v>
      </c>
      <c r="CS64" s="8" t="e">
        <f t="shared" ref="CS64:CS88" si="21">CE64*CQ64/CG64</f>
        <v>#DIV/0!</v>
      </c>
      <c r="CT64" s="8" t="e">
        <f t="shared" si="18"/>
        <v>#DIV/0!</v>
      </c>
      <c r="CU64" s="8">
        <f t="shared" ref="CU64:CU88" si="22">$CL$4/CQ64</f>
        <v>0</v>
      </c>
      <c r="CV64" s="8" t="e">
        <f t="shared" ref="CV64:CV88" si="23">CK64/CU64</f>
        <v>#DIV/0!</v>
      </c>
      <c r="CW64" s="8">
        <f>Table1[[#This Row],[N(maxT)]]/Table1[[#This Row],[e2e sat]]</f>
        <v>0</v>
      </c>
      <c r="CX64" s="8" t="e">
        <f>Table1[[#This Row],[RPS]]/CW64</f>
        <v>#DIV/0!</v>
      </c>
      <c r="CY64" s="8" t="e">
        <f>Table1[[#This Row],[Kvcache]]/$T$4</f>
        <v>#DIV/0!</v>
      </c>
      <c r="GJ64"/>
    </row>
    <row r="65" spans="1:192" hidden="1" x14ac:dyDescent="0.25">
      <c r="A65" s="3">
        <v>3000</v>
      </c>
      <c r="B65" s="3">
        <v>1200</v>
      </c>
      <c r="C65">
        <v>3</v>
      </c>
      <c r="D65" s="199">
        <f>Table1[[#This Row],[Kvcache]]</f>
        <v>0.46908025170243944</v>
      </c>
      <c r="E65" s="203" t="s">
        <v>139</v>
      </c>
      <c r="F65" s="219">
        <v>46092</v>
      </c>
      <c r="G65" s="10"/>
      <c r="H65" s="10">
        <v>0.15061166533489184</v>
      </c>
      <c r="I65" s="10">
        <v>0.12747489874914486</v>
      </c>
      <c r="J65" s="10">
        <v>1.2072588019878969</v>
      </c>
      <c r="K65" s="10">
        <v>3.6578489184379572</v>
      </c>
      <c r="L65" s="10">
        <v>5.2039145231246948</v>
      </c>
      <c r="M65" s="10">
        <v>1.8797775393388193E-2</v>
      </c>
      <c r="N65" s="10">
        <v>22.765371987474687</v>
      </c>
      <c r="O65" s="47">
        <v>9346.1117647058818</v>
      </c>
      <c r="P65" s="47">
        <v>3472.0647058823529</v>
      </c>
      <c r="Q65" s="5">
        <v>50.805555555555557</v>
      </c>
      <c r="R65" s="5">
        <v>72.5</v>
      </c>
      <c r="S65" s="170">
        <v>0.46908025170243944</v>
      </c>
      <c r="T65" s="211">
        <v>0.66989914662529093</v>
      </c>
      <c r="U65" s="29">
        <f>(Table1[[#This Row],[In-Tok]]+Table1[[#This Row],[Out-Tok]])*Table1[[#This Row],[RPS]]</f>
        <v>12600</v>
      </c>
      <c r="V65" s="54">
        <f>Table1[[#This Row],[In-Tok]]+AvgOutLoad*Table1[[#This Row],[Out-Tok]]</f>
        <v>3600</v>
      </c>
      <c r="W65" s="15">
        <f>Table1[[#This Row],[In-Tok]]*Table1[[#This Row],[RPS]]</f>
        <v>9000</v>
      </c>
      <c r="X65" s="37">
        <f>Table1[[#This Row],[Out-Tok]]*Table1[[#This Row],[RPS]]</f>
        <v>3600</v>
      </c>
      <c r="Y65" s="76">
        <f>Table1[[#This Row],[In-Tok]]/Table1[[#This Row],[Out-Tok]]</f>
        <v>2.5</v>
      </c>
      <c r="Z65" s="29">
        <f>Table1[[#This Row],[In-Tok]]*Table1[[#This Row],[N]]+AvgOutLoad*Table1[[#This Row],[Out-Tok]]*Table1[[#This Row],[Ndecode]]</f>
        <v>236152.92762385693</v>
      </c>
      <c r="AA65" s="15">
        <f>Table1[[#This Row],[tok(N)]]/Table1[[#This Row],[Kvcache]]</f>
        <v>503438.22142753581</v>
      </c>
      <c r="AB65" s="15">
        <f>Table1[[#This Row],[tok/req]]*Table1[[#This Row],[Run]]</f>
        <v>182900</v>
      </c>
      <c r="AC65" s="15">
        <f>Table1[[#This Row],[tok(Run)]]/Table1[[#This Row],[Kvcache]]</f>
        <v>389911.95927818003</v>
      </c>
      <c r="AD65" s="15">
        <f>Table1[[#This Row],[tok/req]]*Table1[[#This Row],[MaxRun]]</f>
        <v>261000</v>
      </c>
      <c r="AE65" s="15">
        <f>Table1[[#This Row],[tok(MaxRun)]]/Table1[[#This Row],[MaxKvcache]]</f>
        <v>389610.88592935726</v>
      </c>
      <c r="AF65" s="76">
        <f>Table1[[#This Row],[PPS]]*Table1[[#This Row],[Prefill]]/Table1[[#This Row],[In-Tok]]</f>
        <v>0.39713155030135794</v>
      </c>
      <c r="AG65" s="16">
        <f>Table1[[#This Row],[GPS]]*Table1[[#This Row],[ITL]]</f>
        <v>65.26709249248691</v>
      </c>
      <c r="AH65" s="16">
        <f>Table1[[#This Row],[Nprefill]]+Table1[[#This Row],[Ndecode]]</f>
        <v>65.664224042788263</v>
      </c>
      <c r="AI65" s="42">
        <f>Table1[[#This Row],[Run]]/Table1[[#This Row],[ITL]]/Table1[[#This Row],[GPS]]</f>
        <v>0.7784252923692585</v>
      </c>
      <c r="AJ65" s="17">
        <f>Table1[[#This Row],[Prefill]]+Table1[[#This Row],[ITL]]</f>
        <v>0.14627267414253306</v>
      </c>
      <c r="AK65" s="42">
        <f>Table1[[#This Row],[TTFT]]/Table1[[#This Row],[estTTFT]]</f>
        <v>1.0296637168753113</v>
      </c>
      <c r="AL65" s="16">
        <f>Table1[[#This Row],[In-Tok]]*Table1[[#This Row],[RPS]]/Table1[[#This Row],[PPS]]</f>
        <v>0.96296729876343679</v>
      </c>
      <c r="AM65" s="42">
        <f>Table1[[#This Row],[Prefill]]/Table1[[#This Row],[estPrefill]]</f>
        <v>0.13237718343378599</v>
      </c>
      <c r="AN65" s="42">
        <f>Table1[[#This Row],[Prefill]]/Table1[[#This Row],[TTFT]]</f>
        <v>0.84638131094094649</v>
      </c>
      <c r="AO65" s="17">
        <f>Table1[[#This Row],[Run]]/(Table1[[#This Row],[Out-Tok]]*Table1[[#This Row],[RPS]])</f>
        <v>1.4112654320987655E-2</v>
      </c>
      <c r="AP65" s="42">
        <f>Table1[[#This Row],[ITL]]/Table1[[#This Row],[estITL]]</f>
        <v>1.3319801481591633</v>
      </c>
      <c r="AQ65" s="45">
        <f>Table1[[#This Row],[E2E]]-Table1[[#This Row],[TTFT]]+Table1[[#This Row],[ITL]]</f>
        <v>22.633558097533182</v>
      </c>
      <c r="AR65" s="42">
        <f>Table1[[#This Row],[estDecode]]/Table1[[#This Row],[Run]]</f>
        <v>0.44549376244461153</v>
      </c>
      <c r="AS65" s="45">
        <f>Table1[[#This Row],[Prefill]]+Table1[[#This Row],[Out-Tok]]*Table1[[#This Row],[ITL]]</f>
        <v>22.684805370814978</v>
      </c>
      <c r="AT65" s="16">
        <f>Table1[[#This Row],[estPrefill]]+Table1[[#This Row],[Out-Tok]]*Table1[[#This Row],[ITL]]</f>
        <v>23.52029777082927</v>
      </c>
      <c r="AU65" s="34">
        <f>Table1[[#This Row],[E2E]]/Table1[[#This Row],[estE2E]]</f>
        <v>0.96790322168918841</v>
      </c>
      <c r="AV65" s="22">
        <f>Table1[[#This Row],[N]]/Table1[[#This Row],[estE2E]]</f>
        <v>2.791810915090855</v>
      </c>
      <c r="AW65" s="22">
        <f>Table1[[#This Row],[PPS]]/Table1[[#This Row],[In-Tok]]</f>
        <v>3.1153705882352938</v>
      </c>
      <c r="AX65" s="34">
        <f>Table1[[#This Row],[RPS]]/Table1[[#This Row],[RPS(IL)]]</f>
        <v>0.96296729876343679</v>
      </c>
      <c r="AY65" s="22">
        <f>Table1[[#This Row],[GPS]]/Table1[[#This Row],[Out-Tok]]</f>
        <v>2.8933872549019606</v>
      </c>
      <c r="AZ65" s="89">
        <f>Table1[[#This Row],[RPS]]/Table1[[#This Row],[RPS(OL)]]</f>
        <v>1.0368470362608451</v>
      </c>
      <c r="BA65" s="131">
        <f>MaxTok/Table1[[#This Row],[tok/req]]</f>
        <v>107.75340610904314</v>
      </c>
      <c r="BB65" s="34">
        <f>Table1[[#This Row],[N]]/Table1[[#This Row],[N-max]]</f>
        <v>0.60939348846511709</v>
      </c>
      <c r="BC65" s="69">
        <f>Table1[[#This Row],[RPS]]</f>
        <v>3</v>
      </c>
      <c r="BD65" s="48">
        <f>Table1[[#This Row],[PPS]]/Table1[[#This Row],[RPS success]]</f>
        <v>3115.3705882352938</v>
      </c>
      <c r="BE65" s="34">
        <f>ABS(Table1[[#This Row],[est-In-Tok3]]-Table1[[#This Row],[In-Tok]])/Table1[[#This Row],[In-Tok]]</f>
        <v>3.8456862745097929E-2</v>
      </c>
      <c r="BF65" s="48">
        <f>Table1[[#This Row],[GPS]]/Table1[[#This Row],[RPS success]]</f>
        <v>1157.3549019607842</v>
      </c>
      <c r="BG65" s="34">
        <f>ABS(Table1[[#This Row],[est-Out-Tok3]]-Table1[[#This Row],[Out-Tok]])/Table1[[#This Row],[Out-Tok]]</f>
        <v>3.5537581699346482E-2</v>
      </c>
      <c r="BH65" s="157">
        <f>Table1[[#This Row],[est-In-Tok3]]+AvgOutLoad*Table1[[#This Row],[est-Out-Tok3]]</f>
        <v>3694.048039215686</v>
      </c>
      <c r="BI65" s="34">
        <f>ABS(Table1[[#This Row],[est-Tok/Req3]]-Table1[[#This Row],[tok/req]])/Table1[[#This Row],[tok/req]]</f>
        <v>2.6124455337690557E-2</v>
      </c>
      <c r="BJ65" s="157">
        <f>MaxTok/Table1[[#This Row],[est-Tok/Req3]]</f>
        <v>105.01007509228715</v>
      </c>
      <c r="BK65" s="34">
        <f>ABS(Table1[[#This Row],[est-N-max3]]-Table1[[#This Row],[N-max]])/Table1[[#This Row],[N-max]]</f>
        <v>2.5459343846447147E-2</v>
      </c>
      <c r="BL65" s="69">
        <f>MaxTok*Table1[[#This Row],[Kvcache]]/Table1[[#This Row],[Run]]</f>
        <v>3581.5370879067782</v>
      </c>
      <c r="BM65" s="165">
        <f>ABS(Table1[[#This Row],[est-Tok/Req]]-Table1[[#This Row],[tok/req]])/Table1[[#This Row],[tok/req]]</f>
        <v>5.1285866925616123E-3</v>
      </c>
      <c r="BN65" s="69">
        <f>MaxTok/Table1[[#This Row],[est-Tok/Req]]</f>
        <v>108.30887757727221</v>
      </c>
      <c r="BO65" s="175">
        <f>Table1[[#This Row],[Run]]/Table1[[#This Row],[Kvcache]]</f>
        <v>108.30887757727223</v>
      </c>
      <c r="BP65" s="131" cm="1">
        <f t="array" aca="1" ref="BP65" ca="1">_xlfn.CEILING.MATH(INDIRECT("Table1"&amp;BP$3)/BP$2)*BP$2</f>
        <v>4000</v>
      </c>
      <c r="BQ65" s="182" cm="1">
        <f t="array" aca="1" ref="BQ65" ca="1">_xlfn.CEILING.MATH(INDIRECT("Table1"&amp;BQ$3)/BQ$2)*BQ$2</f>
        <v>0.02</v>
      </c>
      <c r="BR65" s="34" cm="1">
        <f t="array" aca="1" ref="BR65" ca="1">_xlfn.CEILING.MATH(INDIRECT("Table1"&amp;BR$3)/BR$2)*BR$2</f>
        <v>0.5</v>
      </c>
      <c r="BS65" s="34" cm="1">
        <f t="array" aca="1" ref="BS65" ca="1">_xlfn.CEILING.MATH(INDIRECT("Table1"&amp;BS$3)/BS$2)*BS$2</f>
        <v>0.47000000000000003</v>
      </c>
      <c r="BT65" s="20" cm="1">
        <f t="array" aca="1" ref="BT65" ca="1">_xlfn.CEILING.MATH(INDIRECT("Table1"&amp;BT$3)/BT$2)*BT$2</f>
        <v>51</v>
      </c>
      <c r="BU65" s="131" cm="1">
        <f t="array" aca="1" ref="BU65" ca="1">_xlfn.CEILING.MATH(INDIRECT("Table1"&amp;BU$3)/BU$2)*BU$2</f>
        <v>5</v>
      </c>
      <c r="BV65" s="131" cm="1">
        <f t="array" aca="1" ref="BV65" ca="1">_xlfn.CEILING.MATH(INDIRECT("Table1"&amp;BV$3)/BV$2)*BV$2</f>
        <v>3000</v>
      </c>
      <c r="BW65" s="34"/>
      <c r="BX65" s="34"/>
      <c r="BY65" s="190">
        <v>0.66989914662529093</v>
      </c>
      <c r="BZ65" s="34"/>
      <c r="CA65" s="12">
        <f>(Table1[[#This Row],[In-Tok]]+Table1[[#This Row],[Out-Tok]])*Table1[[#This Row],[RPS]]</f>
        <v>12600</v>
      </c>
      <c r="CB65" s="3">
        <f t="shared" si="17"/>
        <v>389610.88592935726</v>
      </c>
      <c r="CC65" s="3">
        <f>Table1[[#This Row],[Supply]]/(Table1[[#This Row],[Prefill]]+Table1[[#This Row],[Out-Tok]]*Table1[[#This Row],[ITL]])</f>
        <v>17174.971508929462</v>
      </c>
      <c r="CD65" s="3">
        <f>Table1[[#This Row],[MaxRun]]/Table1[[#This Row],[ITL]]</f>
        <v>3856.839359060577</v>
      </c>
      <c r="CE65" s="3">
        <f>Table1[[#This Row],[Out-Tok]]*Table1[[#This Row],[RPS]]</f>
        <v>3600</v>
      </c>
      <c r="CF65" s="5">
        <f>Table1[[#This Row],[Supply]]/Table1[[#This Row],[Demand-T]]</f>
        <v>30.921498883282322</v>
      </c>
      <c r="CG65" s="16"/>
      <c r="CH65" s="18">
        <f>Table1[[#This Row],[Prefill]]+Table1[[#This Row],[Out-Tok]]*Table1[[#This Row],[ITL]]</f>
        <v>22.684805370814978</v>
      </c>
      <c r="CI65" s="18">
        <f>Table1[[#This Row],[GPS]]*Table1[[#This Row],[ITL]]</f>
        <v>65.26709249248691</v>
      </c>
      <c r="CJ65" s="19">
        <f>Table1[[#This Row],[PPS]]*Table1[[#This Row],[Prefill]]/Table1[[#This Row],[In-Tok]]</f>
        <v>0.39713155030135794</v>
      </c>
      <c r="CK65" s="18">
        <f t="shared" si="19"/>
        <v>65.664224042788263</v>
      </c>
      <c r="CL65" s="18">
        <f>Table1[[#This Row],[PPS]]/Table1[[#This Row],[In-Tok]]</f>
        <v>3.1153705882352938</v>
      </c>
      <c r="CM65" s="18">
        <f>Table1[[#This Row],[GPS]]/Table1[[#This Row],[Out-Tok]]</f>
        <v>2.8933872549019606</v>
      </c>
      <c r="CN65" s="18">
        <f>Table1[[#This Row],[Run]]/Table1[[#This Row],[E2E]]</f>
        <v>2.2317032896940292</v>
      </c>
      <c r="CO65" s="18">
        <f>Table1[[#This Row],[N2]]/Table1[[#This Row],[E2E]]</f>
        <v>2.8843905594389652</v>
      </c>
      <c r="CP65" s="18"/>
      <c r="CQ65" s="8">
        <f>Table1[[#This Row],[In-Tok]]+AvgOutLoad*Table1[[#This Row],[Out-Tok]]</f>
        <v>3600</v>
      </c>
      <c r="CR65" s="18">
        <f t="shared" si="20"/>
        <v>449028.09352895844</v>
      </c>
      <c r="CS65" s="18" t="e">
        <f t="shared" si="21"/>
        <v>#DIV/0!</v>
      </c>
      <c r="CT65" s="18" t="e">
        <f t="shared" si="18"/>
        <v>#DIV/0!</v>
      </c>
      <c r="CU65" s="18">
        <f t="shared" si="22"/>
        <v>0</v>
      </c>
      <c r="CV65" s="18" t="e">
        <f t="shared" si="23"/>
        <v>#DIV/0!</v>
      </c>
      <c r="CW65" s="18">
        <f>Table1[[#This Row],[N(maxT)]]/Table1[[#This Row],[e2e sat]]</f>
        <v>0</v>
      </c>
      <c r="CX65" s="18" t="e">
        <f>Table1[[#This Row],[RPS]]/CW65</f>
        <v>#DIV/0!</v>
      </c>
      <c r="CY65" s="18" t="e">
        <f>Table1[[#This Row],[Kvcache]]/$T$4</f>
        <v>#DIV/0!</v>
      </c>
      <c r="GJ65"/>
    </row>
    <row r="66" spans="1:192" hidden="1" x14ac:dyDescent="0.25">
      <c r="A66" s="3">
        <v>3000</v>
      </c>
      <c r="B66" s="3">
        <v>1300</v>
      </c>
      <c r="C66">
        <v>3</v>
      </c>
      <c r="D66" s="199">
        <f>Table1[[#This Row],[Kvcache]]</f>
        <v>0.48496541880263877</v>
      </c>
      <c r="E66" s="207" t="s">
        <v>139</v>
      </c>
      <c r="F66" s="219">
        <v>46092</v>
      </c>
      <c r="G66" s="52"/>
      <c r="H66" s="52">
        <v>0.15257368677639888</v>
      </c>
      <c r="I66" s="52">
        <v>0.14194134164131386</v>
      </c>
      <c r="J66" s="52">
        <v>1.7632488303909035</v>
      </c>
      <c r="K66" s="52">
        <v>8.2933113336563018</v>
      </c>
      <c r="L66" s="52">
        <v>9.4203063583374025</v>
      </c>
      <c r="M66" s="52">
        <v>1.995583345049148E-2</v>
      </c>
      <c r="N66" s="52">
        <v>25.648822635112325</v>
      </c>
      <c r="O66" s="154">
        <v>9689.7121323529409</v>
      </c>
      <c r="P66" s="154">
        <v>3922.5095588235295</v>
      </c>
      <c r="Q66" s="51">
        <v>51.800653594771241</v>
      </c>
      <c r="R66" s="51">
        <v>89</v>
      </c>
      <c r="S66" s="169">
        <v>0.48496541880263877</v>
      </c>
      <c r="T66" s="169">
        <v>0.82036462373933283</v>
      </c>
      <c r="U66" s="53">
        <f>(Table1[[#This Row],[In-Tok]]+Table1[[#This Row],[Out-Tok]])*Table1[[#This Row],[RPS]]</f>
        <v>12900</v>
      </c>
      <c r="V66" s="54">
        <f>Table1[[#This Row],[In-Tok]]+AvgOutLoad*Table1[[#This Row],[Out-Tok]]</f>
        <v>3650</v>
      </c>
      <c r="W66" s="54">
        <f>Table1[[#This Row],[In-Tok]]*Table1[[#This Row],[RPS]]</f>
        <v>9000</v>
      </c>
      <c r="X66" s="55">
        <f>Table1[[#This Row],[Out-Tok]]*Table1[[#This Row],[RPS]]</f>
        <v>3900</v>
      </c>
      <c r="Y66" s="74">
        <f>Table1[[#This Row],[In-Tok]]/Table1[[#This Row],[Out-Tok]]</f>
        <v>2.3076923076923075</v>
      </c>
      <c r="Z66" s="53">
        <f>Table1[[#This Row],[In-Tok]]*Table1[[#This Row],[N]]+AvgOutLoad*Table1[[#This Row],[Out-Tok]]*Table1[[#This Row],[Ndecode]]</f>
        <v>287086.22898321191</v>
      </c>
      <c r="AA66" s="54">
        <f>Table1[[#This Row],[tok(N)]]/Table1[[#This Row],[Kvcache]]</f>
        <v>591972.57753350108</v>
      </c>
      <c r="AB66" s="54">
        <f>Table1[[#This Row],[tok/req]]*Table1[[#This Row],[Run]]</f>
        <v>189072.38562091504</v>
      </c>
      <c r="AC66" s="54">
        <f>Table1[[#This Row],[tok(Run)]]/Table1[[#This Row],[Kvcache]]</f>
        <v>389867.76848486968</v>
      </c>
      <c r="AD66" s="54">
        <f>Table1[[#This Row],[tok/req]]*Table1[[#This Row],[MaxRun]]</f>
        <v>324850</v>
      </c>
      <c r="AE66" s="54">
        <f>Table1[[#This Row],[tok(MaxRun)]]/Table1[[#This Row],[MaxKvcache]]</f>
        <v>395982.45779942314</v>
      </c>
      <c r="AF66" s="74">
        <f>Table1[[#This Row],[PPS]]*Table1[[#This Row],[Prefill]]/Table1[[#This Row],[In-Tok]]</f>
        <v>0.45845691339476419</v>
      </c>
      <c r="AG66" s="56">
        <f>Table1[[#This Row],[GPS]]*Table1[[#This Row],[ITL]]</f>
        <v>78.276947463843172</v>
      </c>
      <c r="AH66" s="56">
        <f>Table1[[#This Row],[Nprefill]]+Table1[[#This Row],[Ndecode]]</f>
        <v>78.735404377237941</v>
      </c>
      <c r="AI66" s="86">
        <f>Table1[[#This Row],[Run]]/Table1[[#This Row],[ITL]]/Table1[[#This Row],[GPS]]</f>
        <v>0.66176128826048608</v>
      </c>
      <c r="AJ66" s="85">
        <f>Table1[[#This Row],[Prefill]]+Table1[[#This Row],[ITL]]</f>
        <v>0.16189717509180535</v>
      </c>
      <c r="AK66" s="86">
        <f>Table1[[#This Row],[TTFT]]/Table1[[#This Row],[estTTFT]]</f>
        <v>0.94241105003765824</v>
      </c>
      <c r="AL66" s="56">
        <f>Table1[[#This Row],[In-Tok]]*Table1[[#This Row],[RPS]]/Table1[[#This Row],[PPS]]</f>
        <v>0.92882016277345703</v>
      </c>
      <c r="AM66" s="86">
        <f>Table1[[#This Row],[Prefill]]/Table1[[#This Row],[estPrefill]]</f>
        <v>0.15281897113158807</v>
      </c>
      <c r="AN66" s="86">
        <f>Table1[[#This Row],[Prefill]]/Table1[[#This Row],[TTFT]]</f>
        <v>0.93031337604978359</v>
      </c>
      <c r="AO66" s="85">
        <f>Table1[[#This Row],[Run]]/(Table1[[#This Row],[Out-Tok]]*Table1[[#This Row],[RPS]])</f>
        <v>1.3282218870454164E-2</v>
      </c>
      <c r="AP66" s="86">
        <f>Table1[[#This Row],[ITL]]/Table1[[#This Row],[estITL]]</f>
        <v>1.5024472676686982</v>
      </c>
      <c r="AQ66" s="87">
        <f>Table1[[#This Row],[E2E]]-Table1[[#This Row],[TTFT]]+Table1[[#This Row],[ITL]]</f>
        <v>25.516204781786417</v>
      </c>
      <c r="AR66" s="86">
        <f>Table1[[#This Row],[estDecode]]/Table1[[#This Row],[Run]]</f>
        <v>0.49258461063823378</v>
      </c>
      <c r="AS66" s="87">
        <f>Table1[[#This Row],[Prefill]]+Table1[[#This Row],[Out-Tok]]*Table1[[#This Row],[ITL]]</f>
        <v>26.084524827280237</v>
      </c>
      <c r="AT66" s="56">
        <f>Table1[[#This Row],[estPrefill]]+Table1[[#This Row],[Out-Tok]]*Table1[[#This Row],[ITL]]</f>
        <v>26.871403648412382</v>
      </c>
      <c r="AU66" s="86">
        <f>Table1[[#This Row],[E2E]]/Table1[[#This Row],[estE2E]]</f>
        <v>0.9545025250896304</v>
      </c>
      <c r="AV66" s="56">
        <f>Table1[[#This Row],[N]]/Table1[[#This Row],[estE2E]]</f>
        <v>2.9300815620731369</v>
      </c>
      <c r="AW66" s="56">
        <f>Table1[[#This Row],[PPS]]/Table1[[#This Row],[In-Tok]]</f>
        <v>3.2299040441176468</v>
      </c>
      <c r="AX66" s="86">
        <f>Table1[[#This Row],[RPS]]/Table1[[#This Row],[RPS(IL)]]</f>
        <v>0.92882016277345714</v>
      </c>
      <c r="AY66" s="56">
        <f>Table1[[#This Row],[GPS]]/Table1[[#This Row],[Out-Tok]]</f>
        <v>3.0173150452488686</v>
      </c>
      <c r="AZ66" s="88">
        <f>Table1[[#This Row],[RPS]]/Table1[[#This Row],[RPS(OL)]]</f>
        <v>0.99426143939588496</v>
      </c>
      <c r="BA66" s="137">
        <f>MaxTok/Table1[[#This Row],[tok/req]]</f>
        <v>106.27733205275487</v>
      </c>
      <c r="BB66" s="57">
        <f>Table1[[#This Row],[N]]/Table1[[#This Row],[N-max]]</f>
        <v>0.74084852203623786</v>
      </c>
      <c r="BC66" s="58">
        <f>Table1[[#This Row],[RPS]]</f>
        <v>3</v>
      </c>
      <c r="BD66" s="154">
        <f>Table1[[#This Row],[PPS]]/Table1[[#This Row],[RPS success]]</f>
        <v>3229.9040441176471</v>
      </c>
      <c r="BE66" s="57">
        <f>ABS(Table1[[#This Row],[est-In-Tok3]]-Table1[[#This Row],[In-Tok]])/Table1[[#This Row],[In-Tok]]</f>
        <v>7.6634681372549043E-2</v>
      </c>
      <c r="BF66" s="154">
        <f>Table1[[#This Row],[GPS]]/Table1[[#This Row],[RPS success]]</f>
        <v>1307.5031862745097</v>
      </c>
      <c r="BG66" s="57">
        <f>ABS(Table1[[#This Row],[est-Out-Tok3]]-Table1[[#This Row],[Out-Tok]])/Table1[[#This Row],[Out-Tok]]</f>
        <v>5.7716817496228801E-3</v>
      </c>
      <c r="BH66" s="161">
        <f>Table1[[#This Row],[est-In-Tok3]]+AvgOutLoad*Table1[[#This Row],[est-Out-Tok3]]</f>
        <v>3883.6556372549021</v>
      </c>
      <c r="BI66" s="57">
        <f>ABS(Table1[[#This Row],[est-Tok/Req3]]-Table1[[#This Row],[tok/req]])/Table1[[#This Row],[tok/req]]</f>
        <v>6.4015243083534817E-2</v>
      </c>
      <c r="BJ66" s="161">
        <f>MaxTok/Table1[[#This Row],[est-Tok/Req3]]</f>
        <v>99.883279627424599</v>
      </c>
      <c r="BK66" s="57">
        <f>ABS(Table1[[#This Row],[est-N-max3]]-Table1[[#This Row],[N-max]])/Table1[[#This Row],[N-max]]</f>
        <v>6.0163840226590715E-2</v>
      </c>
      <c r="BL66" s="58">
        <f>MaxTok*Table1[[#This Row],[Kvcache]]/Table1[[#This Row],[Run]]</f>
        <v>3631.6922575449466</v>
      </c>
      <c r="BM66" s="169">
        <f>ABS(Table1[[#This Row],[est-Tok/Req]]-Table1[[#This Row],[tok/req]])/Table1[[#This Row],[tok/req]]</f>
        <v>5.0158198506995502E-3</v>
      </c>
      <c r="BN66" s="58">
        <f>MaxTok/Table1[[#This Row],[est-Tok/Req]]</f>
        <v>106.81308725612867</v>
      </c>
      <c r="BO66" s="179">
        <f>Table1[[#This Row],[Run]]/Table1[[#This Row],[Kvcache]]</f>
        <v>106.81308725612867</v>
      </c>
      <c r="BP66" s="137" cm="1">
        <f t="array" aca="1" ref="BP66" ca="1">_xlfn.CEILING.MATH(INDIRECT("Table1"&amp;BP$3)/BP$2)*BP$2</f>
        <v>4000</v>
      </c>
      <c r="BQ66" s="186" cm="1">
        <f t="array" aca="1" ref="BQ66" ca="1">_xlfn.CEILING.MATH(INDIRECT("Table1"&amp;BQ$3)/BQ$2)*BQ$2</f>
        <v>0.02</v>
      </c>
      <c r="BR66" s="57" cm="1">
        <f t="array" aca="1" ref="BR66" ca="1">_xlfn.CEILING.MATH(INDIRECT("Table1"&amp;BR$3)/BR$2)*BR$2</f>
        <v>0.5</v>
      </c>
      <c r="BS66" s="57" cm="1">
        <f t="array" aca="1" ref="BS66" ca="1">_xlfn.CEILING.MATH(INDIRECT("Table1"&amp;BS$3)/BS$2)*BS$2</f>
        <v>0.49</v>
      </c>
      <c r="BT66" s="50" cm="1">
        <f t="array" aca="1" ref="BT66" ca="1">_xlfn.CEILING.MATH(INDIRECT("Table1"&amp;BT$3)/BT$2)*BT$2</f>
        <v>52</v>
      </c>
      <c r="BU66" s="137" cm="1">
        <f t="array" aca="1" ref="BU66" ca="1">_xlfn.CEILING.MATH(INDIRECT("Table1"&amp;BU$3)/BU$2)*BU$2</f>
        <v>5</v>
      </c>
      <c r="BV66" s="137" cm="1">
        <f t="array" aca="1" ref="BV66" ca="1">_xlfn.CEILING.MATH(INDIRECT("Table1"&amp;BV$3)/BV$2)*BV$2</f>
        <v>3000</v>
      </c>
      <c r="BW66" s="41"/>
      <c r="BX66" s="41"/>
      <c r="BY66" s="190">
        <v>0.82036462373933283</v>
      </c>
      <c r="BZ66" s="41"/>
      <c r="CA66" s="12">
        <f>(Table1[[#This Row],[In-Tok]]+Table1[[#This Row],[Out-Tok]])*Table1[[#This Row],[RPS]]</f>
        <v>12900</v>
      </c>
      <c r="CB66" s="3">
        <f t="shared" si="17"/>
        <v>395982.45779942314</v>
      </c>
      <c r="CC66" s="3">
        <f>Table1[[#This Row],[Supply]]/(Table1[[#This Row],[Prefill]]+Table1[[#This Row],[Out-Tok]]*Table1[[#This Row],[ITL]])</f>
        <v>15180.742621206919</v>
      </c>
      <c r="CD66" s="3">
        <f>Table1[[#This Row],[MaxRun]]/Table1[[#This Row],[ITL]]</f>
        <v>4459.8488066559839</v>
      </c>
      <c r="CE66" s="3">
        <f>Table1[[#This Row],[Out-Tok]]*Table1[[#This Row],[RPS]]</f>
        <v>3900</v>
      </c>
      <c r="CF66" s="5">
        <f>Table1[[#This Row],[Supply]]/Table1[[#This Row],[Demand-T]]</f>
        <v>30.696314558094816</v>
      </c>
      <c r="CH66" s="8">
        <f>Table1[[#This Row],[Prefill]]+Table1[[#This Row],[Out-Tok]]*Table1[[#This Row],[ITL]]</f>
        <v>26.084524827280237</v>
      </c>
      <c r="CI66" s="8">
        <f>Table1[[#This Row],[GPS]]*Table1[[#This Row],[ITL]]</f>
        <v>78.276947463843172</v>
      </c>
      <c r="CJ66" s="14">
        <f>Table1[[#This Row],[PPS]]*Table1[[#This Row],[Prefill]]/Table1[[#This Row],[In-Tok]]</f>
        <v>0.45845691339476419</v>
      </c>
      <c r="CK66" s="8">
        <f t="shared" si="19"/>
        <v>78.735404377237941</v>
      </c>
      <c r="CL66" s="8">
        <f>Table1[[#This Row],[PPS]]/Table1[[#This Row],[In-Tok]]</f>
        <v>3.2299040441176468</v>
      </c>
      <c r="CM66" s="8">
        <f>Table1[[#This Row],[GPS]]/Table1[[#This Row],[Out-Tok]]</f>
        <v>3.0173150452488686</v>
      </c>
      <c r="CN66" s="8">
        <f>Table1[[#This Row],[Run]]/Table1[[#This Row],[E2E]]</f>
        <v>2.0196113611802979</v>
      </c>
      <c r="CO66" s="8">
        <f>Table1[[#This Row],[N2]]/Table1[[#This Row],[E2E]]</f>
        <v>3.0697473134479076</v>
      </c>
      <c r="CP66" s="8"/>
      <c r="CQ66" s="8">
        <f>Table1[[#This Row],[In-Tok]]+AvgOutLoad*Table1[[#This Row],[Out-Tok]]</f>
        <v>3650</v>
      </c>
      <c r="CR66" s="8">
        <f t="shared" si="20"/>
        <v>530306.27222321089</v>
      </c>
      <c r="CS66" s="8" t="e">
        <f t="shared" si="21"/>
        <v>#DIV/0!</v>
      </c>
      <c r="CT66" s="8" t="e">
        <f t="shared" si="18"/>
        <v>#DIV/0!</v>
      </c>
      <c r="CU66" s="8">
        <f t="shared" si="22"/>
        <v>0</v>
      </c>
      <c r="CV66" s="8" t="e">
        <f t="shared" si="23"/>
        <v>#DIV/0!</v>
      </c>
      <c r="CW66" s="8">
        <f>Table1[[#This Row],[N(maxT)]]/Table1[[#This Row],[e2e sat]]</f>
        <v>0</v>
      </c>
      <c r="CX66" s="8" t="e">
        <f>Table1[[#This Row],[RPS]]/CW66</f>
        <v>#DIV/0!</v>
      </c>
      <c r="CY66" s="8" t="e">
        <f>Table1[[#This Row],[Kvcache]]/$T$4</f>
        <v>#DIV/0!</v>
      </c>
      <c r="GJ66"/>
    </row>
    <row r="67" spans="1:192" hidden="1" x14ac:dyDescent="0.25">
      <c r="A67" s="3">
        <v>3000</v>
      </c>
      <c r="B67" s="3">
        <v>1400</v>
      </c>
      <c r="C67">
        <v>3</v>
      </c>
      <c r="D67" s="199">
        <f>Table1[[#This Row],[Kvcache]]</f>
        <v>0.52573215671062834</v>
      </c>
      <c r="E67" s="208" t="s">
        <v>139</v>
      </c>
      <c r="F67" s="219">
        <v>46092</v>
      </c>
      <c r="G67" s="10"/>
      <c r="H67" s="10">
        <v>0.43090934808373771</v>
      </c>
      <c r="I67" s="10">
        <v>0.17051431715836304</v>
      </c>
      <c r="J67" s="10">
        <v>2.8121873125772447</v>
      </c>
      <c r="K67" s="10">
        <v>8.6551060199737542</v>
      </c>
      <c r="L67" s="10">
        <v>10.2838476228714</v>
      </c>
      <c r="M67" s="10">
        <v>2.045607145350236E-2</v>
      </c>
      <c r="N67" s="10">
        <v>28.855240939884595</v>
      </c>
      <c r="O67" s="47">
        <v>9930.9933333333356</v>
      </c>
      <c r="P67" s="47">
        <v>4343.9666666666672</v>
      </c>
      <c r="Q67" s="5">
        <v>55.5</v>
      </c>
      <c r="R67" s="5">
        <v>95.5</v>
      </c>
      <c r="S67" s="170">
        <v>0.52573215671062834</v>
      </c>
      <c r="T67" s="169">
        <v>0.90232738557020942</v>
      </c>
      <c r="U67" s="53">
        <f>(Table1[[#This Row],[In-Tok]]+Table1[[#This Row],[Out-Tok]])*Table1[[#This Row],[RPS]]</f>
        <v>13200</v>
      </c>
      <c r="V67" s="54">
        <f>Table1[[#This Row],[In-Tok]]+AvgOutLoad*Table1[[#This Row],[Out-Tok]]</f>
        <v>3700</v>
      </c>
      <c r="W67" s="54">
        <f>Table1[[#This Row],[In-Tok]]*Table1[[#This Row],[RPS]]</f>
        <v>9000</v>
      </c>
      <c r="X67" s="55">
        <f>Table1[[#This Row],[Out-Tok]]*Table1[[#This Row],[RPS]]</f>
        <v>4200</v>
      </c>
      <c r="Y67" s="74">
        <f>Table1[[#This Row],[In-Tok]]/Table1[[#This Row],[Out-Tok]]</f>
        <v>2.1428571428571428</v>
      </c>
      <c r="Z67" s="53">
        <f>Table1[[#This Row],[In-Tok]]*Table1[[#This Row],[N]]+AvgOutLoad*Table1[[#This Row],[Out-Tok]]*Table1[[#This Row],[Ndecode]]</f>
        <v>330477.19888931111</v>
      </c>
      <c r="AA67" s="54">
        <f>Table1[[#This Row],[tok(N)]]/Table1[[#This Row],[Kvcache]]</f>
        <v>628603.73798898363</v>
      </c>
      <c r="AB67" s="54">
        <f>Table1[[#This Row],[tok/req]]*Table1[[#This Row],[Run]]</f>
        <v>205350</v>
      </c>
      <c r="AC67" s="54">
        <f>Table1[[#This Row],[tok(Run)]]/Table1[[#This Row],[Kvcache]]</f>
        <v>390598.13515083888</v>
      </c>
      <c r="AD67" s="54">
        <f>Table1[[#This Row],[tok/req]]*Table1[[#This Row],[MaxRun]]</f>
        <v>353350</v>
      </c>
      <c r="AE67" s="54">
        <f>Table1[[#This Row],[tok(MaxRun)]]/Table1[[#This Row],[MaxKvcache]]</f>
        <v>391598.44381394552</v>
      </c>
      <c r="AF67" s="74">
        <f>Table1[[#This Row],[PPS]]*Table1[[#This Row],[Prefill]]/Table1[[#This Row],[In-Tok]]</f>
        <v>0.56445884897919651</v>
      </c>
      <c r="AG67" s="56">
        <f>Table1[[#This Row],[GPS]]*Table1[[#This Row],[ITL]]</f>
        <v>88.860492524965807</v>
      </c>
      <c r="AH67" s="56">
        <f>Table1[[#This Row],[Nprefill]]+Table1[[#This Row],[Ndecode]]</f>
        <v>89.424951373945007</v>
      </c>
      <c r="AI67" s="86">
        <f>Table1[[#This Row],[Run]]/Table1[[#This Row],[ITL]]/Table1[[#This Row],[GPS]]</f>
        <v>0.62457452601229946</v>
      </c>
      <c r="AJ67" s="85">
        <f>Table1[[#This Row],[Prefill]]+Table1[[#This Row],[ITL]]</f>
        <v>0.19097038861186541</v>
      </c>
      <c r="AK67" s="86">
        <f>Table1[[#This Row],[TTFT]]/Table1[[#This Row],[estTTFT]]</f>
        <v>2.2564197057771729</v>
      </c>
      <c r="AL67" s="56">
        <f>Table1[[#This Row],[In-Tok]]*Table1[[#This Row],[RPS]]/Table1[[#This Row],[PPS]]</f>
        <v>0.90625375507921646</v>
      </c>
      <c r="AM67" s="86">
        <f>Table1[[#This Row],[Prefill]]/Table1[[#This Row],[estPrefill]]</f>
        <v>0.18815294965973214</v>
      </c>
      <c r="AN67" s="86">
        <f>Table1[[#This Row],[Prefill]]/Table1[[#This Row],[TTFT]]</f>
        <v>0.39570809479219593</v>
      </c>
      <c r="AO67" s="85">
        <f>Table1[[#This Row],[Run]]/(Table1[[#This Row],[Out-Tok]]*Table1[[#This Row],[RPS]])</f>
        <v>1.3214285714285715E-2</v>
      </c>
      <c r="AP67" s="86">
        <f>Table1[[#This Row],[ITL]]/Table1[[#This Row],[estITL]]</f>
        <v>1.5480270289136919</v>
      </c>
      <c r="AQ67" s="87">
        <f>Table1[[#This Row],[E2E]]-Table1[[#This Row],[TTFT]]+Table1[[#This Row],[ITL]]</f>
        <v>28.44478766325436</v>
      </c>
      <c r="AR67" s="86">
        <f>Table1[[#This Row],[estDecode]]/Table1[[#This Row],[Run]]</f>
        <v>0.51251869663521366</v>
      </c>
      <c r="AS67" s="87">
        <f>Table1[[#This Row],[Prefill]]+Table1[[#This Row],[Out-Tok]]*Table1[[#This Row],[ITL]]</f>
        <v>28.80901435206167</v>
      </c>
      <c r="AT67" s="56">
        <f>Table1[[#This Row],[estPrefill]]+Table1[[#This Row],[Out-Tok]]*Table1[[#This Row],[ITL]]</f>
        <v>29.544753789982522</v>
      </c>
      <c r="AU67" s="86">
        <f>Table1[[#This Row],[E2E]]/Table1[[#This Row],[estE2E]]</f>
        <v>0.97666208847095848</v>
      </c>
      <c r="AV67" s="56">
        <f>Table1[[#This Row],[N]]/Table1[[#This Row],[estE2E]]</f>
        <v>3.0267624502684307</v>
      </c>
      <c r="AW67" s="56">
        <f>Table1[[#This Row],[PPS]]/Table1[[#This Row],[In-Tok]]</f>
        <v>3.310331111111112</v>
      </c>
      <c r="AX67" s="86">
        <f>Table1[[#This Row],[RPS]]/Table1[[#This Row],[RPS(IL)]]</f>
        <v>0.90625375507921635</v>
      </c>
      <c r="AY67" s="56">
        <f>Table1[[#This Row],[GPS]]/Table1[[#This Row],[Out-Tok]]</f>
        <v>3.1028333333333338</v>
      </c>
      <c r="AZ67" s="88">
        <f>Table1[[#This Row],[RPS]]/Table1[[#This Row],[RPS(OL)]]</f>
        <v>0.96685824783799734</v>
      </c>
      <c r="BA67" s="137">
        <f>MaxTok/Table1[[#This Row],[tok/req]]</f>
        <v>104.84115188987981</v>
      </c>
      <c r="BB67" s="57">
        <f>Table1[[#This Row],[N]]/Table1[[#This Row],[N-max]]</f>
        <v>0.85295658967838073</v>
      </c>
      <c r="BC67" s="44">
        <f>Table1[[#This Row],[RPS]]</f>
        <v>3</v>
      </c>
      <c r="BD67" s="47">
        <f>Table1[[#This Row],[PPS]]/Table1[[#This Row],[RPS success]]</f>
        <v>3310.331111111112</v>
      </c>
      <c r="BE67" s="4">
        <f>ABS(Table1[[#This Row],[est-In-Tok3]]-Table1[[#This Row],[In-Tok]])/Table1[[#This Row],[In-Tok]]</f>
        <v>0.10344370370370401</v>
      </c>
      <c r="BF67" s="47">
        <f>Table1[[#This Row],[GPS]]/Table1[[#This Row],[RPS success]]</f>
        <v>1447.9888888888891</v>
      </c>
      <c r="BG67" s="4">
        <f>ABS(Table1[[#This Row],[est-Out-Tok3]]-Table1[[#This Row],[Out-Tok]])/Table1[[#This Row],[Out-Tok]]</f>
        <v>3.4277777777777893E-2</v>
      </c>
      <c r="BH67" s="162">
        <f>Table1[[#This Row],[est-In-Tok3]]+AvgOutLoad*Table1[[#This Row],[est-Out-Tok3]]</f>
        <v>4034.3255555555565</v>
      </c>
      <c r="BI67" s="4">
        <f>ABS(Table1[[#This Row],[est-Tok/Req3]]-Table1[[#This Row],[tok/req]])/Table1[[#This Row],[tok/req]]</f>
        <v>9.0358258258258523E-2</v>
      </c>
      <c r="BJ67" s="162">
        <f>MaxTok/Table1[[#This Row],[est-Tok/Req3]]</f>
        <v>96.152939729509981</v>
      </c>
      <c r="BK67" s="4">
        <f>ABS(Table1[[#This Row],[est-N-max3]]-Table1[[#This Row],[N-max]])/Table1[[#This Row],[N-max]]</f>
        <v>8.2870247071450687E-2</v>
      </c>
      <c r="BL67" s="44">
        <f>MaxTok*Table1[[#This Row],[Kvcache]]/Table1[[#This Row],[Run]]</f>
        <v>3674.557659672872</v>
      </c>
      <c r="BM67" s="170">
        <f>ABS(Table1[[#This Row],[est-Tok/Req]]-Table1[[#This Row],[tok/req]])/Table1[[#This Row],[tok/req]]</f>
        <v>6.876308196521087E-3</v>
      </c>
      <c r="BN67" s="44">
        <f>MaxTok/Table1[[#This Row],[est-Tok/Req]]</f>
        <v>105.56706355428076</v>
      </c>
      <c r="BO67" s="180">
        <f>Table1[[#This Row],[Run]]/Table1[[#This Row],[Kvcache]]</f>
        <v>105.56706355428076</v>
      </c>
      <c r="BP67" s="135" cm="1">
        <f t="array" aca="1" ref="BP67" ca="1">_xlfn.CEILING.MATH(INDIRECT("Table1"&amp;BP$3)/BP$2)*BP$2</f>
        <v>4000</v>
      </c>
      <c r="BQ67" s="187" cm="1">
        <f t="array" aca="1" ref="BQ67" ca="1">_xlfn.CEILING.MATH(INDIRECT("Table1"&amp;BQ$3)/BQ$2)*BQ$2</f>
        <v>2.5000000000000001E-2</v>
      </c>
      <c r="BR67" s="4" cm="1">
        <f t="array" aca="1" ref="BR67" ca="1">_xlfn.CEILING.MATH(INDIRECT("Table1"&amp;BR$3)/BR$2)*BR$2</f>
        <v>0.60000000000000009</v>
      </c>
      <c r="BS67" s="4" cm="1">
        <f t="array" aca="1" ref="BS67" ca="1">_xlfn.CEILING.MATH(INDIRECT("Table1"&amp;BS$3)/BS$2)*BS$2</f>
        <v>0.53</v>
      </c>
      <c r="BT67" s="3" cm="1">
        <f t="array" aca="1" ref="BT67" ca="1">_xlfn.CEILING.MATH(INDIRECT("Table1"&amp;BT$3)/BT$2)*BT$2</f>
        <v>56</v>
      </c>
      <c r="BU67" s="135" cm="1">
        <f t="array" aca="1" ref="BU67" ca="1">_xlfn.CEILING.MATH(INDIRECT("Table1"&amp;BU$3)/BU$2)*BU$2</f>
        <v>5</v>
      </c>
      <c r="BV67" s="135" cm="1">
        <f t="array" aca="1" ref="BV67" ca="1">_xlfn.CEILING.MATH(INDIRECT("Table1"&amp;BV$3)/BV$2)*BV$2</f>
        <v>3000</v>
      </c>
      <c r="BW67" s="4"/>
      <c r="BX67" s="4"/>
      <c r="BY67" s="190">
        <v>0.90232738557020942</v>
      </c>
      <c r="BZ67" s="4"/>
      <c r="CA67" s="12">
        <f>(Table1[[#This Row],[In-Tok]]+Table1[[#This Row],[Out-Tok]])*Table1[[#This Row],[RPS]]</f>
        <v>13200</v>
      </c>
      <c r="CB67" s="3">
        <f t="shared" si="17"/>
        <v>391598.44381394552</v>
      </c>
      <c r="CC67" s="3">
        <f>Table1[[#This Row],[Supply]]/(Table1[[#This Row],[Prefill]]+Table1[[#This Row],[Out-Tok]]*Table1[[#This Row],[ITL]])</f>
        <v>13592.913628644203</v>
      </c>
      <c r="CD67" s="3">
        <f>Table1[[#This Row],[MaxRun]]/Table1[[#This Row],[ITL]]</f>
        <v>4668.5405952494893</v>
      </c>
      <c r="CE67" s="3">
        <f>Table1[[#This Row],[Out-Tok]]*Table1[[#This Row],[RPS]]</f>
        <v>4200</v>
      </c>
      <c r="CF67" s="5">
        <f>Table1[[#This Row],[Supply]]/Table1[[#This Row],[Demand-T]]</f>
        <v>29.666548773783752</v>
      </c>
      <c r="CH67" s="8">
        <f>Table1[[#This Row],[Prefill]]+Table1[[#This Row],[Out-Tok]]*Table1[[#This Row],[ITL]]</f>
        <v>28.80901435206167</v>
      </c>
      <c r="CI67" s="8">
        <f>Table1[[#This Row],[GPS]]*Table1[[#This Row],[ITL]]</f>
        <v>88.860492524965807</v>
      </c>
      <c r="CJ67" s="14">
        <f>Table1[[#This Row],[PPS]]*Table1[[#This Row],[Prefill]]/Table1[[#This Row],[In-Tok]]</f>
        <v>0.56445884897919651</v>
      </c>
      <c r="CK67" s="8">
        <f t="shared" si="19"/>
        <v>89.424951373945007</v>
      </c>
      <c r="CL67" s="8">
        <f>Table1[[#This Row],[PPS]]/Table1[[#This Row],[In-Tok]]</f>
        <v>3.310331111111112</v>
      </c>
      <c r="CM67" s="8">
        <f>Table1[[#This Row],[GPS]]/Table1[[#This Row],[Out-Tok]]</f>
        <v>3.1028333333333338</v>
      </c>
      <c r="CN67" s="8">
        <f>Table1[[#This Row],[Run]]/Table1[[#This Row],[E2E]]</f>
        <v>1.9233940938363889</v>
      </c>
      <c r="CO67" s="8">
        <f>Table1[[#This Row],[N2]]/Table1[[#This Row],[E2E]]</f>
        <v>3.0990887083649024</v>
      </c>
      <c r="CP67" s="8"/>
      <c r="CQ67" s="8">
        <f>Table1[[#This Row],[In-Tok]]+AvgOutLoad*Table1[[#This Row],[Out-Tok]]</f>
        <v>3700</v>
      </c>
      <c r="CR67" s="8">
        <f t="shared" si="20"/>
        <v>582258.50044571899</v>
      </c>
      <c r="CS67" s="8" t="e">
        <f t="shared" si="21"/>
        <v>#DIV/0!</v>
      </c>
      <c r="CT67" s="8" t="e">
        <f t="shared" si="18"/>
        <v>#DIV/0!</v>
      </c>
      <c r="CU67" s="8">
        <f t="shared" si="22"/>
        <v>0</v>
      </c>
      <c r="CV67" s="8" t="e">
        <f t="shared" si="23"/>
        <v>#DIV/0!</v>
      </c>
      <c r="CW67" s="8">
        <f>Table1[[#This Row],[N(maxT)]]/Table1[[#This Row],[e2e sat]]</f>
        <v>0</v>
      </c>
      <c r="CX67" s="8" t="e">
        <f>Table1[[#This Row],[RPS]]/CW67</f>
        <v>#DIV/0!</v>
      </c>
      <c r="CY67" s="8" t="e">
        <f>Table1[[#This Row],[Kvcache]]/$T$4</f>
        <v>#DIV/0!</v>
      </c>
      <c r="GJ67"/>
    </row>
    <row r="68" spans="1:192" hidden="1" x14ac:dyDescent="0.25">
      <c r="A68" s="3">
        <v>3000</v>
      </c>
      <c r="B68" s="3">
        <v>1500</v>
      </c>
      <c r="C68">
        <v>3</v>
      </c>
      <c r="D68" s="199">
        <f>Table1[[#This Row],[Kvcache]]</f>
        <v>0.58152480833295317</v>
      </c>
      <c r="E68" s="208" t="s">
        <v>139</v>
      </c>
      <c r="F68" s="219">
        <v>46092</v>
      </c>
      <c r="G68" s="10"/>
      <c r="H68" s="10">
        <v>0.15142445000389071</v>
      </c>
      <c r="I68" s="10">
        <v>0.14617989457196995</v>
      </c>
      <c r="J68" s="10">
        <v>1.7576015529963041</v>
      </c>
      <c r="K68" s="10">
        <v>5.252424871921539</v>
      </c>
      <c r="L68" s="10">
        <v>5.5958923101425162</v>
      </c>
      <c r="M68" s="10">
        <v>2.1612713884395868E-2</v>
      </c>
      <c r="N68" s="10">
        <v>31.610587374291057</v>
      </c>
      <c r="O68" s="47">
        <v>9311.5470833333347</v>
      </c>
      <c r="P68" s="47">
        <v>3953.8179166666669</v>
      </c>
      <c r="Q68" s="5">
        <v>60.935661764705884</v>
      </c>
      <c r="R68" s="5">
        <v>97.5</v>
      </c>
      <c r="S68" s="170">
        <v>0.58152480833295317</v>
      </c>
      <c r="T68" s="169">
        <v>0.95833979829325056</v>
      </c>
      <c r="U68" s="53">
        <f>(Table1[[#This Row],[In-Tok]]+Table1[[#This Row],[Out-Tok]])*Table1[[#This Row],[RPS]]</f>
        <v>13500</v>
      </c>
      <c r="V68" s="54">
        <f>Table1[[#This Row],[In-Tok]]+AvgOutLoad*Table1[[#This Row],[Out-Tok]]</f>
        <v>3750</v>
      </c>
      <c r="W68" s="54">
        <f>Table1[[#This Row],[In-Tok]]*Table1[[#This Row],[RPS]]</f>
        <v>9000</v>
      </c>
      <c r="X68" s="55">
        <f>Table1[[#This Row],[Out-Tok]]*Table1[[#This Row],[RPS]]</f>
        <v>4500</v>
      </c>
      <c r="Y68" s="74">
        <f>Table1[[#This Row],[In-Tok]]/Table1[[#This Row],[Out-Tok]]</f>
        <v>2</v>
      </c>
      <c r="Z68" s="53">
        <f>Table1[[#This Row],[In-Tok]]*Table1[[#This Row],[N]]+AvgOutLoad*Table1[[#This Row],[Out-Tok]]*Table1[[#This Row],[Ndecode]]</f>
        <v>321808.91866062419</v>
      </c>
      <c r="AA68" s="54">
        <f>Table1[[#This Row],[tok(N)]]/Table1[[#This Row],[Kvcache]]</f>
        <v>553388.11698016478</v>
      </c>
      <c r="AB68" s="54">
        <f>Table1[[#This Row],[tok/req]]*Table1[[#This Row],[Run]]</f>
        <v>228508.73161764708</v>
      </c>
      <c r="AC68" s="54">
        <f>Table1[[#This Row],[tok(Run)]]/Table1[[#This Row],[Kvcache]]</f>
        <v>392947.52062720933</v>
      </c>
      <c r="AD68" s="54">
        <f>Table1[[#This Row],[tok/req]]*Table1[[#This Row],[MaxRun]]</f>
        <v>365625</v>
      </c>
      <c r="AE68" s="54">
        <f>Table1[[#This Row],[tok(MaxRun)]]/Table1[[#This Row],[MaxKvcache]]</f>
        <v>381519.16538492678</v>
      </c>
      <c r="AF68" s="74">
        <f>Table1[[#This Row],[PPS]]*Table1[[#This Row],[Prefill]]/Table1[[#This Row],[In-Tok]]</f>
        <v>0.45372032364786702</v>
      </c>
      <c r="AG68" s="56">
        <f>Table1[[#This Row],[GPS]]*Table1[[#This Row],[ITL]]</f>
        <v>85.452735383914813</v>
      </c>
      <c r="AH68" s="56">
        <f>Table1[[#This Row],[Nprefill]]+Table1[[#This Row],[Ndecode]]</f>
        <v>85.906455707562685</v>
      </c>
      <c r="AI68" s="86">
        <f>Table1[[#This Row],[Run]]/Table1[[#This Row],[ITL]]/Table1[[#This Row],[GPS]]</f>
        <v>0.71309199747602336</v>
      </c>
      <c r="AJ68" s="85">
        <f>Table1[[#This Row],[Prefill]]+Table1[[#This Row],[ITL]]</f>
        <v>0.16779260845636582</v>
      </c>
      <c r="AK68" s="86">
        <f>Table1[[#This Row],[TTFT]]/Table1[[#This Row],[estTTFT]]</f>
        <v>0.90245006259181182</v>
      </c>
      <c r="AL68" s="56">
        <f>Table1[[#This Row],[In-Tok]]*Table1[[#This Row],[RPS]]/Table1[[#This Row],[PPS]]</f>
        <v>0.96654185598320497</v>
      </c>
      <c r="AM68" s="86">
        <f>Table1[[#This Row],[Prefill]]/Table1[[#This Row],[estPrefill]]</f>
        <v>0.15124010788262235</v>
      </c>
      <c r="AN68" s="86">
        <f>Table1[[#This Row],[Prefill]]/Table1[[#This Row],[TTFT]]</f>
        <v>0.96536520072031951</v>
      </c>
      <c r="AO68" s="85">
        <f>Table1[[#This Row],[Run]]/(Table1[[#This Row],[Out-Tok]]*Table1[[#This Row],[RPS]])</f>
        <v>1.3541258169934641E-2</v>
      </c>
      <c r="AP68" s="86">
        <f>Table1[[#This Row],[ITL]]/Table1[[#This Row],[estITL]]</f>
        <v>1.5960639412652291</v>
      </c>
      <c r="AQ68" s="87">
        <f>Table1[[#This Row],[E2E]]-Table1[[#This Row],[TTFT]]+Table1[[#This Row],[ITL]]</f>
        <v>31.480775638171561</v>
      </c>
      <c r="AR68" s="86">
        <f>Table1[[#This Row],[estDecode]]/Table1[[#This Row],[Run]]</f>
        <v>0.51662318462594137</v>
      </c>
      <c r="AS68" s="87">
        <f>Table1[[#This Row],[Prefill]]+Table1[[#This Row],[Out-Tok]]*Table1[[#This Row],[ITL]]</f>
        <v>32.565250721165775</v>
      </c>
      <c r="AT68" s="56">
        <f>Table1[[#This Row],[estPrefill]]+Table1[[#This Row],[Out-Tok]]*Table1[[#This Row],[ITL]]</f>
        <v>33.385612682577005</v>
      </c>
      <c r="AU68" s="86">
        <f>Table1[[#This Row],[E2E]]/Table1[[#This Row],[estE2E]]</f>
        <v>0.94683262742060503</v>
      </c>
      <c r="AV68" s="56">
        <f>Table1[[#This Row],[N]]/Table1[[#This Row],[estE2E]]</f>
        <v>2.5731579804852527</v>
      </c>
      <c r="AW68" s="56">
        <f>Table1[[#This Row],[PPS]]/Table1[[#This Row],[In-Tok]]</f>
        <v>3.1038490277777782</v>
      </c>
      <c r="AX68" s="86">
        <f>Table1[[#This Row],[RPS]]/Table1[[#This Row],[RPS(IL)]]</f>
        <v>0.96654185598320497</v>
      </c>
      <c r="AY68" s="56">
        <f>Table1[[#This Row],[GPS]]/Table1[[#This Row],[Out-Tok]]</f>
        <v>2.6358786111111114</v>
      </c>
      <c r="AZ68" s="88">
        <f>Table1[[#This Row],[RPS]]/Table1[[#This Row],[RPS(OL)]]</f>
        <v>1.1381404239762769</v>
      </c>
      <c r="BA68" s="137">
        <f>MaxTok/Table1[[#This Row],[tok/req]]</f>
        <v>103.44326986468141</v>
      </c>
      <c r="BB68" s="57">
        <f>Table1[[#This Row],[N]]/Table1[[#This Row],[N-max]]</f>
        <v>0.83046925933355176</v>
      </c>
      <c r="BC68" s="44">
        <f>Table1[[#This Row],[RPS]]</f>
        <v>3</v>
      </c>
      <c r="BD68" s="47">
        <f>Table1[[#This Row],[PPS]]/Table1[[#This Row],[RPS success]]</f>
        <v>3103.8490277777782</v>
      </c>
      <c r="BE68" s="4">
        <f>ABS(Table1[[#This Row],[est-In-Tok3]]-Table1[[#This Row],[In-Tok]])/Table1[[#This Row],[In-Tok]]</f>
        <v>3.4616342592592747E-2</v>
      </c>
      <c r="BF68" s="47">
        <f>Table1[[#This Row],[GPS]]/Table1[[#This Row],[RPS success]]</f>
        <v>1317.9393055555556</v>
      </c>
      <c r="BG68" s="4">
        <f>ABS(Table1[[#This Row],[est-Out-Tok3]]-Table1[[#This Row],[Out-Tok]])/Table1[[#This Row],[Out-Tok]]</f>
        <v>0.12137379629629626</v>
      </c>
      <c r="BH68" s="162">
        <f>Table1[[#This Row],[est-In-Tok3]]+AvgOutLoad*Table1[[#This Row],[est-Out-Tok3]]</f>
        <v>3762.8186805555561</v>
      </c>
      <c r="BI68" s="4">
        <f>ABS(Table1[[#This Row],[est-Tok/Req3]]-Table1[[#This Row],[tok/req]])/Table1[[#This Row],[tok/req]]</f>
        <v>3.4183148148149486E-3</v>
      </c>
      <c r="BJ68" s="162">
        <f>MaxTok/Table1[[#This Row],[est-Tok/Req3]]</f>
        <v>103.0908728068934</v>
      </c>
      <c r="BK68" s="4">
        <f>ABS(Table1[[#This Row],[est-N-max3]]-Table1[[#This Row],[N-max]])/Table1[[#This Row],[N-max]]</f>
        <v>3.4066697451559332E-3</v>
      </c>
      <c r="BL68" s="44">
        <f>MaxTok*Table1[[#This Row],[Kvcache]]/Table1[[#This Row],[Run]]</f>
        <v>3701.9472222402278</v>
      </c>
      <c r="BM68" s="170">
        <f>ABS(Table1[[#This Row],[est-Tok/Req]]-Table1[[#This Row],[tok/req]])/Table1[[#This Row],[tok/req]]</f>
        <v>1.2814074069272586E-2</v>
      </c>
      <c r="BN68" s="44">
        <f>MaxTok/Table1[[#This Row],[est-Tok/Req]]</f>
        <v>104.78600550058917</v>
      </c>
      <c r="BO68" s="180">
        <f>Table1[[#This Row],[Run]]/Table1[[#This Row],[Kvcache]]</f>
        <v>104.78600550058916</v>
      </c>
      <c r="BP68" s="135" cm="1">
        <f t="array" aca="1" ref="BP68" ca="1">_xlfn.CEILING.MATH(INDIRECT("Table1"&amp;BP$3)/BP$2)*BP$2</f>
        <v>4000</v>
      </c>
      <c r="BQ68" s="187" cm="1">
        <f t="array" aca="1" ref="BQ68" ca="1">_xlfn.CEILING.MATH(INDIRECT("Table1"&amp;BQ$3)/BQ$2)*BQ$2</f>
        <v>2.5000000000000001E-2</v>
      </c>
      <c r="BR68" s="4" cm="1">
        <f t="array" aca="1" ref="BR68" ca="1">_xlfn.CEILING.MATH(INDIRECT("Table1"&amp;BR$3)/BR$2)*BR$2</f>
        <v>0.60000000000000009</v>
      </c>
      <c r="BS68" s="4" cm="1">
        <f t="array" aca="1" ref="BS68" ca="1">_xlfn.CEILING.MATH(INDIRECT("Table1"&amp;BS$3)/BS$2)*BS$2</f>
        <v>0.59</v>
      </c>
      <c r="BT68" s="3" cm="1">
        <f t="array" aca="1" ref="BT68" ca="1">_xlfn.CEILING.MATH(INDIRECT("Table1"&amp;BT$3)/BT$2)*BT$2</f>
        <v>61</v>
      </c>
      <c r="BU68" s="135" cm="1">
        <f t="array" aca="1" ref="BU68" ca="1">_xlfn.CEILING.MATH(INDIRECT("Table1"&amp;BU$3)/BU$2)*BU$2</f>
        <v>5</v>
      </c>
      <c r="BV68" s="135" cm="1">
        <f t="array" aca="1" ref="BV68" ca="1">_xlfn.CEILING.MATH(INDIRECT("Table1"&amp;BV$3)/BV$2)*BV$2</f>
        <v>3000</v>
      </c>
      <c r="BW68" s="4"/>
      <c r="BX68" s="4"/>
      <c r="BY68" s="190">
        <v>0.95833979829325056</v>
      </c>
      <c r="BZ68" s="4"/>
      <c r="CA68" s="12">
        <f>(Table1[[#This Row],[In-Tok]]+Table1[[#This Row],[Out-Tok]])*Table1[[#This Row],[RPS]]</f>
        <v>13500</v>
      </c>
      <c r="CB68" s="3">
        <f t="shared" si="17"/>
        <v>381519.16538492678</v>
      </c>
      <c r="CC68" s="3">
        <f>Table1[[#This Row],[Supply]]/(Table1[[#This Row],[Prefill]]+Table1[[#This Row],[Out-Tok]]*Table1[[#This Row],[ITL]])</f>
        <v>11715.52980358166</v>
      </c>
      <c r="CD68" s="3">
        <f>Table1[[#This Row],[MaxRun]]/Table1[[#This Row],[ITL]]</f>
        <v>4511.2335508403639</v>
      </c>
      <c r="CE68" s="3">
        <f>Table1[[#This Row],[Out-Tok]]*Table1[[#This Row],[RPS]]</f>
        <v>4500</v>
      </c>
      <c r="CF68" s="5">
        <f>Table1[[#This Row],[Supply]]/Table1[[#This Row],[Demand-T]]</f>
        <v>28.260678917401982</v>
      </c>
      <c r="CH68" s="8">
        <f>Table1[[#This Row],[Prefill]]+Table1[[#This Row],[Out-Tok]]*Table1[[#This Row],[ITL]]</f>
        <v>32.565250721165775</v>
      </c>
      <c r="CI68" s="8">
        <f>Table1[[#This Row],[GPS]]*Table1[[#This Row],[ITL]]</f>
        <v>85.452735383914813</v>
      </c>
      <c r="CJ68" s="14">
        <f>Table1[[#This Row],[PPS]]*Table1[[#This Row],[Prefill]]/Table1[[#This Row],[In-Tok]]</f>
        <v>0.45372032364786702</v>
      </c>
      <c r="CK68" s="8">
        <f t="shared" si="19"/>
        <v>85.906455707562685</v>
      </c>
      <c r="CL68" s="8">
        <f>Table1[[#This Row],[PPS]]/Table1[[#This Row],[In-Tok]]</f>
        <v>3.1038490277777782</v>
      </c>
      <c r="CM68" s="8">
        <f>Table1[[#This Row],[GPS]]/Table1[[#This Row],[Out-Tok]]</f>
        <v>2.6358786111111114</v>
      </c>
      <c r="CN68" s="8">
        <f>Table1[[#This Row],[Run]]/Table1[[#This Row],[E2E]]</f>
        <v>1.9276978641107112</v>
      </c>
      <c r="CO68" s="8">
        <f>Table1[[#This Row],[N2]]/Table1[[#This Row],[E2E]]</f>
        <v>2.7176481945865563</v>
      </c>
      <c r="CP68" s="8"/>
      <c r="CQ68" s="8">
        <f>Table1[[#This Row],[In-Tok]]+AvgOutLoad*Table1[[#This Row],[Out-Tok]]</f>
        <v>3750</v>
      </c>
      <c r="CR68" s="8">
        <f t="shared" si="20"/>
        <v>598610.02862299827</v>
      </c>
      <c r="CS68" s="8" t="e">
        <f t="shared" si="21"/>
        <v>#DIV/0!</v>
      </c>
      <c r="CT68" s="8" t="e">
        <f t="shared" si="18"/>
        <v>#DIV/0!</v>
      </c>
      <c r="CU68" s="8">
        <f t="shared" si="22"/>
        <v>0</v>
      </c>
      <c r="CV68" s="8" t="e">
        <f t="shared" si="23"/>
        <v>#DIV/0!</v>
      </c>
      <c r="CW68" s="8">
        <f>Table1[[#This Row],[N(maxT)]]/Table1[[#This Row],[e2e sat]]</f>
        <v>0</v>
      </c>
      <c r="CX68" s="8" t="e">
        <f>Table1[[#This Row],[RPS]]/CW68</f>
        <v>#DIV/0!</v>
      </c>
      <c r="CY68" s="8" t="e">
        <f>Table1[[#This Row],[Kvcache]]/$T$4</f>
        <v>#DIV/0!</v>
      </c>
      <c r="GJ68"/>
    </row>
    <row r="69" spans="1:192" hidden="1" x14ac:dyDescent="0.25">
      <c r="A69" s="3">
        <v>3000</v>
      </c>
      <c r="B69" s="3">
        <v>1600</v>
      </c>
      <c r="C69">
        <v>3</v>
      </c>
      <c r="D69" s="199">
        <f>Table1[[#This Row],[Kvcache]]</f>
        <v>0.63672105239139465</v>
      </c>
      <c r="E69" s="208" t="s">
        <v>139</v>
      </c>
      <c r="F69" s="219">
        <v>46092</v>
      </c>
      <c r="G69" s="10"/>
      <c r="H69" s="10">
        <v>0.34651995566792421</v>
      </c>
      <c r="I69" s="10">
        <v>0.13298162133171454</v>
      </c>
      <c r="J69" s="10">
        <v>1.8335183536884911</v>
      </c>
      <c r="K69" s="10">
        <v>5.3484693050384511</v>
      </c>
      <c r="L69" s="10">
        <v>6.3543482112884515</v>
      </c>
      <c r="M69" s="10">
        <v>2.2412820088045599E-2</v>
      </c>
      <c r="N69" s="10">
        <v>36.007724473780712</v>
      </c>
      <c r="O69" s="47">
        <v>8572.5597222222223</v>
      </c>
      <c r="P69" s="47">
        <v>4268.0034722222217</v>
      </c>
      <c r="Q69" s="5">
        <v>65.640866873065022</v>
      </c>
      <c r="R69" s="5">
        <v>102.5</v>
      </c>
      <c r="S69" s="170">
        <v>0.63672105239139465</v>
      </c>
      <c r="T69" s="169">
        <v>0.99806051202482537</v>
      </c>
      <c r="U69" s="53">
        <f>(Table1[[#This Row],[In-Tok]]+Table1[[#This Row],[Out-Tok]])*Table1[[#This Row],[RPS]]</f>
        <v>13800</v>
      </c>
      <c r="V69" s="54">
        <f>Table1[[#This Row],[In-Tok]]+AvgOutLoad*Table1[[#This Row],[Out-Tok]]</f>
        <v>3800</v>
      </c>
      <c r="W69" s="54">
        <f>Table1[[#This Row],[In-Tok]]*Table1[[#This Row],[RPS]]</f>
        <v>9000</v>
      </c>
      <c r="X69" s="55">
        <f>Table1[[#This Row],[Out-Tok]]*Table1[[#This Row],[RPS]]</f>
        <v>4800</v>
      </c>
      <c r="Y69" s="74">
        <f>Table1[[#This Row],[In-Tok]]/Table1[[#This Row],[Out-Tok]]</f>
        <v>1.875</v>
      </c>
      <c r="Z69" s="53">
        <f>Table1[[#This Row],[In-Tok]]*Table1[[#This Row],[N]]+AvgOutLoad*Table1[[#This Row],[Out-Tok]]*Table1[[#This Row],[Ndecode]]</f>
        <v>364640.36993149226</v>
      </c>
      <c r="AA69" s="54">
        <f>Table1[[#This Row],[tok(N)]]/Table1[[#This Row],[Kvcache]]</f>
        <v>572684.64512360201</v>
      </c>
      <c r="AB69" s="54">
        <f>Table1[[#This Row],[tok/req]]*Table1[[#This Row],[Run]]</f>
        <v>249435.29411764708</v>
      </c>
      <c r="AC69" s="54">
        <f>Table1[[#This Row],[tok(Run)]]/Table1[[#This Row],[Kvcache]]</f>
        <v>391749.72019665269</v>
      </c>
      <c r="AD69" s="54">
        <f>Table1[[#This Row],[tok/req]]*Table1[[#This Row],[MaxRun]]</f>
        <v>389500</v>
      </c>
      <c r="AE69" s="54">
        <f>Table1[[#This Row],[tok(MaxRun)]]/Table1[[#This Row],[MaxKvcache]]</f>
        <v>390256.89856198995</v>
      </c>
      <c r="AF69" s="74">
        <f>Table1[[#This Row],[PPS]]*Table1[[#This Row],[Prefill]]/Table1[[#This Row],[In-Tok]]</f>
        <v>0.37999763027468786</v>
      </c>
      <c r="AG69" s="56">
        <f>Table1[[#This Row],[GPS]]*Table1[[#This Row],[ITL]]</f>
        <v>95.657993958070577</v>
      </c>
      <c r="AH69" s="56">
        <f>Table1[[#This Row],[Nprefill]]+Table1[[#This Row],[Ndecode]]</f>
        <v>96.037991588345264</v>
      </c>
      <c r="AI69" s="86">
        <f>Table1[[#This Row],[Run]]/Table1[[#This Row],[ITL]]/Table1[[#This Row],[GPS]]</f>
        <v>0.68620367370276603</v>
      </c>
      <c r="AJ69" s="85">
        <f>Table1[[#This Row],[Prefill]]+Table1[[#This Row],[ITL]]</f>
        <v>0.15539444141976014</v>
      </c>
      <c r="AK69" s="86">
        <f>Table1[[#This Row],[TTFT]]/Table1[[#This Row],[estTTFT]]</f>
        <v>2.2299379083443864</v>
      </c>
      <c r="AL69" s="56">
        <f>Table1[[#This Row],[In-Tok]]*Table1[[#This Row],[RPS]]/Table1[[#This Row],[PPS]]</f>
        <v>1.0498614523115826</v>
      </c>
      <c r="AM69" s="86">
        <f>Table1[[#This Row],[Prefill]]/Table1[[#This Row],[estPrefill]]</f>
        <v>0.1266658767582293</v>
      </c>
      <c r="AN69" s="86">
        <f>Table1[[#This Row],[Prefill]]/Table1[[#This Row],[TTFT]]</f>
        <v>0.3837632412118655</v>
      </c>
      <c r="AO69" s="85">
        <f>Table1[[#This Row],[Run]]/(Table1[[#This Row],[Out-Tok]]*Table1[[#This Row],[RPS]])</f>
        <v>1.3675180598555213E-2</v>
      </c>
      <c r="AP69" s="86">
        <f>Table1[[#This Row],[ITL]]/Table1[[#This Row],[estITL]]</f>
        <v>1.6389414330962122</v>
      </c>
      <c r="AQ69" s="87">
        <f>Table1[[#This Row],[E2E]]-Table1[[#This Row],[TTFT]]+Table1[[#This Row],[ITL]]</f>
        <v>35.683617338200833</v>
      </c>
      <c r="AR69" s="86">
        <f>Table1[[#This Row],[estDecode]]/Table1[[#This Row],[Run]]</f>
        <v>0.54361892275440371</v>
      </c>
      <c r="AS69" s="87">
        <f>Table1[[#This Row],[Prefill]]+Table1[[#This Row],[Out-Tok]]*Table1[[#This Row],[ITL]]</f>
        <v>35.993493762204672</v>
      </c>
      <c r="AT69" s="56">
        <f>Table1[[#This Row],[estPrefill]]+Table1[[#This Row],[Out-Tok]]*Table1[[#This Row],[ITL]]</f>
        <v>36.910373593184538</v>
      </c>
      <c r="AU69" s="86">
        <f>Table1[[#This Row],[E2E]]/Table1[[#This Row],[estE2E]]</f>
        <v>0.97554483925433633</v>
      </c>
      <c r="AV69" s="56">
        <f>Table1[[#This Row],[N]]/Table1[[#This Row],[estE2E]]</f>
        <v>2.6019241269906459</v>
      </c>
      <c r="AW69" s="56">
        <f>Table1[[#This Row],[PPS]]/Table1[[#This Row],[In-Tok]]</f>
        <v>2.8575199074074074</v>
      </c>
      <c r="AX69" s="86">
        <f>Table1[[#This Row],[RPS]]/Table1[[#This Row],[RPS(IL)]]</f>
        <v>1.0498614523115828</v>
      </c>
      <c r="AY69" s="56">
        <f>Table1[[#This Row],[GPS]]/Table1[[#This Row],[Out-Tok]]</f>
        <v>2.6675021701388886</v>
      </c>
      <c r="AZ69" s="88">
        <f>Table1[[#This Row],[RPS]]/Table1[[#This Row],[RPS(OL)]]</f>
        <v>1.1246476323742969</v>
      </c>
      <c r="BA69" s="137">
        <f>MaxTok/Table1[[#This Row],[tok/req]]</f>
        <v>102.08217420856718</v>
      </c>
      <c r="BB69" s="57">
        <f>Table1[[#This Row],[N]]/Table1[[#This Row],[N-max]]</f>
        <v>0.9407910081551274</v>
      </c>
      <c r="BC69" s="44">
        <f>Table1[[#This Row],[RPS]]</f>
        <v>3</v>
      </c>
      <c r="BD69" s="47">
        <f>Table1[[#This Row],[PPS]]/Table1[[#This Row],[RPS success]]</f>
        <v>2857.5199074074076</v>
      </c>
      <c r="BE69" s="4">
        <f>ABS(Table1[[#This Row],[est-In-Tok3]]-Table1[[#This Row],[In-Tok]])/Table1[[#This Row],[In-Tok]]</f>
        <v>4.7493364197530807E-2</v>
      </c>
      <c r="BF69" s="47">
        <f>Table1[[#This Row],[GPS]]/Table1[[#This Row],[RPS success]]</f>
        <v>1422.6678240740739</v>
      </c>
      <c r="BG69" s="4">
        <f>ABS(Table1[[#This Row],[est-Out-Tok3]]-Table1[[#This Row],[Out-Tok]])/Table1[[#This Row],[Out-Tok]]</f>
        <v>0.11083260995370381</v>
      </c>
      <c r="BH69" s="162">
        <f>Table1[[#This Row],[est-In-Tok3]]+AvgOutLoad*Table1[[#This Row],[est-Out-Tok3]]</f>
        <v>3568.8538194444445</v>
      </c>
      <c r="BI69" s="4">
        <f>ABS(Table1[[#This Row],[est-Tok/Req3]]-Table1[[#This Row],[tok/req]])/Table1[[#This Row],[tok/req]]</f>
        <v>6.0827942251461965E-2</v>
      </c>
      <c r="BJ69" s="162">
        <f>MaxTok/Table1[[#This Row],[est-Tok/Req3]]</f>
        <v>108.69379403523475</v>
      </c>
      <c r="BK69" s="4">
        <f>ABS(Table1[[#This Row],[est-N-max3]]-Table1[[#This Row],[N-max]])/Table1[[#This Row],[N-max]]</f>
        <v>6.4767623514357789E-2</v>
      </c>
      <c r="BL69" s="44">
        <f>MaxTok*Table1[[#This Row],[Kvcache]]/Table1[[#This Row],[Run]]</f>
        <v>3762.7763839416402</v>
      </c>
      <c r="BM69" s="170">
        <f>ABS(Table1[[#This Row],[est-Tok/Req]]-Table1[[#This Row],[tok/req]])/Table1[[#This Row],[tok/req]]</f>
        <v>9.7956884364104654E-3</v>
      </c>
      <c r="BN69" s="44">
        <f>MaxTok/Table1[[#This Row],[est-Tok/Req]]</f>
        <v>103.09203163069807</v>
      </c>
      <c r="BO69" s="180">
        <f>Table1[[#This Row],[Run]]/Table1[[#This Row],[Kvcache]]</f>
        <v>103.09203163069807</v>
      </c>
      <c r="BP69" s="135" cm="1">
        <f t="array" aca="1" ref="BP69" ca="1">_xlfn.CEILING.MATH(INDIRECT("Table1"&amp;BP$3)/BP$2)*BP$2</f>
        <v>4000</v>
      </c>
      <c r="BQ69" s="187" cm="1">
        <f t="array" aca="1" ref="BQ69" ca="1">_xlfn.CEILING.MATH(INDIRECT("Table1"&amp;BQ$3)/BQ$2)*BQ$2</f>
        <v>2.5000000000000001E-2</v>
      </c>
      <c r="BR69" s="4" cm="1">
        <f t="array" aca="1" ref="BR69" ca="1">_xlfn.CEILING.MATH(INDIRECT("Table1"&amp;BR$3)/BR$2)*BR$2</f>
        <v>0.70000000000000007</v>
      </c>
      <c r="BS69" s="4" cm="1">
        <f t="array" aca="1" ref="BS69" ca="1">_xlfn.CEILING.MATH(INDIRECT("Table1"&amp;BS$3)/BS$2)*BS$2</f>
        <v>0.64</v>
      </c>
      <c r="BT69" s="3" cm="1">
        <f t="array" aca="1" ref="BT69" ca="1">_xlfn.CEILING.MATH(INDIRECT("Table1"&amp;BT$3)/BT$2)*BT$2</f>
        <v>66</v>
      </c>
      <c r="BU69" s="135" cm="1">
        <f t="array" aca="1" ref="BU69" ca="1">_xlfn.CEILING.MATH(INDIRECT("Table1"&amp;BU$3)/BU$2)*BU$2</f>
        <v>5</v>
      </c>
      <c r="BV69" s="135" cm="1">
        <f t="array" aca="1" ref="BV69" ca="1">_xlfn.CEILING.MATH(INDIRECT("Table1"&amp;BV$3)/BV$2)*BV$2</f>
        <v>3000</v>
      </c>
      <c r="BW69" s="4"/>
      <c r="BX69" s="4"/>
      <c r="BY69" s="190">
        <v>0.99806051202482537</v>
      </c>
      <c r="BZ69" s="4"/>
      <c r="CA69" s="12">
        <f>(Table1[[#This Row],[In-Tok]]+Table1[[#This Row],[Out-Tok]])*Table1[[#This Row],[RPS]]</f>
        <v>13800</v>
      </c>
      <c r="CB69" s="3">
        <f t="shared" si="17"/>
        <v>390256.89856198995</v>
      </c>
      <c r="CC69" s="3">
        <f>Table1[[#This Row],[Supply]]/(Table1[[#This Row],[Prefill]]+Table1[[#This Row],[Out-Tok]]*Table1[[#This Row],[ITL]])</f>
        <v>10842.428943971621</v>
      </c>
      <c r="CD69" s="3">
        <f>Table1[[#This Row],[MaxRun]]/Table1[[#This Row],[ITL]]</f>
        <v>4573.2754556250939</v>
      </c>
      <c r="CE69" s="3">
        <f>Table1[[#This Row],[Out-Tok]]*Table1[[#This Row],[RPS]]</f>
        <v>4800</v>
      </c>
      <c r="CF69" s="5">
        <f>Table1[[#This Row],[Supply]]/Table1[[#This Row],[Demand-T]]</f>
        <v>28.279485403042749</v>
      </c>
      <c r="CH69" s="8">
        <f>Table1[[#This Row],[Prefill]]+Table1[[#This Row],[Out-Tok]]*Table1[[#This Row],[ITL]]</f>
        <v>35.993493762204672</v>
      </c>
      <c r="CI69" s="8">
        <f>Table1[[#This Row],[GPS]]*Table1[[#This Row],[ITL]]</f>
        <v>95.657993958070577</v>
      </c>
      <c r="CJ69" s="14">
        <f>Table1[[#This Row],[PPS]]*Table1[[#This Row],[Prefill]]/Table1[[#This Row],[In-Tok]]</f>
        <v>0.37999763027468786</v>
      </c>
      <c r="CK69" s="8">
        <f t="shared" si="19"/>
        <v>96.037991588345264</v>
      </c>
      <c r="CL69" s="8">
        <f>Table1[[#This Row],[PPS]]/Table1[[#This Row],[In-Tok]]</f>
        <v>2.8575199074074074</v>
      </c>
      <c r="CM69" s="8">
        <f>Table1[[#This Row],[GPS]]/Table1[[#This Row],[Out-Tok]]</f>
        <v>2.6675021701388886</v>
      </c>
      <c r="CN69" s="8">
        <f>Table1[[#This Row],[Run]]/Table1[[#This Row],[E2E]]</f>
        <v>1.8229662616103914</v>
      </c>
      <c r="CO69" s="8">
        <f>Table1[[#This Row],[N2]]/Table1[[#This Row],[E2E]]</f>
        <v>2.6671497016779284</v>
      </c>
      <c r="CP69" s="8"/>
      <c r="CQ69" s="8">
        <f>Table1[[#This Row],[In-Tok]]+AvgOutLoad*Table1[[#This Row],[Out-Tok]]</f>
        <v>3800</v>
      </c>
      <c r="CR69" s="8">
        <f t="shared" si="20"/>
        <v>614524.85728419619</v>
      </c>
      <c r="CS69" s="8" t="e">
        <f t="shared" si="21"/>
        <v>#DIV/0!</v>
      </c>
      <c r="CT69" s="8" t="e">
        <f t="shared" si="18"/>
        <v>#DIV/0!</v>
      </c>
      <c r="CU69" s="8">
        <f t="shared" si="22"/>
        <v>0</v>
      </c>
      <c r="CV69" s="8" t="e">
        <f t="shared" si="23"/>
        <v>#DIV/0!</v>
      </c>
      <c r="CW69" s="8">
        <f>Table1[[#This Row],[N(maxT)]]/Table1[[#This Row],[e2e sat]]</f>
        <v>0</v>
      </c>
      <c r="CX69" s="8" t="e">
        <f>Table1[[#This Row],[RPS]]/CW69</f>
        <v>#DIV/0!</v>
      </c>
      <c r="CY69" s="8" t="e">
        <f>Table1[[#This Row],[Kvcache]]/$T$4</f>
        <v>#DIV/0!</v>
      </c>
      <c r="GJ69"/>
    </row>
    <row r="70" spans="1:192" hidden="1" x14ac:dyDescent="0.25">
      <c r="A70" s="3">
        <v>3000</v>
      </c>
      <c r="B70" s="3">
        <v>1700</v>
      </c>
      <c r="C70">
        <v>3</v>
      </c>
      <c r="D70" s="199">
        <f>Table1[[#This Row],[Kvcache]]</f>
        <v>0.65425178863891043</v>
      </c>
      <c r="E70" s="208" t="s">
        <v>139</v>
      </c>
      <c r="F70" s="219">
        <v>46092</v>
      </c>
      <c r="G70" s="10"/>
      <c r="H70" s="10">
        <v>1.0590276121607227</v>
      </c>
      <c r="I70" s="10">
        <v>0.14047344867591277</v>
      </c>
      <c r="J70" s="10">
        <v>1.9062586120485201</v>
      </c>
      <c r="K70" s="10">
        <v>5.6325495243072501</v>
      </c>
      <c r="L70" s="10">
        <v>6.3762622690200805</v>
      </c>
      <c r="M70" s="10">
        <v>2.3826842528162459E-2</v>
      </c>
      <c r="N70" s="10">
        <v>41.450987126825183</v>
      </c>
      <c r="O70" s="47">
        <v>8332.3647058823517</v>
      </c>
      <c r="P70" s="47">
        <v>4412.7647058823532</v>
      </c>
      <c r="Q70" s="5">
        <v>66.75</v>
      </c>
      <c r="R70" s="5">
        <v>103</v>
      </c>
      <c r="S70" s="170">
        <v>0.65425178863891043</v>
      </c>
      <c r="T70" s="169">
        <v>0.99930178432893713</v>
      </c>
      <c r="U70" s="53">
        <f>(Table1[[#This Row],[In-Tok]]+Table1[[#This Row],[Out-Tok]])*Table1[[#This Row],[RPS]]</f>
        <v>14100</v>
      </c>
      <c r="V70" s="54">
        <f>Table1[[#This Row],[In-Tok]]+AvgOutLoad*Table1[[#This Row],[Out-Tok]]</f>
        <v>3850</v>
      </c>
      <c r="W70" s="54">
        <f>Table1[[#This Row],[In-Tok]]*Table1[[#This Row],[RPS]]</f>
        <v>9000</v>
      </c>
      <c r="X70" s="55">
        <f>Table1[[#This Row],[Out-Tok]]*Table1[[#This Row],[RPS]]</f>
        <v>5100</v>
      </c>
      <c r="Y70" s="74">
        <f>Table1[[#This Row],[In-Tok]]/Table1[[#This Row],[Out-Tok]]</f>
        <v>1.7647058823529411</v>
      </c>
      <c r="Z70" s="53">
        <f>Table1[[#This Row],[In-Tok]]*Table1[[#This Row],[N]]+AvgOutLoad*Table1[[#This Row],[Out-Tok]]*Table1[[#This Row],[Ndecode]]</f>
        <v>405968.13758529478</v>
      </c>
      <c r="AA70" s="54">
        <f>Table1[[#This Row],[tok(N)]]/Table1[[#This Row],[Kvcache]]</f>
        <v>620507.49365142896</v>
      </c>
      <c r="AB70" s="54">
        <f>Table1[[#This Row],[tok/req]]*Table1[[#This Row],[Run]]</f>
        <v>256987.5</v>
      </c>
      <c r="AC70" s="54">
        <f>Table1[[#This Row],[tok(Run)]]/Table1[[#This Row],[Kvcache]]</f>
        <v>392796.02205540863</v>
      </c>
      <c r="AD70" s="54">
        <f>Table1[[#This Row],[tok/req]]*Table1[[#This Row],[MaxRun]]</f>
        <v>396550</v>
      </c>
      <c r="AE70" s="54">
        <f>Table1[[#This Row],[tok(MaxRun)]]/Table1[[#This Row],[MaxKvcache]]</f>
        <v>396827.07087959012</v>
      </c>
      <c r="AF70" s="74">
        <f>Table1[[#This Row],[PPS]]*Table1[[#This Row],[Prefill]]/Table1[[#This Row],[In-Tok]]</f>
        <v>0.3901586686202505</v>
      </c>
      <c r="AG70" s="56">
        <f>Table1[[#This Row],[GPS]]*Table1[[#This Row],[ITL]]</f>
        <v>105.14224976089196</v>
      </c>
      <c r="AH70" s="56">
        <f>Table1[[#This Row],[Nprefill]]+Table1[[#This Row],[Ndecode]]</f>
        <v>105.5324084295122</v>
      </c>
      <c r="AI70" s="86">
        <f>Table1[[#This Row],[Run]]/Table1[[#This Row],[ITL]]/Table1[[#This Row],[GPS]]</f>
        <v>0.63485421086003724</v>
      </c>
      <c r="AJ70" s="85">
        <f>Table1[[#This Row],[Prefill]]+Table1[[#This Row],[ITL]]</f>
        <v>0.16430029120407524</v>
      </c>
      <c r="AK70" s="86">
        <f>Table1[[#This Row],[TTFT]]/Table1[[#This Row],[estTTFT]]</f>
        <v>6.4456831110866286</v>
      </c>
      <c r="AL70" s="56">
        <f>Table1[[#This Row],[In-Tok]]*Table1[[#This Row],[RPS]]/Table1[[#This Row],[PPS]]</f>
        <v>1.0801255487108385</v>
      </c>
      <c r="AM70" s="86">
        <f>Table1[[#This Row],[Prefill]]/Table1[[#This Row],[estPrefill]]</f>
        <v>0.13005288954008351</v>
      </c>
      <c r="AN70" s="86">
        <f>Table1[[#This Row],[Prefill]]/Table1[[#This Row],[TTFT]]</f>
        <v>0.13264380178842203</v>
      </c>
      <c r="AO70" s="85">
        <f>Table1[[#This Row],[Run]]/(Table1[[#This Row],[Out-Tok]]*Table1[[#This Row],[RPS]])</f>
        <v>1.3088235294117647E-2</v>
      </c>
      <c r="AP70" s="86">
        <f>Table1[[#This Row],[ITL]]/Table1[[#This Row],[estITL]]</f>
        <v>1.8204778560843227</v>
      </c>
      <c r="AQ70" s="87">
        <f>Table1[[#This Row],[E2E]]-Table1[[#This Row],[TTFT]]+Table1[[#This Row],[ITL]]</f>
        <v>40.415786357192616</v>
      </c>
      <c r="AR70" s="86">
        <f>Table1[[#This Row],[estDecode]]/Table1[[#This Row],[Run]]</f>
        <v>0.60547994542610661</v>
      </c>
      <c r="AS70" s="87">
        <f>Table1[[#This Row],[Prefill]]+Table1[[#This Row],[Out-Tok]]*Table1[[#This Row],[ITL]]</f>
        <v>40.646105746552095</v>
      </c>
      <c r="AT70" s="56">
        <f>Table1[[#This Row],[estPrefill]]+Table1[[#This Row],[Out-Tok]]*Table1[[#This Row],[ITL]]</f>
        <v>41.585757846587022</v>
      </c>
      <c r="AU70" s="86">
        <f>Table1[[#This Row],[E2E]]/Table1[[#This Row],[estE2E]]</f>
        <v>0.99675920972129406</v>
      </c>
      <c r="AV70" s="56">
        <f>Table1[[#This Row],[N]]/Table1[[#This Row],[estE2E]]</f>
        <v>2.5377055485877924</v>
      </c>
      <c r="AW70" s="56">
        <f>Table1[[#This Row],[PPS]]/Table1[[#This Row],[In-Tok]]</f>
        <v>2.7774549019607839</v>
      </c>
      <c r="AX70" s="86">
        <f>Table1[[#This Row],[RPS]]/Table1[[#This Row],[RPS(IL)]]</f>
        <v>1.0801255487108385</v>
      </c>
      <c r="AY70" s="56">
        <f>Table1[[#This Row],[GPS]]/Table1[[#This Row],[Out-Tok]]</f>
        <v>2.5957439446366783</v>
      </c>
      <c r="AZ70" s="88">
        <f>Table1[[#This Row],[RPS]]/Table1[[#This Row],[RPS(OL)]]</f>
        <v>1.155738032712585</v>
      </c>
      <c r="BA70" s="137">
        <f>MaxTok/Table1[[#This Row],[tok/req]]</f>
        <v>100.75643168637799</v>
      </c>
      <c r="BB70" s="57">
        <f>Table1[[#This Row],[N]]/Table1[[#This Row],[N-max]]</f>
        <v>1.0474012096617342</v>
      </c>
      <c r="BC70" s="44">
        <f>Table1[[#This Row],[RPS]]</f>
        <v>3</v>
      </c>
      <c r="BD70" s="47">
        <f>Table1[[#This Row],[PPS]]/Table1[[#This Row],[RPS success]]</f>
        <v>2777.4549019607839</v>
      </c>
      <c r="BE70" s="4">
        <f>ABS(Table1[[#This Row],[est-In-Tok3]]-Table1[[#This Row],[In-Tok]])/Table1[[#This Row],[In-Tok]]</f>
        <v>7.4181699346405366E-2</v>
      </c>
      <c r="BF70" s="47">
        <f>Table1[[#This Row],[GPS]]/Table1[[#This Row],[RPS success]]</f>
        <v>1470.9215686274511</v>
      </c>
      <c r="BG70" s="4">
        <f>ABS(Table1[[#This Row],[est-Out-Tok3]]-Table1[[#This Row],[Out-Tok]])/Table1[[#This Row],[Out-Tok]]</f>
        <v>0.13475201845444057</v>
      </c>
      <c r="BH70" s="162">
        <f>Table1[[#This Row],[est-In-Tok3]]+AvgOutLoad*Table1[[#This Row],[est-Out-Tok3]]</f>
        <v>3512.9156862745094</v>
      </c>
      <c r="BI70" s="4">
        <f>ABS(Table1[[#This Row],[est-Tok/Req3]]-Table1[[#This Row],[tok/req]])/Table1[[#This Row],[tok/req]]</f>
        <v>8.755436720142612E-2</v>
      </c>
      <c r="BJ70" s="162">
        <f>MaxTok/Table1[[#This Row],[est-Tok/Req3]]</f>
        <v>110.42458647902849</v>
      </c>
      <c r="BK70" s="4">
        <f>ABS(Table1[[#This Row],[est-N-max3]]-Table1[[#This Row],[N-max]])/Table1[[#This Row],[N-max]]</f>
        <v>9.5955708542203241E-2</v>
      </c>
      <c r="BL70" s="44">
        <f>MaxTok*Table1[[#This Row],[Kvcache]]/Table1[[#This Row],[Run]]</f>
        <v>3802.1317040238941</v>
      </c>
      <c r="BM70" s="170">
        <f>ABS(Table1[[#This Row],[est-Tok/Req]]-Table1[[#This Row],[tok/req]])/Table1[[#This Row],[tok/req]]</f>
        <v>1.2433323630157365E-2</v>
      </c>
      <c r="BN70" s="44">
        <f>MaxTok/Table1[[#This Row],[est-Tok/Req]]</f>
        <v>102.02494079361263</v>
      </c>
      <c r="BO70" s="180">
        <f>Table1[[#This Row],[Run]]/Table1[[#This Row],[Kvcache]]</f>
        <v>102.02494079361263</v>
      </c>
      <c r="BP70" s="135" cm="1">
        <f t="array" aca="1" ref="BP70" ca="1">_xlfn.CEILING.MATH(INDIRECT("Table1"&amp;BP$3)/BP$2)*BP$2</f>
        <v>4000</v>
      </c>
      <c r="BQ70" s="187" cm="1">
        <f t="array" aca="1" ref="BQ70" ca="1">_xlfn.CEILING.MATH(INDIRECT("Table1"&amp;BQ$3)/BQ$2)*BQ$2</f>
        <v>2.5000000000000001E-2</v>
      </c>
      <c r="BR70" s="4" cm="1">
        <f t="array" aca="1" ref="BR70" ca="1">_xlfn.CEILING.MATH(INDIRECT("Table1"&amp;BR$3)/BR$2)*BR$2</f>
        <v>0.70000000000000007</v>
      </c>
      <c r="BS70" s="4" cm="1">
        <f t="array" aca="1" ref="BS70" ca="1">_xlfn.CEILING.MATH(INDIRECT("Table1"&amp;BS$3)/BS$2)*BS$2</f>
        <v>0.66</v>
      </c>
      <c r="BT70" s="3" cm="1">
        <f t="array" aca="1" ref="BT70" ca="1">_xlfn.CEILING.MATH(INDIRECT("Table1"&amp;BT$3)/BT$2)*BT$2</f>
        <v>67</v>
      </c>
      <c r="BU70" s="135" cm="1">
        <f t="array" aca="1" ref="BU70" ca="1">_xlfn.CEILING.MATH(INDIRECT("Table1"&amp;BU$3)/BU$2)*BU$2</f>
        <v>5</v>
      </c>
      <c r="BV70" s="135" cm="1">
        <f t="array" aca="1" ref="BV70" ca="1">_xlfn.CEILING.MATH(INDIRECT("Table1"&amp;BV$3)/BV$2)*BV$2</f>
        <v>3000</v>
      </c>
      <c r="BW70" s="4"/>
      <c r="BX70" s="4"/>
      <c r="BY70" s="190">
        <v>0.99930178432893713</v>
      </c>
      <c r="BZ70" s="4"/>
      <c r="CA70" s="12">
        <f>(Table1[[#This Row],[In-Tok]]+Table1[[#This Row],[Out-Tok]])*Table1[[#This Row],[RPS]]</f>
        <v>14100</v>
      </c>
      <c r="CB70" s="3">
        <f t="shared" ref="CB70:CB88" si="24">R70*(A70+B70/2)/T70</f>
        <v>396827.07087959012</v>
      </c>
      <c r="CC70" s="3">
        <f>Table1[[#This Row],[Supply]]/(Table1[[#This Row],[Prefill]]+Table1[[#This Row],[Out-Tok]]*Table1[[#This Row],[ITL]])</f>
        <v>9762.9788534723757</v>
      </c>
      <c r="CD70" s="3">
        <f>Table1[[#This Row],[MaxRun]]/Table1[[#This Row],[ITL]]</f>
        <v>4322.8556145556322</v>
      </c>
      <c r="CE70" s="3">
        <f>Table1[[#This Row],[Out-Tok]]*Table1[[#This Row],[RPS]]</f>
        <v>5100</v>
      </c>
      <c r="CF70" s="5">
        <f>Table1[[#This Row],[Supply]]/Table1[[#This Row],[Demand-T]]</f>
        <v>28.143763892169513</v>
      </c>
      <c r="CH70" s="8">
        <f>Table1[[#This Row],[Prefill]]+Table1[[#This Row],[Out-Tok]]*Table1[[#This Row],[ITL]]</f>
        <v>40.646105746552095</v>
      </c>
      <c r="CI70" s="8">
        <f>Table1[[#This Row],[GPS]]*Table1[[#This Row],[ITL]]</f>
        <v>105.14224976089196</v>
      </c>
      <c r="CJ70" s="14">
        <f>Table1[[#This Row],[PPS]]*Table1[[#This Row],[Prefill]]/Table1[[#This Row],[In-Tok]]</f>
        <v>0.3901586686202505</v>
      </c>
      <c r="CK70" s="8">
        <f t="shared" si="19"/>
        <v>105.5324084295122</v>
      </c>
      <c r="CL70" s="8">
        <f>Table1[[#This Row],[PPS]]/Table1[[#This Row],[In-Tok]]</f>
        <v>2.7774549019607839</v>
      </c>
      <c r="CM70" s="8">
        <f>Table1[[#This Row],[GPS]]/Table1[[#This Row],[Out-Tok]]</f>
        <v>2.5957439446366783</v>
      </c>
      <c r="CN70" s="8">
        <f>Table1[[#This Row],[Run]]/Table1[[#This Row],[E2E]]</f>
        <v>1.6103355945606046</v>
      </c>
      <c r="CO70" s="8">
        <f>Table1[[#This Row],[N2]]/Table1[[#This Row],[E2E]]</f>
        <v>2.5459564595318516</v>
      </c>
      <c r="CP70" s="8"/>
      <c r="CQ70" s="8">
        <f>Table1[[#This Row],[In-Tok]]+AvgOutLoad*Table1[[#This Row],[Out-Tok]]</f>
        <v>3850</v>
      </c>
      <c r="CR70" s="8">
        <f t="shared" si="20"/>
        <v>591356.37222531531</v>
      </c>
      <c r="CS70" s="8" t="e">
        <f t="shared" si="21"/>
        <v>#DIV/0!</v>
      </c>
      <c r="CT70" s="8" t="e">
        <f t="shared" ref="CT70:CT88" si="25">(CJ70*M70+CI70*CQ70)/CG70</f>
        <v>#DIV/0!</v>
      </c>
      <c r="CU70" s="8">
        <f t="shared" si="22"/>
        <v>0</v>
      </c>
      <c r="CV70" s="8" t="e">
        <f t="shared" si="23"/>
        <v>#DIV/0!</v>
      </c>
      <c r="CW70" s="8">
        <f>Table1[[#This Row],[N(maxT)]]/Table1[[#This Row],[e2e sat]]</f>
        <v>0</v>
      </c>
      <c r="CX70" s="8" t="e">
        <f>Table1[[#This Row],[RPS]]/CW70</f>
        <v>#DIV/0!</v>
      </c>
      <c r="CY70" s="8" t="e">
        <f>Table1[[#This Row],[Kvcache]]/$T$4</f>
        <v>#DIV/0!</v>
      </c>
      <c r="GJ70"/>
    </row>
    <row r="71" spans="1:192" hidden="1" x14ac:dyDescent="0.25">
      <c r="A71" s="3">
        <v>3000</v>
      </c>
      <c r="B71" s="3">
        <v>1800</v>
      </c>
      <c r="C71">
        <v>3</v>
      </c>
      <c r="D71" s="199">
        <f>Table1[[#This Row],[Kvcache]]</f>
        <v>0.66312162691216692</v>
      </c>
      <c r="E71" s="203" t="s">
        <v>139</v>
      </c>
      <c r="F71" s="219">
        <v>46092</v>
      </c>
      <c r="G71" s="10"/>
      <c r="H71" s="10">
        <v>0.6357855249351404</v>
      </c>
      <c r="I71" s="10">
        <v>0.12644045595853715</v>
      </c>
      <c r="J71" s="10">
        <v>1.082758872682297</v>
      </c>
      <c r="K71" s="10">
        <v>2.3963637471199029</v>
      </c>
      <c r="L71" s="10">
        <v>2.7211949610710144</v>
      </c>
      <c r="M71" s="10">
        <v>2.2953772822062748E-2</v>
      </c>
      <c r="N71" s="10">
        <v>41.929169920307658</v>
      </c>
      <c r="O71" s="47">
        <v>8052.5895833333343</v>
      </c>
      <c r="P71" s="47">
        <v>4498.6368055555558</v>
      </c>
      <c r="Q71" s="5">
        <v>67.176470588235304</v>
      </c>
      <c r="R71" s="5">
        <v>100</v>
      </c>
      <c r="S71" s="170">
        <v>0.66312162691216692</v>
      </c>
      <c r="T71" s="212">
        <v>0.99864235841737781</v>
      </c>
      <c r="U71" s="53">
        <f>(Table1[[#This Row],[In-Tok]]+Table1[[#This Row],[Out-Tok]])*Table1[[#This Row],[RPS]]</f>
        <v>14400</v>
      </c>
      <c r="V71" s="54">
        <f>Table1[[#This Row],[In-Tok]]+AvgOutLoad*Table1[[#This Row],[Out-Tok]]</f>
        <v>3900</v>
      </c>
      <c r="W71" s="54">
        <f>Table1[[#This Row],[In-Tok]]*Table1[[#This Row],[RPS]]</f>
        <v>9000</v>
      </c>
      <c r="X71" s="55">
        <f>Table1[[#This Row],[Out-Tok]]*Table1[[#This Row],[RPS]]</f>
        <v>5400</v>
      </c>
      <c r="Y71" s="74">
        <f>Table1[[#This Row],[In-Tok]]/Table1[[#This Row],[Out-Tok]]</f>
        <v>1.6666666666666667</v>
      </c>
      <c r="Z71" s="53">
        <f>Table1[[#This Row],[In-Tok]]*Table1[[#This Row],[N]]+AvgOutLoad*Table1[[#This Row],[Out-Tok]]*Table1[[#This Row],[Ndecode]]</f>
        <v>403734.8533489636</v>
      </c>
      <c r="AA71" s="54">
        <f>Table1[[#This Row],[tok(N)]]/Table1[[#This Row],[Kvcache]]</f>
        <v>608839.82208355854</v>
      </c>
      <c r="AB71" s="54">
        <f>Table1[[#This Row],[tok/req]]*Table1[[#This Row],[Run]]</f>
        <v>261988.23529411768</v>
      </c>
      <c r="AC71" s="54">
        <f>Table1[[#This Row],[tok(Run)]]/Table1[[#This Row],[Kvcache]]</f>
        <v>395083.23158463213</v>
      </c>
      <c r="AD71" s="54">
        <f>Table1[[#This Row],[tok/req]]*Table1[[#This Row],[MaxRun]]</f>
        <v>390000</v>
      </c>
      <c r="AE71" s="54">
        <f>Table1[[#This Row],[tok(MaxRun)]]/Table1[[#This Row],[MaxKvcache]]</f>
        <v>390530.20003884251</v>
      </c>
      <c r="AF71" s="74">
        <f>Table1[[#This Row],[PPS]]*Table1[[#This Row],[Prefill]]/Table1[[#This Row],[In-Tok]]</f>
        <v>0.33939103285454447</v>
      </c>
      <c r="AG71" s="56">
        <f>Table1[[#This Row],[GPS]]*Table1[[#This Row],[ITL]]</f>
        <v>103.2606872436923</v>
      </c>
      <c r="AH71" s="56">
        <f>Table1[[#This Row],[Nprefill]]+Table1[[#This Row],[Ndecode]]</f>
        <v>103.60007827654685</v>
      </c>
      <c r="AI71" s="86">
        <f>Table1[[#This Row],[Run]]/Table1[[#This Row],[ITL]]/Table1[[#This Row],[GPS]]</f>
        <v>0.65055223223239589</v>
      </c>
      <c r="AJ71" s="85">
        <f>Table1[[#This Row],[Prefill]]+Table1[[#This Row],[ITL]]</f>
        <v>0.14939422878059988</v>
      </c>
      <c r="AK71" s="86">
        <f>Table1[[#This Row],[TTFT]]/Table1[[#This Row],[estTTFT]]</f>
        <v>4.2557569333474987</v>
      </c>
      <c r="AL71" s="56">
        <f>Table1[[#This Row],[In-Tok]]*Table1[[#This Row],[RPS]]/Table1[[#This Row],[PPS]]</f>
        <v>1.1176528875416112</v>
      </c>
      <c r="AM71" s="86">
        <f>Table1[[#This Row],[Prefill]]/Table1[[#This Row],[estPrefill]]</f>
        <v>0.11313034428484815</v>
      </c>
      <c r="AN71" s="86">
        <f>Table1[[#This Row],[Prefill]]/Table1[[#This Row],[TTFT]]</f>
        <v>0.19887281323593511</v>
      </c>
      <c r="AO71" s="85">
        <f>Table1[[#This Row],[Run]]/(Table1[[#This Row],[Out-Tok]]*Table1[[#This Row],[RPS]])</f>
        <v>1.2440087145969501E-2</v>
      </c>
      <c r="AP71" s="86">
        <f>Table1[[#This Row],[ITL]]/Table1[[#This Row],[estITL]]</f>
        <v>1.8451456611780734</v>
      </c>
      <c r="AQ71" s="87">
        <f>Table1[[#This Row],[E2E]]-Table1[[#This Row],[TTFT]]+Table1[[#This Row],[ITL]]</f>
        <v>41.316338168194584</v>
      </c>
      <c r="AR71" s="86">
        <f>Table1[[#This Row],[estDecode]]/Table1[[#This Row],[Run]]</f>
        <v>0.61504181161060234</v>
      </c>
      <c r="AS71" s="87">
        <f>Table1[[#This Row],[Prefill]]+Table1[[#This Row],[Out-Tok]]*Table1[[#This Row],[ITL]]</f>
        <v>41.443231535671487</v>
      </c>
      <c r="AT71" s="56">
        <f>Table1[[#This Row],[estPrefill]]+Table1[[#This Row],[Out-Tok]]*Table1[[#This Row],[ITL]]</f>
        <v>42.434443967254559</v>
      </c>
      <c r="AU71" s="86">
        <f>Table1[[#This Row],[E2E]]/Table1[[#This Row],[estE2E]]</f>
        <v>0.98809283214982602</v>
      </c>
      <c r="AV71" s="56">
        <f>Table1[[#This Row],[N]]/Table1[[#This Row],[estE2E]]</f>
        <v>2.4414147704278171</v>
      </c>
      <c r="AW71" s="56">
        <f>Table1[[#This Row],[PPS]]/Table1[[#This Row],[In-Tok]]</f>
        <v>2.684196527777778</v>
      </c>
      <c r="AX71" s="86">
        <f>Table1[[#This Row],[RPS]]/Table1[[#This Row],[RPS(IL)]]</f>
        <v>1.1176528875416112</v>
      </c>
      <c r="AY71" s="56">
        <f>Table1[[#This Row],[GPS]]/Table1[[#This Row],[Out-Tok]]</f>
        <v>2.4992426697530865</v>
      </c>
      <c r="AZ71" s="88">
        <f>Table1[[#This Row],[RPS]]/Table1[[#This Row],[RPS(OL)]]</f>
        <v>1.2003636286733157</v>
      </c>
      <c r="BA71" s="138">
        <f>MaxTok/Table1[[#This Row],[tok/req]]</f>
        <v>99.464682562193659</v>
      </c>
      <c r="BB71" s="86">
        <f>Table1[[#This Row],[N]]/Table1[[#This Row],[N-max]]</f>
        <v>1.0415765235239896</v>
      </c>
      <c r="BC71" s="69">
        <f>Table1[[#This Row],[RPS]]</f>
        <v>3</v>
      </c>
      <c r="BD71" s="48">
        <f>Table1[[#This Row],[PPS]]/Table1[[#This Row],[RPS success]]</f>
        <v>2684.1965277777781</v>
      </c>
      <c r="BE71" s="34">
        <f>ABS(Table1[[#This Row],[est-In-Tok3]]-Table1[[#This Row],[In-Tok]])/Table1[[#This Row],[In-Tok]]</f>
        <v>0.10526782407407397</v>
      </c>
      <c r="BF71" s="48">
        <f>Table1[[#This Row],[GPS]]/Table1[[#This Row],[RPS success]]</f>
        <v>1499.5456018518519</v>
      </c>
      <c r="BG71" s="34">
        <f>ABS(Table1[[#This Row],[est-Out-Tok3]]-Table1[[#This Row],[Out-Tok]])/Table1[[#This Row],[Out-Tok]]</f>
        <v>0.16691911008230451</v>
      </c>
      <c r="BH71" s="157">
        <f>Table1[[#This Row],[est-In-Tok3]]+AvgOutLoad*Table1[[#This Row],[est-Out-Tok3]]</f>
        <v>3433.9693287037039</v>
      </c>
      <c r="BI71" s="34">
        <f>ABS(Table1[[#This Row],[est-Tok/Req3]]-Table1[[#This Row],[tok/req]])/Table1[[#This Row],[tok/req]]</f>
        <v>0.1194950439221272</v>
      </c>
      <c r="BJ71" s="157">
        <f>MaxTok/Table1[[#This Row],[est-Tok/Req3]]</f>
        <v>112.96322851520316</v>
      </c>
      <c r="BK71" s="34">
        <f>ABS(Table1[[#This Row],[est-N-max3]]-Table1[[#This Row],[N-max]])/Table1[[#This Row],[N-max]]</f>
        <v>0.13571194925966887</v>
      </c>
      <c r="BL71" s="69">
        <f>MaxTok*Table1[[#This Row],[Kvcache]]/Table1[[#This Row],[Run]]</f>
        <v>3829.2129374943897</v>
      </c>
      <c r="BM71" s="165">
        <f>ABS(Table1[[#This Row],[est-Tok/Req]]-Table1[[#This Row],[tok/req]])/Table1[[#This Row],[tok/req]]</f>
        <v>1.8150528847592377E-2</v>
      </c>
      <c r="BN71" s="69">
        <f>MaxTok/Table1[[#This Row],[est-Tok/Req]]</f>
        <v>101.30339271400825</v>
      </c>
      <c r="BO71" s="175">
        <f>Table1[[#This Row],[Run]]/Table1[[#This Row],[Kvcache]]</f>
        <v>101.30339271400824</v>
      </c>
      <c r="BP71" s="131" cm="1">
        <f t="array" aca="1" ref="BP71" ca="1">_xlfn.CEILING.MATH(INDIRECT("Table1"&amp;BP$3)/BP$2)*BP$2</f>
        <v>4000</v>
      </c>
      <c r="BQ71" s="182" cm="1">
        <f t="array" aca="1" ref="BQ71" ca="1">_xlfn.CEILING.MATH(INDIRECT("Table1"&amp;BQ$3)/BQ$2)*BQ$2</f>
        <v>2.5000000000000001E-2</v>
      </c>
      <c r="BR71" s="34" cm="1">
        <f t="array" aca="1" ref="BR71" ca="1">_xlfn.CEILING.MATH(INDIRECT("Table1"&amp;BR$3)/BR$2)*BR$2</f>
        <v>0.70000000000000007</v>
      </c>
      <c r="BS71" s="34" cm="1">
        <f t="array" aca="1" ref="BS71" ca="1">_xlfn.CEILING.MATH(INDIRECT("Table1"&amp;BS$3)/BS$2)*BS$2</f>
        <v>0.67</v>
      </c>
      <c r="BT71" s="20" cm="1">
        <f t="array" aca="1" ref="BT71" ca="1">_xlfn.CEILING.MATH(INDIRECT("Table1"&amp;BT$3)/BT$2)*BT$2</f>
        <v>68</v>
      </c>
      <c r="BU71" s="131" cm="1">
        <f t="array" aca="1" ref="BU71" ca="1">_xlfn.CEILING.MATH(INDIRECT("Table1"&amp;BU$3)/BU$2)*BU$2</f>
        <v>5</v>
      </c>
      <c r="BV71" s="131" cm="1">
        <f t="array" aca="1" ref="BV71" ca="1">_xlfn.CEILING.MATH(INDIRECT("Table1"&amp;BV$3)/BV$2)*BV$2</f>
        <v>3000</v>
      </c>
      <c r="BW71" s="34"/>
      <c r="BX71" s="34"/>
      <c r="BY71" s="190">
        <v>0.99864235841737781</v>
      </c>
      <c r="BZ71" s="34"/>
      <c r="CA71" s="12">
        <f>(Table1[[#This Row],[In-Tok]]+Table1[[#This Row],[Out-Tok]])*Table1[[#This Row],[RPS]]</f>
        <v>14400</v>
      </c>
      <c r="CB71" s="3">
        <f t="shared" si="24"/>
        <v>390530.20003884251</v>
      </c>
      <c r="CC71" s="3">
        <f>Table1[[#This Row],[Supply]]/(Table1[[#This Row],[Prefill]]+Table1[[#This Row],[Out-Tok]]*Table1[[#This Row],[ITL]])</f>
        <v>9423.2564780258726</v>
      </c>
      <c r="CD71" s="3">
        <f>Table1[[#This Row],[MaxRun]]/Table1[[#This Row],[ITL]]</f>
        <v>4356.5822827993588</v>
      </c>
      <c r="CE71" s="3">
        <f>Table1[[#This Row],[Out-Tok]]*Table1[[#This Row],[RPS]]</f>
        <v>5400</v>
      </c>
      <c r="CF71" s="5">
        <f>Table1[[#This Row],[Supply]]/Table1[[#This Row],[Demand-T]]</f>
        <v>27.120152780475173</v>
      </c>
      <c r="CG71" s="22"/>
      <c r="CH71" s="71">
        <f>Table1[[#This Row],[Prefill]]+Table1[[#This Row],[Out-Tok]]*Table1[[#This Row],[ITL]]</f>
        <v>41.443231535671487</v>
      </c>
      <c r="CI71" s="71">
        <f>Table1[[#This Row],[GPS]]*Table1[[#This Row],[ITL]]</f>
        <v>103.2606872436923</v>
      </c>
      <c r="CJ71" s="72">
        <f>Table1[[#This Row],[PPS]]*Table1[[#This Row],[Prefill]]/Table1[[#This Row],[In-Tok]]</f>
        <v>0.33939103285454447</v>
      </c>
      <c r="CK71" s="71">
        <f t="shared" si="19"/>
        <v>103.60007827654685</v>
      </c>
      <c r="CL71" s="71">
        <f>Table1[[#This Row],[PPS]]/Table1[[#This Row],[In-Tok]]</f>
        <v>2.684196527777778</v>
      </c>
      <c r="CM71" s="71">
        <f>Table1[[#This Row],[GPS]]/Table1[[#This Row],[Out-Tok]]</f>
        <v>2.4992426697530865</v>
      </c>
      <c r="CN71" s="71">
        <f>Table1[[#This Row],[Run]]/Table1[[#This Row],[E2E]]</f>
        <v>1.6021416764489669</v>
      </c>
      <c r="CO71" s="71">
        <f>Table1[[#This Row],[N2]]/Table1[[#This Row],[E2E]]</f>
        <v>2.4708354225340856</v>
      </c>
      <c r="CP71" s="71"/>
      <c r="CQ71" s="8">
        <f>Table1[[#This Row],[In-Tok]]+AvgOutLoad*Table1[[#This Row],[Out-Tok]]</f>
        <v>3900</v>
      </c>
      <c r="CR71" s="71">
        <f t="shared" si="20"/>
        <v>626496.13519691268</v>
      </c>
      <c r="CS71" s="71" t="e">
        <f t="shared" si="21"/>
        <v>#DIV/0!</v>
      </c>
      <c r="CT71" s="71" t="e">
        <f t="shared" si="25"/>
        <v>#DIV/0!</v>
      </c>
      <c r="CU71" s="71">
        <f t="shared" si="22"/>
        <v>0</v>
      </c>
      <c r="CV71" s="71" t="e">
        <f t="shared" si="23"/>
        <v>#DIV/0!</v>
      </c>
      <c r="CW71" s="71">
        <f>Table1[[#This Row],[N(maxT)]]/Table1[[#This Row],[e2e sat]]</f>
        <v>0</v>
      </c>
      <c r="CX71" s="71" t="e">
        <f>Table1[[#This Row],[RPS]]/CW71</f>
        <v>#DIV/0!</v>
      </c>
      <c r="CY71" s="71" t="e">
        <f>Table1[[#This Row],[Kvcache]]/$T$4</f>
        <v>#DIV/0!</v>
      </c>
      <c r="GJ71"/>
    </row>
    <row r="72" spans="1:192" hidden="1" x14ac:dyDescent="0.25">
      <c r="A72" s="3">
        <v>5000</v>
      </c>
      <c r="B72" s="3">
        <v>300</v>
      </c>
      <c r="C72">
        <v>2</v>
      </c>
      <c r="D72" s="199">
        <f>Table1[[#This Row],[Kvcache]]</f>
        <v>8.4433992759244889E-2</v>
      </c>
      <c r="E72" s="201" t="s">
        <v>140</v>
      </c>
      <c r="F72" s="219">
        <v>46092</v>
      </c>
      <c r="G72" s="10"/>
      <c r="H72" s="10">
        <v>0.15797126601105918</v>
      </c>
      <c r="I72" s="10">
        <v>0.14532217116317739</v>
      </c>
      <c r="J72" s="10">
        <v>0.84658706088967772</v>
      </c>
      <c r="K72" s="10">
        <v>1.2881464004516598</v>
      </c>
      <c r="L72" s="10">
        <v>1.4399289385477705</v>
      </c>
      <c r="M72" s="10">
        <v>1.1154069304209259E-2</v>
      </c>
      <c r="N72" s="10">
        <v>3.4883015090697325</v>
      </c>
      <c r="O72" s="47">
        <v>12196.995555555557</v>
      </c>
      <c r="P72" s="47">
        <v>672.84888888888884</v>
      </c>
      <c r="Q72" s="5">
        <v>6.333333333333333</v>
      </c>
      <c r="R72" s="5">
        <v>16</v>
      </c>
      <c r="S72" s="170">
        <v>8.4433992759244889E-2</v>
      </c>
      <c r="T72" s="212">
        <v>0.21533488492371347</v>
      </c>
      <c r="U72" s="53">
        <f>(Table1[[#This Row],[In-Tok]]+Table1[[#This Row],[Out-Tok]])*Table1[[#This Row],[RPS]]</f>
        <v>10600</v>
      </c>
      <c r="V72" s="54">
        <f>Table1[[#This Row],[In-Tok]]+AvgOutLoad*Table1[[#This Row],[Out-Tok]]</f>
        <v>5150</v>
      </c>
      <c r="W72" s="54">
        <f>Table1[[#This Row],[In-Tok]]*Table1[[#This Row],[RPS]]</f>
        <v>10000</v>
      </c>
      <c r="X72" s="55">
        <f>Table1[[#This Row],[Out-Tok]]*Table1[[#This Row],[RPS]]</f>
        <v>600</v>
      </c>
      <c r="Y72" s="74">
        <f>Table1[[#This Row],[In-Tok]]/Table1[[#This Row],[Out-Tok]]</f>
        <v>16.666666666666668</v>
      </c>
      <c r="Z72" s="53">
        <f>Table1[[#This Row],[In-Tok]]*Table1[[#This Row],[N]]+AvgOutLoad*Table1[[#This Row],[Out-Tok]]*Table1[[#This Row],[Ndecode]]</f>
        <v>40423.260036124295</v>
      </c>
      <c r="AA72" s="54">
        <f>Table1[[#This Row],[tok(N)]]/Table1[[#This Row],[Kvcache]]</f>
        <v>478755.75600679207</v>
      </c>
      <c r="AB72" s="54">
        <f>Table1[[#This Row],[tok/req]]*Table1[[#This Row],[Run]]</f>
        <v>32616.666666666664</v>
      </c>
      <c r="AC72" s="54">
        <f>Table1[[#This Row],[tok(Run)]]/Table1[[#This Row],[Kvcache]]</f>
        <v>386297.81206332188</v>
      </c>
      <c r="AD72" s="54">
        <f>Table1[[#This Row],[tok/req]]*Table1[[#This Row],[MaxRun]]</f>
        <v>82400</v>
      </c>
      <c r="AE72" s="54">
        <f>Table1[[#This Row],[tok(MaxRun)]]/Table1[[#This Row],[MaxKvcache]]</f>
        <v>382659.78143388976</v>
      </c>
      <c r="AF72" s="74">
        <f>Table1[[#This Row],[PPS]]*Table1[[#This Row],[Prefill]]/Table1[[#This Row],[In-Tok]]</f>
        <v>0.35449877516019168</v>
      </c>
      <c r="AG72" s="56">
        <f>Table1[[#This Row],[GPS]]*Table1[[#This Row],[ITL]]</f>
        <v>7.5050031379268614</v>
      </c>
      <c r="AH72" s="56">
        <f>Table1[[#This Row],[Nprefill]]+Table1[[#This Row],[Ndecode]]</f>
        <v>7.8595019130870529</v>
      </c>
      <c r="AI72" s="86">
        <f>Table1[[#This Row],[Run]]/Table1[[#This Row],[ITL]]/Table1[[#This Row],[GPS]]</f>
        <v>0.84388150370351689</v>
      </c>
      <c r="AJ72" s="85">
        <f>Table1[[#This Row],[Prefill]]+Table1[[#This Row],[ITL]]</f>
        <v>0.15647624046738665</v>
      </c>
      <c r="AK72" s="86">
        <f>Table1[[#This Row],[TTFT]]/Table1[[#This Row],[estTTFT]]</f>
        <v>1.0095543293934399</v>
      </c>
      <c r="AL72" s="56">
        <f>Table1[[#This Row],[In-Tok]]*Table1[[#This Row],[RPS]]/Table1[[#This Row],[PPS]]</f>
        <v>0.81987403819665594</v>
      </c>
      <c r="AM72" s="86">
        <f>Table1[[#This Row],[Prefill]]/Table1[[#This Row],[estPrefill]]</f>
        <v>0.17724938758009587</v>
      </c>
      <c r="AN72" s="86">
        <f>Table1[[#This Row],[Prefill]]/Table1[[#This Row],[TTFT]]</f>
        <v>0.91992787569989942</v>
      </c>
      <c r="AO72" s="85">
        <f>Table1[[#This Row],[Run]]/(Table1[[#This Row],[Out-Tok]]*Table1[[#This Row],[RPS]])</f>
        <v>1.0555555555555556E-2</v>
      </c>
      <c r="AP72" s="86">
        <f>Table1[[#This Row],[ITL]]/Table1[[#This Row],[estITL]]</f>
        <v>1.056701302504035</v>
      </c>
      <c r="AQ72" s="87">
        <f>Table1[[#This Row],[E2E]]-Table1[[#This Row],[TTFT]]+Table1[[#This Row],[ITL]]</f>
        <v>3.3414843123628826</v>
      </c>
      <c r="AR72" s="86">
        <f>Table1[[#This Row],[estDecode]]/Table1[[#This Row],[Run]]</f>
        <v>0.5276027861625604</v>
      </c>
      <c r="AS72" s="87">
        <f>Table1[[#This Row],[Prefill]]+Table1[[#This Row],[Out-Tok]]*Table1[[#This Row],[ITL]]</f>
        <v>3.4915429624259553</v>
      </c>
      <c r="AT72" s="56">
        <f>Table1[[#This Row],[estPrefill]]+Table1[[#This Row],[Out-Tok]]*Table1[[#This Row],[ITL]]</f>
        <v>4.1660948294594338</v>
      </c>
      <c r="AU72" s="86">
        <f>Table1[[#This Row],[E2E]]/Table1[[#This Row],[estE2E]]</f>
        <v>0.83730727500563218</v>
      </c>
      <c r="AV72" s="56">
        <f>Table1[[#This Row],[N]]/Table1[[#This Row],[estE2E]]</f>
        <v>1.8865393695579542</v>
      </c>
      <c r="AW72" s="56">
        <f>Table1[[#This Row],[PPS]]/Table1[[#This Row],[In-Tok]]</f>
        <v>2.4393991111111113</v>
      </c>
      <c r="AX72" s="86">
        <f>Table1[[#This Row],[RPS]]/Table1[[#This Row],[RPS(IL)]]</f>
        <v>0.81987403819665605</v>
      </c>
      <c r="AY72" s="56">
        <f>Table1[[#This Row],[GPS]]/Table1[[#This Row],[Out-Tok]]</f>
        <v>2.2428296296296293</v>
      </c>
      <c r="AZ72" s="88">
        <f>Table1[[#This Row],[RPS]]/Table1[[#This Row],[RPS(OL)]]</f>
        <v>0.89173068412257017</v>
      </c>
      <c r="BA72" s="138">
        <f>MaxTok/Table1[[#This Row],[tok/req]]</f>
        <v>75.322769318942775</v>
      </c>
      <c r="BB72" s="86">
        <f>Table1[[#This Row],[N]]/Table1[[#This Row],[N-max]]</f>
        <v>0.10434430364352631</v>
      </c>
      <c r="BC72" s="69">
        <f>Table1[[#This Row],[RPS]]</f>
        <v>2</v>
      </c>
      <c r="BD72" s="48">
        <f>Table1[[#This Row],[PPS]]/Table1[[#This Row],[RPS success]]</f>
        <v>6098.4977777777785</v>
      </c>
      <c r="BE72" s="34">
        <f>ABS(Table1[[#This Row],[est-In-Tok3]]-Table1[[#This Row],[In-Tok]])/Table1[[#This Row],[In-Tok]]</f>
        <v>0.2196995555555557</v>
      </c>
      <c r="BF72" s="48">
        <f>Table1[[#This Row],[GPS]]/Table1[[#This Row],[RPS success]]</f>
        <v>336.42444444444442</v>
      </c>
      <c r="BG72" s="34">
        <f>ABS(Table1[[#This Row],[est-Out-Tok3]]-Table1[[#This Row],[Out-Tok]])/Table1[[#This Row],[Out-Tok]]</f>
        <v>0.12141481481481473</v>
      </c>
      <c r="BH72" s="157">
        <f>Table1[[#This Row],[est-In-Tok3]]+AvgOutLoad*Table1[[#This Row],[est-Out-Tok3]]</f>
        <v>6266.7100000000009</v>
      </c>
      <c r="BI72" s="34">
        <f>ABS(Table1[[#This Row],[est-Tok/Req3]]-Table1[[#This Row],[tok/req]])/Table1[[#This Row],[tok/req]]</f>
        <v>0.21683689320388369</v>
      </c>
      <c r="BJ72" s="157">
        <f>MaxTok/Table1[[#This Row],[est-Tok/Req3]]</f>
        <v>61.900464836023247</v>
      </c>
      <c r="BK72" s="34">
        <f>ABS(Table1[[#This Row],[est-N-max3]]-Table1[[#This Row],[N-max]])/Table1[[#This Row],[N-max]]</f>
        <v>0.17819717204083174</v>
      </c>
      <c r="BL72" s="69">
        <f>MaxTok*Table1[[#This Row],[Kvcache]]/Table1[[#This Row],[Run]]</f>
        <v>5171.5233347844824</v>
      </c>
      <c r="BM72" s="165">
        <f>ABS(Table1[[#This Row],[est-Tok/Req]]-Table1[[#This Row],[tok/req]])/Table1[[#This Row],[tok/req]]</f>
        <v>4.1792883076664771E-3</v>
      </c>
      <c r="BN72" s="69">
        <f>MaxTok/Table1[[#This Row],[est-Tok/Req]]</f>
        <v>75.009283895790659</v>
      </c>
      <c r="BO72" s="175">
        <f>Table1[[#This Row],[Run]]/Table1[[#This Row],[Kvcache]]</f>
        <v>75.009283895790659</v>
      </c>
      <c r="BP72" s="131" cm="1">
        <f t="array" aca="1" ref="BP72" ca="1">_xlfn.CEILING.MATH(INDIRECT("Table1"&amp;BP$3)/BP$2)*BP$2</f>
        <v>6000</v>
      </c>
      <c r="BQ72" s="182" cm="1">
        <f t="array" aca="1" ref="BQ72" ca="1">_xlfn.CEILING.MATH(INDIRECT("Table1"&amp;BQ$3)/BQ$2)*BQ$2</f>
        <v>1.4999999999999999E-2</v>
      </c>
      <c r="BR72" s="34" cm="1">
        <f t="array" aca="1" ref="BR72" ca="1">_xlfn.CEILING.MATH(INDIRECT("Table1"&amp;BR$3)/BR$2)*BR$2</f>
        <v>0.1</v>
      </c>
      <c r="BS72" s="34" cm="1">
        <f t="array" aca="1" ref="BS72" ca="1">_xlfn.CEILING.MATH(INDIRECT("Table1"&amp;BS$3)/BS$2)*BS$2</f>
        <v>0.09</v>
      </c>
      <c r="BT72" s="20" cm="1">
        <f t="array" aca="1" ref="BT72" ca="1">_xlfn.CEILING.MATH(INDIRECT("Table1"&amp;BT$3)/BT$2)*BT$2</f>
        <v>7</v>
      </c>
      <c r="BU72" s="131" cm="1">
        <f t="array" aca="1" ref="BU72" ca="1">_xlfn.CEILING.MATH(INDIRECT("Table1"&amp;BU$3)/BU$2)*BU$2</f>
        <v>20</v>
      </c>
      <c r="BV72" s="131" cm="1">
        <f t="array" aca="1" ref="BV72" ca="1">_xlfn.CEILING.MATH(INDIRECT("Table1"&amp;BV$3)/BV$2)*BV$2</f>
        <v>5000</v>
      </c>
      <c r="BW72" s="34"/>
      <c r="BX72" s="34"/>
      <c r="BY72" s="190">
        <v>0.21533488492371347</v>
      </c>
      <c r="BZ72" s="34"/>
      <c r="CA72" s="24">
        <f>(Table1[[#This Row],[In-Tok]]+Table1[[#This Row],[Out-Tok]])*Table1[[#This Row],[RPS]]</f>
        <v>10600</v>
      </c>
      <c r="CB72" s="20">
        <f t="shared" si="24"/>
        <v>382659.78143388976</v>
      </c>
      <c r="CC72" s="20">
        <f>Table1[[#This Row],[Supply]]/(Table1[[#This Row],[Prefill]]+Table1[[#This Row],[Out-Tok]]*Table1[[#This Row],[ITL]])</f>
        <v>109596.18299183532</v>
      </c>
      <c r="CD72" s="20">
        <f>Table1[[#This Row],[MaxRun]]/Table1[[#This Row],[ITL]]</f>
        <v>1434.454060094643</v>
      </c>
      <c r="CE72" s="20">
        <f>Table1[[#This Row],[Out-Tok]]*Table1[[#This Row],[RPS]]</f>
        <v>600</v>
      </c>
      <c r="CF72" s="22">
        <f>Table1[[#This Row],[Supply]]/Table1[[#This Row],[Demand-T]]</f>
        <v>36.099979380555638</v>
      </c>
      <c r="CG72" s="22"/>
      <c r="CH72" s="71">
        <f>Table1[[#This Row],[Prefill]]+Table1[[#This Row],[Out-Tok]]*Table1[[#This Row],[ITL]]</f>
        <v>3.4915429624259553</v>
      </c>
      <c r="CI72" s="71">
        <f>Table1[[#This Row],[GPS]]*Table1[[#This Row],[ITL]]</f>
        <v>7.5050031379268614</v>
      </c>
      <c r="CJ72" s="72">
        <f>Table1[[#This Row],[PPS]]*Table1[[#This Row],[Prefill]]/Table1[[#This Row],[In-Tok]]</f>
        <v>0.35449877516019168</v>
      </c>
      <c r="CK72" s="71">
        <f t="shared" si="19"/>
        <v>7.8595019130870529</v>
      </c>
      <c r="CL72" s="71">
        <f>Table1[[#This Row],[PPS]]/Table1[[#This Row],[In-Tok]]</f>
        <v>2.4393991111111113</v>
      </c>
      <c r="CM72" s="71">
        <f>Table1[[#This Row],[GPS]]/Table1[[#This Row],[Out-Tok]]</f>
        <v>2.2428296296296293</v>
      </c>
      <c r="CN72" s="71">
        <f>Table1[[#This Row],[Run]]/Table1[[#This Row],[E2E]]</f>
        <v>1.815592292371057</v>
      </c>
      <c r="CO72" s="71">
        <f>Table1[[#This Row],[N2]]/Table1[[#This Row],[E2E]]</f>
        <v>2.2531028045173311</v>
      </c>
      <c r="CP72" s="71"/>
      <c r="CQ72" s="71">
        <f>Table1[[#This Row],[In-Tok]]+AvgOutLoad*Table1[[#This Row],[Out-Tok]]</f>
        <v>5150</v>
      </c>
      <c r="CR72" s="71">
        <f t="shared" si="20"/>
        <v>204638.2999727272</v>
      </c>
      <c r="CS72" s="71" t="e">
        <f t="shared" si="21"/>
        <v>#DIV/0!</v>
      </c>
      <c r="CT72" s="71" t="e">
        <f t="shared" si="25"/>
        <v>#DIV/0!</v>
      </c>
      <c r="CU72" s="71">
        <f t="shared" si="22"/>
        <v>0</v>
      </c>
      <c r="CV72" s="71" t="e">
        <f t="shared" si="23"/>
        <v>#DIV/0!</v>
      </c>
      <c r="CW72" s="71">
        <f>Table1[[#This Row],[N(maxT)]]/Table1[[#This Row],[e2e sat]]</f>
        <v>0</v>
      </c>
      <c r="CX72" s="71" t="e">
        <f>Table1[[#This Row],[RPS]]/CW72</f>
        <v>#DIV/0!</v>
      </c>
      <c r="CY72" s="110" t="e">
        <f>Table1[[#This Row],[Kvcache]]/$T$4</f>
        <v>#DIV/0!</v>
      </c>
      <c r="GJ72"/>
    </row>
    <row r="73" spans="1:192" hidden="1" x14ac:dyDescent="0.25">
      <c r="A73" s="3">
        <v>5000</v>
      </c>
      <c r="B73" s="3">
        <v>300</v>
      </c>
      <c r="C73">
        <v>3</v>
      </c>
      <c r="D73" s="199">
        <f>Table1[[#This Row],[Kvcache]]</f>
        <v>0.22876618141438113</v>
      </c>
      <c r="E73" s="34" t="s">
        <v>140</v>
      </c>
      <c r="F73" s="219">
        <v>46092</v>
      </c>
      <c r="G73" s="10"/>
      <c r="H73" s="10">
        <v>0.33120772337005583</v>
      </c>
      <c r="I73" s="10">
        <v>0.26971127856781363</v>
      </c>
      <c r="J73" s="10">
        <v>2.0491161676162375</v>
      </c>
      <c r="K73" s="10">
        <v>5.6007031043370574</v>
      </c>
      <c r="L73" s="10">
        <v>6.4501546065012612</v>
      </c>
      <c r="M73" s="10">
        <v>1.9149387940522167E-2</v>
      </c>
      <c r="N73" s="10">
        <v>6.0779019709939872</v>
      </c>
      <c r="O73" s="47">
        <v>22495.554285714286</v>
      </c>
      <c r="P73" s="47">
        <v>1241.3514285714289</v>
      </c>
      <c r="Q73" s="5">
        <v>17.313368983957215</v>
      </c>
      <c r="R73" s="5">
        <v>38.333333333333336</v>
      </c>
      <c r="S73" s="170">
        <v>0.22876618141438113</v>
      </c>
      <c r="T73" s="212">
        <v>0.50680113783294545</v>
      </c>
      <c r="U73" s="53">
        <f>(Table1[[#This Row],[In-Tok]]+Table1[[#This Row],[Out-Tok]])*Table1[[#This Row],[RPS]]</f>
        <v>15900</v>
      </c>
      <c r="V73" s="54">
        <f>Table1[[#This Row],[In-Tok]]+AvgOutLoad*Table1[[#This Row],[Out-Tok]]</f>
        <v>5150</v>
      </c>
      <c r="W73" s="54">
        <f>Table1[[#This Row],[In-Tok]]*Table1[[#This Row],[RPS]]</f>
        <v>15000</v>
      </c>
      <c r="X73" s="55">
        <f>Table1[[#This Row],[Out-Tok]]*Table1[[#This Row],[RPS]]</f>
        <v>900</v>
      </c>
      <c r="Y73" s="74">
        <f>Table1[[#This Row],[In-Tok]]/Table1[[#This Row],[Out-Tok]]</f>
        <v>16.666666666666668</v>
      </c>
      <c r="Z73" s="53">
        <f>Table1[[#This Row],[In-Tok]]*Table1[[#This Row],[N]]+AvgOutLoad*Table1[[#This Row],[Out-Tok]]*Table1[[#This Row],[Ndecode]]</f>
        <v>128488.57310110544</v>
      </c>
      <c r="AA73" s="54">
        <f>Table1[[#This Row],[tok(N)]]/Table1[[#This Row],[Kvcache]]</f>
        <v>561658.9493547763</v>
      </c>
      <c r="AB73" s="54">
        <f>Table1[[#This Row],[tok/req]]*Table1[[#This Row],[Run]]</f>
        <v>89163.850267379661</v>
      </c>
      <c r="AC73" s="54">
        <f>Table1[[#This Row],[tok(Run)]]/Table1[[#This Row],[Kvcache]]</f>
        <v>389759.75258279359</v>
      </c>
      <c r="AD73" s="54">
        <f>Table1[[#This Row],[tok/req]]*Table1[[#This Row],[MaxRun]]</f>
        <v>197416.66666666669</v>
      </c>
      <c r="AE73" s="54">
        <f>Table1[[#This Row],[tok(MaxRun)]]/Table1[[#This Row],[MaxKvcache]]</f>
        <v>389534.77395652619</v>
      </c>
      <c r="AF73" s="74">
        <f>Table1[[#This Row],[PPS]]*Table1[[#This Row],[Prefill]]/Table1[[#This Row],[In-Tok]]</f>
        <v>1.213460941698332</v>
      </c>
      <c r="AG73" s="56">
        <f>Table1[[#This Row],[GPS]]*Table1[[#This Row],[ITL]]</f>
        <v>23.771120076235686</v>
      </c>
      <c r="AH73" s="56">
        <f>Table1[[#This Row],[Nprefill]]+Table1[[#This Row],[Ndecode]]</f>
        <v>24.984581017934019</v>
      </c>
      <c r="AI73" s="86">
        <f>Table1[[#This Row],[Run]]/Table1[[#This Row],[ITL]]/Table1[[#This Row],[GPS]]</f>
        <v>0.72833627226786124</v>
      </c>
      <c r="AJ73" s="85">
        <f>Table1[[#This Row],[Prefill]]+Table1[[#This Row],[ITL]]</f>
        <v>0.28886066650833581</v>
      </c>
      <c r="AK73" s="86">
        <f>Table1[[#This Row],[TTFT]]/Table1[[#This Row],[estTTFT]]</f>
        <v>1.1466002878605766</v>
      </c>
      <c r="AL73" s="56">
        <f>Table1[[#This Row],[In-Tok]]*Table1[[#This Row],[RPS]]/Table1[[#This Row],[PPS]]</f>
        <v>0.66679841756669633</v>
      </c>
      <c r="AM73" s="86">
        <f>Table1[[#This Row],[Prefill]]/Table1[[#This Row],[estPrefill]]</f>
        <v>0.40448698056611065</v>
      </c>
      <c r="AN73" s="86">
        <f>Table1[[#This Row],[Prefill]]/Table1[[#This Row],[TTFT]]</f>
        <v>0.81432665827803574</v>
      </c>
      <c r="AO73" s="85">
        <f>Table1[[#This Row],[Run]]/(Table1[[#This Row],[Out-Tok]]*Table1[[#This Row],[RPS]])</f>
        <v>1.9237076648841351E-2</v>
      </c>
      <c r="AP73" s="86">
        <f>Table1[[#This Row],[ITL]]/Table1[[#This Row],[estITL]]</f>
        <v>0.99544168223062801</v>
      </c>
      <c r="AQ73" s="87">
        <f>Table1[[#This Row],[E2E]]-Table1[[#This Row],[TTFT]]+Table1[[#This Row],[ITL]]</f>
        <v>5.7658436355644538</v>
      </c>
      <c r="AR73" s="86">
        <f>Table1[[#This Row],[estDecode]]/Table1[[#This Row],[Run]]</f>
        <v>0.33302840370970876</v>
      </c>
      <c r="AS73" s="87">
        <f>Table1[[#This Row],[Prefill]]+Table1[[#This Row],[Out-Tok]]*Table1[[#This Row],[ITL]]</f>
        <v>6.0145276607244638</v>
      </c>
      <c r="AT73" s="56">
        <f>Table1[[#This Row],[estPrefill]]+Table1[[#This Row],[Out-Tok]]*Table1[[#This Row],[ITL]]</f>
        <v>6.4116147997233472</v>
      </c>
      <c r="AU73" s="86">
        <f>Table1[[#This Row],[E2E]]/Table1[[#This Row],[estE2E]]</f>
        <v>0.94795182818160573</v>
      </c>
      <c r="AV73" s="56">
        <f>Table1[[#This Row],[N]]/Table1[[#This Row],[estE2E]]</f>
        <v>3.8967688793487829</v>
      </c>
      <c r="AW73" s="56">
        <f>Table1[[#This Row],[PPS]]/Table1[[#This Row],[In-Tok]]</f>
        <v>4.4991108571428571</v>
      </c>
      <c r="AX73" s="86">
        <f>Table1[[#This Row],[RPS]]/Table1[[#This Row],[RPS(IL)]]</f>
        <v>0.66679841756669633</v>
      </c>
      <c r="AY73" s="56">
        <f>Table1[[#This Row],[GPS]]/Table1[[#This Row],[Out-Tok]]</f>
        <v>4.137838095238096</v>
      </c>
      <c r="AZ73" s="88">
        <f>Table1[[#This Row],[RPS]]/Table1[[#This Row],[RPS(OL)]]</f>
        <v>0.72501628409590457</v>
      </c>
      <c r="BA73" s="138">
        <f>MaxTok/Table1[[#This Row],[tok/req]]</f>
        <v>75.322769318942775</v>
      </c>
      <c r="BB73" s="86">
        <f>Table1[[#This Row],[N]]/Table1[[#This Row],[N-max]]</f>
        <v>0.33170024474459536</v>
      </c>
      <c r="BC73" s="69">
        <f>Table1[[#This Row],[RPS]]</f>
        <v>3</v>
      </c>
      <c r="BD73" s="48">
        <f>Table1[[#This Row],[PPS]]/Table1[[#This Row],[RPS success]]</f>
        <v>7498.5180952380952</v>
      </c>
      <c r="BE73" s="34">
        <f>ABS(Table1[[#This Row],[est-In-Tok3]]-Table1[[#This Row],[In-Tok]])/Table1[[#This Row],[In-Tok]]</f>
        <v>0.49970361904761901</v>
      </c>
      <c r="BF73" s="48">
        <f>Table1[[#This Row],[GPS]]/Table1[[#This Row],[RPS success]]</f>
        <v>413.78380952380962</v>
      </c>
      <c r="BG73" s="34">
        <f>ABS(Table1[[#This Row],[est-Out-Tok3]]-Table1[[#This Row],[Out-Tok]])/Table1[[#This Row],[Out-Tok]]</f>
        <v>0.37927936507936538</v>
      </c>
      <c r="BH73" s="157">
        <f>Table1[[#This Row],[est-In-Tok3]]+AvgOutLoad*Table1[[#This Row],[est-Out-Tok3]]</f>
        <v>7705.41</v>
      </c>
      <c r="BI73" s="34">
        <f>ABS(Table1[[#This Row],[est-Tok/Req3]]-Table1[[#This Row],[tok/req]])/Table1[[#This Row],[tok/req]]</f>
        <v>0.49619611650485435</v>
      </c>
      <c r="BJ73" s="157">
        <f>MaxTok/Table1[[#This Row],[est-Tok/Req3]]</f>
        <v>50.34284509098871</v>
      </c>
      <c r="BK73" s="34">
        <f>ABS(Table1[[#This Row],[est-N-max3]]-Table1[[#This Row],[N-max]])/Table1[[#This Row],[N-max]]</f>
        <v>0.33163842027873919</v>
      </c>
      <c r="BL73" s="69">
        <f>MaxTok*Table1[[#This Row],[Kvcache]]/Table1[[#This Row],[Run]]</f>
        <v>5125.5886120188716</v>
      </c>
      <c r="BM73" s="165">
        <f>ABS(Table1[[#This Row],[est-Tok/Req]]-Table1[[#This Row],[tok/req]])/Table1[[#This Row],[tok/req]]</f>
        <v>4.7400753361414426E-3</v>
      </c>
      <c r="BN73" s="69">
        <f>MaxTok/Table1[[#This Row],[est-Tok/Req]]</f>
        <v>75.681505355882251</v>
      </c>
      <c r="BO73" s="175">
        <f>Table1[[#This Row],[Run]]/Table1[[#This Row],[Kvcache]]</f>
        <v>75.681505355882251</v>
      </c>
      <c r="BP73" s="131" cm="1">
        <f t="array" aca="1" ref="BP73" ca="1">_xlfn.CEILING.MATH(INDIRECT("Table1"&amp;BP$3)/BP$2)*BP$2</f>
        <v>6000</v>
      </c>
      <c r="BQ73" s="182" cm="1">
        <f t="array" aca="1" ref="BQ73" ca="1">_xlfn.CEILING.MATH(INDIRECT("Table1"&amp;BQ$3)/BQ$2)*BQ$2</f>
        <v>0.02</v>
      </c>
      <c r="BR73" s="34" cm="1">
        <f t="array" aca="1" ref="BR73" ca="1">_xlfn.CEILING.MATH(INDIRECT("Table1"&amp;BR$3)/BR$2)*BR$2</f>
        <v>0.30000000000000004</v>
      </c>
      <c r="BS73" s="34" cm="1">
        <f t="array" aca="1" ref="BS73" ca="1">_xlfn.CEILING.MATH(INDIRECT("Table1"&amp;BS$3)/BS$2)*BS$2</f>
        <v>0.23</v>
      </c>
      <c r="BT73" s="20" cm="1">
        <f t="array" aca="1" ref="BT73" ca="1">_xlfn.CEILING.MATH(INDIRECT("Table1"&amp;BT$3)/BT$2)*BT$2</f>
        <v>18</v>
      </c>
      <c r="BU73" s="131" cm="1">
        <f t="array" aca="1" ref="BU73" ca="1">_xlfn.CEILING.MATH(INDIRECT("Table1"&amp;BU$3)/BU$2)*BU$2</f>
        <v>20</v>
      </c>
      <c r="BV73" s="131" cm="1">
        <f t="array" aca="1" ref="BV73" ca="1">_xlfn.CEILING.MATH(INDIRECT("Table1"&amp;BV$3)/BV$2)*BV$2</f>
        <v>5000</v>
      </c>
      <c r="BW73" s="34"/>
      <c r="BX73" s="34"/>
      <c r="BY73" s="190">
        <v>0.50680113783294545</v>
      </c>
      <c r="BZ73" s="34"/>
      <c r="CA73" s="24">
        <f>(Table1[[#This Row],[In-Tok]]+Table1[[#This Row],[Out-Tok]])*Table1[[#This Row],[RPS]]</f>
        <v>15900</v>
      </c>
      <c r="CB73" s="20">
        <f t="shared" si="24"/>
        <v>389534.77395652619</v>
      </c>
      <c r="CC73" s="20">
        <f>Table1[[#This Row],[Supply]]/(Table1[[#This Row],[Prefill]]+Table1[[#This Row],[Out-Tok]]*Table1[[#This Row],[ITL]])</f>
        <v>64765.646768944418</v>
      </c>
      <c r="CD73" s="20">
        <f>Table1[[#This Row],[MaxRun]]/Table1[[#This Row],[ITL]]</f>
        <v>2001.8046243773606</v>
      </c>
      <c r="CE73" s="20">
        <f>Table1[[#This Row],[Out-Tok]]*Table1[[#This Row],[RPS]]</f>
        <v>900</v>
      </c>
      <c r="CF73" s="22">
        <f>Table1[[#This Row],[Supply]]/Table1[[#This Row],[Demand-T]]</f>
        <v>24.499042387202906</v>
      </c>
      <c r="CG73" s="22"/>
      <c r="CH73" s="71">
        <f>Table1[[#This Row],[Prefill]]+Table1[[#This Row],[Out-Tok]]*Table1[[#This Row],[ITL]]</f>
        <v>6.0145276607244638</v>
      </c>
      <c r="CI73" s="71">
        <f>Table1[[#This Row],[GPS]]*Table1[[#This Row],[ITL]]</f>
        <v>23.771120076235686</v>
      </c>
      <c r="CJ73" s="72">
        <f>Table1[[#This Row],[PPS]]*Table1[[#This Row],[Prefill]]/Table1[[#This Row],[In-Tok]]</f>
        <v>1.213460941698332</v>
      </c>
      <c r="CK73" s="71">
        <f t="shared" si="19"/>
        <v>24.984581017934019</v>
      </c>
      <c r="CL73" s="71">
        <f>Table1[[#This Row],[PPS]]/Table1[[#This Row],[In-Tok]]</f>
        <v>4.4991108571428571</v>
      </c>
      <c r="CM73" s="71">
        <f>Table1[[#This Row],[GPS]]/Table1[[#This Row],[Out-Tok]]</f>
        <v>4.137838095238096</v>
      </c>
      <c r="CN73" s="71">
        <f>Table1[[#This Row],[Run]]/Table1[[#This Row],[E2E]]</f>
        <v>2.8485765427910916</v>
      </c>
      <c r="CO73" s="71">
        <f>Table1[[#This Row],[N2]]/Table1[[#This Row],[E2E]]</f>
        <v>4.1107245785091218</v>
      </c>
      <c r="CP73" s="71"/>
      <c r="CQ73" s="71">
        <f>Table1[[#This Row],[In-Tok]]+AvgOutLoad*Table1[[#This Row],[Out-Tok]]</f>
        <v>5150</v>
      </c>
      <c r="CR73" s="71">
        <f t="shared" si="20"/>
        <v>420803.95031801227</v>
      </c>
      <c r="CS73" s="71" t="e">
        <f t="shared" si="21"/>
        <v>#DIV/0!</v>
      </c>
      <c r="CT73" s="71" t="e">
        <f t="shared" si="25"/>
        <v>#DIV/0!</v>
      </c>
      <c r="CU73" s="71">
        <f t="shared" si="22"/>
        <v>0</v>
      </c>
      <c r="CV73" s="71" t="e">
        <f t="shared" si="23"/>
        <v>#DIV/0!</v>
      </c>
      <c r="CW73" s="71">
        <f>Table1[[#This Row],[N(maxT)]]/Table1[[#This Row],[e2e sat]]</f>
        <v>0</v>
      </c>
      <c r="CX73" s="71" t="e">
        <f>Table1[[#This Row],[RPS]]/CW73</f>
        <v>#DIV/0!</v>
      </c>
      <c r="CY73" s="110" t="e">
        <f>Table1[[#This Row],[Kvcache]]/$T$4</f>
        <v>#DIV/0!</v>
      </c>
      <c r="GJ73"/>
    </row>
    <row r="74" spans="1:192" hidden="1" x14ac:dyDescent="0.25">
      <c r="A74" s="3">
        <v>5000</v>
      </c>
      <c r="B74" s="3">
        <v>300</v>
      </c>
      <c r="C74">
        <v>4</v>
      </c>
      <c r="D74" s="199">
        <f>Table1[[#This Row],[Kvcache]]</f>
        <v>0.33997760986991121</v>
      </c>
      <c r="E74" s="34" t="s">
        <v>140</v>
      </c>
      <c r="F74" s="219">
        <v>46092</v>
      </c>
      <c r="G74" s="10"/>
      <c r="H74" s="10">
        <v>0.57532700991569519</v>
      </c>
      <c r="I74" s="10">
        <v>0.24776598173587749</v>
      </c>
      <c r="J74" s="10">
        <v>2.455169526482591</v>
      </c>
      <c r="K74" s="10">
        <v>8.0907527367273957</v>
      </c>
      <c r="L74" s="10">
        <v>9.3781185261408471</v>
      </c>
      <c r="M74" s="10">
        <v>2.4075493365291672E-2</v>
      </c>
      <c r="N74" s="10">
        <v>7.1516629555313029</v>
      </c>
      <c r="O74" s="47">
        <v>25250.193727106223</v>
      </c>
      <c r="P74" s="47">
        <v>1383.6219780219781</v>
      </c>
      <c r="Q74" s="5">
        <v>25.670308123249299</v>
      </c>
      <c r="R74" s="5">
        <v>57.666666666666664</v>
      </c>
      <c r="S74" s="170">
        <v>0.33997760986991121</v>
      </c>
      <c r="T74" s="212">
        <v>0.76560641324023793</v>
      </c>
      <c r="U74" s="53">
        <f>(Table1[[#This Row],[In-Tok]]+Table1[[#This Row],[Out-Tok]])*Table1[[#This Row],[RPS]]</f>
        <v>21200</v>
      </c>
      <c r="V74" s="54">
        <f>Table1[[#This Row],[In-Tok]]+AvgOutLoad*Table1[[#This Row],[Out-Tok]]</f>
        <v>5150</v>
      </c>
      <c r="W74" s="54">
        <f>Table1[[#This Row],[In-Tok]]*Table1[[#This Row],[RPS]]</f>
        <v>20000</v>
      </c>
      <c r="X74" s="55">
        <f>Table1[[#This Row],[Out-Tok]]*Table1[[#This Row],[RPS]]</f>
        <v>1200</v>
      </c>
      <c r="Y74" s="74">
        <f>Table1[[#This Row],[In-Tok]]/Table1[[#This Row],[Out-Tok]]</f>
        <v>16.666666666666668</v>
      </c>
      <c r="Z74" s="53">
        <f>Table1[[#This Row],[In-Tok]]*Table1[[#This Row],[N]]+AvgOutLoad*Table1[[#This Row],[Out-Tok]]*Table1[[#This Row],[Ndecode]]</f>
        <v>177809.75506030791</v>
      </c>
      <c r="AA74" s="54">
        <f>Table1[[#This Row],[tok(N)]]/Table1[[#This Row],[Kvcache]]</f>
        <v>523004.3093965656</v>
      </c>
      <c r="AB74" s="54">
        <f>Table1[[#This Row],[tok/req]]*Table1[[#This Row],[Run]]</f>
        <v>132202.0868347339</v>
      </c>
      <c r="AC74" s="54">
        <f>Table1[[#This Row],[tok(Run)]]/Table1[[#This Row],[Kvcache]]</f>
        <v>388855.27457328618</v>
      </c>
      <c r="AD74" s="54">
        <f>Table1[[#This Row],[tok/req]]*Table1[[#This Row],[MaxRun]]</f>
        <v>296983.33333333331</v>
      </c>
      <c r="AE74" s="54">
        <f>Table1[[#This Row],[tok(MaxRun)]]/Table1[[#This Row],[MaxKvcache]]</f>
        <v>387906.01567249879</v>
      </c>
      <c r="AF74" s="74">
        <f>Table1[[#This Row],[PPS]]*Table1[[#This Row],[Prefill]]/Table1[[#This Row],[In-Tok]]</f>
        <v>1.2512278075635139</v>
      </c>
      <c r="AG74" s="56">
        <f>Table1[[#This Row],[GPS]]*Table1[[#This Row],[ITL]]</f>
        <v>33.311381751939869</v>
      </c>
      <c r="AH74" s="56">
        <f>Table1[[#This Row],[Nprefill]]+Table1[[#This Row],[Ndecode]]</f>
        <v>34.562609559503386</v>
      </c>
      <c r="AI74" s="86">
        <f>Table1[[#This Row],[Run]]/Table1[[#This Row],[ITL]]/Table1[[#This Row],[GPS]]</f>
        <v>0.77061673137453679</v>
      </c>
      <c r="AJ74" s="85">
        <f>Table1[[#This Row],[Prefill]]+Table1[[#This Row],[ITL]]</f>
        <v>0.27184147510116918</v>
      </c>
      <c r="AK74" s="86">
        <f>Table1[[#This Row],[TTFT]]/Table1[[#This Row],[estTTFT]]</f>
        <v>2.1164062978306752</v>
      </c>
      <c r="AL74" s="56">
        <f>Table1[[#This Row],[In-Tok]]*Table1[[#This Row],[RPS]]/Table1[[#This Row],[PPS]]</f>
        <v>0.79207313085007691</v>
      </c>
      <c r="AM74" s="86">
        <f>Table1[[#This Row],[Prefill]]/Table1[[#This Row],[estPrefill]]</f>
        <v>0.31280695189087848</v>
      </c>
      <c r="AN74" s="86">
        <f>Table1[[#This Row],[Prefill]]/Table1[[#This Row],[TTFT]]</f>
        <v>0.43065244194285884</v>
      </c>
      <c r="AO74" s="85">
        <f>Table1[[#This Row],[Run]]/(Table1[[#This Row],[Out-Tok]]*Table1[[#This Row],[RPS]])</f>
        <v>2.1391923436041082E-2</v>
      </c>
      <c r="AP74" s="86">
        <f>Table1[[#This Row],[ITL]]/Table1[[#This Row],[estITL]]</f>
        <v>1.1254478091824747</v>
      </c>
      <c r="AQ74" s="87">
        <f>Table1[[#This Row],[E2E]]-Table1[[#This Row],[TTFT]]+Table1[[#This Row],[ITL]]</f>
        <v>6.600411438980899</v>
      </c>
      <c r="AR74" s="86">
        <f>Table1[[#This Row],[estDecode]]/Table1[[#This Row],[Run]]</f>
        <v>0.25712240800892389</v>
      </c>
      <c r="AS74" s="87">
        <f>Table1[[#This Row],[Prefill]]+Table1[[#This Row],[Out-Tok]]*Table1[[#This Row],[ITL]]</f>
        <v>7.4704139913233796</v>
      </c>
      <c r="AT74" s="56">
        <f>Table1[[#This Row],[estPrefill]]+Table1[[#This Row],[Out-Tok]]*Table1[[#This Row],[ITL]]</f>
        <v>8.0147211404375795</v>
      </c>
      <c r="AU74" s="86">
        <f>Table1[[#This Row],[E2E]]/Table1[[#This Row],[estE2E]]</f>
        <v>0.89231588101652204</v>
      </c>
      <c r="AV74" s="56">
        <f>Table1[[#This Row],[N]]/Table1[[#This Row],[estE2E]]</f>
        <v>4.3123907811490456</v>
      </c>
      <c r="AW74" s="56">
        <f>Table1[[#This Row],[PPS]]/Table1[[#This Row],[In-Tok]]</f>
        <v>5.0500387454212445</v>
      </c>
      <c r="AX74" s="86">
        <f>Table1[[#This Row],[RPS]]/Table1[[#This Row],[RPS(IL)]]</f>
        <v>0.79207313085007702</v>
      </c>
      <c r="AY74" s="56">
        <f>Table1[[#This Row],[GPS]]/Table1[[#This Row],[Out-Tok]]</f>
        <v>4.6120732600732604</v>
      </c>
      <c r="AZ74" s="88">
        <f>Table1[[#This Row],[RPS]]/Table1[[#This Row],[RPS(OL)]]</f>
        <v>0.86728891204483216</v>
      </c>
      <c r="BA74" s="138">
        <f>MaxTok/Table1[[#This Row],[tok/req]]</f>
        <v>75.322769318942775</v>
      </c>
      <c r="BB74" s="86">
        <f>Table1[[#This Row],[N]]/Table1[[#This Row],[N-max]]</f>
        <v>0.45886004819012016</v>
      </c>
      <c r="BC74" s="69">
        <f>Table1[[#This Row],[RPS]]</f>
        <v>4</v>
      </c>
      <c r="BD74" s="48">
        <f>Table1[[#This Row],[PPS]]/Table1[[#This Row],[RPS success]]</f>
        <v>6312.5484317765558</v>
      </c>
      <c r="BE74" s="34">
        <f>ABS(Table1[[#This Row],[est-In-Tok3]]-Table1[[#This Row],[In-Tok]])/Table1[[#This Row],[In-Tok]]</f>
        <v>0.26250968635531119</v>
      </c>
      <c r="BF74" s="48">
        <f>Table1[[#This Row],[GPS]]/Table1[[#This Row],[RPS success]]</f>
        <v>345.90549450549452</v>
      </c>
      <c r="BG74" s="34">
        <f>ABS(Table1[[#This Row],[est-Out-Tok3]]-Table1[[#This Row],[Out-Tok]])/Table1[[#This Row],[Out-Tok]]</f>
        <v>0.15301831501831506</v>
      </c>
      <c r="BH74" s="157">
        <f>Table1[[#This Row],[est-In-Tok3]]+AvgOutLoad*Table1[[#This Row],[est-Out-Tok3]]</f>
        <v>6485.5011790293029</v>
      </c>
      <c r="BI74" s="34">
        <f>ABS(Table1[[#This Row],[est-Tok/Req3]]-Table1[[#This Row],[tok/req]])/Table1[[#This Row],[tok/req]]</f>
        <v>0.25932061728724326</v>
      </c>
      <c r="BJ74" s="157">
        <f>MaxTok/Table1[[#This Row],[est-Tok/Req3]]</f>
        <v>59.8122259613273</v>
      </c>
      <c r="BK74" s="34">
        <f>ABS(Table1[[#This Row],[est-N-max3]]-Table1[[#This Row],[N-max]])/Table1[[#This Row],[N-max]]</f>
        <v>0.20592104482959789</v>
      </c>
      <c r="BL74" s="69">
        <f>MaxTok*Table1[[#This Row],[Kvcache]]/Table1[[#This Row],[Run]]</f>
        <v>5137.510739577614</v>
      </c>
      <c r="BM74" s="165">
        <f>ABS(Table1[[#This Row],[est-Tok/Req]]-Table1[[#This Row],[tok/req]])/Table1[[#This Row],[tok/req]]</f>
        <v>2.4250991111429117E-3</v>
      </c>
      <c r="BN74" s="69">
        <f>MaxTok/Table1[[#This Row],[est-Tok/Req]]</f>
        <v>75.505878557919644</v>
      </c>
      <c r="BO74" s="175">
        <f>Table1[[#This Row],[Run]]/Table1[[#This Row],[Kvcache]]</f>
        <v>75.505878557919644</v>
      </c>
      <c r="BP74" s="131" cm="1">
        <f t="array" aca="1" ref="BP74" ca="1">_xlfn.CEILING.MATH(INDIRECT("Table1"&amp;BP$3)/BP$2)*BP$2</f>
        <v>6000</v>
      </c>
      <c r="BQ74" s="182" cm="1">
        <f t="array" aca="1" ref="BQ74" ca="1">_xlfn.CEILING.MATH(INDIRECT("Table1"&amp;BQ$3)/BQ$2)*BQ$2</f>
        <v>2.5000000000000001E-2</v>
      </c>
      <c r="BR74" s="34" cm="1">
        <f t="array" aca="1" ref="BR74" ca="1">_xlfn.CEILING.MATH(INDIRECT("Table1"&amp;BR$3)/BR$2)*BR$2</f>
        <v>0.4</v>
      </c>
      <c r="BS74" s="34" cm="1">
        <f t="array" aca="1" ref="BS74" ca="1">_xlfn.CEILING.MATH(INDIRECT("Table1"&amp;BS$3)/BS$2)*BS$2</f>
        <v>0.34</v>
      </c>
      <c r="BT74" s="20" cm="1">
        <f t="array" aca="1" ref="BT74" ca="1">_xlfn.CEILING.MATH(INDIRECT("Table1"&amp;BT$3)/BT$2)*BT$2</f>
        <v>26</v>
      </c>
      <c r="BU74" s="131" cm="1">
        <f t="array" aca="1" ref="BU74" ca="1">_xlfn.CEILING.MATH(INDIRECT("Table1"&amp;BU$3)/BU$2)*BU$2</f>
        <v>20</v>
      </c>
      <c r="BV74" s="131" cm="1">
        <f t="array" aca="1" ref="BV74" ca="1">_xlfn.CEILING.MATH(INDIRECT("Table1"&amp;BV$3)/BV$2)*BV$2</f>
        <v>5000</v>
      </c>
      <c r="BW74" s="34"/>
      <c r="BX74" s="34"/>
      <c r="BY74" s="190">
        <v>0.76560641324023793</v>
      </c>
      <c r="BZ74" s="34"/>
      <c r="CA74" s="24">
        <f>(Table1[[#This Row],[In-Tok]]+Table1[[#This Row],[Out-Tok]])*Table1[[#This Row],[RPS]]</f>
        <v>21200</v>
      </c>
      <c r="CB74" s="20">
        <f t="shared" si="24"/>
        <v>387906.01567249879</v>
      </c>
      <c r="CC74" s="20">
        <f>Table1[[#This Row],[Supply]]/(Table1[[#This Row],[Prefill]]+Table1[[#This Row],[Out-Tok]]*Table1[[#This Row],[ITL]])</f>
        <v>51925.638408130777</v>
      </c>
      <c r="CD74" s="20">
        <f>Table1[[#This Row],[MaxRun]]/Table1[[#This Row],[ITL]]</f>
        <v>2395.2434033938243</v>
      </c>
      <c r="CE74" s="20">
        <f>Table1[[#This Row],[Out-Tok]]*Table1[[#This Row],[RPS]]</f>
        <v>1200</v>
      </c>
      <c r="CF74" s="22">
        <f>Table1[[#This Row],[Supply]]/Table1[[#This Row],[Demand-T]]</f>
        <v>18.297453569457492</v>
      </c>
      <c r="CG74" s="22"/>
      <c r="CH74" s="71">
        <f>Table1[[#This Row],[Prefill]]+Table1[[#This Row],[Out-Tok]]*Table1[[#This Row],[ITL]]</f>
        <v>7.4704139913233796</v>
      </c>
      <c r="CI74" s="71">
        <f>Table1[[#This Row],[GPS]]*Table1[[#This Row],[ITL]]</f>
        <v>33.311381751939869</v>
      </c>
      <c r="CJ74" s="72">
        <f>Table1[[#This Row],[PPS]]*Table1[[#This Row],[Prefill]]/Table1[[#This Row],[In-Tok]]</f>
        <v>1.2512278075635139</v>
      </c>
      <c r="CK74" s="71">
        <f t="shared" si="19"/>
        <v>34.562609559503386</v>
      </c>
      <c r="CL74" s="71">
        <f>Table1[[#This Row],[PPS]]/Table1[[#This Row],[In-Tok]]</f>
        <v>5.0500387454212445</v>
      </c>
      <c r="CM74" s="71">
        <f>Table1[[#This Row],[GPS]]/Table1[[#This Row],[Out-Tok]]</f>
        <v>4.6120732600732604</v>
      </c>
      <c r="CN74" s="71">
        <f>Table1[[#This Row],[Run]]/Table1[[#This Row],[E2E]]</f>
        <v>3.5894180532368547</v>
      </c>
      <c r="CO74" s="71">
        <f>Table1[[#This Row],[N2]]/Table1[[#This Row],[E2E]]</f>
        <v>4.8328073868150714</v>
      </c>
      <c r="CP74" s="71"/>
      <c r="CQ74" s="71">
        <f>Table1[[#This Row],[In-Tok]]+AvgOutLoad*Table1[[#This Row],[Out-Tok]]</f>
        <v>5150</v>
      </c>
      <c r="CR74" s="71">
        <f t="shared" si="20"/>
        <v>674165.04054252047</v>
      </c>
      <c r="CS74" s="71" t="e">
        <f t="shared" si="21"/>
        <v>#DIV/0!</v>
      </c>
      <c r="CT74" s="71" t="e">
        <f t="shared" si="25"/>
        <v>#DIV/0!</v>
      </c>
      <c r="CU74" s="71">
        <f t="shared" si="22"/>
        <v>0</v>
      </c>
      <c r="CV74" s="71" t="e">
        <f t="shared" si="23"/>
        <v>#DIV/0!</v>
      </c>
      <c r="CW74" s="71">
        <f>Table1[[#This Row],[N(maxT)]]/Table1[[#This Row],[e2e sat]]</f>
        <v>0</v>
      </c>
      <c r="CX74" s="71" t="e">
        <f>Table1[[#This Row],[RPS]]/CW74</f>
        <v>#DIV/0!</v>
      </c>
      <c r="CY74" s="110" t="e">
        <f>Table1[[#This Row],[Kvcache]]/$T$4</f>
        <v>#DIV/0!</v>
      </c>
      <c r="GJ74"/>
    </row>
    <row r="75" spans="1:192" hidden="1" x14ac:dyDescent="0.25">
      <c r="A75" s="3">
        <v>5000</v>
      </c>
      <c r="B75" s="3">
        <v>300</v>
      </c>
      <c r="C75">
        <v>5</v>
      </c>
      <c r="D75" s="199">
        <f>Table1[[#This Row],[Kvcache]]</f>
        <v>0.4614724305375974</v>
      </c>
      <c r="E75" s="34" t="s">
        <v>140</v>
      </c>
      <c r="F75" s="219">
        <v>46092</v>
      </c>
      <c r="G75" s="10"/>
      <c r="H75" s="10">
        <v>2.0035749013798547</v>
      </c>
      <c r="I75" s="10">
        <v>0.94486020957379535</v>
      </c>
      <c r="J75" s="10">
        <v>5.4556400209684339</v>
      </c>
      <c r="K75" s="10">
        <v>12.103664938608803</v>
      </c>
      <c r="L75" s="10">
        <v>13.997339930534361</v>
      </c>
      <c r="M75" s="10">
        <v>3.675773757560289E-2</v>
      </c>
      <c r="N75" s="10">
        <v>13.114092820746263</v>
      </c>
      <c r="O75" s="47">
        <v>39891.479004329005</v>
      </c>
      <c r="P75" s="47">
        <v>2204.787012987013</v>
      </c>
      <c r="Q75" s="5">
        <v>35.05740740740741</v>
      </c>
      <c r="R75" s="5">
        <v>73.333333333333329</v>
      </c>
      <c r="S75" s="170">
        <v>0.4614724305375974</v>
      </c>
      <c r="T75" s="212">
        <v>0.96276183087664846</v>
      </c>
      <c r="U75" s="53">
        <f>(Table1[[#This Row],[In-Tok]]+Table1[[#This Row],[Out-Tok]])*Table1[[#This Row],[RPS]]</f>
        <v>26500</v>
      </c>
      <c r="V75" s="54">
        <f>Table1[[#This Row],[In-Tok]]+AvgOutLoad*Table1[[#This Row],[Out-Tok]]</f>
        <v>5150</v>
      </c>
      <c r="W75" s="54">
        <f>Table1[[#This Row],[In-Tok]]*Table1[[#This Row],[RPS]]</f>
        <v>25000</v>
      </c>
      <c r="X75" s="55">
        <f>Table1[[#This Row],[Out-Tok]]*Table1[[#This Row],[RPS]]</f>
        <v>1500</v>
      </c>
      <c r="Y75" s="74">
        <f>Table1[[#This Row],[In-Tok]]/Table1[[#This Row],[Out-Tok]]</f>
        <v>16.666666666666668</v>
      </c>
      <c r="Z75" s="53">
        <f>Table1[[#This Row],[In-Tok]]*Table1[[#This Row],[N]]+AvgOutLoad*Table1[[#This Row],[Out-Tok]]*Table1[[#This Row],[Ndecode]]</f>
        <v>455063.23074462992</v>
      </c>
      <c r="AA75" s="54">
        <f>Table1[[#This Row],[tok(N)]]/Table1[[#This Row],[Kvcache]]</f>
        <v>986111.41344781744</v>
      </c>
      <c r="AB75" s="54">
        <f>Table1[[#This Row],[tok/req]]*Table1[[#This Row],[Run]]</f>
        <v>180545.64814814818</v>
      </c>
      <c r="AC75" s="54">
        <f>Table1[[#This Row],[tok(Run)]]/Table1[[#This Row],[Kvcache]]</f>
        <v>391238.21099739271</v>
      </c>
      <c r="AD75" s="54">
        <f>Table1[[#This Row],[tok/req]]*Table1[[#This Row],[MaxRun]]</f>
        <v>377666.66666666663</v>
      </c>
      <c r="AE75" s="54">
        <f>Table1[[#This Row],[tok(MaxRun)]]/Table1[[#This Row],[MaxKvcache]]</f>
        <v>392274.24120333063</v>
      </c>
      <c r="AF75" s="74">
        <f>Table1[[#This Row],[PPS]]*Table1[[#This Row],[Prefill]]/Table1[[#This Row],[In-Tok]]</f>
        <v>7.5383742424477926</v>
      </c>
      <c r="AG75" s="56">
        <f>Table1[[#This Row],[GPS]]*Table1[[#This Row],[ITL]]</f>
        <v>81.042982433473981</v>
      </c>
      <c r="AH75" s="56">
        <f>Table1[[#This Row],[Nprefill]]+Table1[[#This Row],[Ndecode]]</f>
        <v>88.581356675921768</v>
      </c>
      <c r="AI75" s="86">
        <f>Table1[[#This Row],[Run]]/Table1[[#This Row],[ITL]]/Table1[[#This Row],[GPS]]</f>
        <v>0.43257795252272579</v>
      </c>
      <c r="AJ75" s="85">
        <f>Table1[[#This Row],[Prefill]]+Table1[[#This Row],[ITL]]</f>
        <v>0.98161794714939821</v>
      </c>
      <c r="AK75" s="86">
        <f>Table1[[#This Row],[TTFT]]/Table1[[#This Row],[estTTFT]]</f>
        <v>2.0410944066357</v>
      </c>
      <c r="AL75" s="56">
        <f>Table1[[#This Row],[In-Tok]]*Table1[[#This Row],[RPS]]/Table1[[#This Row],[PPS]]</f>
        <v>0.62670025338712088</v>
      </c>
      <c r="AM75" s="86">
        <f>Table1[[#This Row],[Prefill]]/Table1[[#This Row],[estPrefill]]</f>
        <v>1.5076748484895584</v>
      </c>
      <c r="AN75" s="86">
        <f>Table1[[#This Row],[Prefill]]/Table1[[#This Row],[TTFT]]</f>
        <v>0.4715871659817028</v>
      </c>
      <c r="AO75" s="85">
        <f>Table1[[#This Row],[Run]]/(Table1[[#This Row],[Out-Tok]]*Table1[[#This Row],[RPS]])</f>
        <v>2.3371604938271607E-2</v>
      </c>
      <c r="AP75" s="86">
        <f>Table1[[#This Row],[ITL]]/Table1[[#This Row],[estITL]]</f>
        <v>1.5727519643039638</v>
      </c>
      <c r="AQ75" s="87">
        <f>Table1[[#This Row],[E2E]]-Table1[[#This Row],[TTFT]]+Table1[[#This Row],[ITL]]</f>
        <v>11.147275656942011</v>
      </c>
      <c r="AR75" s="86">
        <f>Table1[[#This Row],[estDecode]]/Table1[[#This Row],[Run]]</f>
        <v>0.31797204874273338</v>
      </c>
      <c r="AS75" s="87">
        <f>Table1[[#This Row],[Prefill]]+Table1[[#This Row],[Out-Tok]]*Table1[[#This Row],[ITL]]</f>
        <v>11.972181482254662</v>
      </c>
      <c r="AT75" s="56">
        <f>Table1[[#This Row],[estPrefill]]+Table1[[#This Row],[Out-Tok]]*Table1[[#This Row],[ITL]]</f>
        <v>11.654021526067988</v>
      </c>
      <c r="AU75" s="86">
        <f>Table1[[#This Row],[E2E]]/Table1[[#This Row],[estE2E]]</f>
        <v>1.1252847604075857</v>
      </c>
      <c r="AV75" s="56">
        <f>Table1[[#This Row],[N]]/Table1[[#This Row],[estE2E]]</f>
        <v>7.6009261247528093</v>
      </c>
      <c r="AW75" s="56">
        <f>Table1[[#This Row],[PPS]]/Table1[[#This Row],[In-Tok]]</f>
        <v>7.9782958008658014</v>
      </c>
      <c r="AX75" s="86">
        <f>Table1[[#This Row],[RPS]]/Table1[[#This Row],[RPS(IL)]]</f>
        <v>0.62670025338712088</v>
      </c>
      <c r="AY75" s="56">
        <f>Table1[[#This Row],[GPS]]/Table1[[#This Row],[Out-Tok]]</f>
        <v>7.3492900432900434</v>
      </c>
      <c r="AZ75" s="88">
        <f>Table1[[#This Row],[RPS]]/Table1[[#This Row],[RPS(OL)]]</f>
        <v>0.68033782454470382</v>
      </c>
      <c r="BA75" s="138">
        <f>MaxTok/Table1[[#This Row],[tok/req]]</f>
        <v>75.322769318942775</v>
      </c>
      <c r="BB75" s="86">
        <f>Table1[[#This Row],[N]]/Table1[[#This Row],[N-max]]</f>
        <v>1.1760236310595211</v>
      </c>
      <c r="BC75" s="69">
        <f>Table1[[#This Row],[RPS]]</f>
        <v>5</v>
      </c>
      <c r="BD75" s="48">
        <f>Table1[[#This Row],[PPS]]/Table1[[#This Row],[RPS success]]</f>
        <v>7978.2958008658006</v>
      </c>
      <c r="BE75" s="34">
        <f>ABS(Table1[[#This Row],[est-In-Tok3]]-Table1[[#This Row],[In-Tok]])/Table1[[#This Row],[In-Tok]]</f>
        <v>0.59565916017316012</v>
      </c>
      <c r="BF75" s="48">
        <f>Table1[[#This Row],[GPS]]/Table1[[#This Row],[RPS success]]</f>
        <v>440.95740259740262</v>
      </c>
      <c r="BG75" s="34">
        <f>ABS(Table1[[#This Row],[est-Out-Tok3]]-Table1[[#This Row],[Out-Tok]])/Table1[[#This Row],[Out-Tok]]</f>
        <v>0.46985800865800875</v>
      </c>
      <c r="BH75" s="157">
        <f>Table1[[#This Row],[est-In-Tok3]]+AvgOutLoad*Table1[[#This Row],[est-Out-Tok3]]</f>
        <v>8198.7745021645023</v>
      </c>
      <c r="BI75" s="34">
        <f>ABS(Table1[[#This Row],[est-Tok/Req3]]-Table1[[#This Row],[tok/req]])/Table1[[#This Row],[tok/req]]</f>
        <v>0.59199504896398103</v>
      </c>
      <c r="BJ75" s="157">
        <f>MaxTok/Table1[[#This Row],[est-Tok/Req3]]</f>
        <v>47.313444453210074</v>
      </c>
      <c r="BK75" s="34">
        <f>ABS(Table1[[#This Row],[est-N-max3]]-Table1[[#This Row],[N-max]])/Table1[[#This Row],[N-max]]</f>
        <v>0.37185734299188455</v>
      </c>
      <c r="BL75" s="69">
        <f>MaxTok*Table1[[#This Row],[Kvcache]]/Table1[[#This Row],[Run]]</f>
        <v>5106.2194159633691</v>
      </c>
      <c r="BM75" s="165">
        <f>ABS(Table1[[#This Row],[est-Tok/Req]]-Table1[[#This Row],[tok/req]])/Table1[[#This Row],[tok/req]]</f>
        <v>8.5010842789574569E-3</v>
      </c>
      <c r="BN75" s="69">
        <f>MaxTok/Table1[[#This Row],[est-Tok/Req]]</f>
        <v>75.968584659687892</v>
      </c>
      <c r="BO75" s="175">
        <f>Table1[[#This Row],[Run]]/Table1[[#This Row],[Kvcache]]</f>
        <v>75.968584659687892</v>
      </c>
      <c r="BP75" s="131" cm="1">
        <f t="array" aca="1" ref="BP75" ca="1">_xlfn.CEILING.MATH(INDIRECT("Table1"&amp;BP$3)/BP$2)*BP$2</f>
        <v>6000</v>
      </c>
      <c r="BQ75" s="182" cm="1">
        <f t="array" aca="1" ref="BQ75" ca="1">_xlfn.CEILING.MATH(INDIRECT("Table1"&amp;BQ$3)/BQ$2)*BQ$2</f>
        <v>0.04</v>
      </c>
      <c r="BR75" s="34" cm="1">
        <f t="array" aca="1" ref="BR75" ca="1">_xlfn.CEILING.MATH(INDIRECT("Table1"&amp;BR$3)/BR$2)*BR$2</f>
        <v>0.5</v>
      </c>
      <c r="BS75" s="34" cm="1">
        <f t="array" aca="1" ref="BS75" ca="1">_xlfn.CEILING.MATH(INDIRECT("Table1"&amp;BS$3)/BS$2)*BS$2</f>
        <v>0.47000000000000003</v>
      </c>
      <c r="BT75" s="20" cm="1">
        <f t="array" aca="1" ref="BT75" ca="1">_xlfn.CEILING.MATH(INDIRECT("Table1"&amp;BT$3)/BT$2)*BT$2</f>
        <v>36</v>
      </c>
      <c r="BU75" s="131" cm="1">
        <f t="array" aca="1" ref="BU75" ca="1">_xlfn.CEILING.MATH(INDIRECT("Table1"&amp;BU$3)/BU$2)*BU$2</f>
        <v>20</v>
      </c>
      <c r="BV75" s="131" cm="1">
        <f t="array" aca="1" ref="BV75" ca="1">_xlfn.CEILING.MATH(INDIRECT("Table1"&amp;BV$3)/BV$2)*BV$2</f>
        <v>5000</v>
      </c>
      <c r="BW75" s="34"/>
      <c r="BX75" s="34"/>
      <c r="BY75" s="190">
        <v>0.96276183087664846</v>
      </c>
      <c r="BZ75" s="34"/>
      <c r="CA75" s="24">
        <f>(Table1[[#This Row],[In-Tok]]+Table1[[#This Row],[Out-Tok]])*Table1[[#This Row],[RPS]]</f>
        <v>26500</v>
      </c>
      <c r="CB75" s="20">
        <f t="shared" si="24"/>
        <v>392274.24120333063</v>
      </c>
      <c r="CC75" s="20">
        <f>Table1[[#This Row],[Supply]]/(Table1[[#This Row],[Prefill]]+Table1[[#This Row],[Out-Tok]]*Table1[[#This Row],[ITL]])</f>
        <v>32765.477351372021</v>
      </c>
      <c r="CD75" s="20">
        <f>Table1[[#This Row],[MaxRun]]/Table1[[#This Row],[ITL]]</f>
        <v>1995.0448033560872</v>
      </c>
      <c r="CE75" s="20">
        <f>Table1[[#This Row],[Out-Tok]]*Table1[[#This Row],[RPS]]</f>
        <v>1500</v>
      </c>
      <c r="CF75" s="22">
        <f>Table1[[#This Row],[Supply]]/Table1[[#This Row],[Demand-T]]</f>
        <v>14.802801554842665</v>
      </c>
      <c r="CG75" s="22"/>
      <c r="CH75" s="71">
        <f>Table1[[#This Row],[Prefill]]+Table1[[#This Row],[Out-Tok]]*Table1[[#This Row],[ITL]]</f>
        <v>11.972181482254662</v>
      </c>
      <c r="CI75" s="71">
        <f>Table1[[#This Row],[GPS]]*Table1[[#This Row],[ITL]]</f>
        <v>81.042982433473981</v>
      </c>
      <c r="CJ75" s="72">
        <f>Table1[[#This Row],[PPS]]*Table1[[#This Row],[Prefill]]/Table1[[#This Row],[In-Tok]]</f>
        <v>7.5383742424477926</v>
      </c>
      <c r="CK75" s="71">
        <f t="shared" si="19"/>
        <v>88.581356675921768</v>
      </c>
      <c r="CL75" s="71">
        <f>Table1[[#This Row],[PPS]]/Table1[[#This Row],[In-Tok]]</f>
        <v>7.9782958008658014</v>
      </c>
      <c r="CM75" s="71">
        <f>Table1[[#This Row],[GPS]]/Table1[[#This Row],[Out-Tok]]</f>
        <v>7.3492900432900434</v>
      </c>
      <c r="CN75" s="71">
        <f>Table1[[#This Row],[Run]]/Table1[[#This Row],[E2E]]</f>
        <v>2.673262107154466</v>
      </c>
      <c r="CO75" s="71">
        <f>Table1[[#This Row],[N2]]/Table1[[#This Row],[E2E]]</f>
        <v>6.7546690332851407</v>
      </c>
      <c r="CP75" s="71"/>
      <c r="CQ75" s="71">
        <f>Table1[[#This Row],[In-Tok]]+AvgOutLoad*Table1[[#This Row],[Out-Tok]]</f>
        <v>5150</v>
      </c>
      <c r="CR75" s="71">
        <f t="shared" si="20"/>
        <v>694090.28414101806</v>
      </c>
      <c r="CS75" s="71" t="e">
        <f t="shared" si="21"/>
        <v>#DIV/0!</v>
      </c>
      <c r="CT75" s="71" t="e">
        <f t="shared" si="25"/>
        <v>#DIV/0!</v>
      </c>
      <c r="CU75" s="71">
        <f t="shared" si="22"/>
        <v>0</v>
      </c>
      <c r="CV75" s="71" t="e">
        <f t="shared" si="23"/>
        <v>#DIV/0!</v>
      </c>
      <c r="CW75" s="71">
        <f>Table1[[#This Row],[N(maxT)]]/Table1[[#This Row],[e2e sat]]</f>
        <v>0</v>
      </c>
      <c r="CX75" s="71" t="e">
        <f>Table1[[#This Row],[RPS]]/CW75</f>
        <v>#DIV/0!</v>
      </c>
      <c r="CY75" s="110" t="e">
        <f>Table1[[#This Row],[Kvcache]]/$T$4</f>
        <v>#DIV/0!</v>
      </c>
      <c r="GJ75"/>
    </row>
    <row r="76" spans="1:192" hidden="1" x14ac:dyDescent="0.25">
      <c r="A76" s="3">
        <v>5000</v>
      </c>
      <c r="B76" s="3">
        <v>300</v>
      </c>
      <c r="C76">
        <v>6</v>
      </c>
      <c r="D76" s="199">
        <f>Table1[[#This Row],[Kvcache]]</f>
        <v>0.52409993391374299</v>
      </c>
      <c r="E76" s="34" t="s">
        <v>140</v>
      </c>
      <c r="F76" s="219">
        <v>46092</v>
      </c>
      <c r="G76" s="10"/>
      <c r="H76" s="10">
        <v>3.5241948201112305</v>
      </c>
      <c r="I76" s="10">
        <v>1.0033520229788151</v>
      </c>
      <c r="J76" s="10">
        <v>11.071278691786256</v>
      </c>
      <c r="K76" s="10">
        <v>24.911963017781574</v>
      </c>
      <c r="L76" s="10">
        <v>26.627600100835163</v>
      </c>
      <c r="M76" s="10">
        <v>3.9154183738759556E-2</v>
      </c>
      <c r="N76" s="10">
        <v>15.280825112491078</v>
      </c>
      <c r="O76" s="47">
        <v>50632.435930735934</v>
      </c>
      <c r="P76" s="47">
        <v>2758.015151515152</v>
      </c>
      <c r="Q76" s="5">
        <v>39.88425925925926</v>
      </c>
      <c r="R76" s="5">
        <v>74.666666666666671</v>
      </c>
      <c r="S76" s="170">
        <v>0.52409993391374299</v>
      </c>
      <c r="T76" s="212">
        <v>0.9845875355572794</v>
      </c>
      <c r="U76" s="53">
        <f>(Table1[[#This Row],[In-Tok]]+Table1[[#This Row],[Out-Tok]])*Table1[[#This Row],[RPS]]</f>
        <v>31800</v>
      </c>
      <c r="V76" s="54">
        <f>Table1[[#This Row],[In-Tok]]+AvgOutLoad*Table1[[#This Row],[Out-Tok]]</f>
        <v>5150</v>
      </c>
      <c r="W76" s="54">
        <f>Table1[[#This Row],[In-Tok]]*Table1[[#This Row],[RPS]]</f>
        <v>30000</v>
      </c>
      <c r="X76" s="55">
        <f>Table1[[#This Row],[Out-Tok]]*Table1[[#This Row],[RPS]]</f>
        <v>1800</v>
      </c>
      <c r="Y76" s="74">
        <f>Table1[[#This Row],[In-Tok]]/Table1[[#This Row],[Out-Tok]]</f>
        <v>16.666666666666668</v>
      </c>
      <c r="Z76" s="53">
        <f>Table1[[#This Row],[In-Tok]]*Table1[[#This Row],[N]]+AvgOutLoad*Table1[[#This Row],[Out-Tok]]*Table1[[#This Row],[Ndecode]]</f>
        <v>606939.49180249043</v>
      </c>
      <c r="AA76" s="54">
        <f>Table1[[#This Row],[tok(N)]]/Table1[[#This Row],[Kvcache]]</f>
        <v>1158060.615024579</v>
      </c>
      <c r="AB76" s="54">
        <f>Table1[[#This Row],[tok/req]]*Table1[[#This Row],[Run]]</f>
        <v>205403.9351851852</v>
      </c>
      <c r="AC76" s="54">
        <f>Table1[[#This Row],[tok(Run)]]/Table1[[#This Row],[Kvcache]]</f>
        <v>391917.49873219948</v>
      </c>
      <c r="AD76" s="54">
        <f>Table1[[#This Row],[tok/req]]*Table1[[#This Row],[MaxRun]]</f>
        <v>384533.33333333337</v>
      </c>
      <c r="AE76" s="54">
        <f>Table1[[#This Row],[tok(MaxRun)]]/Table1[[#This Row],[MaxKvcache]]</f>
        <v>390552.71313757432</v>
      </c>
      <c r="AF76" s="74">
        <f>Table1[[#This Row],[PPS]]*Table1[[#This Row],[Prefill]]/Table1[[#This Row],[In-Tok]]</f>
        <v>10.160431403889829</v>
      </c>
      <c r="AG76" s="56">
        <f>Table1[[#This Row],[GPS]]*Table1[[#This Row],[ITL]]</f>
        <v>107.98783199670703</v>
      </c>
      <c r="AH76" s="56">
        <f>Table1[[#This Row],[Nprefill]]+Table1[[#This Row],[Ndecode]]</f>
        <v>118.14826340059686</v>
      </c>
      <c r="AI76" s="86">
        <f>Table1[[#This Row],[Run]]/Table1[[#This Row],[ITL]]/Table1[[#This Row],[GPS]]</f>
        <v>0.36934030919775745</v>
      </c>
      <c r="AJ76" s="85">
        <f>Table1[[#This Row],[Prefill]]+Table1[[#This Row],[ITL]]</f>
        <v>1.0425062067175745</v>
      </c>
      <c r="AK76" s="86">
        <f>Table1[[#This Row],[TTFT]]/Table1[[#This Row],[estTTFT]]</f>
        <v>3.3805024827693622</v>
      </c>
      <c r="AL76" s="56">
        <f>Table1[[#This Row],[In-Tok]]*Table1[[#This Row],[RPS]]/Table1[[#This Row],[PPS]]</f>
        <v>0.59250556384526598</v>
      </c>
      <c r="AM76" s="86">
        <f>Table1[[#This Row],[Prefill]]/Table1[[#This Row],[estPrefill]]</f>
        <v>1.6934052339816381</v>
      </c>
      <c r="AN76" s="86">
        <f>Table1[[#This Row],[Prefill]]/Table1[[#This Row],[TTFT]]</f>
        <v>0.28470390378337462</v>
      </c>
      <c r="AO76" s="85">
        <f>Table1[[#This Row],[Run]]/(Table1[[#This Row],[Out-Tok]]*Table1[[#This Row],[RPS]])</f>
        <v>2.2157921810699588E-2</v>
      </c>
      <c r="AP76" s="86">
        <f>Table1[[#This Row],[ITL]]/Table1[[#This Row],[estITL]]</f>
        <v>1.7670512637991544</v>
      </c>
      <c r="AQ76" s="87">
        <f>Table1[[#This Row],[E2E]]-Table1[[#This Row],[TTFT]]+Table1[[#This Row],[ITL]]</f>
        <v>11.795784476118607</v>
      </c>
      <c r="AR76" s="86">
        <f>Table1[[#This Row],[estDecode]]/Table1[[#This Row],[Run]]</f>
        <v>0.29575037107853963</v>
      </c>
      <c r="AS76" s="87">
        <f>Table1[[#This Row],[Prefill]]+Table1[[#This Row],[Out-Tok]]*Table1[[#This Row],[ITL]]</f>
        <v>12.749607144606681</v>
      </c>
      <c r="AT76" s="56">
        <f>Table1[[#This Row],[estPrefill]]+Table1[[#This Row],[Out-Tok]]*Table1[[#This Row],[ITL]]</f>
        <v>12.338760685473133</v>
      </c>
      <c r="AU76" s="86">
        <f>Table1[[#This Row],[E2E]]/Table1[[#This Row],[estE2E]]</f>
        <v>1.238440837132188</v>
      </c>
      <c r="AV76" s="56">
        <f>Table1[[#This Row],[N]]/Table1[[#This Row],[estE2E]]</f>
        <v>9.5753752270839527</v>
      </c>
      <c r="AW76" s="56">
        <f>Table1[[#This Row],[PPS]]/Table1[[#This Row],[In-Tok]]</f>
        <v>10.126487186147187</v>
      </c>
      <c r="AX76" s="86">
        <f>Table1[[#This Row],[RPS]]/Table1[[#This Row],[RPS(IL)]]</f>
        <v>0.59250556384526598</v>
      </c>
      <c r="AY76" s="56">
        <f>Table1[[#This Row],[GPS]]/Table1[[#This Row],[Out-Tok]]</f>
        <v>9.1933838383838395</v>
      </c>
      <c r="AZ76" s="88">
        <f>Table1[[#This Row],[RPS]]/Table1[[#This Row],[RPS(OL)]]</f>
        <v>0.65264326013986773</v>
      </c>
      <c r="BA76" s="138">
        <f>MaxTok/Table1[[#This Row],[tok/req]]</f>
        <v>75.322769318942775</v>
      </c>
      <c r="BB76" s="86">
        <f>Table1[[#This Row],[N]]/Table1[[#This Row],[N-max]]</f>
        <v>1.5685597392246169</v>
      </c>
      <c r="BC76" s="69">
        <f>Table1[[#This Row],[RPS]]</f>
        <v>6</v>
      </c>
      <c r="BD76" s="48">
        <f>Table1[[#This Row],[PPS]]/Table1[[#This Row],[RPS success]]</f>
        <v>8438.7393217893223</v>
      </c>
      <c r="BE76" s="34">
        <f>ABS(Table1[[#This Row],[est-In-Tok3]]-Table1[[#This Row],[In-Tok]])/Table1[[#This Row],[In-Tok]]</f>
        <v>0.6877478643578645</v>
      </c>
      <c r="BF76" s="48">
        <f>Table1[[#This Row],[GPS]]/Table1[[#This Row],[RPS success]]</f>
        <v>459.66919191919197</v>
      </c>
      <c r="BG76" s="34">
        <f>ABS(Table1[[#This Row],[est-Out-Tok3]]-Table1[[#This Row],[Out-Tok]])/Table1[[#This Row],[Out-Tok]]</f>
        <v>0.53223063973063989</v>
      </c>
      <c r="BH76" s="157">
        <f>Table1[[#This Row],[est-In-Tok3]]+AvgOutLoad*Table1[[#This Row],[est-Out-Tok3]]</f>
        <v>8668.5739177489177</v>
      </c>
      <c r="BI76" s="34">
        <f>ABS(Table1[[#This Row],[est-Tok/Req3]]-Table1[[#This Row],[tok/req]])/Table1[[#This Row],[tok/req]]</f>
        <v>0.68321823645610047</v>
      </c>
      <c r="BJ76" s="157">
        <f>MaxTok/Table1[[#This Row],[est-Tok/Req3]]</f>
        <v>44.749259298384061</v>
      </c>
      <c r="BK76" s="34">
        <f>ABS(Table1[[#This Row],[est-N-max3]]-Table1[[#This Row],[N-max]])/Table1[[#This Row],[N-max]]</f>
        <v>0.40589997283689677</v>
      </c>
      <c r="BL76" s="69">
        <f>MaxTok*Table1[[#This Row],[Kvcache]]/Table1[[#This Row],[Run]]</f>
        <v>5097.3691037631825</v>
      </c>
      <c r="BM76" s="165">
        <f>ABS(Table1[[#This Row],[est-Tok/Req]]-Table1[[#This Row],[tok/req]])/Table1[[#This Row],[tok/req]]</f>
        <v>1.0219591502294666E-2</v>
      </c>
      <c r="BN76" s="69">
        <f>MaxTok/Table1[[#This Row],[est-Tok/Req]]</f>
        <v>76.100485190718345</v>
      </c>
      <c r="BO76" s="175">
        <f>Table1[[#This Row],[Run]]/Table1[[#This Row],[Kvcache]]</f>
        <v>76.100485190718345</v>
      </c>
      <c r="BP76" s="131" cm="1">
        <f t="array" aca="1" ref="BP76" ca="1">_xlfn.CEILING.MATH(INDIRECT("Table1"&amp;BP$3)/BP$2)*BP$2</f>
        <v>6000</v>
      </c>
      <c r="BQ76" s="182" cm="1">
        <f t="array" aca="1" ref="BQ76" ca="1">_xlfn.CEILING.MATH(INDIRECT("Table1"&amp;BQ$3)/BQ$2)*BQ$2</f>
        <v>0.04</v>
      </c>
      <c r="BR76" s="34" cm="1">
        <f t="array" aca="1" ref="BR76" ca="1">_xlfn.CEILING.MATH(INDIRECT("Table1"&amp;BR$3)/BR$2)*BR$2</f>
        <v>0.60000000000000009</v>
      </c>
      <c r="BS76" s="34" cm="1">
        <f t="array" aca="1" ref="BS76" ca="1">_xlfn.CEILING.MATH(INDIRECT("Table1"&amp;BS$3)/BS$2)*BS$2</f>
        <v>0.53</v>
      </c>
      <c r="BT76" s="20" cm="1">
        <f t="array" aca="1" ref="BT76" ca="1">_xlfn.CEILING.MATH(INDIRECT("Table1"&amp;BT$3)/BT$2)*BT$2</f>
        <v>40</v>
      </c>
      <c r="BU76" s="131" cm="1">
        <f t="array" aca="1" ref="BU76" ca="1">_xlfn.CEILING.MATH(INDIRECT("Table1"&amp;BU$3)/BU$2)*BU$2</f>
        <v>20</v>
      </c>
      <c r="BV76" s="131" cm="1">
        <f t="array" aca="1" ref="BV76" ca="1">_xlfn.CEILING.MATH(INDIRECT("Table1"&amp;BV$3)/BV$2)*BV$2</f>
        <v>5000</v>
      </c>
      <c r="BW76" s="34"/>
      <c r="BX76" s="34"/>
      <c r="BY76" s="190">
        <v>0.9845875355572794</v>
      </c>
      <c r="BZ76" s="34"/>
      <c r="CA76" s="24">
        <f>(Table1[[#This Row],[In-Tok]]+Table1[[#This Row],[Out-Tok]])*Table1[[#This Row],[RPS]]</f>
        <v>31800</v>
      </c>
      <c r="CB76" s="20">
        <f t="shared" si="24"/>
        <v>390552.71313757432</v>
      </c>
      <c r="CC76" s="20">
        <f>Table1[[#This Row],[Supply]]/(Table1[[#This Row],[Prefill]]+Table1[[#This Row],[Out-Tok]]*Table1[[#This Row],[ITL]])</f>
        <v>30632.529199363238</v>
      </c>
      <c r="CD76" s="20">
        <f>Table1[[#This Row],[MaxRun]]/Table1[[#This Row],[ITL]]</f>
        <v>1906.9907615709674</v>
      </c>
      <c r="CE76" s="20">
        <f>Table1[[#This Row],[Out-Tok]]*Table1[[#This Row],[RPS]]</f>
        <v>1800</v>
      </c>
      <c r="CF76" s="22">
        <f>Table1[[#This Row],[Supply]]/Table1[[#This Row],[Demand-T]]</f>
        <v>12.281531859672148</v>
      </c>
      <c r="CG76" s="22"/>
      <c r="CH76" s="71">
        <f>Table1[[#This Row],[Prefill]]+Table1[[#This Row],[Out-Tok]]*Table1[[#This Row],[ITL]]</f>
        <v>12.749607144606681</v>
      </c>
      <c r="CI76" s="71">
        <f>Table1[[#This Row],[GPS]]*Table1[[#This Row],[ITL]]</f>
        <v>107.98783199670703</v>
      </c>
      <c r="CJ76" s="72">
        <f>Table1[[#This Row],[PPS]]*Table1[[#This Row],[Prefill]]/Table1[[#This Row],[In-Tok]]</f>
        <v>10.160431403889829</v>
      </c>
      <c r="CK76" s="71">
        <f t="shared" si="19"/>
        <v>118.14826340059686</v>
      </c>
      <c r="CL76" s="71">
        <f>Table1[[#This Row],[PPS]]/Table1[[#This Row],[In-Tok]]</f>
        <v>10.126487186147187</v>
      </c>
      <c r="CM76" s="71">
        <f>Table1[[#This Row],[GPS]]/Table1[[#This Row],[Out-Tok]]</f>
        <v>9.1933838383838395</v>
      </c>
      <c r="CN76" s="71">
        <f>Table1[[#This Row],[Run]]/Table1[[#This Row],[E2E]]</f>
        <v>2.6100854479812403</v>
      </c>
      <c r="CO76" s="71">
        <f>Table1[[#This Row],[N2]]/Table1[[#This Row],[E2E]]</f>
        <v>7.7317986778095094</v>
      </c>
      <c r="CP76" s="71"/>
      <c r="CQ76" s="71">
        <f>Table1[[#This Row],[In-Tok]]+AvgOutLoad*Table1[[#This Row],[Out-Tok]]</f>
        <v>5150</v>
      </c>
      <c r="CR76" s="71">
        <f t="shared" si="20"/>
        <v>799656.14503992756</v>
      </c>
      <c r="CS76" s="71" t="e">
        <f t="shared" si="21"/>
        <v>#DIV/0!</v>
      </c>
      <c r="CT76" s="71" t="e">
        <f t="shared" si="25"/>
        <v>#DIV/0!</v>
      </c>
      <c r="CU76" s="71">
        <f t="shared" si="22"/>
        <v>0</v>
      </c>
      <c r="CV76" s="71" t="e">
        <f t="shared" si="23"/>
        <v>#DIV/0!</v>
      </c>
      <c r="CW76" s="71">
        <f>Table1[[#This Row],[N(maxT)]]/Table1[[#This Row],[e2e sat]]</f>
        <v>0</v>
      </c>
      <c r="CX76" s="71" t="e">
        <f>Table1[[#This Row],[RPS]]/CW76</f>
        <v>#DIV/0!</v>
      </c>
      <c r="CY76" s="110" t="e">
        <f>Table1[[#This Row],[Kvcache]]/$T$4</f>
        <v>#DIV/0!</v>
      </c>
      <c r="GJ76"/>
    </row>
    <row r="77" spans="1:192" hidden="1" x14ac:dyDescent="0.25">
      <c r="A77" s="3">
        <v>5000</v>
      </c>
      <c r="B77" s="3">
        <v>300</v>
      </c>
      <c r="C77">
        <v>7</v>
      </c>
      <c r="D77" s="199">
        <f>Table1[[#This Row],[Kvcache]]</f>
        <v>0.75703141354809311</v>
      </c>
      <c r="E77" s="34" t="s">
        <v>140</v>
      </c>
      <c r="F77" s="219">
        <v>46092</v>
      </c>
      <c r="G77" s="10"/>
      <c r="H77" s="10">
        <v>6.3528541746707345</v>
      </c>
      <c r="I77" s="10">
        <v>0.95899900142358907</v>
      </c>
      <c r="J77" s="10">
        <v>10.113453465636804</v>
      </c>
      <c r="K77" s="10">
        <v>18.273969308535253</v>
      </c>
      <c r="L77" s="10">
        <v>19.245490632057187</v>
      </c>
      <c r="M77" s="10">
        <v>4.9975882181106622E-2</v>
      </c>
      <c r="N77" s="10">
        <v>20.948593228629377</v>
      </c>
      <c r="O77" s="47">
        <v>41305.058741258741</v>
      </c>
      <c r="P77" s="47">
        <v>2247.8736596736594</v>
      </c>
      <c r="Q77" s="5">
        <v>57.210317460317469</v>
      </c>
      <c r="R77" s="5">
        <v>75.666666666666671</v>
      </c>
      <c r="S77" s="170">
        <v>0.75703141354809311</v>
      </c>
      <c r="T77" s="212">
        <v>0.99689681923972062</v>
      </c>
      <c r="U77" s="53">
        <f>(Table1[[#This Row],[In-Tok]]+Table1[[#This Row],[Out-Tok]])*Table1[[#This Row],[RPS]]</f>
        <v>37100</v>
      </c>
      <c r="V77" s="54">
        <f>Table1[[#This Row],[In-Tok]]+AvgOutLoad*Table1[[#This Row],[Out-Tok]]</f>
        <v>5150</v>
      </c>
      <c r="W77" s="54">
        <f>Table1[[#This Row],[In-Tok]]*Table1[[#This Row],[RPS]]</f>
        <v>35000</v>
      </c>
      <c r="X77" s="55">
        <f>Table1[[#This Row],[Out-Tok]]*Table1[[#This Row],[RPS]]</f>
        <v>2100</v>
      </c>
      <c r="Y77" s="74">
        <f>Table1[[#This Row],[In-Tok]]/Table1[[#This Row],[Out-Tok]]</f>
        <v>16.666666666666668</v>
      </c>
      <c r="Z77" s="53">
        <f>Table1[[#This Row],[In-Tok]]*Table1[[#This Row],[N]]+AvgOutLoad*Table1[[#This Row],[Out-Tok]]*Table1[[#This Row],[Ndecode]]</f>
        <v>618159.77633200819</v>
      </c>
      <c r="AA77" s="54">
        <f>Table1[[#This Row],[tok(N)]]/Table1[[#This Row],[Kvcache]]</f>
        <v>816557.62927298574</v>
      </c>
      <c r="AB77" s="54">
        <f>Table1[[#This Row],[tok/req]]*Table1[[#This Row],[Run]]</f>
        <v>294633.13492063497</v>
      </c>
      <c r="AC77" s="54">
        <f>Table1[[#This Row],[tok(Run)]]/Table1[[#This Row],[Kvcache]]</f>
        <v>389195.38825969386</v>
      </c>
      <c r="AD77" s="54">
        <f>Table1[[#This Row],[tok/req]]*Table1[[#This Row],[MaxRun]]</f>
        <v>389683.33333333337</v>
      </c>
      <c r="AE77" s="54">
        <f>Table1[[#This Row],[tok(MaxRun)]]/Table1[[#This Row],[MaxKvcache]]</f>
        <v>390896.35538262007</v>
      </c>
      <c r="AF77" s="74">
        <f>Table1[[#This Row],[PPS]]*Table1[[#This Row],[Prefill]]/Table1[[#This Row],[In-Tok]]</f>
        <v>7.9223020173219645</v>
      </c>
      <c r="AG77" s="56">
        <f>Table1[[#This Row],[GPS]]*Table1[[#This Row],[ITL]]</f>
        <v>112.33946917386376</v>
      </c>
      <c r="AH77" s="56">
        <f>Table1[[#This Row],[Nprefill]]+Table1[[#This Row],[Ndecode]]</f>
        <v>120.26177119118573</v>
      </c>
      <c r="AI77" s="86">
        <f>Table1[[#This Row],[Run]]/Table1[[#This Row],[ITL]]/Table1[[#This Row],[GPS]]</f>
        <v>0.50926284306876246</v>
      </c>
      <c r="AJ77" s="85">
        <f>Table1[[#This Row],[Prefill]]+Table1[[#This Row],[ITL]]</f>
        <v>1.0089748836046957</v>
      </c>
      <c r="AK77" s="86">
        <f>Table1[[#This Row],[TTFT]]/Table1[[#This Row],[estTTFT]]</f>
        <v>6.2963452092824417</v>
      </c>
      <c r="AL77" s="56">
        <f>Table1[[#This Row],[In-Tok]]*Table1[[#This Row],[RPS]]/Table1[[#This Row],[PPS]]</f>
        <v>0.84735383671151276</v>
      </c>
      <c r="AM77" s="86">
        <f>Table1[[#This Row],[Prefill]]/Table1[[#This Row],[estPrefill]]</f>
        <v>1.1317574310459948</v>
      </c>
      <c r="AN77" s="86">
        <f>Table1[[#This Row],[Prefill]]/Table1[[#This Row],[TTFT]]</f>
        <v>0.15095561381641404</v>
      </c>
      <c r="AO77" s="85">
        <f>Table1[[#This Row],[Run]]/(Table1[[#This Row],[Out-Tok]]*Table1[[#This Row],[RPS]])</f>
        <v>2.7243008314436889E-2</v>
      </c>
      <c r="AP77" s="86">
        <f>Table1[[#This Row],[ITL]]/Table1[[#This Row],[estITL]]</f>
        <v>1.8344480023750864</v>
      </c>
      <c r="AQ77" s="87">
        <f>Table1[[#This Row],[E2E]]-Table1[[#This Row],[TTFT]]+Table1[[#This Row],[ITL]]</f>
        <v>14.645714936139749</v>
      </c>
      <c r="AR77" s="86">
        <f>Table1[[#This Row],[estDecode]]/Table1[[#This Row],[Run]]</f>
        <v>0.25599779176716486</v>
      </c>
      <c r="AS77" s="87">
        <f>Table1[[#This Row],[Prefill]]+Table1[[#This Row],[Out-Tok]]*Table1[[#This Row],[ITL]]</f>
        <v>15.951763655755576</v>
      </c>
      <c r="AT77" s="56">
        <f>Table1[[#This Row],[estPrefill]]+Table1[[#This Row],[Out-Tok]]*Table1[[#This Row],[ITL]]</f>
        <v>15.8401184910435</v>
      </c>
      <c r="AU77" s="86">
        <f>Table1[[#This Row],[E2E]]/Table1[[#This Row],[estE2E]]</f>
        <v>1.3225023058049956</v>
      </c>
      <c r="AV77" s="56">
        <f>Table1[[#This Row],[N]]/Table1[[#This Row],[estE2E]]</f>
        <v>7.5922267411816087</v>
      </c>
      <c r="AW77" s="56">
        <f>Table1[[#This Row],[PPS]]/Table1[[#This Row],[In-Tok]]</f>
        <v>8.2610117482517484</v>
      </c>
      <c r="AX77" s="86">
        <f>Table1[[#This Row],[RPS]]/Table1[[#This Row],[RPS(IL)]]</f>
        <v>0.84735383671151265</v>
      </c>
      <c r="AY77" s="56">
        <f>Table1[[#This Row],[GPS]]/Table1[[#This Row],[Out-Tok]]</f>
        <v>7.4929121989121983</v>
      </c>
      <c r="AZ77" s="88">
        <f>Table1[[#This Row],[RPS]]/Table1[[#This Row],[RPS(OL)]]</f>
        <v>0.93421620515134851</v>
      </c>
      <c r="BA77" s="138">
        <f>MaxTok/Table1[[#This Row],[tok/req]]</f>
        <v>75.322769318942775</v>
      </c>
      <c r="BB77" s="86">
        <f>Table1[[#This Row],[N]]/Table1[[#This Row],[N-max]]</f>
        <v>1.5966190871442287</v>
      </c>
      <c r="BC77" s="69">
        <f>Table1[[#This Row],[RPS]]</f>
        <v>7</v>
      </c>
      <c r="BD77" s="48">
        <f>Table1[[#This Row],[PPS]]/Table1[[#This Row],[RPS success]]</f>
        <v>5900.7226773226776</v>
      </c>
      <c r="BE77" s="34">
        <f>ABS(Table1[[#This Row],[est-In-Tok3]]-Table1[[#This Row],[In-Tok]])/Table1[[#This Row],[In-Tok]]</f>
        <v>0.18014453546453552</v>
      </c>
      <c r="BF77" s="48">
        <f>Table1[[#This Row],[GPS]]/Table1[[#This Row],[RPS success]]</f>
        <v>321.12480852480849</v>
      </c>
      <c r="BG77" s="34">
        <f>ABS(Table1[[#This Row],[est-Out-Tok3]]-Table1[[#This Row],[Out-Tok]])/Table1[[#This Row],[Out-Tok]]</f>
        <v>7.0416028416028287E-2</v>
      </c>
      <c r="BH77" s="157">
        <f>Table1[[#This Row],[est-In-Tok3]]+AvgOutLoad*Table1[[#This Row],[est-Out-Tok3]]</f>
        <v>6061.2850815850816</v>
      </c>
      <c r="BI77" s="34">
        <f>ABS(Table1[[#This Row],[est-Tok/Req3]]-Table1[[#This Row],[tok/req]])/Table1[[#This Row],[tok/req]]</f>
        <v>0.17694855953108379</v>
      </c>
      <c r="BJ77" s="157">
        <f>MaxTok/Table1[[#This Row],[est-Tok/Req3]]</f>
        <v>63.998352951765909</v>
      </c>
      <c r="BK77" s="34">
        <f>ABS(Table1[[#This Row],[est-N-max3]]-Table1[[#This Row],[N-max]])/Table1[[#This Row],[N-max]]</f>
        <v>0.15034519401730109</v>
      </c>
      <c r="BL77" s="69">
        <f>MaxTok*Table1[[#This Row],[Kvcache]]/Table1[[#This Row],[Run]]</f>
        <v>5133.0211239004857</v>
      </c>
      <c r="BM77" s="165">
        <f>ABS(Table1[[#This Row],[est-Tok/Req]]-Table1[[#This Row],[tok/req]])/Table1[[#This Row],[tok/req]]</f>
        <v>3.2968691455367589E-3</v>
      </c>
      <c r="BN77" s="69">
        <f>MaxTok/Table1[[#This Row],[est-Tok/Req]]</f>
        <v>75.571920050425987</v>
      </c>
      <c r="BO77" s="175">
        <f>Table1[[#This Row],[Run]]/Table1[[#This Row],[Kvcache]]</f>
        <v>75.571920050425987</v>
      </c>
      <c r="BP77" s="131" cm="1">
        <f t="array" aca="1" ref="BP77" ca="1">_xlfn.CEILING.MATH(INDIRECT("Table1"&amp;BP$3)/BP$2)*BP$2</f>
        <v>6000</v>
      </c>
      <c r="BQ77" s="182" cm="1">
        <f t="array" aca="1" ref="BQ77" ca="1">_xlfn.CEILING.MATH(INDIRECT("Table1"&amp;BQ$3)/BQ$2)*BQ$2</f>
        <v>0.05</v>
      </c>
      <c r="BR77" s="34" cm="1">
        <f t="array" aca="1" ref="BR77" ca="1">_xlfn.CEILING.MATH(INDIRECT("Table1"&amp;BR$3)/BR$2)*BR$2</f>
        <v>0.8</v>
      </c>
      <c r="BS77" s="34" cm="1">
        <f t="array" aca="1" ref="BS77" ca="1">_xlfn.CEILING.MATH(INDIRECT("Table1"&amp;BS$3)/BS$2)*BS$2</f>
        <v>0.76</v>
      </c>
      <c r="BT77" s="20" cm="1">
        <f t="array" aca="1" ref="BT77" ca="1">_xlfn.CEILING.MATH(INDIRECT("Table1"&amp;BT$3)/BT$2)*BT$2</f>
        <v>58</v>
      </c>
      <c r="BU77" s="131" cm="1">
        <f t="array" aca="1" ref="BU77" ca="1">_xlfn.CEILING.MATH(INDIRECT("Table1"&amp;BU$3)/BU$2)*BU$2</f>
        <v>20</v>
      </c>
      <c r="BV77" s="131" cm="1">
        <f t="array" aca="1" ref="BV77" ca="1">_xlfn.CEILING.MATH(INDIRECT("Table1"&amp;BV$3)/BV$2)*BV$2</f>
        <v>5000</v>
      </c>
      <c r="BW77" s="34"/>
      <c r="BX77" s="34"/>
      <c r="BY77" s="190">
        <v>0.99689681923972062</v>
      </c>
      <c r="BZ77" s="34"/>
      <c r="CA77" s="24">
        <f>(Table1[[#This Row],[In-Tok]]+Table1[[#This Row],[Out-Tok]])*Table1[[#This Row],[RPS]]</f>
        <v>37100</v>
      </c>
      <c r="CB77" s="20">
        <f t="shared" si="24"/>
        <v>390896.35538262007</v>
      </c>
      <c r="CC77" s="20">
        <f>Table1[[#This Row],[Supply]]/(Table1[[#This Row],[Prefill]]+Table1[[#This Row],[Out-Tok]]*Table1[[#This Row],[ITL]])</f>
        <v>24504.898882549594</v>
      </c>
      <c r="CD77" s="20">
        <f>Table1[[#This Row],[MaxRun]]/Table1[[#This Row],[ITL]]</f>
        <v>1514.0636515921763</v>
      </c>
      <c r="CE77" s="20">
        <f>Table1[[#This Row],[Out-Tok]]*Table1[[#This Row],[RPS]]</f>
        <v>2100</v>
      </c>
      <c r="CF77" s="22">
        <f>Table1[[#This Row],[Supply]]/Table1[[#This Row],[Demand-T]]</f>
        <v>10.536289902496497</v>
      </c>
      <c r="CG77" s="22"/>
      <c r="CH77" s="71">
        <f>Table1[[#This Row],[Prefill]]+Table1[[#This Row],[Out-Tok]]*Table1[[#This Row],[ITL]]</f>
        <v>15.951763655755576</v>
      </c>
      <c r="CI77" s="71">
        <f>Table1[[#This Row],[GPS]]*Table1[[#This Row],[ITL]]</f>
        <v>112.33946917386376</v>
      </c>
      <c r="CJ77" s="72">
        <f>Table1[[#This Row],[PPS]]*Table1[[#This Row],[Prefill]]/Table1[[#This Row],[In-Tok]]</f>
        <v>7.9223020173219645</v>
      </c>
      <c r="CK77" s="71">
        <f t="shared" si="19"/>
        <v>120.26177119118573</v>
      </c>
      <c r="CL77" s="71">
        <f>Table1[[#This Row],[PPS]]/Table1[[#This Row],[In-Tok]]</f>
        <v>8.2610117482517484</v>
      </c>
      <c r="CM77" s="71">
        <f>Table1[[#This Row],[GPS]]/Table1[[#This Row],[Out-Tok]]</f>
        <v>7.4929121989121983</v>
      </c>
      <c r="CN77" s="71">
        <f>Table1[[#This Row],[Run]]/Table1[[#This Row],[E2E]]</f>
        <v>2.7309861256998889</v>
      </c>
      <c r="CO77" s="71">
        <f>Table1[[#This Row],[N2]]/Table1[[#This Row],[E2E]]</f>
        <v>5.7408041618198054</v>
      </c>
      <c r="CP77" s="71"/>
      <c r="CQ77" s="71">
        <f>Table1[[#This Row],[In-Tok]]+AvgOutLoad*Table1[[#This Row],[Out-Tok]]</f>
        <v>5150</v>
      </c>
      <c r="CR77" s="71">
        <f t="shared" si="20"/>
        <v>740054.40984042815</v>
      </c>
      <c r="CS77" s="71" t="e">
        <f t="shared" si="21"/>
        <v>#DIV/0!</v>
      </c>
      <c r="CT77" s="71" t="e">
        <f t="shared" si="25"/>
        <v>#DIV/0!</v>
      </c>
      <c r="CU77" s="71">
        <f t="shared" si="22"/>
        <v>0</v>
      </c>
      <c r="CV77" s="71" t="e">
        <f t="shared" si="23"/>
        <v>#DIV/0!</v>
      </c>
      <c r="CW77" s="71">
        <f>Table1[[#This Row],[N(maxT)]]/Table1[[#This Row],[e2e sat]]</f>
        <v>0</v>
      </c>
      <c r="CX77" s="71" t="e">
        <f>Table1[[#This Row],[RPS]]/CW77</f>
        <v>#DIV/0!</v>
      </c>
      <c r="CY77" s="110" t="e">
        <f>Table1[[#This Row],[Kvcache]]/$T$4</f>
        <v>#DIV/0!</v>
      </c>
      <c r="GJ77"/>
    </row>
    <row r="78" spans="1:192" ht="15.75" hidden="1" thickBot="1" x14ac:dyDescent="0.3">
      <c r="A78" s="3">
        <v>5000</v>
      </c>
      <c r="B78" s="3">
        <v>500</v>
      </c>
      <c r="C78">
        <v>2</v>
      </c>
      <c r="D78" s="199">
        <f>Table1[[#This Row],[Kvcache]]</f>
        <v>0.17211700816866699</v>
      </c>
      <c r="E78" s="93" t="s">
        <v>141</v>
      </c>
      <c r="F78" s="219">
        <v>46092</v>
      </c>
      <c r="G78" s="10"/>
      <c r="H78" s="10">
        <v>0.17601847184489688</v>
      </c>
      <c r="I78" s="10">
        <v>0.15039057758938695</v>
      </c>
      <c r="J78" s="10">
        <v>0.83442367772187764</v>
      </c>
      <c r="K78" s="10">
        <v>1.3812053680419916</v>
      </c>
      <c r="L78" s="10">
        <v>1.8643025684356695</v>
      </c>
      <c r="M78" s="10">
        <v>1.3253454096760171E-2</v>
      </c>
      <c r="N78" s="10">
        <v>6.8057662108534478</v>
      </c>
      <c r="O78" s="47">
        <v>12258.112499999999</v>
      </c>
      <c r="P78" s="47">
        <v>1135.8062500000001</v>
      </c>
      <c r="Q78" s="5">
        <v>12.676470588235295</v>
      </c>
      <c r="R78" s="5">
        <v>25.5</v>
      </c>
      <c r="S78" s="170">
        <v>0.17211700816866699</v>
      </c>
      <c r="T78" s="213">
        <v>0.34270752521334363</v>
      </c>
      <c r="U78" s="139">
        <f>(Table1[[#This Row],[In-Tok]]+Table1[[#This Row],[Out-Tok]])*Table1[[#This Row],[RPS]]</f>
        <v>11000</v>
      </c>
      <c r="V78" s="140">
        <f>Table1[[#This Row],[In-Tok]]+AvgOutLoad*Table1[[#This Row],[Out-Tok]]</f>
        <v>5250</v>
      </c>
      <c r="W78" s="140">
        <f>Table1[[#This Row],[In-Tok]]*Table1[[#This Row],[RPS]]</f>
        <v>10000</v>
      </c>
      <c r="X78" s="143">
        <f>Table1[[#This Row],[Out-Tok]]*Table1[[#This Row],[RPS]]</f>
        <v>1000</v>
      </c>
      <c r="Y78" s="144">
        <f>Table1[[#This Row],[In-Tok]]/Table1[[#This Row],[Out-Tok]]</f>
        <v>10</v>
      </c>
      <c r="Z78" s="139">
        <f>Table1[[#This Row],[In-Tok]]*Table1[[#This Row],[N]]+AvgOutLoad*Table1[[#This Row],[Out-Tok]]*Table1[[#This Row],[Ndecode]]</f>
        <v>80873.623604269305</v>
      </c>
      <c r="AA78" s="140">
        <f>Table1[[#This Row],[tok(N)]]/Table1[[#This Row],[Kvcache]]</f>
        <v>469875.83891196136</v>
      </c>
      <c r="AB78" s="140">
        <f>Table1[[#This Row],[tok/req]]*Table1[[#This Row],[Run]]</f>
        <v>66551.470588235301</v>
      </c>
      <c r="AC78" s="140">
        <f>Table1[[#This Row],[tok(Run)]]/Table1[[#This Row],[Kvcache]]</f>
        <v>386664.11469933193</v>
      </c>
      <c r="AD78" s="140">
        <f>Table1[[#This Row],[tok/req]]*Table1[[#This Row],[MaxRun]]</f>
        <v>133875</v>
      </c>
      <c r="AE78" s="140">
        <f>Table1[[#This Row],[tok(MaxRun)]]/Table1[[#This Row],[MaxKvcache]]</f>
        <v>390639.21901528019</v>
      </c>
      <c r="AF78" s="144">
        <f>Table1[[#This Row],[PPS]]*Table1[[#This Row],[Prefill]]/Table1[[#This Row],[In-Tok]]</f>
        <v>0.36870092380613678</v>
      </c>
      <c r="AG78" s="141">
        <f>Table1[[#This Row],[GPS]]*Table1[[#This Row],[ITL]]</f>
        <v>15.053355997188309</v>
      </c>
      <c r="AH78" s="141">
        <f>Table1[[#This Row],[Nprefill]]+Table1[[#This Row],[Ndecode]]</f>
        <v>15.422056920994445</v>
      </c>
      <c r="AI78" s="145">
        <f>Table1[[#This Row],[Run]]/Table1[[#This Row],[ITL]]/Table1[[#This Row],[GPS]]</f>
        <v>0.84210262419908422</v>
      </c>
      <c r="AJ78" s="142">
        <f>Table1[[#This Row],[Prefill]]+Table1[[#This Row],[ITL]]</f>
        <v>0.16364403168614713</v>
      </c>
      <c r="AK78" s="145">
        <f>Table1[[#This Row],[TTFT]]/Table1[[#This Row],[estTTFT]]</f>
        <v>1.0756180352637772</v>
      </c>
      <c r="AL78" s="141">
        <f>Table1[[#This Row],[In-Tok]]*Table1[[#This Row],[RPS]]/Table1[[#This Row],[PPS]]</f>
        <v>0.81578628031028433</v>
      </c>
      <c r="AM78" s="145">
        <f>Table1[[#This Row],[Prefill]]/Table1[[#This Row],[estPrefill]]</f>
        <v>0.18435046190306839</v>
      </c>
      <c r="AN78" s="145">
        <f>Table1[[#This Row],[Prefill]]/Table1[[#This Row],[TTFT]]</f>
        <v>0.85440224547516475</v>
      </c>
      <c r="AO78" s="142">
        <f>Table1[[#This Row],[Run]]/(Table1[[#This Row],[Out-Tok]]*Table1[[#This Row],[RPS]])</f>
        <v>1.2676470588235296E-2</v>
      </c>
      <c r="AP78" s="145">
        <f>Table1[[#This Row],[ITL]]/Table1[[#This Row],[estITL]]</f>
        <v>1.0455161004404774</v>
      </c>
      <c r="AQ78" s="146">
        <f>Table1[[#This Row],[E2E]]-Table1[[#This Row],[TTFT]]+Table1[[#This Row],[ITL]]</f>
        <v>6.6430011931053112</v>
      </c>
      <c r="AR78" s="145">
        <f>Table1[[#This Row],[estDecode]]/Table1[[#This Row],[Run]]</f>
        <v>0.52404185746074372</v>
      </c>
      <c r="AS78" s="146">
        <f>Table1[[#This Row],[Prefill]]+Table1[[#This Row],[Out-Tok]]*Table1[[#This Row],[ITL]]</f>
        <v>6.7771176259694723</v>
      </c>
      <c r="AT78" s="141">
        <f>Table1[[#This Row],[estPrefill]]+Table1[[#This Row],[Out-Tok]]*Table1[[#This Row],[ITL]]</f>
        <v>7.44251332869037</v>
      </c>
      <c r="AU78" s="145">
        <f>Table1[[#This Row],[E2E]]/Table1[[#This Row],[estE2E]]</f>
        <v>0.91444461169020597</v>
      </c>
      <c r="AV78" s="141">
        <f>Table1[[#This Row],[N]]/Table1[[#This Row],[estE2E]]</f>
        <v>2.0721571114348549</v>
      </c>
      <c r="AW78" s="141">
        <f>Table1[[#This Row],[PPS]]/Table1[[#This Row],[In-Tok]]</f>
        <v>2.4516225</v>
      </c>
      <c r="AX78" s="145">
        <f>Table1[[#This Row],[RPS]]/Table1[[#This Row],[RPS(IL)]]</f>
        <v>0.81578628031028433</v>
      </c>
      <c r="AY78" s="141">
        <f>Table1[[#This Row],[GPS]]/Table1[[#This Row],[Out-Tok]]</f>
        <v>2.2716125000000003</v>
      </c>
      <c r="AZ78" s="147">
        <f>Table1[[#This Row],[RPS]]/Table1[[#This Row],[RPS(OL)]]</f>
        <v>0.88043185182331929</v>
      </c>
      <c r="BA78" s="148">
        <f>MaxTok/Table1[[#This Row],[tok/req]]</f>
        <v>73.88804990334387</v>
      </c>
      <c r="BB78" s="145">
        <f>Table1[[#This Row],[N]]/Table1[[#This Row],[N-max]]</f>
        <v>0.20872193732503022</v>
      </c>
      <c r="BC78" s="94">
        <f>Table1[[#This Row],[RPS]]</f>
        <v>2</v>
      </c>
      <c r="BD78" s="152">
        <f>Table1[[#This Row],[PPS]]/Table1[[#This Row],[RPS success]]</f>
        <v>6129.0562499999996</v>
      </c>
      <c r="BE78" s="93">
        <f>ABS(Table1[[#This Row],[est-In-Tok3]]-Table1[[#This Row],[In-Tok]])/Table1[[#This Row],[In-Tok]]</f>
        <v>0.22581124999999994</v>
      </c>
      <c r="BF78" s="152">
        <f>Table1[[#This Row],[GPS]]/Table1[[#This Row],[RPS success]]</f>
        <v>567.90312500000005</v>
      </c>
      <c r="BG78" s="93">
        <f>ABS(Table1[[#This Row],[est-Out-Tok3]]-Table1[[#This Row],[Out-Tok]])/Table1[[#This Row],[Out-Tok]]</f>
        <v>0.1358062500000001</v>
      </c>
      <c r="BH78" s="158">
        <f>Table1[[#This Row],[est-In-Tok3]]+AvgOutLoad*Table1[[#This Row],[est-Out-Tok3]]</f>
        <v>6413.0078125</v>
      </c>
      <c r="BI78" s="93">
        <f>ABS(Table1[[#This Row],[est-Tok/Req3]]-Table1[[#This Row],[tok/req]])/Table1[[#This Row],[tok/req]]</f>
        <v>0.22152529761904763</v>
      </c>
      <c r="BJ78" s="158">
        <f>MaxTok/Table1[[#This Row],[est-Tok/Req3]]</f>
        <v>60.488350136803341</v>
      </c>
      <c r="BK78" s="93">
        <f>ABS(Table1[[#This Row],[est-N-max3]]-Table1[[#This Row],[N-max]])/Table1[[#This Row],[N-max]]</f>
        <v>0.18135137933765003</v>
      </c>
      <c r="BL78" s="94">
        <f>MaxTok*Table1[[#This Row],[Kvcache]]/Table1[[#This Row],[Run]]</f>
        <v>5266.9469393210129</v>
      </c>
      <c r="BM78" s="166">
        <f>ABS(Table1[[#This Row],[est-Tok/Req]]-Table1[[#This Row],[tok/req]])/Table1[[#This Row],[tok/req]]</f>
        <v>3.2279884420976963E-3</v>
      </c>
      <c r="BN78" s="94">
        <f>MaxTok/Table1[[#This Row],[est-Tok/Req]]</f>
        <v>73.65030756177751</v>
      </c>
      <c r="BO78" s="176">
        <f>Table1[[#This Row],[Run]]/Table1[[#This Row],[Kvcache]]</f>
        <v>73.65030756177751</v>
      </c>
      <c r="BP78" s="132" cm="1">
        <f t="array" aca="1" ref="BP78" ca="1">_xlfn.CEILING.MATH(INDIRECT("Table1"&amp;BP$3)/BP$2)*BP$2</f>
        <v>6000</v>
      </c>
      <c r="BQ78" s="183" cm="1">
        <f t="array" aca="1" ref="BQ78" ca="1">_xlfn.CEILING.MATH(INDIRECT("Table1"&amp;BQ$3)/BQ$2)*BQ$2</f>
        <v>1.4999999999999999E-2</v>
      </c>
      <c r="BR78" s="93" cm="1">
        <f t="array" aca="1" ref="BR78" ca="1">_xlfn.CEILING.MATH(INDIRECT("Table1"&amp;BR$3)/BR$2)*BR$2</f>
        <v>0.2</v>
      </c>
      <c r="BS78" s="93" cm="1">
        <f t="array" aca="1" ref="BS78" ca="1">_xlfn.CEILING.MATH(INDIRECT("Table1"&amp;BS$3)/BS$2)*BS$2</f>
        <v>0.18</v>
      </c>
      <c r="BT78" s="33" cm="1">
        <f t="array" aca="1" ref="BT78" ca="1">_xlfn.CEILING.MATH(INDIRECT("Table1"&amp;BT$3)/BT$2)*BT$2</f>
        <v>13</v>
      </c>
      <c r="BU78" s="132" cm="1">
        <f t="array" aca="1" ref="BU78" ca="1">_xlfn.CEILING.MATH(INDIRECT("Table1"&amp;BU$3)/BU$2)*BU$2</f>
        <v>10</v>
      </c>
      <c r="BV78" s="132" cm="1">
        <f t="array" aca="1" ref="BV78" ca="1">_xlfn.CEILING.MATH(INDIRECT("Table1"&amp;BV$3)/BV$2)*BV$2</f>
        <v>5000</v>
      </c>
      <c r="BW78" s="93"/>
      <c r="BX78" s="93"/>
      <c r="BY78" s="190">
        <v>0.34270752521334363</v>
      </c>
      <c r="BZ78" s="93"/>
      <c r="CA78" s="111">
        <f>(Table1[[#This Row],[In-Tok]]+Table1[[#This Row],[Out-Tok]])*Table1[[#This Row],[RPS]]</f>
        <v>11000</v>
      </c>
      <c r="CB78" s="33">
        <f t="shared" si="24"/>
        <v>390639.21901528019</v>
      </c>
      <c r="CC78" s="33">
        <f>Table1[[#This Row],[Supply]]/(Table1[[#This Row],[Prefill]]+Table1[[#This Row],[Out-Tok]]*Table1[[#This Row],[ITL]])</f>
        <v>57640.908801460995</v>
      </c>
      <c r="CD78" s="33">
        <f>Table1[[#This Row],[MaxRun]]/Table1[[#This Row],[ITL]]</f>
        <v>1924.0267339993668</v>
      </c>
      <c r="CE78" s="33">
        <f>Table1[[#This Row],[Out-Tok]]*Table1[[#This Row],[RPS]]</f>
        <v>1000</v>
      </c>
      <c r="CF78" s="91">
        <f>Table1[[#This Row],[Supply]]/Table1[[#This Row],[Demand-T]]</f>
        <v>35.512656274116381</v>
      </c>
      <c r="CG78" s="91"/>
      <c r="CH78" s="112">
        <f>Table1[[#This Row],[Prefill]]+Table1[[#This Row],[Out-Tok]]*Table1[[#This Row],[ITL]]</f>
        <v>6.7771176259694723</v>
      </c>
      <c r="CI78" s="112">
        <f>Table1[[#This Row],[GPS]]*Table1[[#This Row],[ITL]]</f>
        <v>15.053355997188309</v>
      </c>
      <c r="CJ78" s="113">
        <f>Table1[[#This Row],[PPS]]*Table1[[#This Row],[Prefill]]/Table1[[#This Row],[In-Tok]]</f>
        <v>0.36870092380613678</v>
      </c>
      <c r="CK78" s="112">
        <f t="shared" si="19"/>
        <v>15.422056920994445</v>
      </c>
      <c r="CL78" s="112">
        <f>Table1[[#This Row],[PPS]]/Table1[[#This Row],[In-Tok]]</f>
        <v>2.4516225</v>
      </c>
      <c r="CM78" s="112">
        <f>Table1[[#This Row],[GPS]]/Table1[[#This Row],[Out-Tok]]</f>
        <v>2.2716125000000003</v>
      </c>
      <c r="CN78" s="112">
        <f>Table1[[#This Row],[Run]]/Table1[[#This Row],[E2E]]</f>
        <v>1.8626074119354237</v>
      </c>
      <c r="CO78" s="112">
        <f>Table1[[#This Row],[N2]]/Table1[[#This Row],[E2E]]</f>
        <v>2.2660280184764838</v>
      </c>
      <c r="CP78" s="112"/>
      <c r="CQ78" s="112">
        <f>Table1[[#This Row],[In-Tok]]+AvgOutLoad*Table1[[#This Row],[Out-Tok]]</f>
        <v>5250</v>
      </c>
      <c r="CR78" s="112">
        <f t="shared" si="20"/>
        <v>284437.75862688577</v>
      </c>
      <c r="CS78" s="112" t="e">
        <f t="shared" si="21"/>
        <v>#DIV/0!</v>
      </c>
      <c r="CT78" s="112" t="e">
        <f t="shared" si="25"/>
        <v>#DIV/0!</v>
      </c>
      <c r="CU78" s="112">
        <f t="shared" si="22"/>
        <v>0</v>
      </c>
      <c r="CV78" s="112" t="e">
        <f t="shared" si="23"/>
        <v>#DIV/0!</v>
      </c>
      <c r="CW78" s="112">
        <f>Table1[[#This Row],[N(maxT)]]/Table1[[#This Row],[e2e sat]]</f>
        <v>0</v>
      </c>
      <c r="CX78" s="112" t="e">
        <f>Table1[[#This Row],[RPS]]/CW78</f>
        <v>#DIV/0!</v>
      </c>
      <c r="CY78" s="114" t="e">
        <f>Table1[[#This Row],[Kvcache]]/$T$4</f>
        <v>#DIV/0!</v>
      </c>
      <c r="GJ78"/>
    </row>
    <row r="79" spans="1:192" hidden="1" x14ac:dyDescent="0.25">
      <c r="A79" s="3">
        <v>5000</v>
      </c>
      <c r="B79" s="3">
        <v>500</v>
      </c>
      <c r="C79">
        <v>2.5</v>
      </c>
      <c r="D79" s="199">
        <f>Table1[[#This Row],[Kvcache]]</f>
        <v>0.25347282435084195</v>
      </c>
      <c r="E79" s="125" t="s">
        <v>141</v>
      </c>
      <c r="F79" s="219">
        <v>46092</v>
      </c>
      <c r="G79" s="10"/>
      <c r="H79" s="10">
        <v>0.20610742363866</v>
      </c>
      <c r="I79" s="10">
        <v>0.17102828618696231</v>
      </c>
      <c r="J79" s="10">
        <v>0.79073647075381626</v>
      </c>
      <c r="K79" s="10">
        <v>1.0388882815837857</v>
      </c>
      <c r="L79" s="10">
        <v>1.0929871845245362</v>
      </c>
      <c r="M79" s="10">
        <v>1.6073429748460325E-2</v>
      </c>
      <c r="N79" s="10">
        <v>8.2216936333974218</v>
      </c>
      <c r="O79" s="47">
        <v>14490.78125</v>
      </c>
      <c r="P79" s="47">
        <v>1325.7375</v>
      </c>
      <c r="Q79" s="5">
        <v>18.705882352941174</v>
      </c>
      <c r="R79" s="5">
        <v>32</v>
      </c>
      <c r="S79" s="170">
        <v>0.25347282435084195</v>
      </c>
      <c r="T79" s="164">
        <v>0.43231186966640817</v>
      </c>
      <c r="U79" s="98">
        <f>(Table1[[#This Row],[In-Tok]]+Table1[[#This Row],[Out-Tok]])*Table1[[#This Row],[RPS]]</f>
        <v>13750</v>
      </c>
      <c r="V79" s="99">
        <f>Table1[[#This Row],[In-Tok]]+AvgOutLoad*Table1[[#This Row],[Out-Tok]]</f>
        <v>5250</v>
      </c>
      <c r="W79" s="99">
        <f>Table1[[#This Row],[In-Tok]]*Table1[[#This Row],[RPS]]</f>
        <v>12500</v>
      </c>
      <c r="X79" s="102">
        <f>Table1[[#This Row],[Out-Tok]]*Table1[[#This Row],[RPS]]</f>
        <v>1250</v>
      </c>
      <c r="Y79" s="103">
        <f>Table1[[#This Row],[In-Tok]]/Table1[[#This Row],[Out-Tok]]</f>
        <v>10</v>
      </c>
      <c r="Z79" s="98">
        <f>Table1[[#This Row],[In-Tok]]*Table1[[#This Row],[N]]+AvgOutLoad*Table1[[#This Row],[Out-Tok]]*Table1[[#This Row],[Ndecode]]</f>
        <v>114351.36348123211</v>
      </c>
      <c r="AA79" s="99">
        <f>Table1[[#This Row],[tok(N)]]/Table1[[#This Row],[Kvcache]]</f>
        <v>451138.55409980274</v>
      </c>
      <c r="AB79" s="99">
        <f>Table1[[#This Row],[tok/req]]*Table1[[#This Row],[Run]]</f>
        <v>98205.88235294116</v>
      </c>
      <c r="AC79" s="99">
        <f>Table1[[#This Row],[tok(Run)]]/Table1[[#This Row],[Kvcache]]</f>
        <v>387441.46479786112</v>
      </c>
      <c r="AD79" s="99">
        <f>Table1[[#This Row],[tok/req]]*Table1[[#This Row],[MaxRun]]</f>
        <v>168000</v>
      </c>
      <c r="AE79" s="99">
        <f>Table1[[#This Row],[tok(MaxRun)]]/Table1[[#This Row],[MaxKvcache]]</f>
        <v>388608.34454912506</v>
      </c>
      <c r="AF79" s="103">
        <f>Table1[[#This Row],[PPS]]*Table1[[#This Row],[Prefill]]/Table1[[#This Row],[In-Tok]]</f>
        <v>0.49566669653953349</v>
      </c>
      <c r="AG79" s="100">
        <f>Table1[[#This Row],[GPS]]*Table1[[#This Row],[ITL]]</f>
        <v>21.309148571149418</v>
      </c>
      <c r="AH79" s="100">
        <f>Table1[[#This Row],[Nprefill]]+Table1[[#This Row],[Ndecode]]</f>
        <v>21.804815267688952</v>
      </c>
      <c r="AI79" s="104">
        <f>Table1[[#This Row],[Run]]/Table1[[#This Row],[ITL]]/Table1[[#This Row],[GPS]]</f>
        <v>0.87783340054549042</v>
      </c>
      <c r="AJ79" s="101">
        <f>Table1[[#This Row],[Prefill]]+Table1[[#This Row],[ITL]]</f>
        <v>0.18710171593542263</v>
      </c>
      <c r="AK79" s="104">
        <f>Table1[[#This Row],[TTFT]]/Table1[[#This Row],[estTTFT]]</f>
        <v>1.1015795478316035</v>
      </c>
      <c r="AL79" s="100">
        <f>Table1[[#This Row],[In-Tok]]*Table1[[#This Row],[RPS]]/Table1[[#This Row],[PPS]]</f>
        <v>0.86261739683635075</v>
      </c>
      <c r="AM79" s="104">
        <f>Table1[[#This Row],[Prefill]]/Table1[[#This Row],[estPrefill]]</f>
        <v>0.19826667861581337</v>
      </c>
      <c r="AN79" s="104">
        <f>Table1[[#This Row],[Prefill]]/Table1[[#This Row],[TTFT]]</f>
        <v>0.82980167898659896</v>
      </c>
      <c r="AO79" s="101">
        <f>Table1[[#This Row],[Run]]/(Table1[[#This Row],[Out-Tok]]*Table1[[#This Row],[RPS]])</f>
        <v>1.4964705882352939E-2</v>
      </c>
      <c r="AP79" s="104">
        <f>Table1[[#This Row],[ITL]]/Table1[[#This Row],[estITL]]</f>
        <v>1.0740892520590628</v>
      </c>
      <c r="AQ79" s="105">
        <f>Table1[[#This Row],[E2E]]-Table1[[#This Row],[TTFT]]+Table1[[#This Row],[ITL]]</f>
        <v>8.0316596395072217</v>
      </c>
      <c r="AR79" s="104">
        <f>Table1[[#This Row],[estDecode]]/Table1[[#This Row],[Run]]</f>
        <v>0.42936545242648677</v>
      </c>
      <c r="AS79" s="105">
        <f>Table1[[#This Row],[Prefill]]+Table1[[#This Row],[Out-Tok]]*Table1[[#This Row],[ITL]]</f>
        <v>8.2077431604171238</v>
      </c>
      <c r="AT79" s="100">
        <f>Table1[[#This Row],[estPrefill]]+Table1[[#This Row],[Out-Tok]]*Table1[[#This Row],[ITL]]</f>
        <v>8.8993322710665126</v>
      </c>
      <c r="AU79" s="104">
        <f>Table1[[#This Row],[E2E]]/Table1[[#This Row],[estE2E]]</f>
        <v>0.92385511440310775</v>
      </c>
      <c r="AV79" s="100">
        <f>Table1[[#This Row],[N]]/Table1[[#This Row],[estE2E]]</f>
        <v>2.4501630688159284</v>
      </c>
      <c r="AW79" s="100">
        <f>Table1[[#This Row],[PPS]]/Table1[[#This Row],[In-Tok]]</f>
        <v>2.89815625</v>
      </c>
      <c r="AX79" s="104">
        <f>Table1[[#This Row],[RPS]]/Table1[[#This Row],[RPS(IL)]]</f>
        <v>0.86261739683635075</v>
      </c>
      <c r="AY79" s="100">
        <f>Table1[[#This Row],[GPS]]/Table1[[#This Row],[Out-Tok]]</f>
        <v>2.651475</v>
      </c>
      <c r="AZ79" s="106">
        <f>Table1[[#This Row],[RPS]]/Table1[[#This Row],[RPS(OL)]]</f>
        <v>0.94287142062436946</v>
      </c>
      <c r="BA79" s="130">
        <f>MaxTok/Table1[[#This Row],[tok/req]]</f>
        <v>73.88804990334387</v>
      </c>
      <c r="BB79" s="104">
        <f>Table1[[#This Row],[N]]/Table1[[#This Row],[N-max]]</f>
        <v>0.29510611386026248</v>
      </c>
      <c r="BC79" s="126">
        <f>Table1[[#This Row],[RPS]]</f>
        <v>2.5</v>
      </c>
      <c r="BD79" s="155">
        <f>Table1[[#This Row],[PPS]]/Table1[[#This Row],[RPS success]]</f>
        <v>5796.3125</v>
      </c>
      <c r="BE79" s="125">
        <f>ABS(Table1[[#This Row],[est-In-Tok3]]-Table1[[#This Row],[In-Tok]])/Table1[[#This Row],[In-Tok]]</f>
        <v>0.1592625</v>
      </c>
      <c r="BF79" s="155">
        <f>Table1[[#This Row],[GPS]]/Table1[[#This Row],[RPS success]]</f>
        <v>530.29499999999996</v>
      </c>
      <c r="BG79" s="125">
        <f>ABS(Table1[[#This Row],[est-Out-Tok3]]-Table1[[#This Row],[Out-Tok]])/Table1[[#This Row],[Out-Tok]]</f>
        <v>6.0589999999999915E-2</v>
      </c>
      <c r="BH79" s="163">
        <f>Table1[[#This Row],[est-In-Tok3]]+AvgOutLoad*Table1[[#This Row],[est-Out-Tok3]]</f>
        <v>6061.46</v>
      </c>
      <c r="BI79" s="125">
        <f>ABS(Table1[[#This Row],[est-Tok/Req3]]-Table1[[#This Row],[tok/req]])/Table1[[#This Row],[tok/req]]</f>
        <v>0.15456380952380952</v>
      </c>
      <c r="BJ79" s="163">
        <f>MaxTok/Table1[[#This Row],[est-Tok/Req3]]</f>
        <v>63.996506121059163</v>
      </c>
      <c r="BK79" s="125">
        <f>ABS(Table1[[#This Row],[est-N-max3]]-Table1[[#This Row],[N-max]])/Table1[[#This Row],[N-max]]</f>
        <v>0.13387203742992621</v>
      </c>
      <c r="BL79" s="126">
        <f>MaxTok*Table1[[#This Row],[Kvcache]]/Table1[[#This Row],[Run]]</f>
        <v>5256.3795063169964</v>
      </c>
      <c r="BM79" s="171">
        <f>ABS(Table1[[#This Row],[est-Tok/Req]]-Table1[[#This Row],[tok/req]])/Table1[[#This Row],[tok/req]]</f>
        <v>1.215144060380269E-3</v>
      </c>
      <c r="BN79" s="126">
        <f>MaxTok/Table1[[#This Row],[est-Tok/Req]]</f>
        <v>73.79837424721164</v>
      </c>
      <c r="BO79" s="181">
        <f>Table1[[#This Row],[Run]]/Table1[[#This Row],[Kvcache]]</f>
        <v>73.79837424721164</v>
      </c>
      <c r="BP79" s="136" cm="1">
        <f t="array" aca="1" ref="BP79" ca="1">_xlfn.CEILING.MATH(INDIRECT("Table1"&amp;BP$3)/BP$2)*BP$2</f>
        <v>6000</v>
      </c>
      <c r="BQ79" s="188" cm="1">
        <f t="array" aca="1" ref="BQ79" ca="1">_xlfn.CEILING.MATH(INDIRECT("Table1"&amp;BQ$3)/BQ$2)*BQ$2</f>
        <v>0.02</v>
      </c>
      <c r="BR79" s="125" cm="1">
        <f t="array" aca="1" ref="BR79" ca="1">_xlfn.CEILING.MATH(INDIRECT("Table1"&amp;BR$3)/BR$2)*BR$2</f>
        <v>0.30000000000000004</v>
      </c>
      <c r="BS79" s="125" cm="1">
        <f t="array" aca="1" ref="BS79" ca="1">_xlfn.CEILING.MATH(INDIRECT("Table1"&amp;BS$3)/BS$2)*BS$2</f>
        <v>0.26</v>
      </c>
      <c r="BT79" s="115" cm="1">
        <f t="array" aca="1" ref="BT79" ca="1">_xlfn.CEILING.MATH(INDIRECT("Table1"&amp;BT$3)/BT$2)*BT$2</f>
        <v>19</v>
      </c>
      <c r="BU79" s="136" cm="1">
        <f t="array" aca="1" ref="BU79" ca="1">_xlfn.CEILING.MATH(INDIRECT("Table1"&amp;BU$3)/BU$2)*BU$2</f>
        <v>10</v>
      </c>
      <c r="BV79" s="136" cm="1">
        <f t="array" aca="1" ref="BV79" ca="1">_xlfn.CEILING.MATH(INDIRECT("Table1"&amp;BV$3)/BV$2)*BV$2</f>
        <v>5000</v>
      </c>
      <c r="BW79" s="125"/>
      <c r="BX79" s="125"/>
      <c r="BY79" s="190">
        <v>0.43231186966640817</v>
      </c>
      <c r="BZ79" s="125"/>
      <c r="CA79" s="80">
        <f>(Table1[[#This Row],[In-Tok]]+Table1[[#This Row],[Out-Tok]])*Table1[[#This Row],[RPS]]</f>
        <v>13750</v>
      </c>
      <c r="CB79" s="115">
        <f t="shared" si="24"/>
        <v>388608.34454912506</v>
      </c>
      <c r="CC79" s="115">
        <f>Table1[[#This Row],[Supply]]/(Table1[[#This Row],[Prefill]]+Table1[[#This Row],[Out-Tok]]*Table1[[#This Row],[ITL]])</f>
        <v>47346.552755602512</v>
      </c>
      <c r="CD79" s="115">
        <f>Table1[[#This Row],[MaxRun]]/Table1[[#This Row],[ITL]]</f>
        <v>1990.8632134386428</v>
      </c>
      <c r="CE79" s="115">
        <f>Table1[[#This Row],[Out-Tok]]*Table1[[#This Row],[RPS]]</f>
        <v>1250</v>
      </c>
      <c r="CF79" s="116">
        <f>Table1[[#This Row],[Supply]]/Table1[[#This Row],[Demand-T]]</f>
        <v>28.262425058118186</v>
      </c>
      <c r="CG79" s="116"/>
      <c r="CH79" s="107">
        <f>Table1[[#This Row],[Prefill]]+Table1[[#This Row],[Out-Tok]]*Table1[[#This Row],[ITL]]</f>
        <v>8.2077431604171238</v>
      </c>
      <c r="CI79" s="107">
        <f>Table1[[#This Row],[GPS]]*Table1[[#This Row],[ITL]]</f>
        <v>21.309148571149418</v>
      </c>
      <c r="CJ79" s="108">
        <f>Table1[[#This Row],[PPS]]*Table1[[#This Row],[Prefill]]/Table1[[#This Row],[In-Tok]]</f>
        <v>0.49566669653953349</v>
      </c>
      <c r="CK79" s="107">
        <f t="shared" si="19"/>
        <v>21.804815267688952</v>
      </c>
      <c r="CL79" s="107">
        <f>Table1[[#This Row],[PPS]]/Table1[[#This Row],[In-Tok]]</f>
        <v>2.89815625</v>
      </c>
      <c r="CM79" s="107">
        <f>Table1[[#This Row],[GPS]]/Table1[[#This Row],[Out-Tok]]</f>
        <v>2.651475</v>
      </c>
      <c r="CN79" s="107">
        <f>Table1[[#This Row],[Run]]/Table1[[#This Row],[E2E]]</f>
        <v>2.2751860123996628</v>
      </c>
      <c r="CO79" s="107">
        <f>Table1[[#This Row],[N2]]/Table1[[#This Row],[E2E]]</f>
        <v>2.6521074902518138</v>
      </c>
      <c r="CP79" s="107"/>
      <c r="CQ79" s="107">
        <f>Table1[[#This Row],[In-Tok]]+AvgOutLoad*Table1[[#This Row],[Out-Tok]]</f>
        <v>5250</v>
      </c>
      <c r="CR79" s="107">
        <f t="shared" si="20"/>
        <v>369820.7726003541</v>
      </c>
      <c r="CS79" s="107" t="e">
        <f t="shared" si="21"/>
        <v>#DIV/0!</v>
      </c>
      <c r="CT79" s="107" t="e">
        <f t="shared" si="25"/>
        <v>#DIV/0!</v>
      </c>
      <c r="CU79" s="107">
        <f t="shared" si="22"/>
        <v>0</v>
      </c>
      <c r="CV79" s="107" t="e">
        <f t="shared" si="23"/>
        <v>#DIV/0!</v>
      </c>
      <c r="CW79" s="107">
        <f>Table1[[#This Row],[N(maxT)]]/Table1[[#This Row],[e2e sat]]</f>
        <v>0</v>
      </c>
      <c r="CX79" s="107" t="e">
        <f>Table1[[#This Row],[RPS]]/CW79</f>
        <v>#DIV/0!</v>
      </c>
      <c r="CY79" s="109" t="e">
        <f>Table1[[#This Row],[Kvcache]]/$T$4</f>
        <v>#DIV/0!</v>
      </c>
      <c r="GJ79"/>
    </row>
    <row r="80" spans="1:192" hidden="1" x14ac:dyDescent="0.25">
      <c r="A80" s="3">
        <v>5000</v>
      </c>
      <c r="B80" s="3">
        <v>500</v>
      </c>
      <c r="C80">
        <v>3</v>
      </c>
      <c r="D80" s="199">
        <f>Table1[[#This Row],[Kvcache]]</f>
        <v>0.47636895526247736</v>
      </c>
      <c r="E80" s="34" t="s">
        <v>141</v>
      </c>
      <c r="F80" s="219">
        <v>46092</v>
      </c>
      <c r="G80" s="10"/>
      <c r="H80" s="10">
        <v>0.42235602144706441</v>
      </c>
      <c r="I80" s="10">
        <v>0.29382635968487436</v>
      </c>
      <c r="J80" s="10">
        <v>1.3417937351097526</v>
      </c>
      <c r="K80" s="10">
        <v>3.3173728227615342</v>
      </c>
      <c r="L80" s="10">
        <v>3.5746103167533878</v>
      </c>
      <c r="M80" s="10">
        <v>2.534745202136612E-2</v>
      </c>
      <c r="N80" s="10">
        <v>12.921070965378959</v>
      </c>
      <c r="O80" s="47">
        <v>18807.078431372549</v>
      </c>
      <c r="P80" s="47">
        <v>1763.443137254902</v>
      </c>
      <c r="Q80" s="5">
        <v>35.180555555555557</v>
      </c>
      <c r="R80" s="5">
        <v>66</v>
      </c>
      <c r="S80" s="170">
        <v>0.47636895526247736</v>
      </c>
      <c r="T80" s="212">
        <v>0.90407292474786649</v>
      </c>
      <c r="U80" s="53">
        <f>(Table1[[#This Row],[In-Tok]]+Table1[[#This Row],[Out-Tok]])*Table1[[#This Row],[RPS]]</f>
        <v>16500</v>
      </c>
      <c r="V80" s="54">
        <f>Table1[[#This Row],[In-Tok]]+AvgOutLoad*Table1[[#This Row],[Out-Tok]]</f>
        <v>5250</v>
      </c>
      <c r="W80" s="54">
        <f>Table1[[#This Row],[In-Tok]]*Table1[[#This Row],[RPS]]</f>
        <v>15000</v>
      </c>
      <c r="X80" s="55">
        <f>Table1[[#This Row],[Out-Tok]]*Table1[[#This Row],[RPS]]</f>
        <v>1500</v>
      </c>
      <c r="Y80" s="74">
        <f>Table1[[#This Row],[In-Tok]]/Table1[[#This Row],[Out-Tok]]</f>
        <v>10</v>
      </c>
      <c r="Z80" s="53">
        <f>Table1[[#This Row],[In-Tok]]*Table1[[#This Row],[N]]+AvgOutLoad*Table1[[#This Row],[Out-Tok]]*Table1[[#This Row],[Ndecode]]</f>
        <v>240194.664540172</v>
      </c>
      <c r="AA80" s="54">
        <f>Table1[[#This Row],[tok(N)]]/Table1[[#This Row],[Kvcache]]</f>
        <v>504219.81089810043</v>
      </c>
      <c r="AB80" s="54">
        <f>Table1[[#This Row],[tok/req]]*Table1[[#This Row],[Run]]</f>
        <v>184697.91666666669</v>
      </c>
      <c r="AC80" s="54">
        <f>Table1[[#This Row],[tok(Run)]]/Table1[[#This Row],[Kvcache]]</f>
        <v>387720.30508348072</v>
      </c>
      <c r="AD80" s="54">
        <f>Table1[[#This Row],[tok/req]]*Table1[[#This Row],[MaxRun]]</f>
        <v>346500</v>
      </c>
      <c r="AE80" s="54">
        <f>Table1[[#This Row],[tok(MaxRun)]]/Table1[[#This Row],[MaxKvcache]]</f>
        <v>383265.54254086758</v>
      </c>
      <c r="AF80" s="74">
        <f>Table1[[#This Row],[PPS]]*Table1[[#This Row],[Prefill]]/Table1[[#This Row],[In-Tok]]</f>
        <v>1.1052030783596227</v>
      </c>
      <c r="AG80" s="56">
        <f>Table1[[#This Row],[GPS]]*Table1[[#This Row],[ITL]]</f>
        <v>44.698790313975977</v>
      </c>
      <c r="AH80" s="56">
        <f>Table1[[#This Row],[Nprefill]]+Table1[[#This Row],[Ndecode]]</f>
        <v>45.803993392335599</v>
      </c>
      <c r="AI80" s="86">
        <f>Table1[[#This Row],[Run]]/Table1[[#This Row],[ITL]]/Table1[[#This Row],[GPS]]</f>
        <v>0.78705833666723735</v>
      </c>
      <c r="AJ80" s="85">
        <f>Table1[[#This Row],[Prefill]]+Table1[[#This Row],[ITL]]</f>
        <v>0.31917381170624048</v>
      </c>
      <c r="AK80" s="86">
        <f>Table1[[#This Row],[TTFT]]/Table1[[#This Row],[estTTFT]]</f>
        <v>1.3232790597362363</v>
      </c>
      <c r="AL80" s="56">
        <f>Table1[[#This Row],[In-Tok]]*Table1[[#This Row],[RPS]]/Table1[[#This Row],[PPS]]</f>
        <v>0.79757204473492982</v>
      </c>
      <c r="AM80" s="86">
        <f>Table1[[#This Row],[Prefill]]/Table1[[#This Row],[estPrefill]]</f>
        <v>0.36840102611987419</v>
      </c>
      <c r="AN80" s="86">
        <f>Table1[[#This Row],[Prefill]]/Table1[[#This Row],[TTFT]]</f>
        <v>0.69568407874990079</v>
      </c>
      <c r="AO80" s="85">
        <f>Table1[[#This Row],[Run]]/(Table1[[#This Row],[Out-Tok]]*Table1[[#This Row],[RPS]])</f>
        <v>2.3453703703703706E-2</v>
      </c>
      <c r="AP80" s="86">
        <f>Table1[[#This Row],[ITL]]/Table1[[#This Row],[estITL]]</f>
        <v>1.0807441051352313</v>
      </c>
      <c r="AQ80" s="87">
        <f>Table1[[#This Row],[E2E]]-Table1[[#This Row],[TTFT]]+Table1[[#This Row],[ITL]]</f>
        <v>12.52406239595326</v>
      </c>
      <c r="AR80" s="86">
        <f>Table1[[#This Row],[estDecode]]/Table1[[#This Row],[Run]]</f>
        <v>0.355993877816279</v>
      </c>
      <c r="AS80" s="87">
        <f>Table1[[#This Row],[Prefill]]+Table1[[#This Row],[Out-Tok]]*Table1[[#This Row],[ITL]]</f>
        <v>12.967552370367935</v>
      </c>
      <c r="AT80" s="56">
        <f>Table1[[#This Row],[estPrefill]]+Table1[[#This Row],[Out-Tok]]*Table1[[#This Row],[ITL]]</f>
        <v>13.471298055417989</v>
      </c>
      <c r="AU80" s="86">
        <f>Table1[[#This Row],[E2E]]/Table1[[#This Row],[estE2E]]</f>
        <v>0.95915559972205233</v>
      </c>
      <c r="AV80" s="56">
        <f>Table1[[#This Row],[N]]/Table1[[#This Row],[estE2E]]</f>
        <v>3.4001172866866978</v>
      </c>
      <c r="AW80" s="56">
        <f>Table1[[#This Row],[PPS]]/Table1[[#This Row],[In-Tok]]</f>
        <v>3.7614156862745096</v>
      </c>
      <c r="AX80" s="86">
        <f>Table1[[#This Row],[RPS]]/Table1[[#This Row],[RPS(IL)]]</f>
        <v>0.79757204473492982</v>
      </c>
      <c r="AY80" s="56">
        <f>Table1[[#This Row],[GPS]]/Table1[[#This Row],[Out-Tok]]</f>
        <v>3.526886274509804</v>
      </c>
      <c r="AZ80" s="88">
        <f>Table1[[#This Row],[RPS]]/Table1[[#This Row],[RPS(OL)]]</f>
        <v>0.85060865775065708</v>
      </c>
      <c r="BA80" s="138">
        <f>MaxTok/Table1[[#This Row],[tok/req]]</f>
        <v>73.88804990334387</v>
      </c>
      <c r="BB80" s="86">
        <f>Table1[[#This Row],[N]]/Table1[[#This Row],[N-max]]</f>
        <v>0.61991070886636968</v>
      </c>
      <c r="BC80" s="69">
        <f>Table1[[#This Row],[RPS]]</f>
        <v>3</v>
      </c>
      <c r="BD80" s="48">
        <f>Table1[[#This Row],[PPS]]/Table1[[#This Row],[RPS success]]</f>
        <v>6269.0261437908493</v>
      </c>
      <c r="BE80" s="34">
        <f>ABS(Table1[[#This Row],[est-In-Tok3]]-Table1[[#This Row],[In-Tok]])/Table1[[#This Row],[In-Tok]]</f>
        <v>0.25380522875816985</v>
      </c>
      <c r="BF80" s="48">
        <f>Table1[[#This Row],[GPS]]/Table1[[#This Row],[RPS success]]</f>
        <v>587.8143790849673</v>
      </c>
      <c r="BG80" s="34">
        <f>ABS(Table1[[#This Row],[est-Out-Tok3]]-Table1[[#This Row],[Out-Tok]])/Table1[[#This Row],[Out-Tok]]</f>
        <v>0.17562875816993459</v>
      </c>
      <c r="BH80" s="157">
        <f>Table1[[#This Row],[est-In-Tok3]]+AvgOutLoad*Table1[[#This Row],[est-Out-Tok3]]</f>
        <v>6562.9333333333334</v>
      </c>
      <c r="BI80" s="34">
        <f>ABS(Table1[[#This Row],[est-Tok/Req3]]-Table1[[#This Row],[tok/req]])/Table1[[#This Row],[tok/req]]</f>
        <v>0.25008253968253968</v>
      </c>
      <c r="BJ80" s="157">
        <f>MaxTok/Table1[[#This Row],[est-Tok/Req3]]</f>
        <v>59.10653701483411</v>
      </c>
      <c r="BK80" s="34">
        <f>ABS(Table1[[#This Row],[est-N-max3]]-Table1[[#This Row],[N-max]])/Table1[[#This Row],[N-max]]</f>
        <v>0.20005282190890261</v>
      </c>
      <c r="BL80" s="69">
        <f>MaxTok*Table1[[#This Row],[Kvcache]]/Table1[[#This Row],[Run]]</f>
        <v>5252.5992287724648</v>
      </c>
      <c r="BM80" s="165">
        <f>ABS(Table1[[#This Row],[est-Tok/Req]]-Table1[[#This Row],[tok/req]])/Table1[[#This Row],[tok/req]]</f>
        <v>4.9509119475520233E-4</v>
      </c>
      <c r="BN80" s="69">
        <f>MaxTok/Table1[[#This Row],[est-Tok/Req]]</f>
        <v>73.851486682567739</v>
      </c>
      <c r="BO80" s="175">
        <f>Table1[[#This Row],[Run]]/Table1[[#This Row],[Kvcache]]</f>
        <v>73.851486682567753</v>
      </c>
      <c r="BP80" s="131" cm="1">
        <f t="array" aca="1" ref="BP80" ca="1">_xlfn.CEILING.MATH(INDIRECT("Table1"&amp;BP$3)/BP$2)*BP$2</f>
        <v>6000</v>
      </c>
      <c r="BQ80" s="182" cm="1">
        <f t="array" aca="1" ref="BQ80" ca="1">_xlfn.CEILING.MATH(INDIRECT("Table1"&amp;BQ$3)/BQ$2)*BQ$2</f>
        <v>0.03</v>
      </c>
      <c r="BR80" s="34" cm="1">
        <f t="array" aca="1" ref="BR80" ca="1">_xlfn.CEILING.MATH(INDIRECT("Table1"&amp;BR$3)/BR$2)*BR$2</f>
        <v>0.5</v>
      </c>
      <c r="BS80" s="34" cm="1">
        <f t="array" aca="1" ref="BS80" ca="1">_xlfn.CEILING.MATH(INDIRECT("Table1"&amp;BS$3)/BS$2)*BS$2</f>
        <v>0.48</v>
      </c>
      <c r="BT80" s="20" cm="1">
        <f t="array" aca="1" ref="BT80" ca="1">_xlfn.CEILING.MATH(INDIRECT("Table1"&amp;BT$3)/BT$2)*BT$2</f>
        <v>36</v>
      </c>
      <c r="BU80" s="131" cm="1">
        <f t="array" aca="1" ref="BU80" ca="1">_xlfn.CEILING.MATH(INDIRECT("Table1"&amp;BU$3)/BU$2)*BU$2</f>
        <v>10</v>
      </c>
      <c r="BV80" s="131" cm="1">
        <f t="array" aca="1" ref="BV80" ca="1">_xlfn.CEILING.MATH(INDIRECT("Table1"&amp;BV$3)/BV$2)*BV$2</f>
        <v>5000</v>
      </c>
      <c r="BW80" s="34"/>
      <c r="BX80" s="34"/>
      <c r="BY80" s="190">
        <v>0.90407292474786649</v>
      </c>
      <c r="BZ80" s="34"/>
      <c r="CA80" s="24">
        <f>(Table1[[#This Row],[In-Tok]]+Table1[[#This Row],[Out-Tok]])*Table1[[#This Row],[RPS]]</f>
        <v>16500</v>
      </c>
      <c r="CB80" s="20">
        <f t="shared" si="24"/>
        <v>383265.54254086758</v>
      </c>
      <c r="CC80" s="20">
        <f>Table1[[#This Row],[Supply]]/(Table1[[#This Row],[Prefill]]+Table1[[#This Row],[Out-Tok]]*Table1[[#This Row],[ITL]])</f>
        <v>29555.735083566353</v>
      </c>
      <c r="CD80" s="20">
        <f>Table1[[#This Row],[MaxRun]]/Table1[[#This Row],[ITL]]</f>
        <v>2603.8120101526038</v>
      </c>
      <c r="CE80" s="20">
        <f>Table1[[#This Row],[Out-Tok]]*Table1[[#This Row],[RPS]]</f>
        <v>1500</v>
      </c>
      <c r="CF80" s="22">
        <f>Table1[[#This Row],[Supply]]/Table1[[#This Row],[Demand-T]]</f>
        <v>23.228214699446522</v>
      </c>
      <c r="CG80" s="22"/>
      <c r="CH80" s="71">
        <f>Table1[[#This Row],[Prefill]]+Table1[[#This Row],[Out-Tok]]*Table1[[#This Row],[ITL]]</f>
        <v>12.967552370367935</v>
      </c>
      <c r="CI80" s="71">
        <f>Table1[[#This Row],[GPS]]*Table1[[#This Row],[ITL]]</f>
        <v>44.698790313975977</v>
      </c>
      <c r="CJ80" s="72">
        <f>Table1[[#This Row],[PPS]]*Table1[[#This Row],[Prefill]]/Table1[[#This Row],[In-Tok]]</f>
        <v>1.1052030783596227</v>
      </c>
      <c r="CK80" s="71">
        <f t="shared" si="19"/>
        <v>45.803993392335599</v>
      </c>
      <c r="CL80" s="71">
        <f>Table1[[#This Row],[PPS]]/Table1[[#This Row],[In-Tok]]</f>
        <v>3.7614156862745096</v>
      </c>
      <c r="CM80" s="71">
        <f>Table1[[#This Row],[GPS]]/Table1[[#This Row],[Out-Tok]]</f>
        <v>3.526886274509804</v>
      </c>
      <c r="CN80" s="71">
        <f>Table1[[#This Row],[Run]]/Table1[[#This Row],[E2E]]</f>
        <v>2.7227275238886324</v>
      </c>
      <c r="CO80" s="71">
        <f>Table1[[#This Row],[N2]]/Table1[[#This Row],[E2E]]</f>
        <v>3.5449068823369179</v>
      </c>
      <c r="CP80" s="71"/>
      <c r="CQ80" s="71">
        <f>Table1[[#This Row],[In-Tok]]+AvgOutLoad*Table1[[#This Row],[Out-Tok]]</f>
        <v>5250</v>
      </c>
      <c r="CR80" s="71">
        <f t="shared" si="20"/>
        <v>588508.98487807147</v>
      </c>
      <c r="CS80" s="71" t="e">
        <f t="shared" si="21"/>
        <v>#DIV/0!</v>
      </c>
      <c r="CT80" s="71" t="e">
        <f t="shared" si="25"/>
        <v>#DIV/0!</v>
      </c>
      <c r="CU80" s="71">
        <f t="shared" si="22"/>
        <v>0</v>
      </c>
      <c r="CV80" s="71" t="e">
        <f t="shared" si="23"/>
        <v>#DIV/0!</v>
      </c>
      <c r="CW80" s="71">
        <f>Table1[[#This Row],[N(maxT)]]/Table1[[#This Row],[e2e sat]]</f>
        <v>0</v>
      </c>
      <c r="CX80" s="71" t="e">
        <f>Table1[[#This Row],[RPS]]/CW80</f>
        <v>#DIV/0!</v>
      </c>
      <c r="CY80" s="110" t="e">
        <f>Table1[[#This Row],[Kvcache]]/$T$4</f>
        <v>#DIV/0!</v>
      </c>
      <c r="GJ80"/>
    </row>
    <row r="81" spans="1:192" hidden="1" x14ac:dyDescent="0.25">
      <c r="A81" s="3">
        <v>5000</v>
      </c>
      <c r="B81" s="3">
        <v>500</v>
      </c>
      <c r="C81">
        <v>3.5</v>
      </c>
      <c r="D81" s="199">
        <f>Table1[[#This Row],[Kvcache]]</f>
        <v>0.60576522307914638</v>
      </c>
      <c r="E81" s="34" t="s">
        <v>141</v>
      </c>
      <c r="F81" s="219">
        <v>46092</v>
      </c>
      <c r="G81" s="10"/>
      <c r="H81" s="10">
        <v>0.42625374893870271</v>
      </c>
      <c r="I81" s="10">
        <v>0.31278119207276189</v>
      </c>
      <c r="J81" s="10">
        <v>1.7727053435068381</v>
      </c>
      <c r="K81" s="10">
        <v>4.8460215568542484</v>
      </c>
      <c r="L81" s="10">
        <v>5.3140898966789241</v>
      </c>
      <c r="M81" s="10">
        <v>3.0594831133307181E-2</v>
      </c>
      <c r="N81" s="10">
        <v>15.8160580704445</v>
      </c>
      <c r="O81" s="47">
        <v>21548.682142857146</v>
      </c>
      <c r="P81" s="47">
        <v>2007.2276785714284</v>
      </c>
      <c r="Q81" s="5">
        <v>44.774509803921561</v>
      </c>
      <c r="R81" s="5">
        <v>67.5</v>
      </c>
      <c r="S81" s="170">
        <v>0.60576522307914638</v>
      </c>
      <c r="T81" s="212">
        <v>0.92385570209464696</v>
      </c>
      <c r="U81" s="53">
        <f>(Table1[[#This Row],[In-Tok]]+Table1[[#This Row],[Out-Tok]])*Table1[[#This Row],[RPS]]</f>
        <v>19250</v>
      </c>
      <c r="V81" s="54">
        <f>Table1[[#This Row],[In-Tok]]+AvgOutLoad*Table1[[#This Row],[Out-Tok]]</f>
        <v>5250</v>
      </c>
      <c r="W81" s="54">
        <f>Table1[[#This Row],[In-Tok]]*Table1[[#This Row],[RPS]]</f>
        <v>17500</v>
      </c>
      <c r="X81" s="55">
        <f>Table1[[#This Row],[Out-Tok]]*Table1[[#This Row],[RPS]]</f>
        <v>1750</v>
      </c>
      <c r="Y81" s="74">
        <f>Table1[[#This Row],[In-Tok]]/Table1[[#This Row],[Out-Tok]]</f>
        <v>10</v>
      </c>
      <c r="Z81" s="53">
        <f>Table1[[#This Row],[In-Tok]]*Table1[[#This Row],[N]]+AvgOutLoad*Table1[[#This Row],[Out-Tok]]*Table1[[#This Row],[Ndecode]]</f>
        <v>329146.67981620331</v>
      </c>
      <c r="AA81" s="54">
        <f>Table1[[#This Row],[tok(N)]]/Table1[[#This Row],[Kvcache]]</f>
        <v>543356.84399828711</v>
      </c>
      <c r="AB81" s="54">
        <f>Table1[[#This Row],[tok/req]]*Table1[[#This Row],[Run]]</f>
        <v>235066.17647058819</v>
      </c>
      <c r="AC81" s="54">
        <f>Table1[[#This Row],[tok(Run)]]/Table1[[#This Row],[Kvcache]]</f>
        <v>388048.31891096459</v>
      </c>
      <c r="AD81" s="54">
        <f>Table1[[#This Row],[tok/req]]*Table1[[#This Row],[MaxRun]]</f>
        <v>354375</v>
      </c>
      <c r="AE81" s="54">
        <f>Table1[[#This Row],[tok(MaxRun)]]/Table1[[#This Row],[MaxKvcache]]</f>
        <v>383582.63005416299</v>
      </c>
      <c r="AF81" s="74">
        <f>Table1[[#This Row],[PPS]]*Table1[[#This Row],[Prefill]]/Table1[[#This Row],[In-Tok]]</f>
        <v>1.348004497647979</v>
      </c>
      <c r="AG81" s="56">
        <f>Table1[[#This Row],[GPS]]*Table1[[#This Row],[ITL]]</f>
        <v>61.410791871993034</v>
      </c>
      <c r="AH81" s="56">
        <f>Table1[[#This Row],[Nprefill]]+Table1[[#This Row],[Ndecode]]</f>
        <v>62.758796369641011</v>
      </c>
      <c r="AI81" s="86">
        <f>Table1[[#This Row],[Run]]/Table1[[#This Row],[ITL]]/Table1[[#This Row],[GPS]]</f>
        <v>0.72909839523403686</v>
      </c>
      <c r="AJ81" s="85">
        <f>Table1[[#This Row],[Prefill]]+Table1[[#This Row],[ITL]]</f>
        <v>0.34337602320606908</v>
      </c>
      <c r="AK81" s="86">
        <f>Table1[[#This Row],[TTFT]]/Table1[[#This Row],[estTTFT]]</f>
        <v>1.2413614234296624</v>
      </c>
      <c r="AL81" s="56">
        <f>Table1[[#This Row],[In-Tok]]*Table1[[#This Row],[RPS]]/Table1[[#This Row],[PPS]]</f>
        <v>0.81211462881969398</v>
      </c>
      <c r="AM81" s="86">
        <f>Table1[[#This Row],[Prefill]]/Table1[[#This Row],[estPrefill]]</f>
        <v>0.38514414218513687</v>
      </c>
      <c r="AN81" s="86">
        <f>Table1[[#This Row],[Prefill]]/Table1[[#This Row],[TTFT]]</f>
        <v>0.73379106424643148</v>
      </c>
      <c r="AO81" s="85">
        <f>Table1[[#This Row],[Run]]/(Table1[[#This Row],[Out-Tok]]*Table1[[#This Row],[RPS]])</f>
        <v>2.5585434173669465E-2</v>
      </c>
      <c r="AP81" s="86">
        <f>Table1[[#This Row],[ITL]]/Table1[[#This Row],[estITL]]</f>
        <v>1.1957909694099698</v>
      </c>
      <c r="AQ81" s="87">
        <f>Table1[[#This Row],[E2E]]-Table1[[#This Row],[TTFT]]+Table1[[#This Row],[ITL]]</f>
        <v>15.420399152639105</v>
      </c>
      <c r="AR81" s="86">
        <f>Table1[[#This Row],[estDecode]]/Table1[[#This Row],[Run]]</f>
        <v>0.34440129484764376</v>
      </c>
      <c r="AS81" s="87">
        <f>Table1[[#This Row],[Prefill]]+Table1[[#This Row],[Out-Tok]]*Table1[[#This Row],[ITL]]</f>
        <v>15.610196758726353</v>
      </c>
      <c r="AT81" s="56">
        <f>Table1[[#This Row],[estPrefill]]+Table1[[#This Row],[Out-Tok]]*Table1[[#This Row],[ITL]]</f>
        <v>16.109530195473283</v>
      </c>
      <c r="AU81" s="86">
        <f>Table1[[#This Row],[E2E]]/Table1[[#This Row],[estE2E]]</f>
        <v>0.98178270120433131</v>
      </c>
      <c r="AV81" s="56">
        <f>Table1[[#This Row],[N]]/Table1[[#This Row],[estE2E]]</f>
        <v>3.8957558419224414</v>
      </c>
      <c r="AW81" s="56">
        <f>Table1[[#This Row],[PPS]]/Table1[[#This Row],[In-Tok]]</f>
        <v>4.309736428571429</v>
      </c>
      <c r="AX81" s="86">
        <f>Table1[[#This Row],[RPS]]/Table1[[#This Row],[RPS(IL)]]</f>
        <v>0.8121146288196941</v>
      </c>
      <c r="AY81" s="56">
        <f>Table1[[#This Row],[GPS]]/Table1[[#This Row],[Out-Tok]]</f>
        <v>4.0144553571428565</v>
      </c>
      <c r="AZ81" s="88">
        <f>Table1[[#This Row],[RPS]]/Table1[[#This Row],[RPS(OL)]]</f>
        <v>0.87184927683216251</v>
      </c>
      <c r="BA81" s="138">
        <f>MaxTok/Table1[[#This Row],[tok/req]]</f>
        <v>73.88804990334387</v>
      </c>
      <c r="BB81" s="86">
        <f>Table1[[#This Row],[N]]/Table1[[#This Row],[N-max]]</f>
        <v>0.8493768133241909</v>
      </c>
      <c r="BC81" s="69">
        <f>Table1[[#This Row],[RPS]]</f>
        <v>3.5</v>
      </c>
      <c r="BD81" s="48">
        <f>Table1[[#This Row],[PPS]]/Table1[[#This Row],[RPS success]]</f>
        <v>6156.7663265306128</v>
      </c>
      <c r="BE81" s="34">
        <f>ABS(Table1[[#This Row],[est-In-Tok3]]-Table1[[#This Row],[In-Tok]])/Table1[[#This Row],[In-Tok]]</f>
        <v>0.23135326530612255</v>
      </c>
      <c r="BF81" s="48">
        <f>Table1[[#This Row],[GPS]]/Table1[[#This Row],[RPS success]]</f>
        <v>573.49362244897952</v>
      </c>
      <c r="BG81" s="34">
        <f>ABS(Table1[[#This Row],[est-Out-Tok3]]-Table1[[#This Row],[Out-Tok]])/Table1[[#This Row],[Out-Tok]]</f>
        <v>0.14698724489795906</v>
      </c>
      <c r="BH81" s="157">
        <f>Table1[[#This Row],[est-In-Tok3]]+AvgOutLoad*Table1[[#This Row],[est-Out-Tok3]]</f>
        <v>6443.5131377551024</v>
      </c>
      <c r="BI81" s="34">
        <f>ABS(Table1[[#This Row],[est-Tok/Req3]]-Table1[[#This Row],[tok/req]])/Table1[[#This Row],[tok/req]]</f>
        <v>0.22733583576287666</v>
      </c>
      <c r="BJ81" s="157">
        <f>MaxTok/Table1[[#This Row],[est-Tok/Req3]]</f>
        <v>60.201982008793202</v>
      </c>
      <c r="BK81" s="34">
        <f>ABS(Table1[[#This Row],[est-N-max3]]-Table1[[#This Row],[N-max]])/Table1[[#This Row],[N-max]]</f>
        <v>0.18522708222038611</v>
      </c>
      <c r="BL81" s="69">
        <f>MaxTok*Table1[[#This Row],[Kvcache]]/Table1[[#This Row],[Run]]</f>
        <v>5248.1592528898118</v>
      </c>
      <c r="BM81" s="165">
        <f>ABS(Table1[[#This Row],[est-Tok/Req]]-Table1[[#This Row],[tok/req]])/Table1[[#This Row],[tok/req]]</f>
        <v>3.5061849717870551E-4</v>
      </c>
      <c r="BN81" s="69">
        <f>MaxTok/Table1[[#This Row],[est-Tok/Req]]</f>
        <v>73.913965506850388</v>
      </c>
      <c r="BO81" s="175">
        <f>Table1[[#This Row],[Run]]/Table1[[#This Row],[Kvcache]]</f>
        <v>73.913965506850403</v>
      </c>
      <c r="BP81" s="131" cm="1">
        <f t="array" aca="1" ref="BP81" ca="1">_xlfn.CEILING.MATH(INDIRECT("Table1"&amp;BP$3)/BP$2)*BP$2</f>
        <v>6000</v>
      </c>
      <c r="BQ81" s="182" cm="1">
        <f t="array" aca="1" ref="BQ81" ca="1">_xlfn.CEILING.MATH(INDIRECT("Table1"&amp;BQ$3)/BQ$2)*BQ$2</f>
        <v>3.5000000000000003E-2</v>
      </c>
      <c r="BR81" s="34" cm="1">
        <f t="array" aca="1" ref="BR81" ca="1">_xlfn.CEILING.MATH(INDIRECT("Table1"&amp;BR$3)/BR$2)*BR$2</f>
        <v>0.70000000000000007</v>
      </c>
      <c r="BS81" s="34" cm="1">
        <f t="array" aca="1" ref="BS81" ca="1">_xlfn.CEILING.MATH(INDIRECT("Table1"&amp;BS$3)/BS$2)*BS$2</f>
        <v>0.61</v>
      </c>
      <c r="BT81" s="20" cm="1">
        <f t="array" aca="1" ref="BT81" ca="1">_xlfn.CEILING.MATH(INDIRECT("Table1"&amp;BT$3)/BT$2)*BT$2</f>
        <v>45</v>
      </c>
      <c r="BU81" s="131" cm="1">
        <f t="array" aca="1" ref="BU81" ca="1">_xlfn.CEILING.MATH(INDIRECT("Table1"&amp;BU$3)/BU$2)*BU$2</f>
        <v>10</v>
      </c>
      <c r="BV81" s="131" cm="1">
        <f t="array" aca="1" ref="BV81" ca="1">_xlfn.CEILING.MATH(INDIRECT("Table1"&amp;BV$3)/BV$2)*BV$2</f>
        <v>5000</v>
      </c>
      <c r="BW81" s="34"/>
      <c r="BX81" s="34"/>
      <c r="BY81" s="190">
        <v>0.92385570209464696</v>
      </c>
      <c r="BZ81" s="34"/>
      <c r="CA81" s="24">
        <f>(Table1[[#This Row],[In-Tok]]+Table1[[#This Row],[Out-Tok]])*Table1[[#This Row],[RPS]]</f>
        <v>19250</v>
      </c>
      <c r="CB81" s="20">
        <f t="shared" si="24"/>
        <v>383582.63005416299</v>
      </c>
      <c r="CC81" s="20">
        <f>Table1[[#This Row],[Supply]]/(Table1[[#This Row],[Prefill]]+Table1[[#This Row],[Out-Tok]]*Table1[[#This Row],[ITL]])</f>
        <v>24572.568557775165</v>
      </c>
      <c r="CD81" s="20">
        <f>Table1[[#This Row],[MaxRun]]/Table1[[#This Row],[ITL]]</f>
        <v>2206.2550273897691</v>
      </c>
      <c r="CE81" s="20">
        <f>Table1[[#This Row],[Out-Tok]]*Table1[[#This Row],[RPS]]</f>
        <v>1750</v>
      </c>
      <c r="CF81" s="22">
        <f>Table1[[#This Row],[Supply]]/Table1[[#This Row],[Demand-T]]</f>
        <v>19.926370392424051</v>
      </c>
      <c r="CG81" s="22"/>
      <c r="CH81" s="71">
        <f>Table1[[#This Row],[Prefill]]+Table1[[#This Row],[Out-Tok]]*Table1[[#This Row],[ITL]]</f>
        <v>15.610196758726353</v>
      </c>
      <c r="CI81" s="71">
        <f>Table1[[#This Row],[GPS]]*Table1[[#This Row],[ITL]]</f>
        <v>61.410791871993034</v>
      </c>
      <c r="CJ81" s="72">
        <f>Table1[[#This Row],[PPS]]*Table1[[#This Row],[Prefill]]/Table1[[#This Row],[In-Tok]]</f>
        <v>1.348004497647979</v>
      </c>
      <c r="CK81" s="71">
        <f t="shared" si="19"/>
        <v>62.758796369641011</v>
      </c>
      <c r="CL81" s="71">
        <f>Table1[[#This Row],[PPS]]/Table1[[#This Row],[In-Tok]]</f>
        <v>4.309736428571429</v>
      </c>
      <c r="CM81" s="71">
        <f>Table1[[#This Row],[GPS]]/Table1[[#This Row],[Out-Tok]]</f>
        <v>4.0144553571428565</v>
      </c>
      <c r="CN81" s="71">
        <f>Table1[[#This Row],[Run]]/Table1[[#This Row],[E2E]]</f>
        <v>2.830952542314686</v>
      </c>
      <c r="CO81" s="71">
        <f>Table1[[#This Row],[N2]]/Table1[[#This Row],[E2E]]</f>
        <v>3.9680428644175567</v>
      </c>
      <c r="CP81" s="71"/>
      <c r="CQ81" s="71">
        <f>Table1[[#This Row],[In-Tok]]+AvgOutLoad*Table1[[#This Row],[Out-Tok]]</f>
        <v>5250</v>
      </c>
      <c r="CR81" s="71">
        <f t="shared" si="20"/>
        <v>581281.92268272047</v>
      </c>
      <c r="CS81" s="71" t="e">
        <f t="shared" si="21"/>
        <v>#DIV/0!</v>
      </c>
      <c r="CT81" s="71" t="e">
        <f t="shared" si="25"/>
        <v>#DIV/0!</v>
      </c>
      <c r="CU81" s="71">
        <f t="shared" si="22"/>
        <v>0</v>
      </c>
      <c r="CV81" s="71" t="e">
        <f t="shared" si="23"/>
        <v>#DIV/0!</v>
      </c>
      <c r="CW81" s="71">
        <f>Table1[[#This Row],[N(maxT)]]/Table1[[#This Row],[e2e sat]]</f>
        <v>0</v>
      </c>
      <c r="CX81" s="71" t="e">
        <f>Table1[[#This Row],[RPS]]/CW81</f>
        <v>#DIV/0!</v>
      </c>
      <c r="CY81" s="110" t="e">
        <f>Table1[[#This Row],[Kvcache]]/$T$4</f>
        <v>#DIV/0!</v>
      </c>
      <c r="GJ81"/>
    </row>
    <row r="82" spans="1:192" hidden="1" x14ac:dyDescent="0.25">
      <c r="A82" s="3">
        <v>5000</v>
      </c>
      <c r="B82" s="3">
        <v>500</v>
      </c>
      <c r="C82">
        <v>4</v>
      </c>
      <c r="D82" s="199">
        <f>Table1[[#This Row],[Kvcache]]</f>
        <v>0.61353338852996586</v>
      </c>
      <c r="E82" s="34" t="s">
        <v>141</v>
      </c>
      <c r="F82" s="219">
        <v>46092</v>
      </c>
      <c r="G82" s="10"/>
      <c r="H82" s="10">
        <v>0.88521275056337312</v>
      </c>
      <c r="I82" s="10">
        <v>0.48408511269759902</v>
      </c>
      <c r="J82" s="10">
        <v>2.4833794965809597</v>
      </c>
      <c r="K82" s="10">
        <v>6.2768180787563308</v>
      </c>
      <c r="L82" s="10">
        <v>7.1379978370666466</v>
      </c>
      <c r="M82" s="10">
        <v>3.1481167201555318E-2</v>
      </c>
      <c r="N82" s="10">
        <v>16.306570205065185</v>
      </c>
      <c r="O82" s="47">
        <v>23078.956249999999</v>
      </c>
      <c r="P82" s="47">
        <v>2081.3019230769232</v>
      </c>
      <c r="Q82" s="5">
        <v>45.394957983193279</v>
      </c>
      <c r="R82" s="5">
        <v>73.5</v>
      </c>
      <c r="S82" s="170">
        <v>0.61353338852996586</v>
      </c>
      <c r="T82" s="212">
        <v>0.99689681923972073</v>
      </c>
      <c r="U82" s="53">
        <f>(Table1[[#This Row],[In-Tok]]+Table1[[#This Row],[Out-Tok]])*Table1[[#This Row],[RPS]]</f>
        <v>22000</v>
      </c>
      <c r="V82" s="54">
        <f>Table1[[#This Row],[In-Tok]]+AvgOutLoad*Table1[[#This Row],[Out-Tok]]</f>
        <v>5250</v>
      </c>
      <c r="W82" s="54">
        <f>Table1[[#This Row],[In-Tok]]*Table1[[#This Row],[RPS]]</f>
        <v>20000</v>
      </c>
      <c r="X82" s="55">
        <f>Table1[[#This Row],[Out-Tok]]*Table1[[#This Row],[RPS]]</f>
        <v>2000</v>
      </c>
      <c r="Y82" s="74">
        <f>Table1[[#This Row],[In-Tok]]/Table1[[#This Row],[Out-Tok]]</f>
        <v>10</v>
      </c>
      <c r="Z82" s="53">
        <f>Table1[[#This Row],[In-Tok]]*Table1[[#This Row],[N]]+AvgOutLoad*Table1[[#This Row],[Out-Tok]]*Table1[[#This Row],[Ndecode]]</f>
        <v>355161.70178306627</v>
      </c>
      <c r="AA82" s="54">
        <f>Table1[[#This Row],[tok(N)]]/Table1[[#This Row],[Kvcache]]</f>
        <v>578879.17499329324</v>
      </c>
      <c r="AB82" s="54">
        <f>Table1[[#This Row],[tok/req]]*Table1[[#This Row],[Run]]</f>
        <v>238323.52941176473</v>
      </c>
      <c r="AC82" s="54">
        <f>Table1[[#This Row],[tok(Run)]]/Table1[[#This Row],[Kvcache]]</f>
        <v>388444.27029927593</v>
      </c>
      <c r="AD82" s="54">
        <f>Table1[[#This Row],[tok/req]]*Table1[[#This Row],[MaxRun]]</f>
        <v>385875</v>
      </c>
      <c r="AE82" s="54">
        <f>Table1[[#This Row],[tok(MaxRun)]]/Table1[[#This Row],[MaxKvcache]]</f>
        <v>387076.16731517512</v>
      </c>
      <c r="AF82" s="74">
        <f>Table1[[#This Row],[PPS]]*Table1[[#This Row],[Prefill]]/Table1[[#This Row],[In-Tok]]</f>
        <v>2.234435827444841</v>
      </c>
      <c r="AG82" s="56">
        <f>Table1[[#This Row],[GPS]]*Table1[[#This Row],[ITL]]</f>
        <v>65.521813837303242</v>
      </c>
      <c r="AH82" s="56">
        <f>Table1[[#This Row],[Nprefill]]+Table1[[#This Row],[Ndecode]]</f>
        <v>67.756249664748083</v>
      </c>
      <c r="AI82" s="86">
        <f>Table1[[#This Row],[Run]]/Table1[[#This Row],[ITL]]/Table1[[#This Row],[GPS]]</f>
        <v>0.69282205916816009</v>
      </c>
      <c r="AJ82" s="85">
        <f>Table1[[#This Row],[Prefill]]+Table1[[#This Row],[ITL]]</f>
        <v>0.51556627989915438</v>
      </c>
      <c r="AK82" s="86">
        <f>Table1[[#This Row],[TTFT]]/Table1[[#This Row],[estTTFT]]</f>
        <v>1.7169717746795274</v>
      </c>
      <c r="AL82" s="56">
        <f>Table1[[#This Row],[In-Tok]]*Table1[[#This Row],[RPS]]/Table1[[#This Row],[PPS]]</f>
        <v>0.86659031644899454</v>
      </c>
      <c r="AM82" s="86">
        <f>Table1[[#This Row],[Prefill]]/Table1[[#This Row],[estPrefill]]</f>
        <v>0.55860895686121037</v>
      </c>
      <c r="AN82" s="86">
        <f>Table1[[#This Row],[Prefill]]/Table1[[#This Row],[TTFT]]</f>
        <v>0.54685736551977393</v>
      </c>
      <c r="AO82" s="85">
        <f>Table1[[#This Row],[Run]]/(Table1[[#This Row],[Out-Tok]]*Table1[[#This Row],[RPS]])</f>
        <v>2.2697478991596638E-2</v>
      </c>
      <c r="AP82" s="86">
        <f>Table1[[#This Row],[ITL]]/Table1[[#This Row],[estITL]]</f>
        <v>1.3869895953295384</v>
      </c>
      <c r="AQ82" s="87">
        <f>Table1[[#This Row],[E2E]]-Table1[[#This Row],[TTFT]]+Table1[[#This Row],[ITL]]</f>
        <v>15.452838621703368</v>
      </c>
      <c r="AR82" s="86">
        <f>Table1[[#This Row],[estDecode]]/Table1[[#This Row],[Run]]</f>
        <v>0.34040869973763432</v>
      </c>
      <c r="AS82" s="87">
        <f>Table1[[#This Row],[Prefill]]+Table1[[#This Row],[Out-Tok]]*Table1[[#This Row],[ITL]]</f>
        <v>16.224668713475257</v>
      </c>
      <c r="AT82" s="56">
        <f>Table1[[#This Row],[estPrefill]]+Table1[[#This Row],[Out-Tok]]*Table1[[#This Row],[ITL]]</f>
        <v>16.607173917226653</v>
      </c>
      <c r="AU82" s="86">
        <f>Table1[[#This Row],[E2E]]/Table1[[#This Row],[estE2E]]</f>
        <v>0.98189916516442022</v>
      </c>
      <c r="AV82" s="56">
        <f>Table1[[#This Row],[N]]/Table1[[#This Row],[estE2E]]</f>
        <v>4.0799385857255581</v>
      </c>
      <c r="AW82" s="56">
        <f>Table1[[#This Row],[PPS]]/Table1[[#This Row],[In-Tok]]</f>
        <v>4.61579125</v>
      </c>
      <c r="AX82" s="86">
        <f>Table1[[#This Row],[RPS]]/Table1[[#This Row],[RPS(IL)]]</f>
        <v>0.86659031644899454</v>
      </c>
      <c r="AY82" s="56">
        <f>Table1[[#This Row],[GPS]]/Table1[[#This Row],[Out-Tok]]</f>
        <v>4.1626038461538464</v>
      </c>
      <c r="AZ82" s="88">
        <f>Table1[[#This Row],[RPS]]/Table1[[#This Row],[RPS(OL)]]</f>
        <v>0.96093698748102374</v>
      </c>
      <c r="BA82" s="138">
        <f>MaxTok/Table1[[#This Row],[tok/req]]</f>
        <v>73.88804990334387</v>
      </c>
      <c r="BB82" s="86">
        <f>Table1[[#This Row],[N]]/Table1[[#This Row],[N-max]]</f>
        <v>0.91701228755371056</v>
      </c>
      <c r="BC82" s="69">
        <f>Table1[[#This Row],[RPS]]</f>
        <v>4</v>
      </c>
      <c r="BD82" s="48">
        <f>Table1[[#This Row],[PPS]]/Table1[[#This Row],[RPS success]]</f>
        <v>5769.7390624999998</v>
      </c>
      <c r="BE82" s="34">
        <f>ABS(Table1[[#This Row],[est-In-Tok3]]-Table1[[#This Row],[In-Tok]])/Table1[[#This Row],[In-Tok]]</f>
        <v>0.15394781249999998</v>
      </c>
      <c r="BF82" s="48">
        <f>Table1[[#This Row],[GPS]]/Table1[[#This Row],[RPS success]]</f>
        <v>520.32548076923081</v>
      </c>
      <c r="BG82" s="34">
        <f>ABS(Table1[[#This Row],[est-Out-Tok3]]-Table1[[#This Row],[Out-Tok]])/Table1[[#This Row],[Out-Tok]]</f>
        <v>4.0650961538461615E-2</v>
      </c>
      <c r="BH82" s="157">
        <f>Table1[[#This Row],[est-In-Tok3]]+AvgOutLoad*Table1[[#This Row],[est-Out-Tok3]]</f>
        <v>6029.9018028846149</v>
      </c>
      <c r="BI82" s="34">
        <f>ABS(Table1[[#This Row],[est-Tok/Req3]]-Table1[[#This Row],[tok/req]])/Table1[[#This Row],[tok/req]]</f>
        <v>0.14855272435897426</v>
      </c>
      <c r="BJ82" s="157">
        <f>MaxTok/Table1[[#This Row],[est-Tok/Req3]]</f>
        <v>64.331439329075621</v>
      </c>
      <c r="BK82" s="34">
        <f>ABS(Table1[[#This Row],[est-N-max3]]-Table1[[#This Row],[N-max]])/Table1[[#This Row],[N-max]]</f>
        <v>0.12933905532450324</v>
      </c>
      <c r="BL82" s="69">
        <f>MaxTok*Table1[[#This Row],[Kvcache]]/Table1[[#This Row],[Run]]</f>
        <v>5242.8096671161311</v>
      </c>
      <c r="BM82" s="165">
        <f>ABS(Table1[[#This Row],[est-Tok/Req]]-Table1[[#This Row],[tok/req]])/Table1[[#This Row],[tok/req]]</f>
        <v>1.3695872159750295E-3</v>
      </c>
      <c r="BN82" s="69">
        <f>MaxTok/Table1[[#This Row],[est-Tok/Req]]</f>
        <v>73.989384818909699</v>
      </c>
      <c r="BO82" s="175">
        <f>Table1[[#This Row],[Run]]/Table1[[#This Row],[Kvcache]]</f>
        <v>73.989384818909699</v>
      </c>
      <c r="BP82" s="131" cm="1">
        <f t="array" aca="1" ref="BP82" ca="1">_xlfn.CEILING.MATH(INDIRECT("Table1"&amp;BP$3)/BP$2)*BP$2</f>
        <v>6000</v>
      </c>
      <c r="BQ82" s="182" cm="1">
        <f t="array" aca="1" ref="BQ82" ca="1">_xlfn.CEILING.MATH(INDIRECT("Table1"&amp;BQ$3)/BQ$2)*BQ$2</f>
        <v>3.5000000000000003E-2</v>
      </c>
      <c r="BR82" s="34" cm="1">
        <f t="array" aca="1" ref="BR82" ca="1">_xlfn.CEILING.MATH(INDIRECT("Table1"&amp;BR$3)/BR$2)*BR$2</f>
        <v>0.70000000000000007</v>
      </c>
      <c r="BS82" s="34" cm="1">
        <f t="array" aca="1" ref="BS82" ca="1">_xlfn.CEILING.MATH(INDIRECT("Table1"&amp;BS$3)/BS$2)*BS$2</f>
        <v>0.62</v>
      </c>
      <c r="BT82" s="20" cm="1">
        <f t="array" aca="1" ref="BT82" ca="1">_xlfn.CEILING.MATH(INDIRECT("Table1"&amp;BT$3)/BT$2)*BT$2</f>
        <v>46</v>
      </c>
      <c r="BU82" s="131" cm="1">
        <f t="array" aca="1" ref="BU82" ca="1">_xlfn.CEILING.MATH(INDIRECT("Table1"&amp;BU$3)/BU$2)*BU$2</f>
        <v>10</v>
      </c>
      <c r="BV82" s="131" cm="1">
        <f t="array" aca="1" ref="BV82" ca="1">_xlfn.CEILING.MATH(INDIRECT("Table1"&amp;BV$3)/BV$2)*BV$2</f>
        <v>5000</v>
      </c>
      <c r="BW82" s="34"/>
      <c r="BX82" s="34"/>
      <c r="BY82" s="190">
        <v>0.99689681923972073</v>
      </c>
      <c r="BZ82" s="34"/>
      <c r="CA82" s="24">
        <f>(Table1[[#This Row],[In-Tok]]+Table1[[#This Row],[Out-Tok]])*Table1[[#This Row],[RPS]]</f>
        <v>22000</v>
      </c>
      <c r="CB82" s="20">
        <f t="shared" si="24"/>
        <v>387076.16731517512</v>
      </c>
      <c r="CC82" s="20">
        <f>Table1[[#This Row],[Supply]]/(Table1[[#This Row],[Prefill]]+Table1[[#This Row],[Out-Tok]]*Table1[[#This Row],[ITL]])</f>
        <v>23857.261689028655</v>
      </c>
      <c r="CD82" s="20">
        <f>Table1[[#This Row],[MaxRun]]/Table1[[#This Row],[ITL]]</f>
        <v>2334.7291899764364</v>
      </c>
      <c r="CE82" s="20">
        <f>Table1[[#This Row],[Out-Tok]]*Table1[[#This Row],[RPS]]</f>
        <v>2000</v>
      </c>
      <c r="CF82" s="22">
        <f>Table1[[#This Row],[Supply]]/Table1[[#This Row],[Demand-T]]</f>
        <v>17.594371241598868</v>
      </c>
      <c r="CG82" s="22"/>
      <c r="CH82" s="71">
        <f>Table1[[#This Row],[Prefill]]+Table1[[#This Row],[Out-Tok]]*Table1[[#This Row],[ITL]]</f>
        <v>16.224668713475257</v>
      </c>
      <c r="CI82" s="71">
        <f>Table1[[#This Row],[GPS]]*Table1[[#This Row],[ITL]]</f>
        <v>65.521813837303242</v>
      </c>
      <c r="CJ82" s="72">
        <f>Table1[[#This Row],[PPS]]*Table1[[#This Row],[Prefill]]/Table1[[#This Row],[In-Tok]]</f>
        <v>2.234435827444841</v>
      </c>
      <c r="CK82" s="71">
        <f t="shared" si="19"/>
        <v>67.756249664748083</v>
      </c>
      <c r="CL82" s="71">
        <f>Table1[[#This Row],[PPS]]/Table1[[#This Row],[In-Tok]]</f>
        <v>4.61579125</v>
      </c>
      <c r="CM82" s="71">
        <f>Table1[[#This Row],[GPS]]/Table1[[#This Row],[Out-Tok]]</f>
        <v>4.1626038461538464</v>
      </c>
      <c r="CN82" s="71">
        <f>Table1[[#This Row],[Run]]/Table1[[#This Row],[E2E]]</f>
        <v>2.7838446351577102</v>
      </c>
      <c r="CO82" s="71">
        <f>Table1[[#This Row],[N2]]/Table1[[#This Row],[E2E]]</f>
        <v>4.155150274562426</v>
      </c>
      <c r="CP82" s="71"/>
      <c r="CQ82" s="71">
        <f>Table1[[#This Row],[In-Tok]]+AvgOutLoad*Table1[[#This Row],[Out-Tok]]</f>
        <v>5250</v>
      </c>
      <c r="CR82" s="71">
        <f t="shared" si="20"/>
        <v>696661.90846285794</v>
      </c>
      <c r="CS82" s="71" t="e">
        <f t="shared" si="21"/>
        <v>#DIV/0!</v>
      </c>
      <c r="CT82" s="71" t="e">
        <f t="shared" si="25"/>
        <v>#DIV/0!</v>
      </c>
      <c r="CU82" s="71">
        <f t="shared" si="22"/>
        <v>0</v>
      </c>
      <c r="CV82" s="71" t="e">
        <f t="shared" si="23"/>
        <v>#DIV/0!</v>
      </c>
      <c r="CW82" s="71">
        <f>Table1[[#This Row],[N(maxT)]]/Table1[[#This Row],[e2e sat]]</f>
        <v>0</v>
      </c>
      <c r="CX82" s="71" t="e">
        <f>Table1[[#This Row],[RPS]]/CW82</f>
        <v>#DIV/0!</v>
      </c>
      <c r="CY82" s="110" t="e">
        <f>Table1[[#This Row],[Kvcache]]/$T$4</f>
        <v>#DIV/0!</v>
      </c>
      <c r="GJ82"/>
    </row>
    <row r="83" spans="1:192" hidden="1" x14ac:dyDescent="0.25">
      <c r="A83" s="3">
        <v>5000</v>
      </c>
      <c r="B83" s="3">
        <v>500</v>
      </c>
      <c r="C83">
        <v>4.5</v>
      </c>
      <c r="D83" s="199">
        <f>Table1[[#This Row],[Kvcache]]</f>
        <v>0.75889012800620637</v>
      </c>
      <c r="E83" s="34" t="s">
        <v>141</v>
      </c>
      <c r="F83" s="219">
        <v>46092</v>
      </c>
      <c r="G83" s="10"/>
      <c r="H83" s="10">
        <v>3.1133290778931921</v>
      </c>
      <c r="I83" s="10">
        <v>0.47236298177643204</v>
      </c>
      <c r="J83" s="10">
        <v>4.6975138412394992</v>
      </c>
      <c r="K83" s="10">
        <v>10.721121263504028</v>
      </c>
      <c r="L83" s="10">
        <v>12.356046118736264</v>
      </c>
      <c r="M83" s="10">
        <v>3.6644341857891408E-2</v>
      </c>
      <c r="N83" s="10">
        <v>21.3685903105854</v>
      </c>
      <c r="O83" s="47">
        <v>24160.740000000005</v>
      </c>
      <c r="P83" s="47">
        <v>2236.126666666667</v>
      </c>
      <c r="Q83" s="5">
        <v>56.125</v>
      </c>
      <c r="R83" s="5">
        <v>74.5</v>
      </c>
      <c r="S83" s="170">
        <v>0.75889012800620637</v>
      </c>
      <c r="T83" s="212">
        <v>0.99968968192397201</v>
      </c>
      <c r="U83" s="53">
        <f>(Table1[[#This Row],[In-Tok]]+Table1[[#This Row],[Out-Tok]])*Table1[[#This Row],[RPS]]</f>
        <v>24750</v>
      </c>
      <c r="V83" s="54">
        <f>Table1[[#This Row],[In-Tok]]+AvgOutLoad*Table1[[#This Row],[Out-Tok]]</f>
        <v>5250</v>
      </c>
      <c r="W83" s="54">
        <f>Table1[[#This Row],[In-Tok]]*Table1[[#This Row],[RPS]]</f>
        <v>22500</v>
      </c>
      <c r="X83" s="55">
        <f>Table1[[#This Row],[Out-Tok]]*Table1[[#This Row],[RPS]]</f>
        <v>2250</v>
      </c>
      <c r="Y83" s="74">
        <f>Table1[[#This Row],[In-Tok]]/Table1[[#This Row],[Out-Tok]]</f>
        <v>10</v>
      </c>
      <c r="Z83" s="53">
        <f>Table1[[#This Row],[In-Tok]]*Table1[[#This Row],[N]]+AvgOutLoad*Table1[[#This Row],[Out-Tok]]*Table1[[#This Row],[Ndecode]]</f>
        <v>441604.93674544798</v>
      </c>
      <c r="AA83" s="54">
        <f>Table1[[#This Row],[tok(N)]]/Table1[[#This Row],[Kvcache]]</f>
        <v>581908.92258099897</v>
      </c>
      <c r="AB83" s="54">
        <f>Table1[[#This Row],[tok/req]]*Table1[[#This Row],[Run]]</f>
        <v>294656.25</v>
      </c>
      <c r="AC83" s="54">
        <f>Table1[[#This Row],[tok(Run)]]/Table1[[#This Row],[Kvcache]]</f>
        <v>388272.60907206085</v>
      </c>
      <c r="AD83" s="54">
        <f>Table1[[#This Row],[tok/req]]*Table1[[#This Row],[MaxRun]]</f>
        <v>391125</v>
      </c>
      <c r="AE83" s="54">
        <f>Table1[[#This Row],[tok(MaxRun)]]/Table1[[#This Row],[MaxKvcache]]</f>
        <v>391246.41083346272</v>
      </c>
      <c r="AF83" s="74">
        <f>Table1[[#This Row],[PPS]]*Table1[[#This Row],[Prefill]]/Table1[[#This Row],[In-Tok]]</f>
        <v>2.2825278376650231</v>
      </c>
      <c r="AG83" s="56">
        <f>Table1[[#This Row],[GPS]]*Table1[[#This Row],[ITL]]</f>
        <v>81.941390010880539</v>
      </c>
      <c r="AH83" s="56">
        <f>Table1[[#This Row],[Nprefill]]+Table1[[#This Row],[Ndecode]]</f>
        <v>84.223917848545568</v>
      </c>
      <c r="AI83" s="86">
        <f>Table1[[#This Row],[Run]]/Table1[[#This Row],[ITL]]/Table1[[#This Row],[GPS]]</f>
        <v>0.68494078502387479</v>
      </c>
      <c r="AJ83" s="85">
        <f>Table1[[#This Row],[Prefill]]+Table1[[#This Row],[ITL]]</f>
        <v>0.50900732363432344</v>
      </c>
      <c r="AK83" s="86">
        <f>Table1[[#This Row],[TTFT]]/Table1[[#This Row],[estTTFT]]</f>
        <v>6.1164720689359715</v>
      </c>
      <c r="AL83" s="56">
        <f>Table1[[#This Row],[In-Tok]]*Table1[[#This Row],[RPS]]/Table1[[#This Row],[PPS]]</f>
        <v>0.93126286694861149</v>
      </c>
      <c r="AM83" s="86">
        <f>Table1[[#This Row],[Prefill]]/Table1[[#This Row],[estPrefill]]</f>
        <v>0.50722840837000516</v>
      </c>
      <c r="AN83" s="86">
        <f>Table1[[#This Row],[Prefill]]/Table1[[#This Row],[TTFT]]</f>
        <v>0.15172279253437701</v>
      </c>
      <c r="AO83" s="85">
        <f>Table1[[#This Row],[Run]]/(Table1[[#This Row],[Out-Tok]]*Table1[[#This Row],[RPS]])</f>
        <v>2.4944444444444446E-2</v>
      </c>
      <c r="AP83" s="86">
        <f>Table1[[#This Row],[ITL]]/Table1[[#This Row],[estITL]]</f>
        <v>1.4690382036571166</v>
      </c>
      <c r="AQ83" s="87">
        <f>Table1[[#This Row],[E2E]]-Table1[[#This Row],[TTFT]]+Table1[[#This Row],[ITL]]</f>
        <v>18.2919055745501</v>
      </c>
      <c r="AR83" s="86">
        <f>Table1[[#This Row],[estDecode]]/Table1[[#This Row],[Run]]</f>
        <v>0.32591368506993496</v>
      </c>
      <c r="AS83" s="87">
        <f>Table1[[#This Row],[Prefill]]+Table1[[#This Row],[Out-Tok]]*Table1[[#This Row],[ITL]]</f>
        <v>18.794533910722134</v>
      </c>
      <c r="AT83" s="56">
        <f>Table1[[#This Row],[estPrefill]]+Table1[[#This Row],[Out-Tok]]*Table1[[#This Row],[ITL]]</f>
        <v>19.253433795894313</v>
      </c>
      <c r="AU83" s="86">
        <f>Table1[[#This Row],[E2E]]/Table1[[#This Row],[estE2E]]</f>
        <v>1.1098586640239796</v>
      </c>
      <c r="AV83" s="56">
        <f>Table1[[#This Row],[N]]/Table1[[#This Row],[estE2E]]</f>
        <v>4.3744881428114839</v>
      </c>
      <c r="AW83" s="56">
        <f>Table1[[#This Row],[PPS]]/Table1[[#This Row],[In-Tok]]</f>
        <v>4.832148000000001</v>
      </c>
      <c r="AX83" s="86">
        <f>Table1[[#This Row],[RPS]]/Table1[[#This Row],[RPS(IL)]]</f>
        <v>0.93126286694861149</v>
      </c>
      <c r="AY83" s="56">
        <f>Table1[[#This Row],[GPS]]/Table1[[#This Row],[Out-Tok]]</f>
        <v>4.4722533333333336</v>
      </c>
      <c r="AZ83" s="88">
        <f>Table1[[#This Row],[RPS]]/Table1[[#This Row],[RPS(OL)]]</f>
        <v>1.0062041804429682</v>
      </c>
      <c r="BA83" s="138">
        <f>MaxTok/Table1[[#This Row],[tok/req]]</f>
        <v>73.88804990334387</v>
      </c>
      <c r="BB83" s="86">
        <f>Table1[[#This Row],[N]]/Table1[[#This Row],[N-max]]</f>
        <v>1.1398855154348029</v>
      </c>
      <c r="BC83" s="69">
        <f>Table1[[#This Row],[RPS]]</f>
        <v>4.5</v>
      </c>
      <c r="BD83" s="48">
        <f>Table1[[#This Row],[PPS]]/Table1[[#This Row],[RPS success]]</f>
        <v>5369.0533333333342</v>
      </c>
      <c r="BE83" s="34">
        <f>ABS(Table1[[#This Row],[est-In-Tok3]]-Table1[[#This Row],[In-Tok]])/Table1[[#This Row],[In-Tok]]</f>
        <v>7.3810666666666844E-2</v>
      </c>
      <c r="BF83" s="48">
        <f>Table1[[#This Row],[GPS]]/Table1[[#This Row],[RPS success]]</f>
        <v>496.91703703703712</v>
      </c>
      <c r="BG83" s="34">
        <f>ABS(Table1[[#This Row],[est-Out-Tok3]]-Table1[[#This Row],[Out-Tok]])/Table1[[#This Row],[Out-Tok]]</f>
        <v>6.1659259259257623E-3</v>
      </c>
      <c r="BH83" s="157">
        <f>Table1[[#This Row],[est-In-Tok3]]+AvgOutLoad*Table1[[#This Row],[est-Out-Tok3]]</f>
        <v>5617.511851851853</v>
      </c>
      <c r="BI83" s="34">
        <f>ABS(Table1[[#This Row],[est-Tok/Req3]]-Table1[[#This Row],[tok/req]])/Table1[[#This Row],[tok/req]]</f>
        <v>7.0002257495591039E-2</v>
      </c>
      <c r="BJ83" s="157">
        <f>MaxTok/Table1[[#This Row],[est-Tok/Req3]]</f>
        <v>69.054106555142781</v>
      </c>
      <c r="BK83" s="34">
        <f>ABS(Table1[[#This Row],[est-N-max3]]-Table1[[#This Row],[N-max]])/Table1[[#This Row],[N-max]]</f>
        <v>6.5422532527581623E-2</v>
      </c>
      <c r="BL83" s="69">
        <f>MaxTok*Table1[[#This Row],[Kvcache]]/Table1[[#This Row],[Run]]</f>
        <v>5245.1275930281936</v>
      </c>
      <c r="BM83" s="165">
        <f>ABS(Table1[[#This Row],[est-Tok/Req]]-Table1[[#This Row],[tok/req]])/Table1[[#This Row],[tok/req]]</f>
        <v>9.2807751843931678E-4</v>
      </c>
      <c r="BN83" s="69">
        <f>MaxTok/Table1[[#This Row],[est-Tok/Req]]</f>
        <v>73.956687442297309</v>
      </c>
      <c r="BO83" s="175">
        <f>Table1[[#This Row],[Run]]/Table1[[#This Row],[Kvcache]]</f>
        <v>73.956687442297309</v>
      </c>
      <c r="BP83" s="131" cm="1">
        <f t="array" aca="1" ref="BP83" ca="1">_xlfn.CEILING.MATH(INDIRECT("Table1"&amp;BP$3)/BP$2)*BP$2</f>
        <v>6000</v>
      </c>
      <c r="BQ83" s="182" cm="1">
        <f t="array" aca="1" ref="BQ83" ca="1">_xlfn.CEILING.MATH(INDIRECT("Table1"&amp;BQ$3)/BQ$2)*BQ$2</f>
        <v>0.04</v>
      </c>
      <c r="BR83" s="34" cm="1">
        <f t="array" aca="1" ref="BR83" ca="1">_xlfn.CEILING.MATH(INDIRECT("Table1"&amp;BR$3)/BR$2)*BR$2</f>
        <v>0.8</v>
      </c>
      <c r="BS83" s="34" cm="1">
        <f t="array" aca="1" ref="BS83" ca="1">_xlfn.CEILING.MATH(INDIRECT("Table1"&amp;BS$3)/BS$2)*BS$2</f>
        <v>0.76</v>
      </c>
      <c r="BT83" s="20" cm="1">
        <f t="array" aca="1" ref="BT83" ca="1">_xlfn.CEILING.MATH(INDIRECT("Table1"&amp;BT$3)/BT$2)*BT$2</f>
        <v>57</v>
      </c>
      <c r="BU83" s="131" cm="1">
        <f t="array" aca="1" ref="BU83" ca="1">_xlfn.CEILING.MATH(INDIRECT("Table1"&amp;BU$3)/BU$2)*BU$2</f>
        <v>10</v>
      </c>
      <c r="BV83" s="131" cm="1">
        <f t="array" aca="1" ref="BV83" ca="1">_xlfn.CEILING.MATH(INDIRECT("Table1"&amp;BV$3)/BV$2)*BV$2</f>
        <v>5000</v>
      </c>
      <c r="BW83" s="34"/>
      <c r="BX83" s="34"/>
      <c r="BY83" s="190">
        <v>0.99968968192397201</v>
      </c>
      <c r="BZ83" s="34"/>
      <c r="CA83" s="24">
        <f>(Table1[[#This Row],[In-Tok]]+Table1[[#This Row],[Out-Tok]])*Table1[[#This Row],[RPS]]</f>
        <v>24750</v>
      </c>
      <c r="CB83" s="20">
        <f t="shared" si="24"/>
        <v>391246.41083346272</v>
      </c>
      <c r="CC83" s="20">
        <f>Table1[[#This Row],[Supply]]/(Table1[[#This Row],[Prefill]]+Table1[[#This Row],[Out-Tok]]*Table1[[#This Row],[ITL]])</f>
        <v>20817.031839787192</v>
      </c>
      <c r="CD83" s="20">
        <f>Table1[[#This Row],[MaxRun]]/Table1[[#This Row],[ITL]]</f>
        <v>2033.0560250997203</v>
      </c>
      <c r="CE83" s="20">
        <f>Table1[[#This Row],[Out-Tok]]*Table1[[#This Row],[RPS]]</f>
        <v>2250</v>
      </c>
      <c r="CF83" s="22">
        <f>Table1[[#This Row],[Supply]]/Table1[[#This Row],[Demand-T]]</f>
        <v>15.807935791251019</v>
      </c>
      <c r="CG83" s="22"/>
      <c r="CH83" s="71">
        <f>Table1[[#This Row],[Prefill]]+Table1[[#This Row],[Out-Tok]]*Table1[[#This Row],[ITL]]</f>
        <v>18.794533910722134</v>
      </c>
      <c r="CI83" s="71">
        <f>Table1[[#This Row],[GPS]]*Table1[[#This Row],[ITL]]</f>
        <v>81.941390010880539</v>
      </c>
      <c r="CJ83" s="72">
        <f>Table1[[#This Row],[PPS]]*Table1[[#This Row],[Prefill]]/Table1[[#This Row],[In-Tok]]</f>
        <v>2.2825278376650231</v>
      </c>
      <c r="CK83" s="71">
        <f t="shared" si="19"/>
        <v>84.223917848545568</v>
      </c>
      <c r="CL83" s="71">
        <f>Table1[[#This Row],[PPS]]/Table1[[#This Row],[In-Tok]]</f>
        <v>4.832148000000001</v>
      </c>
      <c r="CM83" s="71">
        <f>Table1[[#This Row],[GPS]]/Table1[[#This Row],[Out-Tok]]</f>
        <v>4.4722533333333336</v>
      </c>
      <c r="CN83" s="71">
        <f>Table1[[#This Row],[Run]]/Table1[[#This Row],[E2E]]</f>
        <v>2.626518604374068</v>
      </c>
      <c r="CO83" s="71">
        <f>Table1[[#This Row],[N2]]/Table1[[#This Row],[E2E]]</f>
        <v>3.9414821766143087</v>
      </c>
      <c r="CP83" s="71"/>
      <c r="CQ83" s="71">
        <f>Table1[[#This Row],[In-Tok]]+AvgOutLoad*Table1[[#This Row],[Out-Tok]]</f>
        <v>5250</v>
      </c>
      <c r="CR83" s="71">
        <f t="shared" si="20"/>
        <v>675201.63750164385</v>
      </c>
      <c r="CS83" s="71" t="e">
        <f t="shared" si="21"/>
        <v>#DIV/0!</v>
      </c>
      <c r="CT83" s="71" t="e">
        <f t="shared" si="25"/>
        <v>#DIV/0!</v>
      </c>
      <c r="CU83" s="71">
        <f t="shared" si="22"/>
        <v>0</v>
      </c>
      <c r="CV83" s="71" t="e">
        <f t="shared" si="23"/>
        <v>#DIV/0!</v>
      </c>
      <c r="CW83" s="71">
        <f>Table1[[#This Row],[N(maxT)]]/Table1[[#This Row],[e2e sat]]</f>
        <v>0</v>
      </c>
      <c r="CX83" s="71" t="e">
        <f>Table1[[#This Row],[RPS]]/CW83</f>
        <v>#DIV/0!</v>
      </c>
      <c r="CY83" s="110" t="e">
        <f>Table1[[#This Row],[Kvcache]]/$T$4</f>
        <v>#DIV/0!</v>
      </c>
      <c r="GJ83"/>
    </row>
    <row r="84" spans="1:192" hidden="1" x14ac:dyDescent="0.25">
      <c r="A84" s="3">
        <v>5000</v>
      </c>
      <c r="B84" s="3">
        <v>500</v>
      </c>
      <c r="C84">
        <v>5</v>
      </c>
      <c r="D84" s="199">
        <f>Table1[[#This Row],[Kvcache]]</f>
        <v>0.74480582302742671</v>
      </c>
      <c r="E84" s="34" t="s">
        <v>141</v>
      </c>
      <c r="F84" s="219">
        <v>46092</v>
      </c>
      <c r="G84" s="10"/>
      <c r="H84" s="10">
        <v>5.9768859181663343</v>
      </c>
      <c r="I84" s="10">
        <v>0.70102937710468272</v>
      </c>
      <c r="J84" s="10">
        <v>9.8312541939618381</v>
      </c>
      <c r="K84" s="10">
        <v>20.088616091012955</v>
      </c>
      <c r="L84" s="10">
        <v>22.265688579082489</v>
      </c>
      <c r="M84" s="10">
        <v>3.7746585141523716E-2</v>
      </c>
      <c r="N84" s="10">
        <v>24.301782963090066</v>
      </c>
      <c r="O84" s="47">
        <v>31447.682638888888</v>
      </c>
      <c r="P84" s="47">
        <v>2800.0798611111113</v>
      </c>
      <c r="Q84" s="5">
        <v>55.344117647058823</v>
      </c>
      <c r="R84" s="5">
        <v>74.5</v>
      </c>
      <c r="S84" s="170">
        <v>0.74480582302742671</v>
      </c>
      <c r="T84" s="212">
        <v>0.99786656322730805</v>
      </c>
      <c r="U84" s="53">
        <f>(Table1[[#This Row],[In-Tok]]+Table1[[#This Row],[Out-Tok]])*Table1[[#This Row],[RPS]]</f>
        <v>27500</v>
      </c>
      <c r="V84" s="54">
        <f>Table1[[#This Row],[In-Tok]]+AvgOutLoad*Table1[[#This Row],[Out-Tok]]</f>
        <v>5250</v>
      </c>
      <c r="W84" s="54">
        <f>Table1[[#This Row],[In-Tok]]*Table1[[#This Row],[RPS]]</f>
        <v>25000</v>
      </c>
      <c r="X84" s="55">
        <f>Table1[[#This Row],[Out-Tok]]*Table1[[#This Row],[RPS]]</f>
        <v>2500</v>
      </c>
      <c r="Y84" s="74">
        <f>Table1[[#This Row],[In-Tok]]/Table1[[#This Row],[Out-Tok]]</f>
        <v>10</v>
      </c>
      <c r="Z84" s="53">
        <f>Table1[[#This Row],[In-Tok]]*Table1[[#This Row],[N]]+AvgOutLoad*Table1[[#This Row],[Out-Tok]]*Table1[[#This Row],[Ndecode]]</f>
        <v>576936.37699433253</v>
      </c>
      <c r="AA84" s="54">
        <f>Table1[[#This Row],[tok(N)]]/Table1[[#This Row],[Kvcache]]</f>
        <v>774613.13963584229</v>
      </c>
      <c r="AB84" s="54">
        <f>Table1[[#This Row],[tok/req]]*Table1[[#This Row],[Run]]</f>
        <v>290556.6176470588</v>
      </c>
      <c r="AC84" s="54">
        <f>Table1[[#This Row],[tok(Run)]]/Table1[[#This Row],[Kvcache]]</f>
        <v>390110.56125478138</v>
      </c>
      <c r="AD84" s="54">
        <f>Table1[[#This Row],[tok/req]]*Table1[[#This Row],[MaxRun]]</f>
        <v>391125</v>
      </c>
      <c r="AE84" s="54">
        <f>Table1[[#This Row],[tok(MaxRun)]]/Table1[[#This Row],[MaxKvcache]]</f>
        <v>391961.22448979592</v>
      </c>
      <c r="AF84" s="74">
        <f>Table1[[#This Row],[PPS]]*Table1[[#This Row],[Prefill]]/Table1[[#This Row],[In-Tok]]</f>
        <v>4.4091498743452044</v>
      </c>
      <c r="AG84" s="56">
        <f>Table1[[#This Row],[GPS]]*Table1[[#This Row],[ITL]]</f>
        <v>105.69345288049647</v>
      </c>
      <c r="AH84" s="56">
        <f>Table1[[#This Row],[Nprefill]]+Table1[[#This Row],[Ndecode]]</f>
        <v>110.10260275484167</v>
      </c>
      <c r="AI84" s="86">
        <f>Table1[[#This Row],[Run]]/Table1[[#This Row],[ITL]]/Table1[[#This Row],[GPS]]</f>
        <v>0.5236286273061237</v>
      </c>
      <c r="AJ84" s="85">
        <f>Table1[[#This Row],[Prefill]]+Table1[[#This Row],[ITL]]</f>
        <v>0.73877596224620645</v>
      </c>
      <c r="AK84" s="86">
        <f>Table1[[#This Row],[TTFT]]/Table1[[#This Row],[estTTFT]]</f>
        <v>8.0902549942122519</v>
      </c>
      <c r="AL84" s="56">
        <f>Table1[[#This Row],[In-Tok]]*Table1[[#This Row],[RPS]]/Table1[[#This Row],[PPS]]</f>
        <v>0.79497113625423255</v>
      </c>
      <c r="AM84" s="86">
        <f>Table1[[#This Row],[Prefill]]/Table1[[#This Row],[estPrefill]]</f>
        <v>0.8818299748690408</v>
      </c>
      <c r="AN84" s="86">
        <f>Table1[[#This Row],[Prefill]]/Table1[[#This Row],[TTFT]]</f>
        <v>0.11729007156953625</v>
      </c>
      <c r="AO84" s="85">
        <f>Table1[[#This Row],[Run]]/(Table1[[#This Row],[Out-Tok]]*Table1[[#This Row],[RPS]])</f>
        <v>2.2137647058823529E-2</v>
      </c>
      <c r="AP84" s="86">
        <f>Table1[[#This Row],[ITL]]/Table1[[#This Row],[estITL]]</f>
        <v>1.7050856868945719</v>
      </c>
      <c r="AQ84" s="87">
        <f>Table1[[#This Row],[E2E]]-Table1[[#This Row],[TTFT]]+Table1[[#This Row],[ITL]]</f>
        <v>18.362643630065254</v>
      </c>
      <c r="AR84" s="86">
        <f>Table1[[#This Row],[estDecode]]/Table1[[#This Row],[Run]]</f>
        <v>0.33179034034235988</v>
      </c>
      <c r="AS84" s="87">
        <f>Table1[[#This Row],[Prefill]]+Table1[[#This Row],[Out-Tok]]*Table1[[#This Row],[ITL]]</f>
        <v>19.57432194786654</v>
      </c>
      <c r="AT84" s="56">
        <f>Table1[[#This Row],[estPrefill]]+Table1[[#This Row],[Out-Tok]]*Table1[[#This Row],[ITL]]</f>
        <v>19.668263707016092</v>
      </c>
      <c r="AU84" s="86">
        <f>Table1[[#This Row],[E2E]]/Table1[[#This Row],[estE2E]]</f>
        <v>1.235583543372011</v>
      </c>
      <c r="AV84" s="56">
        <f>Table1[[#This Row],[N]]/Table1[[#This Row],[estE2E]]</f>
        <v>5.5979828415441526</v>
      </c>
      <c r="AW84" s="56">
        <f>Table1[[#This Row],[PPS]]/Table1[[#This Row],[In-Tok]]</f>
        <v>6.2895365277777779</v>
      </c>
      <c r="AX84" s="86">
        <f>Table1[[#This Row],[RPS]]/Table1[[#This Row],[RPS(IL)]]</f>
        <v>0.79497113625423244</v>
      </c>
      <c r="AY84" s="56">
        <f>Table1[[#This Row],[GPS]]/Table1[[#This Row],[Out-Tok]]</f>
        <v>5.600159722222223</v>
      </c>
      <c r="AZ84" s="88">
        <f>Table1[[#This Row],[RPS]]/Table1[[#This Row],[RPS(OL)]]</f>
        <v>0.89283167766792348</v>
      </c>
      <c r="BA84" s="138">
        <f>MaxTok/Table1[[#This Row],[tok/req]]</f>
        <v>73.88804990334387</v>
      </c>
      <c r="BB84" s="86">
        <f>Table1[[#This Row],[N]]/Table1[[#This Row],[N-max]]</f>
        <v>1.490127333159714</v>
      </c>
      <c r="BC84" s="69">
        <f>Table1[[#This Row],[RPS]]</f>
        <v>5</v>
      </c>
      <c r="BD84" s="48">
        <f>Table1[[#This Row],[PPS]]/Table1[[#This Row],[RPS success]]</f>
        <v>6289.5365277777773</v>
      </c>
      <c r="BE84" s="34">
        <f>ABS(Table1[[#This Row],[est-In-Tok3]]-Table1[[#This Row],[In-Tok]])/Table1[[#This Row],[In-Tok]]</f>
        <v>0.25790730555555547</v>
      </c>
      <c r="BF84" s="48">
        <f>Table1[[#This Row],[GPS]]/Table1[[#This Row],[RPS success]]</f>
        <v>560.01597222222222</v>
      </c>
      <c r="BG84" s="34">
        <f>ABS(Table1[[#This Row],[est-Out-Tok3]]-Table1[[#This Row],[Out-Tok]])/Table1[[#This Row],[Out-Tok]]</f>
        <v>0.12003194444444444</v>
      </c>
      <c r="BH84" s="157">
        <f>Table1[[#This Row],[est-In-Tok3]]+AvgOutLoad*Table1[[#This Row],[est-Out-Tok3]]</f>
        <v>6569.5445138888881</v>
      </c>
      <c r="BI84" s="34">
        <f>ABS(Table1[[#This Row],[est-Tok/Req3]]-Table1[[#This Row],[tok/req]])/Table1[[#This Row],[tok/req]]</f>
        <v>0.25134181216931201</v>
      </c>
      <c r="BJ84" s="157">
        <f>MaxTok/Table1[[#This Row],[est-Tok/Req3]]</f>
        <v>59.047055876165743</v>
      </c>
      <c r="BK84" s="34">
        <f>ABS(Table1[[#This Row],[est-N-max3]]-Table1[[#This Row],[N-max]])/Table1[[#This Row],[N-max]]</f>
        <v>0.20085783894137507</v>
      </c>
      <c r="BL84" s="69">
        <f>MaxTok*Table1[[#This Row],[Kvcache]]/Table1[[#This Row],[Run]]</f>
        <v>5220.4158967407457</v>
      </c>
      <c r="BM84" s="165">
        <f>ABS(Table1[[#This Row],[est-Tok/Req]]-Table1[[#This Row],[tok/req]])/Table1[[#This Row],[tok/req]]</f>
        <v>5.6350672874770158E-3</v>
      </c>
      <c r="BN84" s="69">
        <f>MaxTok/Table1[[#This Row],[est-Tok/Req]]</f>
        <v>74.30677357233931</v>
      </c>
      <c r="BO84" s="175">
        <f>Table1[[#This Row],[Run]]/Table1[[#This Row],[Kvcache]]</f>
        <v>74.30677357233931</v>
      </c>
      <c r="BP84" s="131" cm="1">
        <f t="array" aca="1" ref="BP84" ca="1">_xlfn.CEILING.MATH(INDIRECT("Table1"&amp;BP$3)/BP$2)*BP$2</f>
        <v>6000</v>
      </c>
      <c r="BQ84" s="182" cm="1">
        <f t="array" aca="1" ref="BQ84" ca="1">_xlfn.CEILING.MATH(INDIRECT("Table1"&amp;BQ$3)/BQ$2)*BQ$2</f>
        <v>0.04</v>
      </c>
      <c r="BR84" s="34" cm="1">
        <f t="array" aca="1" ref="BR84" ca="1">_xlfn.CEILING.MATH(INDIRECT("Table1"&amp;BR$3)/BR$2)*BR$2</f>
        <v>0.8</v>
      </c>
      <c r="BS84" s="34" cm="1">
        <f t="array" aca="1" ref="BS84" ca="1">_xlfn.CEILING.MATH(INDIRECT("Table1"&amp;BS$3)/BS$2)*BS$2</f>
        <v>0.75</v>
      </c>
      <c r="BT84" s="20" cm="1">
        <f t="array" aca="1" ref="BT84" ca="1">_xlfn.CEILING.MATH(INDIRECT("Table1"&amp;BT$3)/BT$2)*BT$2</f>
        <v>56</v>
      </c>
      <c r="BU84" s="131" cm="1">
        <f t="array" aca="1" ref="BU84" ca="1">_xlfn.CEILING.MATH(INDIRECT("Table1"&amp;BU$3)/BU$2)*BU$2</f>
        <v>10</v>
      </c>
      <c r="BV84" s="131" cm="1">
        <f t="array" aca="1" ref="BV84" ca="1">_xlfn.CEILING.MATH(INDIRECT("Table1"&amp;BV$3)/BV$2)*BV$2</f>
        <v>5000</v>
      </c>
      <c r="BW84" s="34"/>
      <c r="BX84" s="34"/>
      <c r="BY84" s="190">
        <v>0.99786656322730805</v>
      </c>
      <c r="BZ84" s="34"/>
      <c r="CA84" s="24">
        <f>(Table1[[#This Row],[In-Tok]]+Table1[[#This Row],[Out-Tok]])*Table1[[#This Row],[RPS]]</f>
        <v>27500</v>
      </c>
      <c r="CB84" s="20">
        <f t="shared" si="24"/>
        <v>391961.22448979592</v>
      </c>
      <c r="CC84" s="20">
        <f>Table1[[#This Row],[Supply]]/(Table1[[#This Row],[Prefill]]+Table1[[#This Row],[Out-Tok]]*Table1[[#This Row],[ITL]])</f>
        <v>20024.255528938862</v>
      </c>
      <c r="CD84" s="20">
        <f>Table1[[#This Row],[MaxRun]]/Table1[[#This Row],[ITL]]</f>
        <v>1973.6884732930482</v>
      </c>
      <c r="CE84" s="20">
        <f>Table1[[#This Row],[Out-Tok]]*Table1[[#This Row],[RPS]]</f>
        <v>2500</v>
      </c>
      <c r="CF84" s="22">
        <f>Table1[[#This Row],[Supply]]/Table1[[#This Row],[Demand-T]]</f>
        <v>14.253135435992579</v>
      </c>
      <c r="CG84" s="22"/>
      <c r="CH84" s="71">
        <f>Table1[[#This Row],[Prefill]]+Table1[[#This Row],[Out-Tok]]*Table1[[#This Row],[ITL]]</f>
        <v>19.57432194786654</v>
      </c>
      <c r="CI84" s="71">
        <f>Table1[[#This Row],[GPS]]*Table1[[#This Row],[ITL]]</f>
        <v>105.69345288049647</v>
      </c>
      <c r="CJ84" s="72">
        <f>Table1[[#This Row],[PPS]]*Table1[[#This Row],[Prefill]]/Table1[[#This Row],[In-Tok]]</f>
        <v>4.4091498743452044</v>
      </c>
      <c r="CK84" s="71">
        <f t="shared" si="19"/>
        <v>110.10260275484167</v>
      </c>
      <c r="CL84" s="71">
        <f>Table1[[#This Row],[PPS]]/Table1[[#This Row],[In-Tok]]</f>
        <v>6.2895365277777779</v>
      </c>
      <c r="CM84" s="71">
        <f>Table1[[#This Row],[GPS]]/Table1[[#This Row],[Out-Tok]]</f>
        <v>5.600159722222223</v>
      </c>
      <c r="CN84" s="71">
        <f>Table1[[#This Row],[Run]]/Table1[[#This Row],[E2E]]</f>
        <v>2.2773686083492866</v>
      </c>
      <c r="CO84" s="71">
        <f>Table1[[#This Row],[N2]]/Table1[[#This Row],[E2E]]</f>
        <v>4.5306388803680475</v>
      </c>
      <c r="CP84" s="71"/>
      <c r="CQ84" s="71">
        <f>Table1[[#This Row],[In-Tok]]+AvgOutLoad*Table1[[#This Row],[Out-Tok]]</f>
        <v>5250</v>
      </c>
      <c r="CR84" s="71">
        <f t="shared" si="20"/>
        <v>726988.42520097818</v>
      </c>
      <c r="CS84" s="71" t="e">
        <f t="shared" si="21"/>
        <v>#DIV/0!</v>
      </c>
      <c r="CT84" s="71" t="e">
        <f t="shared" si="25"/>
        <v>#DIV/0!</v>
      </c>
      <c r="CU84" s="71">
        <f t="shared" si="22"/>
        <v>0</v>
      </c>
      <c r="CV84" s="71" t="e">
        <f t="shared" si="23"/>
        <v>#DIV/0!</v>
      </c>
      <c r="CW84" s="71">
        <f>Table1[[#This Row],[N(maxT)]]/Table1[[#This Row],[e2e sat]]</f>
        <v>0</v>
      </c>
      <c r="CX84" s="71" t="e">
        <f>Table1[[#This Row],[RPS]]/CW84</f>
        <v>#DIV/0!</v>
      </c>
      <c r="CY84" s="110" t="e">
        <f>Table1[[#This Row],[Kvcache]]/$T$4</f>
        <v>#DIV/0!</v>
      </c>
      <c r="GJ84"/>
    </row>
    <row r="85" spans="1:192" hidden="1" x14ac:dyDescent="0.25">
      <c r="A85" s="3">
        <v>5000</v>
      </c>
      <c r="B85" s="3">
        <v>500</v>
      </c>
      <c r="C85">
        <v>5.5</v>
      </c>
      <c r="D85" s="199">
        <f>Table1[[#This Row],[Kvcache]]</f>
        <v>0.81599065052708442</v>
      </c>
      <c r="E85" s="34" t="s">
        <v>141</v>
      </c>
      <c r="F85" s="219">
        <v>46092</v>
      </c>
      <c r="G85" s="10"/>
      <c r="H85" s="10">
        <v>9.5070217260960135</v>
      </c>
      <c r="I85" s="10">
        <v>0.43838685597627414</v>
      </c>
      <c r="J85" s="10">
        <v>11.2067737248091</v>
      </c>
      <c r="K85" s="10">
        <v>21.429997074604035</v>
      </c>
      <c r="L85" s="10">
        <v>22.937023150920865</v>
      </c>
      <c r="M85" s="10">
        <v>3.985327849326771E-2</v>
      </c>
      <c r="N85" s="10">
        <v>29.290951539571708</v>
      </c>
      <c r="O85" s="47">
        <v>25903.76833333333</v>
      </c>
      <c r="P85" s="47">
        <v>2428.3995833333338</v>
      </c>
      <c r="Q85" s="5">
        <v>60.29227941176471</v>
      </c>
      <c r="R85" s="5">
        <v>74.5</v>
      </c>
      <c r="S85" s="170">
        <v>0.81599065052708442</v>
      </c>
      <c r="T85" s="212">
        <v>0.99778898370830105</v>
      </c>
      <c r="U85" s="53">
        <f>(Table1[[#This Row],[In-Tok]]+Table1[[#This Row],[Out-Tok]])*Table1[[#This Row],[RPS]]</f>
        <v>30250</v>
      </c>
      <c r="V85" s="54">
        <f>Table1[[#This Row],[In-Tok]]+AvgOutLoad*Table1[[#This Row],[Out-Tok]]</f>
        <v>5250</v>
      </c>
      <c r="W85" s="54">
        <f>Table1[[#This Row],[In-Tok]]*Table1[[#This Row],[RPS]]</f>
        <v>27500</v>
      </c>
      <c r="X85" s="55">
        <f>Table1[[#This Row],[Out-Tok]]*Table1[[#This Row],[RPS]]</f>
        <v>2750</v>
      </c>
      <c r="Y85" s="74">
        <f>Table1[[#This Row],[In-Tok]]/Table1[[#This Row],[Out-Tok]]</f>
        <v>10</v>
      </c>
      <c r="Z85" s="53">
        <f>Table1[[#This Row],[In-Tok]]*Table1[[#This Row],[N]]+AvgOutLoad*Table1[[#This Row],[Out-Tok]]*Table1[[#This Row],[Ndecode]]</f>
        <v>519449.21721706056</v>
      </c>
      <c r="AA85" s="54">
        <f>Table1[[#This Row],[tok(N)]]/Table1[[#This Row],[Kvcache]]</f>
        <v>636587.21687745489</v>
      </c>
      <c r="AB85" s="54">
        <f>Table1[[#This Row],[tok/req]]*Table1[[#This Row],[Run]]</f>
        <v>316534.4669117647</v>
      </c>
      <c r="AC85" s="54">
        <f>Table1[[#This Row],[tok(Run)]]/Table1[[#This Row],[Kvcache]]</f>
        <v>387914.33052241604</v>
      </c>
      <c r="AD85" s="54">
        <f>Table1[[#This Row],[tok/req]]*Table1[[#This Row],[MaxRun]]</f>
        <v>391125</v>
      </c>
      <c r="AE85" s="54">
        <f>Table1[[#This Row],[tok(MaxRun)]]/Table1[[#This Row],[MaxKvcache]]</f>
        <v>391991.70003498811</v>
      </c>
      <c r="AF85" s="74">
        <f>Table1[[#This Row],[PPS]]*Table1[[#This Row],[Prefill]]/Table1[[#This Row],[In-Tok]]</f>
        <v>2.2711743115175538</v>
      </c>
      <c r="AG85" s="56">
        <f>Table1[[#This Row],[GPS]]*Table1[[#This Row],[ITL]]</f>
        <v>96.779684887518627</v>
      </c>
      <c r="AH85" s="56">
        <f>Table1[[#This Row],[Nprefill]]+Table1[[#This Row],[Ndecode]]</f>
        <v>99.050859199036182</v>
      </c>
      <c r="AI85" s="86">
        <f>Table1[[#This Row],[Run]]/Table1[[#This Row],[ITL]]/Table1[[#This Row],[GPS]]</f>
        <v>0.62298487003588521</v>
      </c>
      <c r="AJ85" s="85">
        <f>Table1[[#This Row],[Prefill]]+Table1[[#This Row],[ITL]]</f>
        <v>0.47824013446954183</v>
      </c>
      <c r="AK85" s="86">
        <f>Table1[[#This Row],[TTFT]]/Table1[[#This Row],[estTTFT]]</f>
        <v>19.879180020390983</v>
      </c>
      <c r="AL85" s="56">
        <f>Table1[[#This Row],[In-Tok]]*Table1[[#This Row],[RPS]]/Table1[[#This Row],[PPS]]</f>
        <v>1.0616216006152517</v>
      </c>
      <c r="AM85" s="86">
        <f>Table1[[#This Row],[Prefill]]/Table1[[#This Row],[estPrefill]]</f>
        <v>0.41294078391228251</v>
      </c>
      <c r="AN85" s="86">
        <f>Table1[[#This Row],[Prefill]]/Table1[[#This Row],[TTFT]]</f>
        <v>4.6111902192559139E-2</v>
      </c>
      <c r="AO85" s="85">
        <f>Table1[[#This Row],[Run]]/(Table1[[#This Row],[Out-Tok]]*Table1[[#This Row],[RPS]])</f>
        <v>2.1924465240641712E-2</v>
      </c>
      <c r="AP85" s="86">
        <f>Table1[[#This Row],[ITL]]/Table1[[#This Row],[estITL]]</f>
        <v>1.8177537310871823</v>
      </c>
      <c r="AQ85" s="87">
        <f>Table1[[#This Row],[E2E]]-Table1[[#This Row],[TTFT]]+Table1[[#This Row],[ITL]]</f>
        <v>19.823783091968963</v>
      </c>
      <c r="AR85" s="86">
        <f>Table1[[#This Row],[estDecode]]/Table1[[#This Row],[Run]]</f>
        <v>0.32879471941312588</v>
      </c>
      <c r="AS85" s="87">
        <f>Table1[[#This Row],[Prefill]]+Table1[[#This Row],[Out-Tok]]*Table1[[#This Row],[ITL]]</f>
        <v>20.365026102610127</v>
      </c>
      <c r="AT85" s="56">
        <f>Table1[[#This Row],[estPrefill]]+Table1[[#This Row],[Out-Tok]]*Table1[[#This Row],[ITL]]</f>
        <v>20.988260847249105</v>
      </c>
      <c r="AU85" s="86">
        <f>Table1[[#This Row],[E2E]]/Table1[[#This Row],[estE2E]]</f>
        <v>1.3955873596554249</v>
      </c>
      <c r="AV85" s="56">
        <f>Table1[[#This Row],[N]]/Table1[[#This Row],[estE2E]]</f>
        <v>4.7193457294970971</v>
      </c>
      <c r="AW85" s="56">
        <f>Table1[[#This Row],[PPS]]/Table1[[#This Row],[In-Tok]]</f>
        <v>5.180753666666666</v>
      </c>
      <c r="AX85" s="86">
        <f>Table1[[#This Row],[RPS]]/Table1[[#This Row],[RPS(IL)]]</f>
        <v>1.0616216006152517</v>
      </c>
      <c r="AY85" s="56">
        <f>Table1[[#This Row],[GPS]]/Table1[[#This Row],[Out-Tok]]</f>
        <v>4.8567991666666677</v>
      </c>
      <c r="AZ85" s="88">
        <f>Table1[[#This Row],[RPS]]/Table1[[#This Row],[RPS(OL)]]</f>
        <v>1.1324330719185935</v>
      </c>
      <c r="BA85" s="138">
        <f>MaxTok/Table1[[#This Row],[tok/req]]</f>
        <v>73.88804990334387</v>
      </c>
      <c r="BB85" s="86">
        <f>Table1[[#This Row],[N]]/Table1[[#This Row],[N-max]]</f>
        <v>1.3405531656148575</v>
      </c>
      <c r="BC85" s="69">
        <f>Table1[[#This Row],[RPS]]</f>
        <v>5.5</v>
      </c>
      <c r="BD85" s="48">
        <f>Table1[[#This Row],[PPS]]/Table1[[#This Row],[RPS success]]</f>
        <v>4709.7760606060601</v>
      </c>
      <c r="BE85" s="34">
        <f>ABS(Table1[[#This Row],[est-In-Tok3]]-Table1[[#This Row],[In-Tok]])/Table1[[#This Row],[In-Tok]]</f>
        <v>5.8044787878787973E-2</v>
      </c>
      <c r="BF85" s="48">
        <f>Table1[[#This Row],[GPS]]/Table1[[#This Row],[RPS success]]</f>
        <v>441.52719696969706</v>
      </c>
      <c r="BG85" s="34">
        <f>ABS(Table1[[#This Row],[est-Out-Tok3]]-Table1[[#This Row],[Out-Tok]])/Table1[[#This Row],[Out-Tok]]</f>
        <v>0.11694560606060589</v>
      </c>
      <c r="BH85" s="157">
        <f>Table1[[#This Row],[est-In-Tok3]]+AvgOutLoad*Table1[[#This Row],[est-Out-Tok3]]</f>
        <v>4930.5396590909086</v>
      </c>
      <c r="BI85" s="34">
        <f>ABS(Table1[[#This Row],[est-Tok/Req3]]-Table1[[#This Row],[tok/req]])/Table1[[#This Row],[tok/req]]</f>
        <v>6.0849588744588845E-2</v>
      </c>
      <c r="BJ85" s="157">
        <f>MaxTok/Table1[[#This Row],[est-Tok/Req3]]</f>
        <v>78.675416650857741</v>
      </c>
      <c r="BK85" s="34">
        <f>ABS(Table1[[#This Row],[est-N-max3]]-Table1[[#This Row],[N-max]])/Table1[[#This Row],[N-max]]</f>
        <v>6.4792165360656184E-2</v>
      </c>
      <c r="BL85" s="69">
        <f>MaxTok*Table1[[#This Row],[Kvcache]]/Table1[[#This Row],[Run]]</f>
        <v>5249.9720046904313</v>
      </c>
      <c r="BM85" s="165">
        <f>ABS(Table1[[#This Row],[est-Tok/Req]]-Table1[[#This Row],[tok/req]])/Table1[[#This Row],[tok/req]]</f>
        <v>5.3324399178520599E-6</v>
      </c>
      <c r="BN85" s="69">
        <f>MaxTok/Table1[[#This Row],[est-Tok/Req]]</f>
        <v>73.888443909031636</v>
      </c>
      <c r="BO85" s="175">
        <f>Table1[[#This Row],[Run]]/Table1[[#This Row],[Kvcache]]</f>
        <v>73.888443909031636</v>
      </c>
      <c r="BP85" s="131" cm="1">
        <f t="array" aca="1" ref="BP85" ca="1">_xlfn.CEILING.MATH(INDIRECT("Table1"&amp;BP$3)/BP$2)*BP$2</f>
        <v>6000</v>
      </c>
      <c r="BQ85" s="182" cm="1">
        <f t="array" aca="1" ref="BQ85" ca="1">_xlfn.CEILING.MATH(INDIRECT("Table1"&amp;BQ$3)/BQ$2)*BQ$2</f>
        <v>0.04</v>
      </c>
      <c r="BR85" s="34" cm="1">
        <f t="array" aca="1" ref="BR85" ca="1">_xlfn.CEILING.MATH(INDIRECT("Table1"&amp;BR$3)/BR$2)*BR$2</f>
        <v>0.9</v>
      </c>
      <c r="BS85" s="34" cm="1">
        <f t="array" aca="1" ref="BS85" ca="1">_xlfn.CEILING.MATH(INDIRECT("Table1"&amp;BS$3)/BS$2)*BS$2</f>
        <v>0.82000000000000006</v>
      </c>
      <c r="BT85" s="20" cm="1">
        <f t="array" aca="1" ref="BT85" ca="1">_xlfn.CEILING.MATH(INDIRECT("Table1"&amp;BT$3)/BT$2)*BT$2</f>
        <v>61</v>
      </c>
      <c r="BU85" s="131" cm="1">
        <f t="array" aca="1" ref="BU85" ca="1">_xlfn.CEILING.MATH(INDIRECT("Table1"&amp;BU$3)/BU$2)*BU$2</f>
        <v>10</v>
      </c>
      <c r="BV85" s="131" cm="1">
        <f t="array" aca="1" ref="BV85" ca="1">_xlfn.CEILING.MATH(INDIRECT("Table1"&amp;BV$3)/BV$2)*BV$2</f>
        <v>5000</v>
      </c>
      <c r="BW85" s="34"/>
      <c r="BX85" s="34"/>
      <c r="BY85" s="190">
        <v>0.99778898370830105</v>
      </c>
      <c r="BZ85" s="34"/>
      <c r="CA85" s="24">
        <f>(Table1[[#This Row],[In-Tok]]+Table1[[#This Row],[Out-Tok]])*Table1[[#This Row],[RPS]]</f>
        <v>30250</v>
      </c>
      <c r="CB85" s="20">
        <f t="shared" si="24"/>
        <v>391991.70003498811</v>
      </c>
      <c r="CC85" s="20">
        <f>Table1[[#This Row],[Supply]]/(Table1[[#This Row],[Prefill]]+Table1[[#This Row],[Out-Tok]]*Table1[[#This Row],[ITL]])</f>
        <v>19248.278792274548</v>
      </c>
      <c r="CD85" s="20">
        <f>Table1[[#This Row],[MaxRun]]/Table1[[#This Row],[ITL]]</f>
        <v>1869.3568714198771</v>
      </c>
      <c r="CE85" s="20">
        <f>Table1[[#This Row],[Out-Tok]]*Table1[[#This Row],[RPS]]</f>
        <v>2750</v>
      </c>
      <c r="CF85" s="22">
        <f>Table1[[#This Row],[Supply]]/Table1[[#This Row],[Demand-T]]</f>
        <v>12.958403306941756</v>
      </c>
      <c r="CG85" s="22"/>
      <c r="CH85" s="71">
        <f>Table1[[#This Row],[Prefill]]+Table1[[#This Row],[Out-Tok]]*Table1[[#This Row],[ITL]]</f>
        <v>20.365026102610127</v>
      </c>
      <c r="CI85" s="71">
        <f>Table1[[#This Row],[GPS]]*Table1[[#This Row],[ITL]]</f>
        <v>96.779684887518627</v>
      </c>
      <c r="CJ85" s="72">
        <f>Table1[[#This Row],[PPS]]*Table1[[#This Row],[Prefill]]/Table1[[#This Row],[In-Tok]]</f>
        <v>2.2711743115175538</v>
      </c>
      <c r="CK85" s="71">
        <f t="shared" si="19"/>
        <v>99.050859199036182</v>
      </c>
      <c r="CL85" s="71">
        <f>Table1[[#This Row],[PPS]]/Table1[[#This Row],[In-Tok]]</f>
        <v>5.180753666666666</v>
      </c>
      <c r="CM85" s="71">
        <f>Table1[[#This Row],[GPS]]/Table1[[#This Row],[Out-Tok]]</f>
        <v>4.8567991666666677</v>
      </c>
      <c r="CN85" s="71">
        <f>Table1[[#This Row],[Run]]/Table1[[#This Row],[E2E]]</f>
        <v>2.0583926517481208</v>
      </c>
      <c r="CO85" s="71">
        <f>Table1[[#This Row],[N2]]/Table1[[#This Row],[E2E]]</f>
        <v>3.3816197150584104</v>
      </c>
      <c r="CP85" s="71"/>
      <c r="CQ85" s="71">
        <f>Table1[[#This Row],[In-Tok]]+AvgOutLoad*Table1[[#This Row],[Out-Tok]]</f>
        <v>5250</v>
      </c>
      <c r="CR85" s="71">
        <f t="shared" si="20"/>
        <v>757355.92900531006</v>
      </c>
      <c r="CS85" s="71" t="e">
        <f t="shared" si="21"/>
        <v>#DIV/0!</v>
      </c>
      <c r="CT85" s="71" t="e">
        <f t="shared" si="25"/>
        <v>#DIV/0!</v>
      </c>
      <c r="CU85" s="71">
        <f t="shared" si="22"/>
        <v>0</v>
      </c>
      <c r="CV85" s="71" t="e">
        <f t="shared" si="23"/>
        <v>#DIV/0!</v>
      </c>
      <c r="CW85" s="71">
        <f>Table1[[#This Row],[N(maxT)]]/Table1[[#This Row],[e2e sat]]</f>
        <v>0</v>
      </c>
      <c r="CX85" s="71" t="e">
        <f>Table1[[#This Row],[RPS]]/CW85</f>
        <v>#DIV/0!</v>
      </c>
      <c r="CY85" s="110" t="e">
        <f>Table1[[#This Row],[Kvcache]]/$T$4</f>
        <v>#DIV/0!</v>
      </c>
      <c r="GJ85"/>
    </row>
    <row r="86" spans="1:192" hidden="1" x14ac:dyDescent="0.25">
      <c r="A86" s="3">
        <v>5000</v>
      </c>
      <c r="B86" s="3">
        <v>500</v>
      </c>
      <c r="C86">
        <v>6</v>
      </c>
      <c r="D86" s="199">
        <f>Table1[[#This Row],[Kvcache]]</f>
        <v>0.86249757564003104</v>
      </c>
      <c r="E86" s="34" t="s">
        <v>141</v>
      </c>
      <c r="F86" s="219">
        <v>46092</v>
      </c>
      <c r="G86" s="10"/>
      <c r="H86" s="10">
        <v>11.39422035002732</v>
      </c>
      <c r="I86" s="10">
        <v>0.46343671585796753</v>
      </c>
      <c r="J86" s="10">
        <v>12.332827720867044</v>
      </c>
      <c r="K86" s="10">
        <v>22.788018000125884</v>
      </c>
      <c r="L86" s="10">
        <v>23.14633337020874</v>
      </c>
      <c r="M86" s="10">
        <v>4.0817544585313267E-2</v>
      </c>
      <c r="N86" s="10">
        <v>31.171538915752546</v>
      </c>
      <c r="O86" s="47">
        <v>26569.114117647059</v>
      </c>
      <c r="P86" s="47">
        <v>2467.9709803921564</v>
      </c>
      <c r="Q86" s="5">
        <v>63.701388888888886</v>
      </c>
      <c r="R86" s="5">
        <v>75</v>
      </c>
      <c r="S86" s="170">
        <v>0.86249757564003104</v>
      </c>
      <c r="T86" s="212">
        <v>0.99930178432893713</v>
      </c>
      <c r="U86" s="53">
        <f>(Table1[[#This Row],[In-Tok]]+Table1[[#This Row],[Out-Tok]])*Table1[[#This Row],[RPS]]</f>
        <v>33000</v>
      </c>
      <c r="V86" s="54">
        <f>Table1[[#This Row],[In-Tok]]+AvgOutLoad*Table1[[#This Row],[Out-Tok]]</f>
        <v>5250</v>
      </c>
      <c r="W86" s="54">
        <f>Table1[[#This Row],[In-Tok]]*Table1[[#This Row],[RPS]]</f>
        <v>30000</v>
      </c>
      <c r="X86" s="55">
        <f>Table1[[#This Row],[Out-Tok]]*Table1[[#This Row],[RPS]]</f>
        <v>3000</v>
      </c>
      <c r="Y86" s="74">
        <f>Table1[[#This Row],[In-Tok]]/Table1[[#This Row],[Out-Tok]]</f>
        <v>10</v>
      </c>
      <c r="Z86" s="53">
        <f>Table1[[#This Row],[In-Tok]]*Table1[[#This Row],[N]]+AvgOutLoad*Table1[[#This Row],[Out-Tok]]*Table1[[#This Row],[Ndecode]]</f>
        <v>541179.80950887268</v>
      </c>
      <c r="AA86" s="54">
        <f>Table1[[#This Row],[tok(N)]]/Table1[[#This Row],[Kvcache]]</f>
        <v>627456.61529225856</v>
      </c>
      <c r="AB86" s="54">
        <f>Table1[[#This Row],[tok/req]]*Table1[[#This Row],[Run]]</f>
        <v>334432.29166666663</v>
      </c>
      <c r="AC86" s="54">
        <f>Table1[[#This Row],[tok(Run)]]/Table1[[#This Row],[Kvcache]]</f>
        <v>387748.67444525327</v>
      </c>
      <c r="AD86" s="54">
        <f>Table1[[#This Row],[tok/req]]*Table1[[#This Row],[MaxRun]]</f>
        <v>393750</v>
      </c>
      <c r="AE86" s="54">
        <f>Table1[[#This Row],[tok(MaxRun)]]/Table1[[#This Row],[MaxKvcache]]</f>
        <v>394025.11450974306</v>
      </c>
      <c r="AF86" s="74">
        <f>Table1[[#This Row],[PPS]]*Table1[[#This Row],[Prefill]]/Table1[[#This Row],[In-Tok]]</f>
        <v>2.4626205979875828</v>
      </c>
      <c r="AG86" s="56">
        <f>Table1[[#This Row],[GPS]]*Table1[[#This Row],[ITL]]</f>
        <v>100.73651552741615</v>
      </c>
      <c r="AH86" s="56">
        <f>Table1[[#This Row],[Nprefill]]+Table1[[#This Row],[Ndecode]]</f>
        <v>103.19913612540373</v>
      </c>
      <c r="AI86" s="86">
        <f>Table1[[#This Row],[Run]]/Table1[[#This Row],[ITL]]/Table1[[#This Row],[GPS]]</f>
        <v>0.63235648518686471</v>
      </c>
      <c r="AJ86" s="85">
        <f>Table1[[#This Row],[Prefill]]+Table1[[#This Row],[ITL]]</f>
        <v>0.50425426044328081</v>
      </c>
      <c r="AK86" s="86">
        <f>Table1[[#This Row],[TTFT]]/Table1[[#This Row],[estTTFT]]</f>
        <v>22.596180625248195</v>
      </c>
      <c r="AL86" s="56">
        <f>Table1[[#This Row],[In-Tok]]*Table1[[#This Row],[RPS]]/Table1[[#This Row],[PPS]]</f>
        <v>1.1291306088400654</v>
      </c>
      <c r="AM86" s="86">
        <f>Table1[[#This Row],[Prefill]]/Table1[[#This Row],[estPrefill]]</f>
        <v>0.41043676633126375</v>
      </c>
      <c r="AN86" s="86">
        <f>Table1[[#This Row],[Prefill]]/Table1[[#This Row],[TTFT]]</f>
        <v>4.0672964153870901E-2</v>
      </c>
      <c r="AO86" s="85">
        <f>Table1[[#This Row],[Run]]/(Table1[[#This Row],[Out-Tok]]*Table1[[#This Row],[RPS]])</f>
        <v>2.1233796296296296E-2</v>
      </c>
      <c r="AP86" s="86">
        <f>Table1[[#This Row],[ITL]]/Table1[[#This Row],[estITL]]</f>
        <v>1.9222914271073075</v>
      </c>
      <c r="AQ86" s="87">
        <f>Table1[[#This Row],[E2E]]-Table1[[#This Row],[TTFT]]+Table1[[#This Row],[ITL]]</f>
        <v>19.818136110310537</v>
      </c>
      <c r="AR86" s="86">
        <f>Table1[[#This Row],[estDecode]]/Table1[[#This Row],[Run]]</f>
        <v>0.31110995311072903</v>
      </c>
      <c r="AS86" s="87">
        <f>Table1[[#This Row],[Prefill]]+Table1[[#This Row],[Out-Tok]]*Table1[[#This Row],[ITL]]</f>
        <v>20.872209008514599</v>
      </c>
      <c r="AT86" s="56">
        <f>Table1[[#This Row],[estPrefill]]+Table1[[#This Row],[Out-Tok]]*Table1[[#This Row],[ITL]]</f>
        <v>21.537902901496697</v>
      </c>
      <c r="AU86" s="86">
        <f>Table1[[#This Row],[E2E]]/Table1[[#This Row],[estE2E]]</f>
        <v>1.4472875589752239</v>
      </c>
      <c r="AV86" s="56">
        <f>Table1[[#This Row],[N]]/Table1[[#This Row],[estE2E]]</f>
        <v>4.7915127390713739</v>
      </c>
      <c r="AW86" s="56">
        <f>Table1[[#This Row],[PPS]]/Table1[[#This Row],[In-Tok]]</f>
        <v>5.3138228235294118</v>
      </c>
      <c r="AX86" s="86">
        <f>Table1[[#This Row],[RPS]]/Table1[[#This Row],[RPS(IL)]]</f>
        <v>1.1291306088400654</v>
      </c>
      <c r="AY86" s="56">
        <f>Table1[[#This Row],[GPS]]/Table1[[#This Row],[Out-Tok]]</f>
        <v>4.9359419607843131</v>
      </c>
      <c r="AZ86" s="88">
        <f>Table1[[#This Row],[RPS]]/Table1[[#This Row],[RPS(OL)]]</f>
        <v>1.215573450350419</v>
      </c>
      <c r="BA86" s="138">
        <f>MaxTok/Table1[[#This Row],[tok/req]]</f>
        <v>73.88804990334387</v>
      </c>
      <c r="BB86" s="86">
        <f>Table1[[#This Row],[N]]/Table1[[#This Row],[N-max]]</f>
        <v>1.3966958968385679</v>
      </c>
      <c r="BC86" s="69">
        <f>Table1[[#This Row],[RPS]]</f>
        <v>6</v>
      </c>
      <c r="BD86" s="48">
        <f>Table1[[#This Row],[PPS]]/Table1[[#This Row],[RPS success]]</f>
        <v>4428.1856862745099</v>
      </c>
      <c r="BE86" s="34">
        <f>ABS(Table1[[#This Row],[est-In-Tok3]]-Table1[[#This Row],[In-Tok]])/Table1[[#This Row],[In-Tok]]</f>
        <v>0.11436286274509802</v>
      </c>
      <c r="BF86" s="48">
        <f>Table1[[#This Row],[GPS]]/Table1[[#This Row],[RPS success]]</f>
        <v>411.32849673202605</v>
      </c>
      <c r="BG86" s="34">
        <f>ABS(Table1[[#This Row],[est-Out-Tok3]]-Table1[[#This Row],[Out-Tok]])/Table1[[#This Row],[Out-Tok]]</f>
        <v>0.17734300653594789</v>
      </c>
      <c r="BH86" s="157">
        <f>Table1[[#This Row],[est-In-Tok3]]+AvgOutLoad*Table1[[#This Row],[est-Out-Tok3]]</f>
        <v>4633.8499346405233</v>
      </c>
      <c r="BI86" s="34">
        <f>ABS(Table1[[#This Row],[est-Tok/Req3]]-Table1[[#This Row],[tok/req]])/Table1[[#This Row],[tok/req]]</f>
        <v>0.11736191721132889</v>
      </c>
      <c r="BJ86" s="157">
        <f>MaxTok/Table1[[#This Row],[est-Tok/Req3]]</f>
        <v>83.712737240949963</v>
      </c>
      <c r="BK86" s="34">
        <f>ABS(Table1[[#This Row],[est-N-max3]]-Table1[[#This Row],[N-max]])/Table1[[#This Row],[N-max]]</f>
        <v>0.1329672030924918</v>
      </c>
      <c r="BL86" s="69">
        <f>MaxTok*Table1[[#This Row],[Kvcache]]/Table1[[#This Row],[Run]]</f>
        <v>5252.2149260073265</v>
      </c>
      <c r="BM86" s="165">
        <f>ABS(Table1[[#This Row],[est-Tok/Req]]-Table1[[#This Row],[tok/req]])/Table1[[#This Row],[tok/req]]</f>
        <v>4.2189066806219802E-4</v>
      </c>
      <c r="BN86" s="69">
        <f>MaxTok/Table1[[#This Row],[est-Tok/Req]]</f>
        <v>73.856890370524454</v>
      </c>
      <c r="BO86" s="175">
        <f>Table1[[#This Row],[Run]]/Table1[[#This Row],[Kvcache]]</f>
        <v>73.85689037052444</v>
      </c>
      <c r="BP86" s="131" cm="1">
        <f t="array" aca="1" ref="BP86" ca="1">_xlfn.CEILING.MATH(INDIRECT("Table1"&amp;BP$3)/BP$2)*BP$2</f>
        <v>6000</v>
      </c>
      <c r="BQ86" s="182" cm="1">
        <f t="array" aca="1" ref="BQ86" ca="1">_xlfn.CEILING.MATH(INDIRECT("Table1"&amp;BQ$3)/BQ$2)*BQ$2</f>
        <v>4.4999999999999998E-2</v>
      </c>
      <c r="BR86" s="34" cm="1">
        <f t="array" aca="1" ref="BR86" ca="1">_xlfn.CEILING.MATH(INDIRECT("Table1"&amp;BR$3)/BR$2)*BR$2</f>
        <v>0.9</v>
      </c>
      <c r="BS86" s="34" cm="1">
        <f t="array" aca="1" ref="BS86" ca="1">_xlfn.CEILING.MATH(INDIRECT("Table1"&amp;BS$3)/BS$2)*BS$2</f>
        <v>0.87</v>
      </c>
      <c r="BT86" s="20" cm="1">
        <f t="array" aca="1" ref="BT86" ca="1">_xlfn.CEILING.MATH(INDIRECT("Table1"&amp;BT$3)/BT$2)*BT$2</f>
        <v>64</v>
      </c>
      <c r="BU86" s="131" cm="1">
        <f t="array" aca="1" ref="BU86" ca="1">_xlfn.CEILING.MATH(INDIRECT("Table1"&amp;BU$3)/BU$2)*BU$2</f>
        <v>10</v>
      </c>
      <c r="BV86" s="131" cm="1">
        <f t="array" aca="1" ref="BV86" ca="1">_xlfn.CEILING.MATH(INDIRECT("Table1"&amp;BV$3)/BV$2)*BV$2</f>
        <v>5000</v>
      </c>
      <c r="BW86" s="34"/>
      <c r="BX86" s="34"/>
      <c r="BY86" s="190">
        <v>0.99930178432893713</v>
      </c>
      <c r="BZ86" s="34"/>
      <c r="CA86" s="24">
        <f>(Table1[[#This Row],[In-Tok]]+Table1[[#This Row],[Out-Tok]])*Table1[[#This Row],[RPS]]</f>
        <v>33000</v>
      </c>
      <c r="CB86" s="20">
        <f t="shared" si="24"/>
        <v>394025.11450974306</v>
      </c>
      <c r="CC86" s="20">
        <f>Table1[[#This Row],[Supply]]/(Table1[[#This Row],[Prefill]]+Table1[[#This Row],[Out-Tok]]*Table1[[#This Row],[ITL]])</f>
        <v>18877.978576632911</v>
      </c>
      <c r="CD86" s="20">
        <f>Table1[[#This Row],[MaxRun]]/Table1[[#This Row],[ITL]]</f>
        <v>1837.4451663362931</v>
      </c>
      <c r="CE86" s="20">
        <f>Table1[[#This Row],[Out-Tok]]*Table1[[#This Row],[RPS]]</f>
        <v>3000</v>
      </c>
      <c r="CF86" s="22">
        <f>Table1[[#This Row],[Supply]]/Table1[[#This Row],[Demand-T]]</f>
        <v>11.94015498514373</v>
      </c>
      <c r="CG86" s="22"/>
      <c r="CH86" s="71">
        <f>Table1[[#This Row],[Prefill]]+Table1[[#This Row],[Out-Tok]]*Table1[[#This Row],[ITL]]</f>
        <v>20.872209008514599</v>
      </c>
      <c r="CI86" s="71">
        <f>Table1[[#This Row],[GPS]]*Table1[[#This Row],[ITL]]</f>
        <v>100.73651552741615</v>
      </c>
      <c r="CJ86" s="72">
        <f>Table1[[#This Row],[PPS]]*Table1[[#This Row],[Prefill]]/Table1[[#This Row],[In-Tok]]</f>
        <v>2.4626205979875828</v>
      </c>
      <c r="CK86" s="71">
        <f t="shared" si="19"/>
        <v>103.19913612540373</v>
      </c>
      <c r="CL86" s="71">
        <f>Table1[[#This Row],[PPS]]/Table1[[#This Row],[In-Tok]]</f>
        <v>5.3138228235294118</v>
      </c>
      <c r="CM86" s="71">
        <f>Table1[[#This Row],[GPS]]/Table1[[#This Row],[Out-Tok]]</f>
        <v>4.9359419607843131</v>
      </c>
      <c r="CN86" s="71">
        <f>Table1[[#This Row],[Run]]/Table1[[#This Row],[E2E]]</f>
        <v>2.0435753608782328</v>
      </c>
      <c r="CO86" s="71">
        <f>Table1[[#This Row],[N2]]/Table1[[#This Row],[E2E]]</f>
        <v>3.3106846731026169</v>
      </c>
      <c r="CP86" s="71"/>
      <c r="CQ86" s="71">
        <f>Table1[[#This Row],[In-Tok]]+AvgOutLoad*Table1[[#This Row],[Out-Tok]]</f>
        <v>5250</v>
      </c>
      <c r="CR86" s="71">
        <f t="shared" si="20"/>
        <v>807911.38266363274</v>
      </c>
      <c r="CS86" s="71" t="e">
        <f t="shared" si="21"/>
        <v>#DIV/0!</v>
      </c>
      <c r="CT86" s="71" t="e">
        <f t="shared" si="25"/>
        <v>#DIV/0!</v>
      </c>
      <c r="CU86" s="71">
        <f t="shared" si="22"/>
        <v>0</v>
      </c>
      <c r="CV86" s="71" t="e">
        <f t="shared" si="23"/>
        <v>#DIV/0!</v>
      </c>
      <c r="CW86" s="71">
        <f>Table1[[#This Row],[N(maxT)]]/Table1[[#This Row],[e2e sat]]</f>
        <v>0</v>
      </c>
      <c r="CX86" s="71" t="e">
        <f>Table1[[#This Row],[RPS]]/CW86</f>
        <v>#DIV/0!</v>
      </c>
      <c r="CY86" s="110" t="e">
        <f>Table1[[#This Row],[Kvcache]]/$T$4</f>
        <v>#DIV/0!</v>
      </c>
      <c r="GJ86"/>
    </row>
    <row r="87" spans="1:192" hidden="1" x14ac:dyDescent="0.25">
      <c r="A87" s="3">
        <v>5000</v>
      </c>
      <c r="B87" s="3">
        <v>500</v>
      </c>
      <c r="C87">
        <v>6.5</v>
      </c>
      <c r="D87" s="199">
        <f>Table1[[#This Row],[Kvcache]]</f>
        <v>0.84196233083354888</v>
      </c>
      <c r="E87" s="34" t="s">
        <v>141</v>
      </c>
      <c r="F87" s="219">
        <v>46092</v>
      </c>
      <c r="G87" s="10"/>
      <c r="H87" s="10">
        <v>11.447014465963726</v>
      </c>
      <c r="I87" s="10">
        <v>0.51192707631293743</v>
      </c>
      <c r="J87" s="10">
        <v>13.185278125955509</v>
      </c>
      <c r="K87" s="10">
        <v>23.53955572247505</v>
      </c>
      <c r="L87" s="10">
        <v>23.969319953918458</v>
      </c>
      <c r="M87" s="10">
        <v>4.0333052586724066E-2</v>
      </c>
      <c r="N87" s="10">
        <v>31.491627237975276</v>
      </c>
      <c r="O87" s="47">
        <v>27595.104201680668</v>
      </c>
      <c r="P87" s="47">
        <v>2526.8252100840336</v>
      </c>
      <c r="Q87" s="5">
        <v>62.105555555555554</v>
      </c>
      <c r="R87" s="5">
        <v>74</v>
      </c>
      <c r="S87" s="170">
        <v>0.84196233083354888</v>
      </c>
      <c r="T87" s="212">
        <v>0.99910783553141969</v>
      </c>
      <c r="U87" s="53">
        <f>(Table1[[#This Row],[In-Tok]]+Table1[[#This Row],[Out-Tok]])*Table1[[#This Row],[RPS]]</f>
        <v>35750</v>
      </c>
      <c r="V87" s="54">
        <f>Table1[[#This Row],[In-Tok]]+AvgOutLoad*Table1[[#This Row],[Out-Tok]]</f>
        <v>5250</v>
      </c>
      <c r="W87" s="54">
        <f>Table1[[#This Row],[In-Tok]]*Table1[[#This Row],[RPS]]</f>
        <v>32500</v>
      </c>
      <c r="X87" s="55">
        <f>Table1[[#This Row],[Out-Tok]]*Table1[[#This Row],[RPS]]</f>
        <v>3250</v>
      </c>
      <c r="Y87" s="74">
        <f>Table1[[#This Row],[In-Tok]]/Table1[[#This Row],[Out-Tok]]</f>
        <v>10</v>
      </c>
      <c r="Z87" s="53">
        <f>Table1[[#This Row],[In-Tok]]*Table1[[#This Row],[N]]+AvgOutLoad*Table1[[#This Row],[Out-Tok]]*Table1[[#This Row],[Ndecode]]</f>
        <v>549178.19491235912</v>
      </c>
      <c r="AA87" s="54">
        <f>Table1[[#This Row],[tok(N)]]/Table1[[#This Row],[Kvcache]]</f>
        <v>652259.8159096603</v>
      </c>
      <c r="AB87" s="54">
        <f>Table1[[#This Row],[tok/req]]*Table1[[#This Row],[Run]]</f>
        <v>326054.16666666669</v>
      </c>
      <c r="AC87" s="54">
        <f>Table1[[#This Row],[tok(Run)]]/Table1[[#This Row],[Kvcache]]</f>
        <v>387255.0525435867</v>
      </c>
      <c r="AD87" s="54">
        <f>Table1[[#This Row],[tok/req]]*Table1[[#This Row],[MaxRun]]</f>
        <v>388500</v>
      </c>
      <c r="AE87" s="54">
        <f>Table1[[#This Row],[tok(MaxRun)]]/Table1[[#This Row],[MaxKvcache]]</f>
        <v>388846.91540163837</v>
      </c>
      <c r="AF87" s="74">
        <f>Table1[[#This Row],[PPS]]*Table1[[#This Row],[Prefill]]/Table1[[#This Row],[In-Tok]]</f>
        <v>2.8253362029034479</v>
      </c>
      <c r="AG87" s="56">
        <f>Table1[[#This Row],[GPS]]*Table1[[#This Row],[ITL]]</f>
        <v>101.91457407577941</v>
      </c>
      <c r="AH87" s="56">
        <f>Table1[[#This Row],[Nprefill]]+Table1[[#This Row],[Ndecode]]</f>
        <v>104.73991027868286</v>
      </c>
      <c r="AI87" s="86">
        <f>Table1[[#This Row],[Run]]/Table1[[#This Row],[ITL]]/Table1[[#This Row],[GPS]]</f>
        <v>0.60938836391914331</v>
      </c>
      <c r="AJ87" s="85">
        <f>Table1[[#This Row],[Prefill]]+Table1[[#This Row],[ITL]]</f>
        <v>0.55226012889966147</v>
      </c>
      <c r="AK87" s="86">
        <f>Table1[[#This Row],[TTFT]]/Table1[[#This Row],[estTTFT]]</f>
        <v>20.727577217589612</v>
      </c>
      <c r="AL87" s="56">
        <f>Table1[[#This Row],[In-Tok]]*Table1[[#This Row],[RPS]]/Table1[[#This Row],[PPS]]</f>
        <v>1.1777451450254208</v>
      </c>
      <c r="AM87" s="86">
        <f>Table1[[#This Row],[Prefill]]/Table1[[#This Row],[estPrefill]]</f>
        <v>0.43466710813899201</v>
      </c>
      <c r="AN87" s="86">
        <f>Table1[[#This Row],[Prefill]]/Table1[[#This Row],[TTFT]]</f>
        <v>4.47214492333428E-2</v>
      </c>
      <c r="AO87" s="85">
        <f>Table1[[#This Row],[Run]]/(Table1[[#This Row],[Out-Tok]]*Table1[[#This Row],[RPS]])</f>
        <v>1.9109401709401709E-2</v>
      </c>
      <c r="AP87" s="86">
        <f>Table1[[#This Row],[ITL]]/Table1[[#This Row],[estITL]]</f>
        <v>2.1106392130989873</v>
      </c>
      <c r="AQ87" s="87">
        <f>Table1[[#This Row],[E2E]]-Table1[[#This Row],[TTFT]]+Table1[[#This Row],[ITL]]</f>
        <v>20.084945824598275</v>
      </c>
      <c r="AR87" s="86">
        <f>Table1[[#This Row],[estDecode]]/Table1[[#This Row],[Run]]</f>
        <v>0.3234001474575266</v>
      </c>
      <c r="AS87" s="87">
        <f>Table1[[#This Row],[Prefill]]+Table1[[#This Row],[Out-Tok]]*Table1[[#This Row],[ITL]]</f>
        <v>20.678453369674969</v>
      </c>
      <c r="AT87" s="56">
        <f>Table1[[#This Row],[estPrefill]]+Table1[[#This Row],[Out-Tok]]*Table1[[#This Row],[ITL]]</f>
        <v>21.344271438387452</v>
      </c>
      <c r="AU87" s="86">
        <f>Table1[[#This Row],[E2E]]/Table1[[#This Row],[estE2E]]</f>
        <v>1.4754135473248298</v>
      </c>
      <c r="AV87" s="56">
        <f>Table1[[#This Row],[N]]/Table1[[#This Row],[estE2E]]</f>
        <v>4.9071672734778478</v>
      </c>
      <c r="AW87" s="56">
        <f>Table1[[#This Row],[PPS]]/Table1[[#This Row],[In-Tok]]</f>
        <v>5.5190208403361334</v>
      </c>
      <c r="AX87" s="86">
        <f>Table1[[#This Row],[RPS]]/Table1[[#This Row],[RPS(IL)]]</f>
        <v>1.177745145025421</v>
      </c>
      <c r="AY87" s="56">
        <f>Table1[[#This Row],[GPS]]/Table1[[#This Row],[Out-Tok]]</f>
        <v>5.0536504201680676</v>
      </c>
      <c r="AZ87" s="88">
        <f>Table1[[#This Row],[RPS]]/Table1[[#This Row],[RPS(OL)]]</f>
        <v>1.2861989768939799</v>
      </c>
      <c r="BA87" s="138">
        <f>MaxTok/Table1[[#This Row],[tok/req]]</f>
        <v>73.88804990334387</v>
      </c>
      <c r="BB87" s="86">
        <f>Table1[[#This Row],[N]]/Table1[[#This Row],[N-max]]</f>
        <v>1.4175487161414819</v>
      </c>
      <c r="BC87" s="69">
        <f>Table1[[#This Row],[RPS]]</f>
        <v>6.5</v>
      </c>
      <c r="BD87" s="48">
        <f>Table1[[#This Row],[PPS]]/Table1[[#This Row],[RPS success]]</f>
        <v>4245.4006464124104</v>
      </c>
      <c r="BE87" s="34">
        <f>ABS(Table1[[#This Row],[est-In-Tok3]]-Table1[[#This Row],[In-Tok]])/Table1[[#This Row],[In-Tok]]</f>
        <v>0.15091987071751792</v>
      </c>
      <c r="BF87" s="48">
        <f>Table1[[#This Row],[GPS]]/Table1[[#This Row],[RPS success]]</f>
        <v>388.74234001292825</v>
      </c>
      <c r="BG87" s="34">
        <f>ABS(Table1[[#This Row],[est-Out-Tok3]]-Table1[[#This Row],[Out-Tok]])/Table1[[#This Row],[Out-Tok]]</f>
        <v>0.22251531997414351</v>
      </c>
      <c r="BH87" s="157">
        <f>Table1[[#This Row],[est-In-Tok3]]+AvgOutLoad*Table1[[#This Row],[est-Out-Tok3]]</f>
        <v>4439.7718164188746</v>
      </c>
      <c r="BI87" s="34">
        <f>ABS(Table1[[#This Row],[est-Tok/Req3]]-Table1[[#This Row],[tok/req]])/Table1[[#This Row],[tok/req]]</f>
        <v>0.15432917782497627</v>
      </c>
      <c r="BJ87" s="157">
        <f>MaxTok/Table1[[#This Row],[est-Tok/Req3]]</f>
        <v>87.372116863754897</v>
      </c>
      <c r="BK87" s="34">
        <f>ABS(Table1[[#This Row],[est-N-max3]]-Table1[[#This Row],[N-max]])/Table1[[#This Row],[N-max]]</f>
        <v>0.18249320394908397</v>
      </c>
      <c r="BL87" s="69">
        <f>MaxTok*Table1[[#This Row],[Kvcache]]/Table1[[#This Row],[Run]]</f>
        <v>5258.9097600778159</v>
      </c>
      <c r="BM87" s="165">
        <f>ABS(Table1[[#This Row],[est-Tok/Req]]-Table1[[#This Row],[tok/req]])/Table1[[#This Row],[tok/req]]</f>
        <v>1.6970971576792224E-3</v>
      </c>
      <c r="BN87" s="69">
        <f>MaxTok/Table1[[#This Row],[est-Tok/Req]]</f>
        <v>73.762867151159355</v>
      </c>
      <c r="BO87" s="175">
        <f>Table1[[#This Row],[Run]]/Table1[[#This Row],[Kvcache]]</f>
        <v>73.762867151159369</v>
      </c>
      <c r="BP87" s="131" cm="1">
        <f t="array" aca="1" ref="BP87" ca="1">_xlfn.CEILING.MATH(INDIRECT("Table1"&amp;BP$3)/BP$2)*BP$2</f>
        <v>6000</v>
      </c>
      <c r="BQ87" s="182" cm="1">
        <f t="array" aca="1" ref="BQ87" ca="1">_xlfn.CEILING.MATH(INDIRECT("Table1"&amp;BQ$3)/BQ$2)*BQ$2</f>
        <v>4.4999999999999998E-2</v>
      </c>
      <c r="BR87" s="34" cm="1">
        <f t="array" aca="1" ref="BR87" ca="1">_xlfn.CEILING.MATH(INDIRECT("Table1"&amp;BR$3)/BR$2)*BR$2</f>
        <v>0.9</v>
      </c>
      <c r="BS87" s="34" cm="1">
        <f t="array" aca="1" ref="BS87" ca="1">_xlfn.CEILING.MATH(INDIRECT("Table1"&amp;BS$3)/BS$2)*BS$2</f>
        <v>0.85</v>
      </c>
      <c r="BT87" s="20" cm="1">
        <f t="array" aca="1" ref="BT87" ca="1">_xlfn.CEILING.MATH(INDIRECT("Table1"&amp;BT$3)/BT$2)*BT$2</f>
        <v>63</v>
      </c>
      <c r="BU87" s="131" cm="1">
        <f t="array" aca="1" ref="BU87" ca="1">_xlfn.CEILING.MATH(INDIRECT("Table1"&amp;BU$3)/BU$2)*BU$2</f>
        <v>10</v>
      </c>
      <c r="BV87" s="131" cm="1">
        <f t="array" aca="1" ref="BV87" ca="1">_xlfn.CEILING.MATH(INDIRECT("Table1"&amp;BV$3)/BV$2)*BV$2</f>
        <v>5000</v>
      </c>
      <c r="BW87" s="34"/>
      <c r="BX87" s="34"/>
      <c r="BY87" s="190">
        <v>0.99910783553141969</v>
      </c>
      <c r="BZ87" s="34"/>
      <c r="CA87" s="24">
        <f>(Table1[[#This Row],[In-Tok]]+Table1[[#This Row],[Out-Tok]])*Table1[[#This Row],[RPS]]</f>
        <v>35750</v>
      </c>
      <c r="CB87" s="20">
        <f t="shared" si="24"/>
        <v>388846.91540163837</v>
      </c>
      <c r="CC87" s="20">
        <f>Table1[[#This Row],[Supply]]/(Table1[[#This Row],[Prefill]]+Table1[[#This Row],[Out-Tok]]*Table1[[#This Row],[ITL]])</f>
        <v>18804.448691113615</v>
      </c>
      <c r="CD87" s="20">
        <f>Table1[[#This Row],[MaxRun]]/Table1[[#This Row],[ITL]]</f>
        <v>1834.7235146877445</v>
      </c>
      <c r="CE87" s="20">
        <f>Table1[[#This Row],[Out-Tok]]*Table1[[#This Row],[RPS]]</f>
        <v>3250</v>
      </c>
      <c r="CF87" s="22">
        <f>Table1[[#This Row],[Supply]]/Table1[[#This Row],[Demand-T]]</f>
        <v>10.876836794451423</v>
      </c>
      <c r="CG87" s="22"/>
      <c r="CH87" s="71">
        <f>Table1[[#This Row],[Prefill]]+Table1[[#This Row],[Out-Tok]]*Table1[[#This Row],[ITL]]</f>
        <v>20.678453369674969</v>
      </c>
      <c r="CI87" s="71">
        <f>Table1[[#This Row],[GPS]]*Table1[[#This Row],[ITL]]</f>
        <v>101.91457407577941</v>
      </c>
      <c r="CJ87" s="72">
        <f>Table1[[#This Row],[PPS]]*Table1[[#This Row],[Prefill]]/Table1[[#This Row],[In-Tok]]</f>
        <v>2.8253362029034479</v>
      </c>
      <c r="CK87" s="71">
        <f t="shared" si="19"/>
        <v>104.73991027868286</v>
      </c>
      <c r="CL87" s="71">
        <f>Table1[[#This Row],[PPS]]/Table1[[#This Row],[In-Tok]]</f>
        <v>5.5190208403361334</v>
      </c>
      <c r="CM87" s="71">
        <f>Table1[[#This Row],[GPS]]/Table1[[#This Row],[Out-Tok]]</f>
        <v>5.0536504201680676</v>
      </c>
      <c r="CN87" s="71">
        <f>Table1[[#This Row],[Run]]/Table1[[#This Row],[E2E]]</f>
        <v>1.972129134078642</v>
      </c>
      <c r="CO87" s="71">
        <f>Table1[[#This Row],[N2]]/Table1[[#This Row],[E2E]]</f>
        <v>3.3259605636503466</v>
      </c>
      <c r="CP87" s="71"/>
      <c r="CQ87" s="71">
        <f>Table1[[#This Row],[In-Tok]]+AvgOutLoad*Table1[[#This Row],[Out-Tok]]</f>
        <v>5250</v>
      </c>
      <c r="CR87" s="71">
        <f t="shared" si="20"/>
        <v>885579.01843524585</v>
      </c>
      <c r="CS87" s="71" t="e">
        <f t="shared" si="21"/>
        <v>#DIV/0!</v>
      </c>
      <c r="CT87" s="71" t="e">
        <f t="shared" si="25"/>
        <v>#DIV/0!</v>
      </c>
      <c r="CU87" s="71">
        <f t="shared" si="22"/>
        <v>0</v>
      </c>
      <c r="CV87" s="71" t="e">
        <f t="shared" si="23"/>
        <v>#DIV/0!</v>
      </c>
      <c r="CW87" s="71">
        <f>Table1[[#This Row],[N(maxT)]]/Table1[[#This Row],[e2e sat]]</f>
        <v>0</v>
      </c>
      <c r="CX87" s="71" t="e">
        <f>Table1[[#This Row],[RPS]]/CW87</f>
        <v>#DIV/0!</v>
      </c>
      <c r="CY87" s="110" t="e">
        <f>Table1[[#This Row],[Kvcache]]/$T$4</f>
        <v>#DIV/0!</v>
      </c>
      <c r="GJ87"/>
    </row>
    <row r="88" spans="1:192" ht="15.75" hidden="1" thickBot="1" x14ac:dyDescent="0.3">
      <c r="A88" s="3">
        <v>5000</v>
      </c>
      <c r="B88" s="3">
        <v>500</v>
      </c>
      <c r="C88">
        <v>7</v>
      </c>
      <c r="D88" s="199">
        <f>Table1[[#This Row],[Kvcache]]</f>
        <v>0.86774469873286786</v>
      </c>
      <c r="E88" s="93" t="s">
        <v>141</v>
      </c>
      <c r="F88" s="219">
        <v>46092</v>
      </c>
      <c r="G88" s="10"/>
      <c r="H88" s="10">
        <v>14.245442759659214</v>
      </c>
      <c r="I88" s="10">
        <v>0.46475651800967327</v>
      </c>
      <c r="J88" s="10">
        <v>14.786196548419639</v>
      </c>
      <c r="K88" s="10">
        <v>25.480479049682614</v>
      </c>
      <c r="L88" s="10">
        <v>28.256826920509329</v>
      </c>
      <c r="M88" s="10">
        <v>4.0722935856781238E-2</v>
      </c>
      <c r="N88" s="10">
        <v>34.355859452421328</v>
      </c>
      <c r="O88" s="47">
        <v>26745.607450980395</v>
      </c>
      <c r="P88" s="47">
        <v>2470.4658823529417</v>
      </c>
      <c r="Q88" s="5">
        <v>64.152777777777771</v>
      </c>
      <c r="R88" s="5">
        <v>75</v>
      </c>
      <c r="S88" s="170">
        <v>0.86774469873286786</v>
      </c>
      <c r="T88" s="213">
        <v>0.99743987587276961</v>
      </c>
      <c r="U88" s="139">
        <f>(Table1[[#This Row],[In-Tok]]+Table1[[#This Row],[Out-Tok]])*Table1[[#This Row],[RPS]]</f>
        <v>38500</v>
      </c>
      <c r="V88" s="140">
        <f>Table1[[#This Row],[In-Tok]]+AvgOutLoad*Table1[[#This Row],[Out-Tok]]</f>
        <v>5250</v>
      </c>
      <c r="W88" s="140">
        <f>Table1[[#This Row],[In-Tok]]*Table1[[#This Row],[RPS]]</f>
        <v>35000</v>
      </c>
      <c r="X88" s="143">
        <f>Table1[[#This Row],[Out-Tok]]*Table1[[#This Row],[RPS]]</f>
        <v>3500</v>
      </c>
      <c r="Y88" s="144">
        <f>Table1[[#This Row],[In-Tok]]/Table1[[#This Row],[Out-Tok]]</f>
        <v>10</v>
      </c>
      <c r="Z88" s="139">
        <f>Table1[[#This Row],[In-Tok]]*Table1[[#This Row],[N]]+AvgOutLoad*Table1[[#This Row],[Out-Tok]]*Table1[[#This Row],[Ndecode]]</f>
        <v>540604.46962395404</v>
      </c>
      <c r="AA88" s="140">
        <f>Table1[[#This Row],[tok(N)]]/Table1[[#This Row],[Kvcache]]</f>
        <v>622999.4495078756</v>
      </c>
      <c r="AB88" s="140">
        <f>Table1[[#This Row],[tok/req]]*Table1[[#This Row],[Run]]</f>
        <v>336802.08333333331</v>
      </c>
      <c r="AC88" s="140">
        <f>Table1[[#This Row],[tok(Run)]]/Table1[[#This Row],[Kvcache]]</f>
        <v>388134.99388143962</v>
      </c>
      <c r="AD88" s="140">
        <f>Table1[[#This Row],[tok/req]]*Table1[[#This Row],[MaxRun]]</f>
        <v>393750</v>
      </c>
      <c r="AE88" s="140">
        <f>Table1[[#This Row],[tok(MaxRun)]]/Table1[[#This Row],[MaxKvcache]]</f>
        <v>394760.63622929144</v>
      </c>
      <c r="AF88" s="144">
        <f>Table1[[#This Row],[PPS]]*Table1[[#This Row],[Prefill]]/Table1[[#This Row],[In-Tok]]</f>
        <v>2.4860390781942443</v>
      </c>
      <c r="AG88" s="141">
        <f>Table1[[#This Row],[GPS]]*Table1[[#This Row],[ITL]]</f>
        <v>100.6046236634253</v>
      </c>
      <c r="AH88" s="141">
        <f>Table1[[#This Row],[Nprefill]]+Table1[[#This Row],[Ndecode]]</f>
        <v>103.09066274161954</v>
      </c>
      <c r="AI88" s="145">
        <f>Table1[[#This Row],[Run]]/Table1[[#This Row],[ITL]]/Table1[[#This Row],[GPS]]</f>
        <v>0.63767226039632252</v>
      </c>
      <c r="AJ88" s="142">
        <f>Table1[[#This Row],[Prefill]]+Table1[[#This Row],[ITL]]</f>
        <v>0.50547945386645454</v>
      </c>
      <c r="AK88" s="145">
        <f>Table1[[#This Row],[TTFT]]/Table1[[#This Row],[estTTFT]]</f>
        <v>28.182041130840499</v>
      </c>
      <c r="AL88" s="141">
        <f>Table1[[#This Row],[In-Tok]]*Table1[[#This Row],[RPS]]/Table1[[#This Row],[PPS]]</f>
        <v>1.3086261010952298</v>
      </c>
      <c r="AM88" s="145">
        <f>Table1[[#This Row],[Prefill]]/Table1[[#This Row],[estPrefill]]</f>
        <v>0.35514843974203486</v>
      </c>
      <c r="AN88" s="145">
        <f>Table1[[#This Row],[Prefill]]/Table1[[#This Row],[TTFT]]</f>
        <v>3.2624926150122087E-2</v>
      </c>
      <c r="AO88" s="142">
        <f>Table1[[#This Row],[Run]]/(Table1[[#This Row],[Out-Tok]]*Table1[[#This Row],[RPS]])</f>
        <v>1.8329365079365077E-2</v>
      </c>
      <c r="AP88" s="145">
        <f>Table1[[#This Row],[ITL]]/Table1[[#This Row],[estITL]]</f>
        <v>2.2217319410930663</v>
      </c>
      <c r="AQ88" s="146">
        <f>Table1[[#This Row],[E2E]]-Table1[[#This Row],[TTFT]]+Table1[[#This Row],[ITL]]</f>
        <v>20.151139628618896</v>
      </c>
      <c r="AR88" s="145">
        <f>Table1[[#This Row],[estDecode]]/Table1[[#This Row],[Run]]</f>
        <v>0.3141117240226371</v>
      </c>
      <c r="AS88" s="146">
        <f>Table1[[#This Row],[Prefill]]+Table1[[#This Row],[Out-Tok]]*Table1[[#This Row],[ITL]]</f>
        <v>20.826224446400293</v>
      </c>
      <c r="AT88" s="141">
        <f>Table1[[#This Row],[estPrefill]]+Table1[[#This Row],[Out-Tok]]*Table1[[#This Row],[ITL]]</f>
        <v>21.670094029485849</v>
      </c>
      <c r="AU88" s="145">
        <f>Table1[[#This Row],[E2E]]/Table1[[#This Row],[estE2E]]</f>
        <v>1.5854042629291012</v>
      </c>
      <c r="AV88" s="141">
        <f>Table1[[#This Row],[N]]/Table1[[#This Row],[estE2E]]</f>
        <v>4.7572780534014827</v>
      </c>
      <c r="AW88" s="141">
        <f>Table1[[#This Row],[PPS]]/Table1[[#This Row],[In-Tok]]</f>
        <v>5.3491214901960786</v>
      </c>
      <c r="AX88" s="145">
        <f>Table1[[#This Row],[RPS]]/Table1[[#This Row],[RPS(IL)]]</f>
        <v>1.3086261010952298</v>
      </c>
      <c r="AY88" s="141">
        <f>Table1[[#This Row],[GPS]]/Table1[[#This Row],[Out-Tok]]</f>
        <v>4.9409317647058835</v>
      </c>
      <c r="AZ88" s="147">
        <f>Table1[[#This Row],[RPS]]/Table1[[#This Row],[RPS(OL)]]</f>
        <v>1.4167368288715247</v>
      </c>
      <c r="BA88" s="148">
        <f>MaxTok/Table1[[#This Row],[tok/req]]</f>
        <v>73.88804990334387</v>
      </c>
      <c r="BB88" s="145">
        <f>Table1[[#This Row],[N]]/Table1[[#This Row],[N-max]]</f>
        <v>1.3952278193358312</v>
      </c>
      <c r="BC88" s="94">
        <f>Table1[[#This Row],[RPS]]</f>
        <v>7</v>
      </c>
      <c r="BD88" s="152">
        <f>Table1[[#This Row],[PPS]]/Table1[[#This Row],[RPS success]]</f>
        <v>3820.8010644257706</v>
      </c>
      <c r="BE88" s="93">
        <f>ABS(Table1[[#This Row],[est-In-Tok3]]-Table1[[#This Row],[In-Tok]])/Table1[[#This Row],[In-Tok]]</f>
        <v>0.23583978711484588</v>
      </c>
      <c r="BF88" s="152">
        <f>Table1[[#This Row],[GPS]]/Table1[[#This Row],[RPS success]]</f>
        <v>352.92369747899164</v>
      </c>
      <c r="BG88" s="93">
        <f>ABS(Table1[[#This Row],[est-Out-Tok3]]-Table1[[#This Row],[Out-Tok]])/Table1[[#This Row],[Out-Tok]]</f>
        <v>0.29415260504201673</v>
      </c>
      <c r="BH88" s="158">
        <f>Table1[[#This Row],[est-In-Tok3]]+AvgOutLoad*Table1[[#This Row],[est-Out-Tok3]]</f>
        <v>3997.2629131652666</v>
      </c>
      <c r="BI88" s="93">
        <f>ABS(Table1[[#This Row],[est-Tok/Req3]]-Table1[[#This Row],[tok/req]])/Table1[[#This Row],[tok/req]]</f>
        <v>0.23861658796852064</v>
      </c>
      <c r="BJ88" s="158">
        <f>MaxTok/Table1[[#This Row],[est-Tok/Req3]]</f>
        <v>97.044470283638077</v>
      </c>
      <c r="BK88" s="93">
        <f>ABS(Table1[[#This Row],[est-N-max3]]-Table1[[#This Row],[N-max]])/Table1[[#This Row],[N-max]]</f>
        <v>0.31339872158740306</v>
      </c>
      <c r="BL88" s="94">
        <f>MaxTok*Table1[[#This Row],[Kvcache]]/Table1[[#This Row],[Run]]</f>
        <v>5246.98727907796</v>
      </c>
      <c r="BM88" s="166">
        <f>ABS(Table1[[#This Row],[est-Tok/Req]]-Table1[[#This Row],[tok/req]])/Table1[[#This Row],[tok/req]]</f>
        <v>5.7385160419809315E-4</v>
      </c>
      <c r="BN88" s="94">
        <f>MaxTok/Table1[[#This Row],[est-Tok/Req]]</f>
        <v>73.930475025036102</v>
      </c>
      <c r="BO88" s="176">
        <f>Table1[[#This Row],[Run]]/Table1[[#This Row],[Kvcache]]</f>
        <v>73.930475025036117</v>
      </c>
      <c r="BP88" s="132" cm="1">
        <f t="array" aca="1" ref="BP88" ca="1">_xlfn.CEILING.MATH(INDIRECT("Table1"&amp;BP$3)/BP$2)*BP$2</f>
        <v>6000</v>
      </c>
      <c r="BQ88" s="183" cm="1">
        <f t="array" aca="1" ref="BQ88" ca="1">_xlfn.CEILING.MATH(INDIRECT("Table1"&amp;BQ$3)/BQ$2)*BQ$2</f>
        <v>4.4999999999999998E-2</v>
      </c>
      <c r="BR88" s="93" cm="1">
        <f t="array" aca="1" ref="BR88" ca="1">_xlfn.CEILING.MATH(INDIRECT("Table1"&amp;BR$3)/BR$2)*BR$2</f>
        <v>0.9</v>
      </c>
      <c r="BS88" s="93" cm="1">
        <f t="array" aca="1" ref="BS88" ca="1">_xlfn.CEILING.MATH(INDIRECT("Table1"&amp;BS$3)/BS$2)*BS$2</f>
        <v>0.87</v>
      </c>
      <c r="BT88" s="33" cm="1">
        <f t="array" aca="1" ref="BT88" ca="1">_xlfn.CEILING.MATH(INDIRECT("Table1"&amp;BT$3)/BT$2)*BT$2</f>
        <v>65</v>
      </c>
      <c r="BU88" s="132" cm="1">
        <f t="array" aca="1" ref="BU88" ca="1">_xlfn.CEILING.MATH(INDIRECT("Table1"&amp;BU$3)/BU$2)*BU$2</f>
        <v>10</v>
      </c>
      <c r="BV88" s="132" cm="1">
        <f t="array" aca="1" ref="BV88" ca="1">_xlfn.CEILING.MATH(INDIRECT("Table1"&amp;BV$3)/BV$2)*BV$2</f>
        <v>5000</v>
      </c>
      <c r="BW88" s="93"/>
      <c r="BX88" s="93"/>
      <c r="BY88" s="190">
        <v>0.99743987587276961</v>
      </c>
      <c r="BZ88" s="93"/>
      <c r="CA88" s="111">
        <f>(Table1[[#This Row],[In-Tok]]+Table1[[#This Row],[Out-Tok]])*Table1[[#This Row],[RPS]]</f>
        <v>38500</v>
      </c>
      <c r="CB88" s="33">
        <f t="shared" si="24"/>
        <v>394760.63622929144</v>
      </c>
      <c r="CC88" s="33">
        <f>Table1[[#This Row],[Supply]]/(Table1[[#This Row],[Prefill]]+Table1[[#This Row],[Out-Tok]]*Table1[[#This Row],[ITL]])</f>
        <v>18954.978481350412</v>
      </c>
      <c r="CD88" s="33">
        <f>Table1[[#This Row],[MaxRun]]/Table1[[#This Row],[ITL]]</f>
        <v>1841.7139732697071</v>
      </c>
      <c r="CE88" s="33">
        <f>Table1[[#This Row],[Out-Tok]]*Table1[[#This Row],[RPS]]</f>
        <v>3500</v>
      </c>
      <c r="CF88" s="91">
        <f>Table1[[#This Row],[Supply]]/Table1[[#This Row],[Demand-T]]</f>
        <v>10.253523018942635</v>
      </c>
      <c r="CG88" s="91"/>
      <c r="CH88" s="112">
        <f>Table1[[#This Row],[Prefill]]+Table1[[#This Row],[Out-Tok]]*Table1[[#This Row],[ITL]]</f>
        <v>20.826224446400293</v>
      </c>
      <c r="CI88" s="112">
        <f>Table1[[#This Row],[GPS]]*Table1[[#This Row],[ITL]]</f>
        <v>100.6046236634253</v>
      </c>
      <c r="CJ88" s="113">
        <f>Table1[[#This Row],[PPS]]*Table1[[#This Row],[Prefill]]/Table1[[#This Row],[In-Tok]]</f>
        <v>2.4860390781942443</v>
      </c>
      <c r="CK88" s="112">
        <f t="shared" si="19"/>
        <v>103.09066274161954</v>
      </c>
      <c r="CL88" s="112">
        <f>Table1[[#This Row],[PPS]]/Table1[[#This Row],[In-Tok]]</f>
        <v>5.3491214901960786</v>
      </c>
      <c r="CM88" s="112">
        <f>Table1[[#This Row],[GPS]]/Table1[[#This Row],[Out-Tok]]</f>
        <v>4.9409317647058835</v>
      </c>
      <c r="CN88" s="112">
        <f>Table1[[#This Row],[Run]]/Table1[[#This Row],[E2E]]</f>
        <v>1.8673023699675317</v>
      </c>
      <c r="CO88" s="112">
        <f>Table1[[#This Row],[N2]]/Table1[[#This Row],[E2E]]</f>
        <v>3.0006719198623899</v>
      </c>
      <c r="CP88" s="112"/>
      <c r="CQ88" s="112">
        <f>Table1[[#This Row],[In-Tok]]+AvgOutLoad*Table1[[#This Row],[Out-Tok]]</f>
        <v>5250</v>
      </c>
      <c r="CR88" s="112">
        <f t="shared" si="20"/>
        <v>942992.79787085799</v>
      </c>
      <c r="CS88" s="112" t="e">
        <f t="shared" si="21"/>
        <v>#DIV/0!</v>
      </c>
      <c r="CT88" s="112" t="e">
        <f t="shared" si="25"/>
        <v>#DIV/0!</v>
      </c>
      <c r="CU88" s="112">
        <f t="shared" si="22"/>
        <v>0</v>
      </c>
      <c r="CV88" s="112" t="e">
        <f t="shared" si="23"/>
        <v>#DIV/0!</v>
      </c>
      <c r="CW88" s="112">
        <f>Table1[[#This Row],[N(maxT)]]/Table1[[#This Row],[e2e sat]]</f>
        <v>0</v>
      </c>
      <c r="CX88" s="112" t="e">
        <f>Table1[[#This Row],[RPS]]/CW88</f>
        <v>#DIV/0!</v>
      </c>
      <c r="CY88" s="114" t="e">
        <f>Table1[[#This Row],[Kvcache]]/$T$4</f>
        <v>#DIV/0!</v>
      </c>
      <c r="GJ88"/>
    </row>
    <row r="89" spans="1:192" hidden="1" x14ac:dyDescent="0.25">
      <c r="A89" s="3">
        <v>5000</v>
      </c>
      <c r="B89" s="3">
        <v>500</v>
      </c>
      <c r="C89">
        <v>2</v>
      </c>
      <c r="D89" s="199">
        <f>Table1[[#This Row],[Kvcache]]</f>
        <v>0.17859033450463196</v>
      </c>
      <c r="E89" s="4" t="s">
        <v>141</v>
      </c>
      <c r="F89" s="219">
        <v>46092</v>
      </c>
      <c r="G89" s="10"/>
      <c r="H89" s="10">
        <v>0.17598431917840884</v>
      </c>
      <c r="I89" s="10">
        <v>0.15181905510606336</v>
      </c>
      <c r="J89" s="10">
        <v>0.81407380497564708</v>
      </c>
      <c r="K89" s="10">
        <v>1.1390088438987731</v>
      </c>
      <c r="L89" s="10">
        <v>1.3229177117347719</v>
      </c>
      <c r="M89" s="10">
        <v>1.3675466659039886E-2</v>
      </c>
      <c r="N89" s="10">
        <v>7.0367608604535379</v>
      </c>
      <c r="O89" s="47">
        <v>12454.506249999999</v>
      </c>
      <c r="P89" s="47">
        <v>1162.1812500000001</v>
      </c>
      <c r="Q89" s="5">
        <v>13.176470588235295</v>
      </c>
      <c r="R89" s="5">
        <v>26</v>
      </c>
      <c r="S89" s="170">
        <v>0.17859033450463196</v>
      </c>
      <c r="T89" s="170">
        <v>0.35128006206361517</v>
      </c>
      <c r="U89" s="20">
        <f>(Table1[[#This Row],[In-Tok]]+Table1[[#This Row],[Out-Tok]])*Table1[[#This Row],[RPS]]</f>
        <v>11000</v>
      </c>
      <c r="V89" s="3">
        <f>Table1[[#This Row],[In-Tok]]+AvgOutLoad*Table1[[#This Row],[Out-Tok]]</f>
        <v>5250</v>
      </c>
      <c r="W89" s="3">
        <f>Table1[[#This Row],[In-Tok]]*Table1[[#This Row],[RPS]]</f>
        <v>10000</v>
      </c>
      <c r="X89" s="3">
        <f>Table1[[#This Row],[Out-Tok]]*Table1[[#This Row],[RPS]]</f>
        <v>1000</v>
      </c>
      <c r="Y89" s="75">
        <f>Table1[[#This Row],[In-Tok]]/Table1[[#This Row],[Out-Tok]]</f>
        <v>10</v>
      </c>
      <c r="Z89" s="26">
        <f>Table1[[#This Row],[In-Tok]]*Table1[[#This Row],[N]]+AvgOutLoad*Table1[[#This Row],[Out-Tok]]*Table1[[#This Row],[Ndecode]]</f>
        <v>85331.028785403134</v>
      </c>
      <c r="AA89" s="3">
        <f>Table1[[#This Row],[tok(N)]]/Table1[[#This Row],[Kvcache]]</f>
        <v>477803.17463479505</v>
      </c>
      <c r="AB89" s="3">
        <f>Table1[[#This Row],[tok/req]]*Table1[[#This Row],[Run]]</f>
        <v>69176.470588235301</v>
      </c>
      <c r="AC89" s="3">
        <f>Table1[[#This Row],[tok(Run)]]/Table1[[#This Row],[Kvcache]]</f>
        <v>387347.22559378552</v>
      </c>
      <c r="AD89" s="3">
        <f>Table1[[#This Row],[tok/req]]*Table1[[#This Row],[MaxRun]]</f>
        <v>136500</v>
      </c>
      <c r="AE89" s="3">
        <f>Table1[[#This Row],[tok(MaxRun)]]/Table1[[#This Row],[MaxKvcache]]</f>
        <v>388578.84275618376</v>
      </c>
      <c r="AF89" s="75">
        <f>Table1[[#This Row],[PPS]]*Table1[[#This Row],[Prefill]]/Table1[[#This Row],[In-Tok]]</f>
        <v>0.37816627413751208</v>
      </c>
      <c r="AG89" s="5">
        <f>Table1[[#This Row],[GPS]]*Table1[[#This Row],[ITL]]</f>
        <v>15.8933709361363</v>
      </c>
      <c r="AH89" s="5">
        <f>Table1[[#This Row],[Nprefill]]+Table1[[#This Row],[Ndecode]]</f>
        <v>16.271537210273813</v>
      </c>
      <c r="AI89" s="4">
        <f>Table1[[#This Row],[Run]]/Table1[[#This Row],[ITL]]/Table1[[#This Row],[GPS]]</f>
        <v>0.82905449329671987</v>
      </c>
      <c r="AJ89" s="10">
        <f>Table1[[#This Row],[Prefill]]+Table1[[#This Row],[ITL]]</f>
        <v>0.16549452176510324</v>
      </c>
      <c r="AK89" s="4">
        <f>Table1[[#This Row],[TTFT]]/Table1[[#This Row],[estTTFT]]</f>
        <v>1.0633845598115594</v>
      </c>
      <c r="AL89" s="5">
        <f>Table1[[#This Row],[In-Tok]]*Table1[[#This Row],[RPS]]/Table1[[#This Row],[PPS]]</f>
        <v>0.80292223547601504</v>
      </c>
      <c r="AM89" s="4">
        <f>Table1[[#This Row],[Prefill]]/Table1[[#This Row],[estPrefill]]</f>
        <v>0.18908313706875604</v>
      </c>
      <c r="AN89" s="4">
        <f>Table1[[#This Row],[Prefill]]/Table1[[#This Row],[TTFT]]</f>
        <v>0.86268512907762374</v>
      </c>
      <c r="AO89" s="10">
        <f>Table1[[#This Row],[Run]]/(Table1[[#This Row],[Out-Tok]]*Table1[[#This Row],[RPS]])</f>
        <v>1.3176470588235295E-2</v>
      </c>
      <c r="AP89" s="4">
        <f>Table1[[#This Row],[ITL]]/Table1[[#This Row],[estITL]]</f>
        <v>1.0378702375164199</v>
      </c>
      <c r="AQ89" s="44">
        <f>Table1[[#This Row],[E2E]]-Table1[[#This Row],[TTFT]]+Table1[[#This Row],[ITL]]</f>
        <v>6.8744520079341687</v>
      </c>
      <c r="AR89" s="4">
        <f>Table1[[#This Row],[estDecode]]/Table1[[#This Row],[Run]]</f>
        <v>0.52172180417357528</v>
      </c>
      <c r="AS89" s="44">
        <f>Table1[[#This Row],[Prefill]]+Table1[[#This Row],[Out-Tok]]*Table1[[#This Row],[ITL]]</f>
        <v>6.9895523846260064</v>
      </c>
      <c r="AT89" s="5">
        <f>Table1[[#This Row],[estPrefill]]+Table1[[#This Row],[Out-Tok]]*Table1[[#This Row],[ITL]]</f>
        <v>7.6406555649959582</v>
      </c>
      <c r="AU89" s="4">
        <f>Table1[[#This Row],[E2E]]/Table1[[#This Row],[estE2E]]</f>
        <v>0.92096297243013603</v>
      </c>
      <c r="AV89" s="5">
        <f>Table1[[#This Row],[N]]/Table1[[#This Row],[estE2E]]</f>
        <v>2.1295996229457597</v>
      </c>
      <c r="AW89" s="5">
        <f>Table1[[#This Row],[PPS]]/Table1[[#This Row],[In-Tok]]</f>
        <v>2.4909012499999998</v>
      </c>
      <c r="AX89" s="4">
        <f>Table1[[#This Row],[RPS]]/Table1[[#This Row],[RPS(IL)]]</f>
        <v>0.80292223547601504</v>
      </c>
      <c r="AY89" s="5">
        <f>Table1[[#This Row],[GPS]]/Table1[[#This Row],[Out-Tok]]</f>
        <v>2.3243625000000003</v>
      </c>
      <c r="AZ89" s="89">
        <f>Table1[[#This Row],[RPS]]/Table1[[#This Row],[RPS(OL)]]</f>
        <v>0.86045098387192176</v>
      </c>
      <c r="BA89" s="135">
        <f>MaxTok/Table1[[#This Row],[tok/req]]</f>
        <v>73.88804990334387</v>
      </c>
      <c r="BB89" s="4">
        <f>Table1[[#This Row],[N]]/Table1[[#This Row],[N-max]]</f>
        <v>0.2202187935878577</v>
      </c>
      <c r="BC89" s="44">
        <f>Table1[[#This Row],[RPS]]</f>
        <v>2</v>
      </c>
      <c r="BD89" s="47">
        <f>Table1[[#This Row],[PPS]]/Table1[[#This Row],[RPS success]]</f>
        <v>6227.2531249999993</v>
      </c>
      <c r="BE89" s="4">
        <f>ABS(Table1[[#This Row],[est-In-Tok3]]-Table1[[#This Row],[In-Tok]])/Table1[[#This Row],[In-Tok]]</f>
        <v>0.24545062499999987</v>
      </c>
      <c r="BF89" s="47">
        <f>Table1[[#This Row],[GPS]]/Table1[[#This Row],[RPS success]]</f>
        <v>581.09062500000005</v>
      </c>
      <c r="BG89" s="4">
        <f>ABS(Table1[[#This Row],[est-Out-Tok3]]-Table1[[#This Row],[Out-Tok]])/Table1[[#This Row],[Out-Tok]]</f>
        <v>0.16218125000000008</v>
      </c>
      <c r="BH89" s="162">
        <f>Table1[[#This Row],[est-In-Tok3]]+AvgOutLoad*Table1[[#This Row],[est-Out-Tok3]]</f>
        <v>6517.7984374999996</v>
      </c>
      <c r="BI89" s="4">
        <f>ABS(Table1[[#This Row],[est-Tok/Req3]]-Table1[[#This Row],[tok/req]])/Table1[[#This Row],[tok/req]]</f>
        <v>0.24148541666666659</v>
      </c>
      <c r="BJ89" s="162">
        <f>MaxTok/Table1[[#This Row],[est-Tok/Req3]]</f>
        <v>59.515841999763481</v>
      </c>
      <c r="BK89" s="4">
        <f>ABS(Table1[[#This Row],[est-N-max3]]-Table1[[#This Row],[N-max]])/Table1[[#This Row],[N-max]]</f>
        <v>0.19451329304781073</v>
      </c>
      <c r="BL89" s="44">
        <f>MaxTok*Table1[[#This Row],[Kvcache]]/Table1[[#This Row],[Run]]</f>
        <v>5257.6583512092893</v>
      </c>
      <c r="BM89" s="170">
        <f>ABS(Table1[[#This Row],[est-Tok/Req]]-Table1[[#This Row],[tok/req]])/Table1[[#This Row],[tok/req]]</f>
        <v>1.4587335636741564E-3</v>
      </c>
      <c r="BN89" s="44">
        <f>MaxTok/Table1[[#This Row],[est-Tok/Req]]</f>
        <v>73.780423922625829</v>
      </c>
      <c r="BO89" s="180">
        <f>Table1[[#This Row],[Run]]/Table1[[#This Row],[Kvcache]]</f>
        <v>73.780423922625815</v>
      </c>
      <c r="BP89" s="4" cm="1">
        <f t="array" aca="1" ref="BP89" ca="1">_xlfn.CEILING.MATH(INDIRECT("Table1"&amp;BP$3)/BP$2)*BP$2</f>
        <v>6000</v>
      </c>
      <c r="BQ89" s="4" cm="1">
        <f t="array" aca="1" ref="BQ89" ca="1">_xlfn.CEILING.MATH(INDIRECT("Table1"&amp;BQ$3)/BQ$2)*BQ$2</f>
        <v>1.4999999999999999E-2</v>
      </c>
      <c r="BR89" s="4" cm="1">
        <f t="array" aca="1" ref="BR89" ca="1">_xlfn.CEILING.MATH(INDIRECT("Table1"&amp;BR$3)/BR$2)*BR$2</f>
        <v>0.2</v>
      </c>
      <c r="BS89" s="4" cm="1">
        <f t="array" aca="1" ref="BS89" ca="1">_xlfn.CEILING.MATH(INDIRECT("Table1"&amp;BS$3)/BS$2)*BS$2</f>
        <v>0.18</v>
      </c>
      <c r="BT89" s="3" cm="1">
        <f t="array" aca="1" ref="BT89" ca="1">_xlfn.CEILING.MATH(INDIRECT("Table1"&amp;BT$3)/BT$2)*BT$2</f>
        <v>14</v>
      </c>
      <c r="BU89" s="135" cm="1">
        <f t="array" aca="1" ref="BU89" ca="1">_xlfn.CEILING.MATH(INDIRECT("Table1"&amp;BU$3)/BU$2)*BU$2</f>
        <v>10</v>
      </c>
      <c r="BV89" s="135" cm="1">
        <f t="array" aca="1" ref="BV89" ca="1">_xlfn.CEILING.MATH(INDIRECT("Table1"&amp;BV$3)/BV$2)*BV$2</f>
        <v>5000</v>
      </c>
      <c r="BW89" s="4"/>
      <c r="BX89" s="4"/>
      <c r="BY89" s="190">
        <v>0.35128006206361517</v>
      </c>
      <c r="BZ89" s="4"/>
      <c r="CA89" s="3"/>
      <c r="CF89" s="5"/>
      <c r="CH89" s="8"/>
      <c r="CI89" s="8"/>
      <c r="CJ89" s="14"/>
      <c r="CK89" s="8"/>
      <c r="CL89" s="8"/>
      <c r="CM89" s="8"/>
      <c r="CN89" s="8"/>
      <c r="CO89" s="8"/>
      <c r="CP89" s="8"/>
      <c r="CQ89" s="8">
        <f>Table1[[#This Row],[In-Tok]]+AvgOutLoad*Table1[[#This Row],[Out-Tok]]</f>
        <v>5250</v>
      </c>
      <c r="CR89" s="8"/>
      <c r="CS89" s="8"/>
      <c r="CT89" s="8"/>
      <c r="CU89" s="8"/>
      <c r="CV89" s="8"/>
      <c r="CW89" s="8"/>
      <c r="CX89" s="8"/>
      <c r="CY89" s="8"/>
      <c r="GJ89"/>
    </row>
    <row r="90" spans="1:192" hidden="1" x14ac:dyDescent="0.25">
      <c r="A90" s="3">
        <v>5000</v>
      </c>
      <c r="B90" s="3">
        <v>500</v>
      </c>
      <c r="C90">
        <v>2.2000000000000002</v>
      </c>
      <c r="D90" s="199">
        <f>Table1[[#This Row],[Kvcache]]</f>
        <v>0.23920275635467531</v>
      </c>
      <c r="E90" s="4" t="s">
        <v>141</v>
      </c>
      <c r="F90" s="219">
        <v>46092</v>
      </c>
      <c r="G90" s="10"/>
      <c r="H90" s="10">
        <v>0.20305258798256787</v>
      </c>
      <c r="I90" s="10">
        <v>0.16800686798882636</v>
      </c>
      <c r="J90" s="10">
        <v>0.91278575280776297</v>
      </c>
      <c r="K90" s="10">
        <v>1.516696518659592</v>
      </c>
      <c r="L90" s="10">
        <v>1.855468022823334</v>
      </c>
      <c r="M90" s="10">
        <v>1.5582201915096445E-2</v>
      </c>
      <c r="N90" s="10">
        <v>7.9715277228998929</v>
      </c>
      <c r="O90" s="47">
        <v>14155.45</v>
      </c>
      <c r="P90" s="47">
        <v>1320.2125000000001</v>
      </c>
      <c r="Q90" s="5">
        <v>17.647058823529409</v>
      </c>
      <c r="R90" s="5">
        <v>32</v>
      </c>
      <c r="S90" s="170">
        <v>0.23920275635467531</v>
      </c>
      <c r="T90" s="170">
        <v>0.4313421256788208</v>
      </c>
      <c r="U90" s="20">
        <f>(Table1[[#This Row],[In-Tok]]+Table1[[#This Row],[Out-Tok]])*Table1[[#This Row],[RPS]]</f>
        <v>12100.000000000002</v>
      </c>
      <c r="V90" s="3">
        <f>Table1[[#This Row],[In-Tok]]+AvgOutLoad*Table1[[#This Row],[Out-Tok]]</f>
        <v>5250</v>
      </c>
      <c r="W90" s="3">
        <f>Table1[[#This Row],[In-Tok]]*Table1[[#This Row],[RPS]]</f>
        <v>11000</v>
      </c>
      <c r="X90" s="3">
        <f>Table1[[#This Row],[Out-Tok]]*Table1[[#This Row],[RPS]]</f>
        <v>1100</v>
      </c>
      <c r="Y90" s="75">
        <f>Table1[[#This Row],[In-Tok]]/Table1[[#This Row],[Out-Tok]]</f>
        <v>10</v>
      </c>
      <c r="Z90" s="26">
        <f>Table1[[#This Row],[In-Tok]]*Table1[[#This Row],[N]]+AvgOutLoad*Table1[[#This Row],[Out-Tok]]*Table1[[#This Row],[Ndecode]]</f>
        <v>110380.25598510233</v>
      </c>
      <c r="AA90" s="3">
        <f>Table1[[#This Row],[tok(N)]]/Table1[[#This Row],[Kvcache]]</f>
        <v>461450.60227248049</v>
      </c>
      <c r="AB90" s="3">
        <f>Table1[[#This Row],[tok/req]]*Table1[[#This Row],[Run]]</f>
        <v>92647.058823529398</v>
      </c>
      <c r="AC90" s="3">
        <f>Table1[[#This Row],[tok(Run)]]/Table1[[#This Row],[Kvcache]]</f>
        <v>387316.01690307434</v>
      </c>
      <c r="AD90" s="3">
        <f>Table1[[#This Row],[tok/req]]*Table1[[#This Row],[MaxRun]]</f>
        <v>168000</v>
      </c>
      <c r="AE90" s="3">
        <f>Table1[[#This Row],[tok(MaxRun)]]/Table1[[#This Row],[MaxKvcache]]</f>
        <v>389482.01438848919</v>
      </c>
      <c r="AF90" s="75">
        <f>Table1[[#This Row],[PPS]]*Table1[[#This Row],[Prefill]]/Table1[[#This Row],[In-Tok]]</f>
        <v>0.47564256389448645</v>
      </c>
      <c r="AG90" s="5">
        <f>Table1[[#This Row],[GPS]]*Table1[[#This Row],[ITL]]</f>
        <v>20.571817745834267</v>
      </c>
      <c r="AH90" s="5">
        <f>Table1[[#This Row],[Nprefill]]+Table1[[#This Row],[Ndecode]]</f>
        <v>21.047460309728752</v>
      </c>
      <c r="AI90" s="4">
        <f>Table1[[#This Row],[Run]]/Table1[[#This Row],[ITL]]/Table1[[#This Row],[GPS]]</f>
        <v>0.85782690871363987</v>
      </c>
      <c r="AJ90" s="10">
        <f>Table1[[#This Row],[Prefill]]+Table1[[#This Row],[ITL]]</f>
        <v>0.18358906990392279</v>
      </c>
      <c r="AK90" s="4">
        <f>Table1[[#This Row],[TTFT]]/Table1[[#This Row],[estTTFT]]</f>
        <v>1.1060167584531633</v>
      </c>
      <c r="AL90" s="5">
        <f>Table1[[#This Row],[In-Tok]]*Table1[[#This Row],[RPS]]/Table1[[#This Row],[PPS]]</f>
        <v>0.77708585739061631</v>
      </c>
      <c r="AM90" s="4">
        <f>Table1[[#This Row],[Prefill]]/Table1[[#This Row],[estPrefill]]</f>
        <v>0.21620116540658474</v>
      </c>
      <c r="AN90" s="4">
        <f>Table1[[#This Row],[Prefill]]/Table1[[#This Row],[TTFT]]</f>
        <v>0.82740569651468709</v>
      </c>
      <c r="AO90" s="10">
        <f>Table1[[#This Row],[Run]]/(Table1[[#This Row],[Out-Tok]]*Table1[[#This Row],[RPS]])</f>
        <v>1.60427807486631E-2</v>
      </c>
      <c r="AP90" s="4">
        <f>Table1[[#This Row],[ITL]]/Table1[[#This Row],[estITL]]</f>
        <v>0.97129058604101182</v>
      </c>
      <c r="AQ90" s="44">
        <f>Table1[[#This Row],[E2E]]-Table1[[#This Row],[TTFT]]+Table1[[#This Row],[ITL]]</f>
        <v>7.7840573368324213</v>
      </c>
      <c r="AR90" s="4">
        <f>Table1[[#This Row],[estDecode]]/Table1[[#This Row],[Run]]</f>
        <v>0.44109658242050392</v>
      </c>
      <c r="AS90" s="44">
        <f>Table1[[#This Row],[Prefill]]+Table1[[#This Row],[Out-Tok]]*Table1[[#This Row],[ITL]]</f>
        <v>7.9591078255370489</v>
      </c>
      <c r="AT90" s="5">
        <f>Table1[[#This Row],[estPrefill]]+Table1[[#This Row],[Out-Tok]]*Table1[[#This Row],[ITL]]</f>
        <v>8.5681868149388389</v>
      </c>
      <c r="AU90" s="4">
        <f>Table1[[#This Row],[E2E]]/Table1[[#This Row],[estE2E]]</f>
        <v>0.93036343570396285</v>
      </c>
      <c r="AV90" s="5">
        <f>Table1[[#This Row],[N]]/Table1[[#This Row],[estE2E]]</f>
        <v>2.4564660837030305</v>
      </c>
      <c r="AW90" s="5">
        <f>Table1[[#This Row],[PPS]]/Table1[[#This Row],[In-Tok]]</f>
        <v>2.8310900000000001</v>
      </c>
      <c r="AX90" s="4">
        <f>Table1[[#This Row],[RPS]]/Table1[[#This Row],[RPS(IL)]]</f>
        <v>0.77708585739061642</v>
      </c>
      <c r="AY90" s="5">
        <f>Table1[[#This Row],[GPS]]/Table1[[#This Row],[Out-Tok]]</f>
        <v>2.640425</v>
      </c>
      <c r="AZ90" s="89">
        <f>Table1[[#This Row],[RPS]]/Table1[[#This Row],[RPS(OL)]]</f>
        <v>0.83319920088622101</v>
      </c>
      <c r="BA90" s="135">
        <f>MaxTok/Table1[[#This Row],[tok/req]]</f>
        <v>73.88804990334387</v>
      </c>
      <c r="BB90" s="4">
        <f>Table1[[#This Row],[N]]/Table1[[#This Row],[N-max]]</f>
        <v>0.28485608075002439</v>
      </c>
      <c r="BC90" s="44">
        <f>Table1[[#This Row],[RPS]]</f>
        <v>2.2000000000000002</v>
      </c>
      <c r="BD90" s="47">
        <f>Table1[[#This Row],[PPS]]/Table1[[#This Row],[RPS success]]</f>
        <v>6434.295454545454</v>
      </c>
      <c r="BE90" s="4">
        <f>ABS(Table1[[#This Row],[est-In-Tok3]]-Table1[[#This Row],[In-Tok]])/Table1[[#This Row],[In-Tok]]</f>
        <v>0.28685909090909079</v>
      </c>
      <c r="BF90" s="47">
        <f>Table1[[#This Row],[GPS]]/Table1[[#This Row],[RPS success]]</f>
        <v>600.09659090909088</v>
      </c>
      <c r="BG90" s="4">
        <f>ABS(Table1[[#This Row],[est-Out-Tok3]]-Table1[[#This Row],[Out-Tok]])/Table1[[#This Row],[Out-Tok]]</f>
        <v>0.20019318181818174</v>
      </c>
      <c r="BH90" s="162">
        <f>Table1[[#This Row],[est-In-Tok3]]+AvgOutLoad*Table1[[#This Row],[est-Out-Tok3]]</f>
        <v>6734.3437499999991</v>
      </c>
      <c r="BI90" s="4">
        <f>ABS(Table1[[#This Row],[est-Tok/Req3]]-Table1[[#This Row],[tok/req]])/Table1[[#This Row],[tok/req]]</f>
        <v>0.28273214285714271</v>
      </c>
      <c r="BJ90" s="162">
        <f>MaxTok/Table1[[#This Row],[est-Tok/Req3]]</f>
        <v>57.602088101391516</v>
      </c>
      <c r="BK90" s="4">
        <f>ABS(Table1[[#This Row],[est-N-max3]]-Table1[[#This Row],[N-max]])/Table1[[#This Row],[N-max]]</f>
        <v>0.22041401584230089</v>
      </c>
      <c r="BL90" s="44">
        <f>MaxTok*Table1[[#This Row],[Kvcache]]/Table1[[#This Row],[Run]]</f>
        <v>5258.0819965691171</v>
      </c>
      <c r="BM90" s="170">
        <f>ABS(Table1[[#This Row],[est-Tok/Req]]-Table1[[#This Row],[tok/req]])/Table1[[#This Row],[tok/req]]</f>
        <v>1.5394279179270685E-3</v>
      </c>
      <c r="BN90" s="44">
        <f>MaxTok/Table1[[#This Row],[est-Tok/Req]]</f>
        <v>73.774479410109407</v>
      </c>
      <c r="BO90" s="180">
        <f>Table1[[#This Row],[Run]]/Table1[[#This Row],[Kvcache]]</f>
        <v>73.774479410109407</v>
      </c>
      <c r="BP90" s="4" cm="1">
        <f t="array" aca="1" ref="BP90" ca="1">_xlfn.CEILING.MATH(INDIRECT("Table1"&amp;BP$3)/BP$2)*BP$2</f>
        <v>6000</v>
      </c>
      <c r="BQ90" s="4" cm="1">
        <f t="array" aca="1" ref="BQ90" ca="1">_xlfn.CEILING.MATH(INDIRECT("Table1"&amp;BQ$3)/BQ$2)*BQ$2</f>
        <v>0.02</v>
      </c>
      <c r="BR90" s="4" cm="1">
        <f t="array" aca="1" ref="BR90" ca="1">_xlfn.CEILING.MATH(INDIRECT("Table1"&amp;BR$3)/BR$2)*BR$2</f>
        <v>0.30000000000000004</v>
      </c>
      <c r="BS90" s="4" cm="1">
        <f t="array" aca="1" ref="BS90" ca="1">_xlfn.CEILING.MATH(INDIRECT("Table1"&amp;BS$3)/BS$2)*BS$2</f>
        <v>0.24</v>
      </c>
      <c r="BT90" s="3" cm="1">
        <f t="array" aca="1" ref="BT90" ca="1">_xlfn.CEILING.MATH(INDIRECT("Table1"&amp;BT$3)/BT$2)*BT$2</f>
        <v>18</v>
      </c>
      <c r="BU90" s="135" cm="1">
        <f t="array" aca="1" ref="BU90" ca="1">_xlfn.CEILING.MATH(INDIRECT("Table1"&amp;BU$3)/BU$2)*BU$2</f>
        <v>10</v>
      </c>
      <c r="BV90" s="135" cm="1">
        <f t="array" aca="1" ref="BV90" ca="1">_xlfn.CEILING.MATH(INDIRECT("Table1"&amp;BV$3)/BV$2)*BV$2</f>
        <v>5000</v>
      </c>
      <c r="BW90" s="4"/>
      <c r="BX90" s="4"/>
      <c r="BY90" s="190">
        <v>0.4313421256788208</v>
      </c>
      <c r="BZ90" s="4"/>
      <c r="CA90" s="3"/>
      <c r="CF90" s="5"/>
      <c r="CH90" s="8"/>
      <c r="CI90" s="8"/>
      <c r="CJ90" s="14"/>
      <c r="CK90" s="8"/>
      <c r="CL90" s="8"/>
      <c r="CM90" s="8"/>
      <c r="CN90" s="8"/>
      <c r="CO90" s="8"/>
      <c r="CP90" s="8"/>
      <c r="CQ90" s="8">
        <f>Table1[[#This Row],[In-Tok]]+AvgOutLoad*Table1[[#This Row],[Out-Tok]]</f>
        <v>5250</v>
      </c>
      <c r="CR90" s="8"/>
      <c r="CS90" s="8"/>
      <c r="CT90" s="8"/>
      <c r="CU90" s="8"/>
      <c r="CV90" s="8"/>
      <c r="CW90" s="8"/>
      <c r="CX90" s="8"/>
      <c r="CY90" s="8"/>
      <c r="GJ90"/>
    </row>
    <row r="91" spans="1:192" hidden="1" x14ac:dyDescent="0.25">
      <c r="A91" s="3">
        <v>5000</v>
      </c>
      <c r="B91" s="3">
        <v>500</v>
      </c>
      <c r="C91">
        <v>2.4</v>
      </c>
      <c r="D91" s="199">
        <f>Table1[[#This Row],[Kvcache]]</f>
        <v>0.2133619312736732</v>
      </c>
      <c r="E91" s="4" t="s">
        <v>141</v>
      </c>
      <c r="F91" s="219">
        <v>46092</v>
      </c>
      <c r="G91" s="10"/>
      <c r="H91" s="10">
        <v>0.19155025033248335</v>
      </c>
      <c r="I91" s="10">
        <v>0.16208390292466535</v>
      </c>
      <c r="J91" s="10">
        <v>0.87404989314019976</v>
      </c>
      <c r="K91" s="10">
        <v>1.6647070646286011</v>
      </c>
      <c r="L91" s="10">
        <v>2.334600269794461</v>
      </c>
      <c r="M91" s="10">
        <v>1.4772788022741266E-2</v>
      </c>
      <c r="N91" s="10">
        <v>7.5513373273955793</v>
      </c>
      <c r="O91" s="47">
        <v>13888.606250000001</v>
      </c>
      <c r="P91" s="47">
        <v>1296.21875</v>
      </c>
      <c r="Q91" s="5">
        <v>15.764705882352942</v>
      </c>
      <c r="R91" s="5">
        <v>30</v>
      </c>
      <c r="S91" s="170">
        <v>0.2133619312736732</v>
      </c>
      <c r="T91" s="170">
        <v>0.40461598138091548</v>
      </c>
      <c r="U91" s="20">
        <f>(Table1[[#This Row],[In-Tok]]+Table1[[#This Row],[Out-Tok]])*Table1[[#This Row],[RPS]]</f>
        <v>13200</v>
      </c>
      <c r="V91" s="3">
        <f>Table1[[#This Row],[In-Tok]]+AvgOutLoad*Table1[[#This Row],[Out-Tok]]</f>
        <v>5250</v>
      </c>
      <c r="W91" s="3">
        <f>Table1[[#This Row],[In-Tok]]*Table1[[#This Row],[RPS]]</f>
        <v>12000</v>
      </c>
      <c r="X91" s="3">
        <f>Table1[[#This Row],[Out-Tok]]*Table1[[#This Row],[RPS]]</f>
        <v>1200</v>
      </c>
      <c r="Y91" s="75">
        <f>Table1[[#This Row],[In-Tok]]/Table1[[#This Row],[Out-Tok]]</f>
        <v>10</v>
      </c>
      <c r="Z91" s="26">
        <f>Table1[[#This Row],[In-Tok]]*Table1[[#This Row],[N]]+AvgOutLoad*Table1[[#This Row],[Out-Tok]]*Table1[[#This Row],[Ndecode]]</f>
        <v>102782.13483766033</v>
      </c>
      <c r="AA91" s="3">
        <f>Table1[[#This Row],[tok(N)]]/Table1[[#This Row],[Kvcache]]</f>
        <v>481726.68021937169</v>
      </c>
      <c r="AB91" s="3">
        <f>Table1[[#This Row],[tok/req]]*Table1[[#This Row],[Run]]</f>
        <v>82764.705882352951</v>
      </c>
      <c r="AC91" s="3">
        <f>Table1[[#This Row],[tok(Run)]]/Table1[[#This Row],[Kvcache]]</f>
        <v>387907.5587115541</v>
      </c>
      <c r="AD91" s="3">
        <f>Table1[[#This Row],[tok/req]]*Table1[[#This Row],[MaxRun]]</f>
        <v>157500</v>
      </c>
      <c r="AE91" s="3">
        <f>Table1[[#This Row],[tok(MaxRun)]]/Table1[[#This Row],[MaxKvcache]]</f>
        <v>389257.98101811903</v>
      </c>
      <c r="AF91" s="75">
        <f>Table1[[#This Row],[PPS]]*Table1[[#This Row],[Prefill]]/Table1[[#This Row],[In-Tok]]</f>
        <v>0.45022390143678015</v>
      </c>
      <c r="AG91" s="5">
        <f>Table1[[#This Row],[GPS]]*Table1[[#This Row],[ITL]]</f>
        <v>19.148764824852655</v>
      </c>
      <c r="AH91" s="5">
        <f>Table1[[#This Row],[Nprefill]]+Table1[[#This Row],[Ndecode]]</f>
        <v>19.598988726289434</v>
      </c>
      <c r="AI91" s="4">
        <f>Table1[[#This Row],[Run]]/Table1[[#This Row],[ITL]]/Table1[[#This Row],[GPS]]</f>
        <v>0.82327534055315998</v>
      </c>
      <c r="AJ91" s="10">
        <f>Table1[[#This Row],[Prefill]]+Table1[[#This Row],[ITL]]</f>
        <v>0.17685669094740661</v>
      </c>
      <c r="AK91" s="4">
        <f>Table1[[#This Row],[TTFT]]/Table1[[#This Row],[estTTFT]]</f>
        <v>1.0830817273938835</v>
      </c>
      <c r="AL91" s="5">
        <f>Table1[[#This Row],[In-Tok]]*Table1[[#This Row],[RPS]]/Table1[[#This Row],[PPS]]</f>
        <v>0.86401758275780904</v>
      </c>
      <c r="AM91" s="4">
        <f>Table1[[#This Row],[Prefill]]/Table1[[#This Row],[estPrefill]]</f>
        <v>0.18759329226532506</v>
      </c>
      <c r="AN91" s="4">
        <f>Table1[[#This Row],[Prefill]]/Table1[[#This Row],[TTFT]]</f>
        <v>0.84616909997939549</v>
      </c>
      <c r="AO91" s="10">
        <f>Table1[[#This Row],[Run]]/(Table1[[#This Row],[Out-Tok]]*Table1[[#This Row],[RPS]])</f>
        <v>1.3137254901960785E-2</v>
      </c>
      <c r="AP91" s="4">
        <f>Table1[[#This Row],[ITL]]/Table1[[#This Row],[estITL]]</f>
        <v>1.1244958047161262</v>
      </c>
      <c r="AQ91" s="44">
        <f>Table1[[#This Row],[E2E]]-Table1[[#This Row],[TTFT]]+Table1[[#This Row],[ITL]]</f>
        <v>7.3745598650858373</v>
      </c>
      <c r="AR91" s="4">
        <f>Table1[[#This Row],[estDecode]]/Table1[[#This Row],[Run]]</f>
        <v>0.46778924517335535</v>
      </c>
      <c r="AS91" s="44">
        <f>Table1[[#This Row],[Prefill]]+Table1[[#This Row],[Out-Tok]]*Table1[[#This Row],[ITL]]</f>
        <v>7.5484779142952982</v>
      </c>
      <c r="AT91" s="5">
        <f>Table1[[#This Row],[estPrefill]]+Table1[[#This Row],[Out-Tok]]*Table1[[#This Row],[ITL]]</f>
        <v>8.2504115941284422</v>
      </c>
      <c r="AU91" s="4">
        <f>Table1[[#This Row],[E2E]]/Table1[[#This Row],[estE2E]]</f>
        <v>0.91526795254307414</v>
      </c>
      <c r="AV91" s="5">
        <f>Table1[[#This Row],[N]]/Table1[[#This Row],[estE2E]]</f>
        <v>2.375516482139802</v>
      </c>
      <c r="AW91" s="5">
        <f>Table1[[#This Row],[PPS]]/Table1[[#This Row],[In-Tok]]</f>
        <v>2.7777212500000004</v>
      </c>
      <c r="AX91" s="4">
        <f>Table1[[#This Row],[RPS]]/Table1[[#This Row],[RPS(IL)]]</f>
        <v>0.86401758275780893</v>
      </c>
      <c r="AY91" s="5">
        <f>Table1[[#This Row],[GPS]]/Table1[[#This Row],[Out-Tok]]</f>
        <v>2.5924375</v>
      </c>
      <c r="AZ91" s="89">
        <f>Table1[[#This Row],[RPS]]/Table1[[#This Row],[RPS(OL)]]</f>
        <v>0.92576966657826854</v>
      </c>
      <c r="BA91" s="135">
        <f>MaxTok/Table1[[#This Row],[tok/req]]</f>
        <v>73.88804990334387</v>
      </c>
      <c r="BB91" s="4">
        <f>Table1[[#This Row],[N]]/Table1[[#This Row],[N-max]]</f>
        <v>0.26525248334375739</v>
      </c>
      <c r="BC91" s="44">
        <f>Table1[[#This Row],[RPS]]</f>
        <v>2.4</v>
      </c>
      <c r="BD91" s="47">
        <f>Table1[[#This Row],[PPS]]/Table1[[#This Row],[RPS success]]</f>
        <v>5786.9192708333339</v>
      </c>
      <c r="BE91" s="4">
        <f>ABS(Table1[[#This Row],[est-In-Tok3]]-Table1[[#This Row],[In-Tok]])/Table1[[#This Row],[In-Tok]]</f>
        <v>0.15738385416666678</v>
      </c>
      <c r="BF91" s="47">
        <f>Table1[[#This Row],[GPS]]/Table1[[#This Row],[RPS success]]</f>
        <v>540.09114583333337</v>
      </c>
      <c r="BG91" s="4">
        <f>ABS(Table1[[#This Row],[est-Out-Tok3]]-Table1[[#This Row],[Out-Tok]])/Table1[[#This Row],[Out-Tok]]</f>
        <v>8.0182291666666738E-2</v>
      </c>
      <c r="BH91" s="162">
        <f>Table1[[#This Row],[est-In-Tok3]]+AvgOutLoad*Table1[[#This Row],[est-Out-Tok3]]</f>
        <v>6056.9648437500009</v>
      </c>
      <c r="BI91" s="4">
        <f>ABS(Table1[[#This Row],[est-Tok/Req3]]-Table1[[#This Row],[tok/req]])/Table1[[#This Row],[tok/req]]</f>
        <v>0.15370758928571446</v>
      </c>
      <c r="BJ91" s="162">
        <f>MaxTok/Table1[[#This Row],[est-Tok/Req3]]</f>
        <v>64.044000914555454</v>
      </c>
      <c r="BK91" s="4">
        <f>ABS(Table1[[#This Row],[est-N-max3]]-Table1[[#This Row],[N-max]])/Table1[[#This Row],[N-max]]</f>
        <v>0.13322924345230167</v>
      </c>
      <c r="BL91" s="44">
        <f>MaxTok*Table1[[#This Row],[Kvcache]]/Table1[[#This Row],[Run]]</f>
        <v>5250.0636549216479</v>
      </c>
      <c r="BM91" s="170">
        <f>ABS(Table1[[#This Row],[est-Tok/Req]]-Table1[[#This Row],[tok/req]])/Table1[[#This Row],[tok/req]]</f>
        <v>1.2124746980546097E-5</v>
      </c>
      <c r="BN91" s="44">
        <f>MaxTok/Table1[[#This Row],[est-Tok/Req]]</f>
        <v>73.887154040296011</v>
      </c>
      <c r="BO91" s="180">
        <f>Table1[[#This Row],[Run]]/Table1[[#This Row],[Kvcache]]</f>
        <v>73.887154040296011</v>
      </c>
      <c r="BP91" s="4" cm="1">
        <f t="array" aca="1" ref="BP91" ca="1">_xlfn.CEILING.MATH(INDIRECT("Table1"&amp;BP$3)/BP$2)*BP$2</f>
        <v>6000</v>
      </c>
      <c r="BQ91" s="4" cm="1">
        <f t="array" aca="1" ref="BQ91" ca="1">_xlfn.CEILING.MATH(INDIRECT("Table1"&amp;BQ$3)/BQ$2)*BQ$2</f>
        <v>1.4999999999999999E-2</v>
      </c>
      <c r="BR91" s="4" cm="1">
        <f t="array" aca="1" ref="BR91" ca="1">_xlfn.CEILING.MATH(INDIRECT("Table1"&amp;BR$3)/BR$2)*BR$2</f>
        <v>0.30000000000000004</v>
      </c>
      <c r="BS91" s="4" cm="1">
        <f t="array" aca="1" ref="BS91" ca="1">_xlfn.CEILING.MATH(INDIRECT("Table1"&amp;BS$3)/BS$2)*BS$2</f>
        <v>0.22</v>
      </c>
      <c r="BT91" s="3" cm="1">
        <f t="array" aca="1" ref="BT91" ca="1">_xlfn.CEILING.MATH(INDIRECT("Table1"&amp;BT$3)/BT$2)*BT$2</f>
        <v>16</v>
      </c>
      <c r="BU91" s="135" cm="1">
        <f t="array" aca="1" ref="BU91" ca="1">_xlfn.CEILING.MATH(INDIRECT("Table1"&amp;BU$3)/BU$2)*BU$2</f>
        <v>10</v>
      </c>
      <c r="BV91" s="135" cm="1">
        <f t="array" aca="1" ref="BV91" ca="1">_xlfn.CEILING.MATH(INDIRECT("Table1"&amp;BV$3)/BV$2)*BV$2</f>
        <v>5000</v>
      </c>
      <c r="BW91" s="4"/>
      <c r="BX91" s="4"/>
      <c r="BY91" s="190">
        <v>0.40461598138091548</v>
      </c>
      <c r="BZ91" s="4"/>
      <c r="CA91" s="3"/>
      <c r="CF91" s="5"/>
      <c r="CH91" s="8"/>
      <c r="CI91" s="8"/>
      <c r="CJ91" s="14"/>
      <c r="CK91" s="8"/>
      <c r="CL91" s="8"/>
      <c r="CM91" s="8"/>
      <c r="CN91" s="8"/>
      <c r="CO91" s="8"/>
      <c r="CP91" s="8"/>
      <c r="CQ91" s="8">
        <f>Table1[[#This Row],[In-Tok]]+AvgOutLoad*Table1[[#This Row],[Out-Tok]]</f>
        <v>5250</v>
      </c>
      <c r="CR91" s="8"/>
      <c r="CS91" s="8"/>
      <c r="CT91" s="8"/>
      <c r="CU91" s="8"/>
      <c r="CV91" s="8"/>
      <c r="CW91" s="8"/>
      <c r="CX91" s="8"/>
      <c r="CY91" s="8"/>
      <c r="GJ91"/>
    </row>
    <row r="92" spans="1:192" hidden="1" x14ac:dyDescent="0.25">
      <c r="A92" s="3">
        <v>5000</v>
      </c>
      <c r="B92" s="3">
        <v>500</v>
      </c>
      <c r="C92">
        <v>2.6</v>
      </c>
      <c r="D92" s="199">
        <f>Table1[[#This Row],[Kvcache]]</f>
        <v>0.26573095879158481</v>
      </c>
      <c r="E92" s="4" t="s">
        <v>141</v>
      </c>
      <c r="F92" s="219">
        <v>46092</v>
      </c>
      <c r="G92" s="10"/>
      <c r="H92" s="10">
        <v>0.22424565019571374</v>
      </c>
      <c r="I92" s="10">
        <v>0.18478550120979248</v>
      </c>
      <c r="J92" s="10">
        <v>1.0842929298124317</v>
      </c>
      <c r="K92" s="10">
        <v>3.4313482642173749</v>
      </c>
      <c r="L92" s="10">
        <v>4.1654850387573221</v>
      </c>
      <c r="M92" s="10">
        <v>1.7040464900077414E-2</v>
      </c>
      <c r="N92" s="10">
        <v>8.7966475354150653</v>
      </c>
      <c r="O92" s="47">
        <v>15640.955</v>
      </c>
      <c r="P92" s="47">
        <v>1447.45875</v>
      </c>
      <c r="Q92" s="5">
        <v>19.601102941176471</v>
      </c>
      <c r="R92" s="5">
        <v>34</v>
      </c>
      <c r="S92" s="170">
        <v>0.26573095879158481</v>
      </c>
      <c r="T92" s="170">
        <v>0.46307214895267645</v>
      </c>
      <c r="U92" s="20">
        <f>(Table1[[#This Row],[In-Tok]]+Table1[[#This Row],[Out-Tok]])*Table1[[#This Row],[RPS]]</f>
        <v>14300</v>
      </c>
      <c r="V92" s="3">
        <f>Table1[[#This Row],[In-Tok]]+AvgOutLoad*Table1[[#This Row],[Out-Tok]]</f>
        <v>5250</v>
      </c>
      <c r="W92" s="3">
        <f>Table1[[#This Row],[In-Tok]]*Table1[[#This Row],[RPS]]</f>
        <v>13000</v>
      </c>
      <c r="X92" s="3">
        <f>Table1[[#This Row],[Out-Tok]]*Table1[[#This Row],[RPS]]</f>
        <v>1300</v>
      </c>
      <c r="Y92" s="75">
        <f>Table1[[#This Row],[In-Tok]]/Table1[[#This Row],[Out-Tok]]</f>
        <v>10</v>
      </c>
      <c r="Z92" s="26">
        <f>Table1[[#This Row],[In-Tok]]*Table1[[#This Row],[N]]+AvgOutLoad*Table1[[#This Row],[Out-Tok]]*Table1[[#This Row],[Ndecode]]</f>
        <v>132383.41433342069</v>
      </c>
      <c r="AA92" s="3">
        <f>Table1[[#This Row],[tok(N)]]/Table1[[#This Row],[Kvcache]]</f>
        <v>498185.89047898701</v>
      </c>
      <c r="AB92" s="3">
        <f>Table1[[#This Row],[tok/req]]*Table1[[#This Row],[Run]]</f>
        <v>102905.79044117648</v>
      </c>
      <c r="AC92" s="3">
        <f>Table1[[#This Row],[tok(Run)]]/Table1[[#This Row],[Kvcache]]</f>
        <v>387255.55693300458</v>
      </c>
      <c r="AD92" s="3">
        <f>Table1[[#This Row],[tok/req]]*Table1[[#This Row],[MaxRun]]</f>
        <v>178500</v>
      </c>
      <c r="AE92" s="3">
        <f>Table1[[#This Row],[tok(MaxRun)]]/Table1[[#This Row],[MaxKvcache]]</f>
        <v>385469.09029988275</v>
      </c>
      <c r="AF92" s="75">
        <f>Table1[[#This Row],[PPS]]*Table1[[#This Row],[Prefill]]/Table1[[#This Row],[In-Tok]]</f>
        <v>0.57804434181496189</v>
      </c>
      <c r="AG92" s="5">
        <f>Table1[[#This Row],[GPS]]*Table1[[#This Row],[ITL]]</f>
        <v>24.665370023684929</v>
      </c>
      <c r="AH92" s="5">
        <f>Table1[[#This Row],[Nprefill]]+Table1[[#This Row],[Ndecode]]</f>
        <v>25.243414365499891</v>
      </c>
      <c r="AI92" s="4">
        <f>Table1[[#This Row],[Run]]/Table1[[#This Row],[ITL]]/Table1[[#This Row],[GPS]]</f>
        <v>0.79468108211449928</v>
      </c>
      <c r="AJ92" s="10">
        <f>Table1[[#This Row],[Prefill]]+Table1[[#This Row],[ITL]]</f>
        <v>0.20182596610986989</v>
      </c>
      <c r="AK92" s="4">
        <f>Table1[[#This Row],[TTFT]]/Table1[[#This Row],[estTTFT]]</f>
        <v>1.1110842401400376</v>
      </c>
      <c r="AL92" s="5">
        <f>Table1[[#This Row],[In-Tok]]*Table1[[#This Row],[RPS]]/Table1[[#This Row],[PPS]]</f>
        <v>0.83115129478986416</v>
      </c>
      <c r="AM92" s="4">
        <f>Table1[[#This Row],[Prefill]]/Table1[[#This Row],[estPrefill]]</f>
        <v>0.22232474685190845</v>
      </c>
      <c r="AN92" s="4">
        <f>Table1[[#This Row],[Prefill]]/Table1[[#This Row],[TTFT]]</f>
        <v>0.82403159681589444</v>
      </c>
      <c r="AO92" s="10">
        <f>Table1[[#This Row],[Run]]/(Table1[[#This Row],[Out-Tok]]*Table1[[#This Row],[RPS]])</f>
        <v>1.5077771493212671E-2</v>
      </c>
      <c r="AP92" s="4">
        <f>Table1[[#This Row],[ITL]]/Table1[[#This Row],[estITL]]</f>
        <v>1.1301713192661302</v>
      </c>
      <c r="AQ92" s="44">
        <f>Table1[[#This Row],[E2E]]-Table1[[#This Row],[TTFT]]+Table1[[#This Row],[ITL]]</f>
        <v>8.5894423501194286</v>
      </c>
      <c r="AR92" s="4">
        <f>Table1[[#This Row],[estDecode]]/Table1[[#This Row],[Run]]</f>
        <v>0.43821219529822464</v>
      </c>
      <c r="AS92" s="44">
        <f>Table1[[#This Row],[Prefill]]+Table1[[#This Row],[Out-Tok]]*Table1[[#This Row],[ITL]]</f>
        <v>8.7050179512484984</v>
      </c>
      <c r="AT92" s="5">
        <f>Table1[[#This Row],[estPrefill]]+Table1[[#This Row],[Out-Tok]]*Table1[[#This Row],[ITL]]</f>
        <v>9.3513837448285706</v>
      </c>
      <c r="AU92" s="4">
        <f>Table1[[#This Row],[E2E]]/Table1[[#This Row],[estE2E]]</f>
        <v>0.94067870332876868</v>
      </c>
      <c r="AV92" s="5">
        <f>Table1[[#This Row],[N]]/Table1[[#This Row],[estE2E]]</f>
        <v>2.6994309135757377</v>
      </c>
      <c r="AW92" s="5">
        <f>Table1[[#This Row],[PPS]]/Table1[[#This Row],[In-Tok]]</f>
        <v>3.1281910000000002</v>
      </c>
      <c r="AX92" s="4">
        <f>Table1[[#This Row],[RPS]]/Table1[[#This Row],[RPS(IL)]]</f>
        <v>0.83115129478986416</v>
      </c>
      <c r="AY92" s="5">
        <f>Table1[[#This Row],[GPS]]/Table1[[#This Row],[Out-Tok]]</f>
        <v>2.8949175</v>
      </c>
      <c r="AZ92" s="89">
        <f>Table1[[#This Row],[RPS]]/Table1[[#This Row],[RPS(OL)]]</f>
        <v>0.89812576696917967</v>
      </c>
      <c r="BA92" s="135">
        <f>MaxTok/Table1[[#This Row],[tok/req]]</f>
        <v>73.88804990334387</v>
      </c>
      <c r="BB92" s="4">
        <f>Table1[[#This Row],[N]]/Table1[[#This Row],[N-max]]</f>
        <v>0.34164407368338839</v>
      </c>
      <c r="BC92" s="44">
        <f>Table1[[#This Row],[RPS]]</f>
        <v>2.6</v>
      </c>
      <c r="BD92" s="47">
        <f>Table1[[#This Row],[PPS]]/Table1[[#This Row],[RPS success]]</f>
        <v>6015.751923076923</v>
      </c>
      <c r="BE92" s="4">
        <f>ABS(Table1[[#This Row],[est-In-Tok3]]-Table1[[#This Row],[In-Tok]])/Table1[[#This Row],[In-Tok]]</f>
        <v>0.20315038461538462</v>
      </c>
      <c r="BF92" s="47">
        <f>Table1[[#This Row],[GPS]]/Table1[[#This Row],[RPS success]]</f>
        <v>556.71490384615379</v>
      </c>
      <c r="BG92" s="4">
        <f>ABS(Table1[[#This Row],[est-Out-Tok3]]-Table1[[#This Row],[Out-Tok]])/Table1[[#This Row],[Out-Tok]]</f>
        <v>0.11342980769230758</v>
      </c>
      <c r="BH92" s="162">
        <f>Table1[[#This Row],[est-In-Tok3]]+AvgOutLoad*Table1[[#This Row],[est-Out-Tok3]]</f>
        <v>6294.109375</v>
      </c>
      <c r="BI92" s="4">
        <f>ABS(Table1[[#This Row],[est-Tok/Req3]]-Table1[[#This Row],[tok/req]])/Table1[[#This Row],[tok/req]]</f>
        <v>0.1988779761904762</v>
      </c>
      <c r="BJ92" s="162">
        <f>MaxTok/Table1[[#This Row],[est-Tok/Req3]]</f>
        <v>61.631001128345545</v>
      </c>
      <c r="BK92" s="4">
        <f>ABS(Table1[[#This Row],[est-N-max3]]-Table1[[#This Row],[N-max]])/Table1[[#This Row],[N-max]]</f>
        <v>0.16588675423200769</v>
      </c>
      <c r="BL92" s="44">
        <f>MaxTok*Table1[[#This Row],[Kvcache]]/Table1[[#This Row],[Run]]</f>
        <v>5258.9029104964848</v>
      </c>
      <c r="BM92" s="170">
        <f>ABS(Table1[[#This Row],[est-Tok/Req]]-Table1[[#This Row],[tok/req]])/Table1[[#This Row],[tok/req]]</f>
        <v>1.6957924755209076E-3</v>
      </c>
      <c r="BN92" s="44">
        <f>MaxTok/Table1[[#This Row],[est-Tok/Req]]</f>
        <v>73.762963225334218</v>
      </c>
      <c r="BO92" s="180">
        <f>Table1[[#This Row],[Run]]/Table1[[#This Row],[Kvcache]]</f>
        <v>73.762963225334204</v>
      </c>
      <c r="BP92" s="4" cm="1">
        <f t="array" aca="1" ref="BP92" ca="1">_xlfn.CEILING.MATH(INDIRECT("Table1"&amp;BP$3)/BP$2)*BP$2</f>
        <v>6000</v>
      </c>
      <c r="BQ92" s="4" cm="1">
        <f t="array" aca="1" ref="BQ92" ca="1">_xlfn.CEILING.MATH(INDIRECT("Table1"&amp;BQ$3)/BQ$2)*BQ$2</f>
        <v>0.02</v>
      </c>
      <c r="BR92" s="4" cm="1">
        <f t="array" aca="1" ref="BR92" ca="1">_xlfn.CEILING.MATH(INDIRECT("Table1"&amp;BR$3)/BR$2)*BR$2</f>
        <v>0.30000000000000004</v>
      </c>
      <c r="BS92" s="4" cm="1">
        <f t="array" aca="1" ref="BS92" ca="1">_xlfn.CEILING.MATH(INDIRECT("Table1"&amp;BS$3)/BS$2)*BS$2</f>
        <v>0.27</v>
      </c>
      <c r="BT92" s="3" cm="1">
        <f t="array" aca="1" ref="BT92" ca="1">_xlfn.CEILING.MATH(INDIRECT("Table1"&amp;BT$3)/BT$2)*BT$2</f>
        <v>20</v>
      </c>
      <c r="BU92" s="135" cm="1">
        <f t="array" aca="1" ref="BU92" ca="1">_xlfn.CEILING.MATH(INDIRECT("Table1"&amp;BU$3)/BU$2)*BU$2</f>
        <v>10</v>
      </c>
      <c r="BV92" s="135" cm="1">
        <f t="array" aca="1" ref="BV92" ca="1">_xlfn.CEILING.MATH(INDIRECT("Table1"&amp;BV$3)/BV$2)*BV$2</f>
        <v>5000</v>
      </c>
      <c r="BW92" s="4"/>
      <c r="BX92" s="4"/>
      <c r="BY92" s="190">
        <v>0.46307214895267645</v>
      </c>
      <c r="BZ92" s="4"/>
      <c r="CA92" s="3"/>
      <c r="CF92" s="5"/>
      <c r="CH92" s="8"/>
      <c r="CI92" s="8"/>
      <c r="CJ92" s="14"/>
      <c r="CK92" s="8"/>
      <c r="CL92" s="8"/>
      <c r="CM92" s="8"/>
      <c r="CN92" s="8"/>
      <c r="CO92" s="8"/>
      <c r="CP92" s="8"/>
      <c r="CQ92" s="8">
        <f>Table1[[#This Row],[In-Tok]]+AvgOutLoad*Table1[[#This Row],[Out-Tok]]</f>
        <v>5250</v>
      </c>
      <c r="CR92" s="8"/>
      <c r="CS92" s="8"/>
      <c r="CT92" s="8"/>
      <c r="CU92" s="8"/>
      <c r="CV92" s="8"/>
      <c r="CW92" s="8"/>
      <c r="CX92" s="8"/>
      <c r="CY92" s="8"/>
      <c r="GJ92"/>
    </row>
    <row r="93" spans="1:192" hidden="1" x14ac:dyDescent="0.25">
      <c r="A93" s="3">
        <v>5000</v>
      </c>
      <c r="B93" s="3">
        <v>500</v>
      </c>
      <c r="C93">
        <v>2.8</v>
      </c>
      <c r="D93" s="199">
        <f>Table1[[#This Row],[Kvcache]]</f>
        <v>0.3095032058595355</v>
      </c>
      <c r="E93" s="4" t="s">
        <v>141</v>
      </c>
      <c r="F93" s="219">
        <v>46092</v>
      </c>
      <c r="G93" s="10"/>
      <c r="H93" s="10">
        <v>0.21542263479260726</v>
      </c>
      <c r="I93" s="10">
        <v>0.17878856696611251</v>
      </c>
      <c r="J93" s="10">
        <v>1.0393779060152848</v>
      </c>
      <c r="K93" s="10">
        <v>1.9823090612888326</v>
      </c>
      <c r="L93" s="10">
        <v>3.7103665113449091</v>
      </c>
      <c r="M93" s="10">
        <v>1.7937609454206145E-2</v>
      </c>
      <c r="N93" s="10">
        <v>9.1354417278042419</v>
      </c>
      <c r="O93" s="47">
        <v>16450.195833333331</v>
      </c>
      <c r="P93" s="47">
        <v>1498.2666666666664</v>
      </c>
      <c r="Q93" s="5">
        <v>22.84191176470588</v>
      </c>
      <c r="R93" s="5">
        <v>36.5</v>
      </c>
      <c r="S93" s="170">
        <v>0.3095032058595355</v>
      </c>
      <c r="T93" s="170">
        <v>0.49476338246702872</v>
      </c>
      <c r="U93" s="20">
        <f>(Table1[[#This Row],[In-Tok]]+Table1[[#This Row],[Out-Tok]])*Table1[[#This Row],[RPS]]</f>
        <v>15399.999999999998</v>
      </c>
      <c r="V93" s="3">
        <f>Table1[[#This Row],[In-Tok]]+AvgOutLoad*Table1[[#This Row],[Out-Tok]]</f>
        <v>5250</v>
      </c>
      <c r="W93" s="3">
        <f>Table1[[#This Row],[In-Tok]]*Table1[[#This Row],[RPS]]</f>
        <v>14000</v>
      </c>
      <c r="X93" s="3">
        <f>Table1[[#This Row],[Out-Tok]]*Table1[[#This Row],[RPS]]</f>
        <v>1400</v>
      </c>
      <c r="Y93" s="75">
        <f>Table1[[#This Row],[In-Tok]]/Table1[[#This Row],[Out-Tok]]</f>
        <v>10</v>
      </c>
      <c r="Z93" s="26">
        <f>Table1[[#This Row],[In-Tok]]*Table1[[#This Row],[N]]+AvgOutLoad*Table1[[#This Row],[Out-Tok]]*Table1[[#This Row],[Ndecode]]</f>
        <v>144036.54914519368</v>
      </c>
      <c r="AA93" s="3">
        <f>Table1[[#This Row],[tok(N)]]/Table1[[#This Row],[Kvcache]]</f>
        <v>465379.82941140526</v>
      </c>
      <c r="AB93" s="3">
        <f>Table1[[#This Row],[tok/req]]*Table1[[#This Row],[Run]]</f>
        <v>119920.03676470587</v>
      </c>
      <c r="AC93" s="3">
        <f>Table1[[#This Row],[tok(Run)]]/Table1[[#This Row],[Kvcache]]</f>
        <v>387459.75645606144</v>
      </c>
      <c r="AD93" s="3">
        <f>Table1[[#This Row],[tok/req]]*Table1[[#This Row],[MaxRun]]</f>
        <v>191625</v>
      </c>
      <c r="AE93" s="3">
        <f>Table1[[#This Row],[tok(MaxRun)]]/Table1[[#This Row],[MaxKvcache]]</f>
        <v>387306.35045080358</v>
      </c>
      <c r="AF93" s="75">
        <f>Table1[[#This Row],[PPS]]*Table1[[#This Row],[Prefill]]/Table1[[#This Row],[In-Tok]]</f>
        <v>0.58822138787071632</v>
      </c>
      <c r="AG93" s="5">
        <f>Table1[[#This Row],[GPS]]*Table1[[#This Row],[ITL]]</f>
        <v>26.875322324921921</v>
      </c>
      <c r="AH93" s="5">
        <f>Table1[[#This Row],[Nprefill]]+Table1[[#This Row],[Ndecode]]</f>
        <v>27.463543712792639</v>
      </c>
      <c r="AI93" s="4">
        <f>Table1[[#This Row],[Run]]/Table1[[#This Row],[ITL]]/Table1[[#This Row],[GPS]]</f>
        <v>0.84992140702715235</v>
      </c>
      <c r="AJ93" s="10">
        <f>Table1[[#This Row],[Prefill]]+Table1[[#This Row],[ITL]]</f>
        <v>0.19672617642031864</v>
      </c>
      <c r="AK93" s="4">
        <f>Table1[[#This Row],[TTFT]]/Table1[[#This Row],[estTTFT]]</f>
        <v>1.0950379797569103</v>
      </c>
      <c r="AL93" s="5">
        <f>Table1[[#This Row],[In-Tok]]*Table1[[#This Row],[RPS]]/Table1[[#This Row],[PPS]]</f>
        <v>0.85105369819558896</v>
      </c>
      <c r="AM93" s="4">
        <f>Table1[[#This Row],[Prefill]]/Table1[[#This Row],[estPrefill]]</f>
        <v>0.21007906709668436</v>
      </c>
      <c r="AN93" s="4">
        <f>Table1[[#This Row],[Prefill]]/Table1[[#This Row],[TTFT]]</f>
        <v>0.82994327470851292</v>
      </c>
      <c r="AO93" s="10">
        <f>Table1[[#This Row],[Run]]/(Table1[[#This Row],[Out-Tok]]*Table1[[#This Row],[RPS]])</f>
        <v>1.6315651260504202E-2</v>
      </c>
      <c r="AP93" s="4">
        <f>Table1[[#This Row],[ITL]]/Table1[[#This Row],[estITL]]</f>
        <v>1.099411183029406</v>
      </c>
      <c r="AQ93" s="44">
        <f>Table1[[#This Row],[E2E]]-Table1[[#This Row],[TTFT]]+Table1[[#This Row],[ITL]]</f>
        <v>8.93795670246584</v>
      </c>
      <c r="AR93" s="4">
        <f>Table1[[#This Row],[estDecode]]/Table1[[#This Row],[Run]]</f>
        <v>0.39129635008380953</v>
      </c>
      <c r="AS93" s="44">
        <f>Table1[[#This Row],[Prefill]]+Table1[[#This Row],[Out-Tok]]*Table1[[#This Row],[ITL]]</f>
        <v>9.1475932940691855</v>
      </c>
      <c r="AT93" s="5">
        <f>Table1[[#This Row],[estPrefill]]+Table1[[#This Row],[Out-Tok]]*Table1[[#This Row],[ITL]]</f>
        <v>9.819858425298662</v>
      </c>
      <c r="AU93" s="4">
        <f>Table1[[#This Row],[E2E]]/Table1[[#This Row],[estE2E]]</f>
        <v>0.93030279380289493</v>
      </c>
      <c r="AV93" s="5">
        <f>Table1[[#This Row],[N]]/Table1[[#This Row],[estE2E]]</f>
        <v>2.7967351995665211</v>
      </c>
      <c r="AW93" s="5">
        <f>Table1[[#This Row],[PPS]]/Table1[[#This Row],[In-Tok]]</f>
        <v>3.2900391666666664</v>
      </c>
      <c r="AX93" s="4">
        <f>Table1[[#This Row],[RPS]]/Table1[[#This Row],[RPS(IL)]]</f>
        <v>0.85105369819558885</v>
      </c>
      <c r="AY93" s="5">
        <f>Table1[[#This Row],[GPS]]/Table1[[#This Row],[Out-Tok]]</f>
        <v>2.9965333333333328</v>
      </c>
      <c r="AZ93" s="89">
        <f>Table1[[#This Row],[RPS]]/Table1[[#This Row],[RPS(OL)]]</f>
        <v>0.93441309958173902</v>
      </c>
      <c r="BA93" s="135">
        <f>MaxTok/Table1[[#This Row],[tok/req]]</f>
        <v>73.88804990334387</v>
      </c>
      <c r="BB93" s="4">
        <f>Table1[[#This Row],[N]]/Table1[[#This Row],[N-max]]</f>
        <v>0.37169127820694792</v>
      </c>
      <c r="BC93" s="44">
        <f>Table1[[#This Row],[RPS]]</f>
        <v>2.8</v>
      </c>
      <c r="BD93" s="47">
        <f>Table1[[#This Row],[PPS]]/Table1[[#This Row],[RPS success]]</f>
        <v>5875.0699404761899</v>
      </c>
      <c r="BE93" s="4">
        <f>ABS(Table1[[#This Row],[est-In-Tok3]]-Table1[[#This Row],[In-Tok]])/Table1[[#This Row],[In-Tok]]</f>
        <v>0.17501398809523799</v>
      </c>
      <c r="BF93" s="47">
        <f>Table1[[#This Row],[GPS]]/Table1[[#This Row],[RPS success]]</f>
        <v>535.09523809523807</v>
      </c>
      <c r="BG93" s="4">
        <f>ABS(Table1[[#This Row],[est-Out-Tok3]]-Table1[[#This Row],[Out-Tok]])/Table1[[#This Row],[Out-Tok]]</f>
        <v>7.019047619047615E-2</v>
      </c>
      <c r="BH93" s="162">
        <f>Table1[[#This Row],[est-In-Tok3]]+AvgOutLoad*Table1[[#This Row],[est-Out-Tok3]]</f>
        <v>6142.6175595238092</v>
      </c>
      <c r="BI93" s="4">
        <f>ABS(Table1[[#This Row],[est-Tok/Req3]]-Table1[[#This Row],[tok/req]])/Table1[[#This Row],[tok/req]]</f>
        <v>0.17002239229024937</v>
      </c>
      <c r="BJ93" s="162">
        <f>MaxTok/Table1[[#This Row],[est-Tok/Req3]]</f>
        <v>63.150970776475816</v>
      </c>
      <c r="BK93" s="4">
        <f>ABS(Table1[[#This Row],[est-N-max3]]-Table1[[#This Row],[N-max]])/Table1[[#This Row],[N-max]]</f>
        <v>0.14531550285754852</v>
      </c>
      <c r="BL93" s="44">
        <f>MaxTok*Table1[[#This Row],[Kvcache]]/Table1[[#This Row],[Run]]</f>
        <v>5256.131356939678</v>
      </c>
      <c r="BM93" s="170">
        <f>ABS(Table1[[#This Row],[est-Tok/Req]]-Table1[[#This Row],[tok/req]])/Table1[[#This Row],[tok/req]]</f>
        <v>1.1678775123196135E-3</v>
      </c>
      <c r="BN93" s="44">
        <f>MaxTok/Table1[[#This Row],[est-Tok/Req]]</f>
        <v>73.801858372583126</v>
      </c>
      <c r="BO93" s="180">
        <f>Table1[[#This Row],[Run]]/Table1[[#This Row],[Kvcache]]</f>
        <v>73.801858372583126</v>
      </c>
      <c r="BP93" s="4" cm="1">
        <f t="array" aca="1" ref="BP93" ca="1">_xlfn.CEILING.MATH(INDIRECT("Table1"&amp;BP$3)/BP$2)*BP$2</f>
        <v>6000</v>
      </c>
      <c r="BQ93" s="4" cm="1">
        <f t="array" aca="1" ref="BQ93" ca="1">_xlfn.CEILING.MATH(INDIRECT("Table1"&amp;BQ$3)/BQ$2)*BQ$2</f>
        <v>0.02</v>
      </c>
      <c r="BR93" s="4" cm="1">
        <f t="array" aca="1" ref="BR93" ca="1">_xlfn.CEILING.MATH(INDIRECT("Table1"&amp;BR$3)/BR$2)*BR$2</f>
        <v>0.4</v>
      </c>
      <c r="BS93" s="4" cm="1">
        <f t="array" aca="1" ref="BS93" ca="1">_xlfn.CEILING.MATH(INDIRECT("Table1"&amp;BS$3)/BS$2)*BS$2</f>
        <v>0.31</v>
      </c>
      <c r="BT93" s="3" cm="1">
        <f t="array" aca="1" ref="BT93" ca="1">_xlfn.CEILING.MATH(INDIRECT("Table1"&amp;BT$3)/BT$2)*BT$2</f>
        <v>23</v>
      </c>
      <c r="BU93" s="135" cm="1">
        <f t="array" aca="1" ref="BU93" ca="1">_xlfn.CEILING.MATH(INDIRECT("Table1"&amp;BU$3)/BU$2)*BU$2</f>
        <v>10</v>
      </c>
      <c r="BV93" s="135" cm="1">
        <f t="array" aca="1" ref="BV93" ca="1">_xlfn.CEILING.MATH(INDIRECT("Table1"&amp;BV$3)/BV$2)*BV$2</f>
        <v>5000</v>
      </c>
      <c r="BW93" s="4"/>
      <c r="BX93" s="4"/>
      <c r="BY93" s="190">
        <v>0.49476338246702872</v>
      </c>
      <c r="BZ93" s="4"/>
      <c r="CA93" s="3"/>
      <c r="CF93" s="5"/>
      <c r="CH93" s="8"/>
      <c r="CI93" s="8"/>
      <c r="CJ93" s="14"/>
      <c r="CK93" s="8"/>
      <c r="CL93" s="8"/>
      <c r="CM93" s="8"/>
      <c r="CN93" s="8"/>
      <c r="CO93" s="8"/>
      <c r="CP93" s="8"/>
      <c r="CQ93" s="8">
        <f>Table1[[#This Row],[In-Tok]]+AvgOutLoad*Table1[[#This Row],[Out-Tok]]</f>
        <v>5250</v>
      </c>
      <c r="CR93" s="8"/>
      <c r="CS93" s="8"/>
      <c r="CT93" s="8"/>
      <c r="CU93" s="8"/>
      <c r="CV93" s="8"/>
      <c r="CW93" s="8"/>
      <c r="CX93" s="8"/>
      <c r="CY93" s="8"/>
      <c r="GJ93"/>
    </row>
    <row r="94" spans="1:192" hidden="1" x14ac:dyDescent="0.25">
      <c r="A94" s="3">
        <v>5000</v>
      </c>
      <c r="B94" s="3">
        <v>500</v>
      </c>
      <c r="C94">
        <v>3</v>
      </c>
      <c r="D94" s="199">
        <f>Table1[[#This Row],[Kvcache]]</f>
        <v>0.33898827180212654</v>
      </c>
      <c r="E94" s="4" t="s">
        <v>141</v>
      </c>
      <c r="F94" s="219">
        <v>46092</v>
      </c>
      <c r="G94" s="10"/>
      <c r="H94" s="10">
        <v>0.22765649223340814</v>
      </c>
      <c r="I94" s="10">
        <v>0.18453547350022789</v>
      </c>
      <c r="J94" s="10">
        <v>0.98965067951804131</v>
      </c>
      <c r="K94" s="10">
        <v>1.9092706143856044</v>
      </c>
      <c r="L94" s="10">
        <v>2.2732530474662771</v>
      </c>
      <c r="M94" s="10">
        <v>1.9511345407451829E-2</v>
      </c>
      <c r="N94" s="10">
        <v>9.9724382709774488</v>
      </c>
      <c r="O94" s="47">
        <v>17020.168750000001</v>
      </c>
      <c r="P94" s="47">
        <v>1586.14375</v>
      </c>
      <c r="Q94" s="5">
        <v>25.02941176470588</v>
      </c>
      <c r="R94" s="5">
        <v>41.5</v>
      </c>
      <c r="S94" s="170">
        <v>0.33898827180212654</v>
      </c>
      <c r="T94" s="170">
        <v>0.56559348332040349</v>
      </c>
      <c r="U94" s="20">
        <f>(Table1[[#This Row],[In-Tok]]+Table1[[#This Row],[Out-Tok]])*Table1[[#This Row],[RPS]]</f>
        <v>16500</v>
      </c>
      <c r="V94" s="3">
        <f>Table1[[#This Row],[In-Tok]]+AvgOutLoad*Table1[[#This Row],[Out-Tok]]</f>
        <v>5250</v>
      </c>
      <c r="W94" s="3">
        <f>Table1[[#This Row],[In-Tok]]*Table1[[#This Row],[RPS]]</f>
        <v>15000</v>
      </c>
      <c r="X94" s="3">
        <f>Table1[[#This Row],[Out-Tok]]*Table1[[#This Row],[RPS]]</f>
        <v>1500</v>
      </c>
      <c r="Y94" s="75">
        <f>Table1[[#This Row],[In-Tok]]/Table1[[#This Row],[Out-Tok]]</f>
        <v>10</v>
      </c>
      <c r="Z94" s="26">
        <f>Table1[[#This Row],[In-Tok]]*Table1[[#This Row],[N]]+AvgOutLoad*Table1[[#This Row],[Out-Tok]]*Table1[[#This Row],[Ndecode]]</f>
        <v>165616.76740296985</v>
      </c>
      <c r="AA94" s="3">
        <f>Table1[[#This Row],[tok(N)]]/Table1[[#This Row],[Kvcache]]</f>
        <v>488561.93909753696</v>
      </c>
      <c r="AB94" s="3">
        <f>Table1[[#This Row],[tok/req]]*Table1[[#This Row],[Run]]</f>
        <v>131404.41176470587</v>
      </c>
      <c r="AC94" s="3">
        <f>Table1[[#This Row],[tok(Run)]]/Table1[[#This Row],[Kvcache]]</f>
        <v>387637.04439134389</v>
      </c>
      <c r="AD94" s="3">
        <f>Table1[[#This Row],[tok/req]]*Table1[[#This Row],[MaxRun]]</f>
        <v>217875</v>
      </c>
      <c r="AE94" s="3">
        <f>Table1[[#This Row],[tok(MaxRun)]]/Table1[[#This Row],[MaxKvcache]]</f>
        <v>385214.83437349973</v>
      </c>
      <c r="AF94" s="75">
        <f>Table1[[#This Row],[PPS]]*Table1[[#This Row],[Prefill]]/Table1[[#This Row],[In-Tok]]</f>
        <v>0.62816497986700637</v>
      </c>
      <c r="AG94" s="5">
        <f>Table1[[#This Row],[GPS]]*Table1[[#This Row],[ITL]]</f>
        <v>30.94779857212092</v>
      </c>
      <c r="AH94" s="5">
        <f>Table1[[#This Row],[Nprefill]]+Table1[[#This Row],[Ndecode]]</f>
        <v>31.575963551987925</v>
      </c>
      <c r="AI94" s="4">
        <f>Table1[[#This Row],[Run]]/Table1[[#This Row],[ITL]]/Table1[[#This Row],[GPS]]</f>
        <v>0.80876226806172336</v>
      </c>
      <c r="AJ94" s="10">
        <f>Table1[[#This Row],[Prefill]]+Table1[[#This Row],[ITL]]</f>
        <v>0.20404681890767973</v>
      </c>
      <c r="AK94" s="4">
        <f>Table1[[#This Row],[TTFT]]/Table1[[#This Row],[estTTFT]]</f>
        <v>1.1157071374703005</v>
      </c>
      <c r="AL94" s="5">
        <f>Table1[[#This Row],[In-Tok]]*Table1[[#This Row],[RPS]]/Table1[[#This Row],[PPS]]</f>
        <v>0.88130736071579785</v>
      </c>
      <c r="AM94" s="4">
        <f>Table1[[#This Row],[Prefill]]/Table1[[#This Row],[estPrefill]]</f>
        <v>0.20938832662233545</v>
      </c>
      <c r="AN94" s="4">
        <f>Table1[[#This Row],[Prefill]]/Table1[[#This Row],[TTFT]]</f>
        <v>0.81058735329643139</v>
      </c>
      <c r="AO94" s="10">
        <f>Table1[[#This Row],[Run]]/(Table1[[#This Row],[Out-Tok]]*Table1[[#This Row],[RPS]])</f>
        <v>1.6686274509803919E-2</v>
      </c>
      <c r="AP94" s="4">
        <f>Table1[[#This Row],[ITL]]/Table1[[#This Row],[estITL]]</f>
        <v>1.1693050714219078</v>
      </c>
      <c r="AQ94" s="44">
        <f>Table1[[#This Row],[E2E]]-Table1[[#This Row],[TTFT]]+Table1[[#This Row],[ITL]]</f>
        <v>9.764293124151493</v>
      </c>
      <c r="AR94" s="4">
        <f>Table1[[#This Row],[estDecode]]/Table1[[#This Row],[Run]]</f>
        <v>0.39011276876750972</v>
      </c>
      <c r="AS94" s="44">
        <f>Table1[[#This Row],[Prefill]]+Table1[[#This Row],[Out-Tok]]*Table1[[#This Row],[ITL]]</f>
        <v>9.9402081772261415</v>
      </c>
      <c r="AT94" s="5">
        <f>Table1[[#This Row],[estPrefill]]+Table1[[#This Row],[Out-Tok]]*Table1[[#This Row],[ITL]]</f>
        <v>10.636980064441712</v>
      </c>
      <c r="AU94" s="4">
        <f>Table1[[#This Row],[E2E]]/Table1[[#This Row],[estE2E]]</f>
        <v>0.93752533243098246</v>
      </c>
      <c r="AV94" s="5">
        <f>Table1[[#This Row],[N]]/Table1[[#This Row],[estE2E]]</f>
        <v>2.9685082947126129</v>
      </c>
      <c r="AW94" s="5">
        <f>Table1[[#This Row],[PPS]]/Table1[[#This Row],[In-Tok]]</f>
        <v>3.40403375</v>
      </c>
      <c r="AX94" s="4">
        <f>Table1[[#This Row],[RPS]]/Table1[[#This Row],[RPS(IL)]]</f>
        <v>0.88130736071579785</v>
      </c>
      <c r="AY94" s="5">
        <f>Table1[[#This Row],[GPS]]/Table1[[#This Row],[Out-Tok]]</f>
        <v>3.1722874999999999</v>
      </c>
      <c r="AZ94" s="89">
        <f>Table1[[#This Row],[RPS]]/Table1[[#This Row],[RPS(OL)]]</f>
        <v>0.94568982161925741</v>
      </c>
      <c r="BA94" s="135">
        <f>MaxTok/Table1[[#This Row],[tok/req]]</f>
        <v>73.88804990334387</v>
      </c>
      <c r="BB94" s="4">
        <f>Table1[[#This Row],[N]]/Table1[[#This Row],[N-max]]</f>
        <v>0.4273487200338052</v>
      </c>
      <c r="BC94" s="44">
        <f>Table1[[#This Row],[RPS]]</f>
        <v>3</v>
      </c>
      <c r="BD94" s="47">
        <f>Table1[[#This Row],[PPS]]/Table1[[#This Row],[RPS success]]</f>
        <v>5673.3895833333336</v>
      </c>
      <c r="BE94" s="4">
        <f>ABS(Table1[[#This Row],[est-In-Tok3]]-Table1[[#This Row],[In-Tok]])/Table1[[#This Row],[In-Tok]]</f>
        <v>0.1346779166666667</v>
      </c>
      <c r="BF94" s="47">
        <f>Table1[[#This Row],[GPS]]/Table1[[#This Row],[RPS success]]</f>
        <v>528.71458333333328</v>
      </c>
      <c r="BG94" s="4">
        <f>ABS(Table1[[#This Row],[est-Out-Tok3]]-Table1[[#This Row],[Out-Tok]])/Table1[[#This Row],[Out-Tok]]</f>
        <v>5.7429166666666559E-2</v>
      </c>
      <c r="BH94" s="162">
        <f>Table1[[#This Row],[est-In-Tok3]]+AvgOutLoad*Table1[[#This Row],[est-Out-Tok3]]</f>
        <v>5937.7468749999998</v>
      </c>
      <c r="BI94" s="4">
        <f>ABS(Table1[[#This Row],[est-Tok/Req3]]-Table1[[#This Row],[tok/req]])/Table1[[#This Row],[tok/req]]</f>
        <v>0.13099940476190472</v>
      </c>
      <c r="BJ94" s="162">
        <f>MaxTok/Table1[[#This Row],[est-Tok/Req3]]</f>
        <v>65.32987514604271</v>
      </c>
      <c r="BK94" s="4">
        <f>ABS(Table1[[#This Row],[est-N-max3]]-Table1[[#This Row],[N-max]])/Table1[[#This Row],[N-max]]</f>
        <v>0.11582623669857949</v>
      </c>
      <c r="BL94" s="44">
        <f>MaxTok*Table1[[#This Row],[Kvcache]]/Table1[[#This Row],[Run]]</f>
        <v>5253.7274363409424</v>
      </c>
      <c r="BM94" s="170">
        <f>ABS(Table1[[#This Row],[est-Tok/Req]]-Table1[[#This Row],[tok/req]])/Table1[[#This Row],[tok/req]]</f>
        <v>7.0998787446521978E-4</v>
      </c>
      <c r="BN94" s="44">
        <f>MaxTok/Table1[[#This Row],[est-Tok/Req]]</f>
        <v>73.835627503113116</v>
      </c>
      <c r="BO94" s="180">
        <f>Table1[[#This Row],[Run]]/Table1[[#This Row],[Kvcache]]</f>
        <v>73.835627503113116</v>
      </c>
      <c r="BP94" s="4" cm="1">
        <f t="array" aca="1" ref="BP94" ca="1">_xlfn.CEILING.MATH(INDIRECT("Table1"&amp;BP$3)/BP$2)*BP$2</f>
        <v>6000</v>
      </c>
      <c r="BQ94" s="4" cm="1">
        <f t="array" aca="1" ref="BQ94" ca="1">_xlfn.CEILING.MATH(INDIRECT("Table1"&amp;BQ$3)/BQ$2)*BQ$2</f>
        <v>0.02</v>
      </c>
      <c r="BR94" s="4" cm="1">
        <f t="array" aca="1" ref="BR94" ca="1">_xlfn.CEILING.MATH(INDIRECT("Table1"&amp;BR$3)/BR$2)*BR$2</f>
        <v>0.4</v>
      </c>
      <c r="BS94" s="4" cm="1">
        <f t="array" aca="1" ref="BS94" ca="1">_xlfn.CEILING.MATH(INDIRECT("Table1"&amp;BS$3)/BS$2)*BS$2</f>
        <v>0.34</v>
      </c>
      <c r="BT94" s="3" cm="1">
        <f t="array" aca="1" ref="BT94" ca="1">_xlfn.CEILING.MATH(INDIRECT("Table1"&amp;BT$3)/BT$2)*BT$2</f>
        <v>26</v>
      </c>
      <c r="BU94" s="135" cm="1">
        <f t="array" aca="1" ref="BU94" ca="1">_xlfn.CEILING.MATH(INDIRECT("Table1"&amp;BU$3)/BU$2)*BU$2</f>
        <v>10</v>
      </c>
      <c r="BV94" s="135" cm="1">
        <f t="array" aca="1" ref="BV94" ca="1">_xlfn.CEILING.MATH(INDIRECT("Table1"&amp;BV$3)/BV$2)*BV$2</f>
        <v>5000</v>
      </c>
      <c r="BW94" s="4"/>
      <c r="BX94" s="4"/>
      <c r="BY94" s="190">
        <v>0.56559348332040349</v>
      </c>
      <c r="BZ94" s="4"/>
      <c r="CA94" s="3"/>
      <c r="CF94" s="5"/>
      <c r="CH94" s="8"/>
      <c r="CI94" s="8"/>
      <c r="CJ94" s="14"/>
      <c r="CK94" s="8"/>
      <c r="CL94" s="8"/>
      <c r="CM94" s="8"/>
      <c r="CN94" s="8"/>
      <c r="CO94" s="8"/>
      <c r="CP94" s="8"/>
      <c r="CQ94" s="8">
        <f>Table1[[#This Row],[In-Tok]]+AvgOutLoad*Table1[[#This Row],[Out-Tok]]</f>
        <v>5250</v>
      </c>
      <c r="CR94" s="8"/>
      <c r="CS94" s="8"/>
      <c r="CT94" s="8"/>
      <c r="CU94" s="8"/>
      <c r="CV94" s="8"/>
      <c r="CW94" s="8"/>
      <c r="CX94" s="8"/>
      <c r="CY94" s="8"/>
      <c r="GJ94"/>
    </row>
    <row r="95" spans="1:192" hidden="1" x14ac:dyDescent="0.25">
      <c r="A95" s="3">
        <v>5000</v>
      </c>
      <c r="B95" s="3">
        <v>500</v>
      </c>
      <c r="C95">
        <v>3.2</v>
      </c>
      <c r="D95" s="199">
        <f>Table1[[#This Row],[Kvcache]]</f>
        <v>0.47599172485130598</v>
      </c>
      <c r="E95" s="4" t="s">
        <v>141</v>
      </c>
      <c r="F95" s="219">
        <v>46092</v>
      </c>
      <c r="G95" s="10"/>
      <c r="H95" s="10">
        <v>0.3272140751714292</v>
      </c>
      <c r="I95" s="10">
        <v>0.23780301124955791</v>
      </c>
      <c r="J95" s="10">
        <v>2.198067640912706</v>
      </c>
      <c r="K95" s="10">
        <v>5.0593351125717163</v>
      </c>
      <c r="L95" s="10">
        <v>6.0444070100784302</v>
      </c>
      <c r="M95" s="10">
        <v>2.4015037537711399E-2</v>
      </c>
      <c r="N95" s="10">
        <v>12.485494078867941</v>
      </c>
      <c r="O95" s="47">
        <v>21015.885714285709</v>
      </c>
      <c r="P95" s="47">
        <v>1909.7</v>
      </c>
      <c r="Q95" s="5">
        <v>35.200000000000003</v>
      </c>
      <c r="R95" s="5">
        <v>61</v>
      </c>
      <c r="S95" s="170">
        <v>0.47599172485130598</v>
      </c>
      <c r="T95" s="170">
        <v>0.83607447633824672</v>
      </c>
      <c r="U95" s="20">
        <f>(Table1[[#This Row],[In-Tok]]+Table1[[#This Row],[Out-Tok]])*Table1[[#This Row],[RPS]]</f>
        <v>17600</v>
      </c>
      <c r="V95" s="3">
        <f>Table1[[#This Row],[In-Tok]]+AvgOutLoad*Table1[[#This Row],[Out-Tok]]</f>
        <v>5250</v>
      </c>
      <c r="W95" s="3">
        <f>Table1[[#This Row],[In-Tok]]*Table1[[#This Row],[RPS]]</f>
        <v>16000</v>
      </c>
      <c r="X95" s="3">
        <f>Table1[[#This Row],[Out-Tok]]*Table1[[#This Row],[RPS]]</f>
        <v>1600</v>
      </c>
      <c r="Y95" s="75">
        <f>Table1[[#This Row],[In-Tok]]/Table1[[#This Row],[Out-Tok]]</f>
        <v>10</v>
      </c>
      <c r="Z95" s="26">
        <f>Table1[[#This Row],[In-Tok]]*Table1[[#This Row],[N]]+AvgOutLoad*Table1[[#This Row],[Out-Tok]]*Table1[[#This Row],[Ndecode]]</f>
        <v>245770.60613221288</v>
      </c>
      <c r="AA95" s="3">
        <f>Table1[[#This Row],[tok(N)]]/Table1[[#This Row],[Kvcache]]</f>
        <v>516333.77914077946</v>
      </c>
      <c r="AB95" s="3">
        <f>Table1[[#This Row],[tok/req]]*Table1[[#This Row],[Run]]</f>
        <v>184800.00000000003</v>
      </c>
      <c r="AC95" s="3">
        <f>Table1[[#This Row],[tok(Run)]]/Table1[[#This Row],[Kvcache]]</f>
        <v>388242.04361479037</v>
      </c>
      <c r="AD95" s="3">
        <f>Table1[[#This Row],[tok/req]]*Table1[[#This Row],[MaxRun]]</f>
        <v>320250</v>
      </c>
      <c r="AE95" s="3">
        <f>Table1[[#This Row],[tok(MaxRun)]]/Table1[[#This Row],[MaxKvcache]]</f>
        <v>383040.03897188458</v>
      </c>
      <c r="AF95" s="75">
        <f>Table1[[#This Row],[PPS]]*Table1[[#This Row],[Prefill]]/Table1[[#This Row],[In-Tok]]</f>
        <v>0.9995281813867416</v>
      </c>
      <c r="AG95" s="5">
        <f>Table1[[#This Row],[GPS]]*Table1[[#This Row],[ITL]]</f>
        <v>45.861517185767461</v>
      </c>
      <c r="AH95" s="5">
        <f>Table1[[#This Row],[Nprefill]]+Table1[[#This Row],[Ndecode]]</f>
        <v>46.861045367154205</v>
      </c>
      <c r="AI95" s="4">
        <f>Table1[[#This Row],[Run]]/Table1[[#This Row],[ITL]]/Table1[[#This Row],[GPS]]</f>
        <v>0.76752803134310343</v>
      </c>
      <c r="AJ95" s="10">
        <f>Table1[[#This Row],[Prefill]]+Table1[[#This Row],[ITL]]</f>
        <v>0.26181804878726933</v>
      </c>
      <c r="AK95" s="4">
        <f>Table1[[#This Row],[TTFT]]/Table1[[#This Row],[estTTFT]]</f>
        <v>1.2497766165742645</v>
      </c>
      <c r="AL95" s="5">
        <f>Table1[[#This Row],[In-Tok]]*Table1[[#This Row],[RPS]]/Table1[[#This Row],[PPS]]</f>
        <v>0.76132884511852283</v>
      </c>
      <c r="AM95" s="4">
        <f>Table1[[#This Row],[Prefill]]/Table1[[#This Row],[estPrefill]]</f>
        <v>0.31235255668335671</v>
      </c>
      <c r="AN95" s="4">
        <f>Table1[[#This Row],[Prefill]]/Table1[[#This Row],[TTFT]]</f>
        <v>0.7267505565736182</v>
      </c>
      <c r="AO95" s="10">
        <f>Table1[[#This Row],[Run]]/(Table1[[#This Row],[Out-Tok]]*Table1[[#This Row],[RPS]])</f>
        <v>2.2000000000000002E-2</v>
      </c>
      <c r="AP95" s="4">
        <f>Table1[[#This Row],[ITL]]/Table1[[#This Row],[estITL]]</f>
        <v>1.091592615350518</v>
      </c>
      <c r="AQ95" s="44">
        <f>Table1[[#This Row],[E2E]]-Table1[[#This Row],[TTFT]]+Table1[[#This Row],[ITL]]</f>
        <v>12.182295041234223</v>
      </c>
      <c r="AR95" s="4">
        <f>Table1[[#This Row],[estDecode]]/Table1[[#This Row],[Run]]</f>
        <v>0.34608792730779042</v>
      </c>
      <c r="AS95" s="44">
        <f>Table1[[#This Row],[Prefill]]+Table1[[#This Row],[Out-Tok]]*Table1[[#This Row],[ITL]]</f>
        <v>12.245321780105257</v>
      </c>
      <c r="AT95" s="5">
        <f>Table1[[#This Row],[estPrefill]]+Table1[[#This Row],[Out-Tok]]*Table1[[#This Row],[ITL]]</f>
        <v>12.768847613974224</v>
      </c>
      <c r="AU95" s="4">
        <f>Table1[[#This Row],[E2E]]/Table1[[#This Row],[estE2E]]</f>
        <v>0.97780899704714297</v>
      </c>
      <c r="AV95" s="5">
        <f>Table1[[#This Row],[N]]/Table1[[#This Row],[estE2E]]</f>
        <v>3.6699510232912083</v>
      </c>
      <c r="AW95" s="5">
        <f>Table1[[#This Row],[PPS]]/Table1[[#This Row],[In-Tok]]</f>
        <v>4.2031771428571414</v>
      </c>
      <c r="AX95" s="4">
        <f>Table1[[#This Row],[RPS]]/Table1[[#This Row],[RPS(IL)]]</f>
        <v>0.76132884511852295</v>
      </c>
      <c r="AY95" s="5">
        <f>Table1[[#This Row],[GPS]]/Table1[[#This Row],[Out-Tok]]</f>
        <v>3.8193999999999999</v>
      </c>
      <c r="AZ95" s="89">
        <f>Table1[[#This Row],[RPS]]/Table1[[#This Row],[RPS(OL)]]</f>
        <v>0.83782793108865272</v>
      </c>
      <c r="BA95" s="135">
        <f>MaxTok/Table1[[#This Row],[tok/req]]</f>
        <v>73.88804990334387</v>
      </c>
      <c r="BB95" s="4">
        <f>Table1[[#This Row],[N]]/Table1[[#This Row],[N-max]]</f>
        <v>0.63421683788454497</v>
      </c>
      <c r="BC95" s="44">
        <f>Table1[[#This Row],[RPS]]</f>
        <v>3.2</v>
      </c>
      <c r="BD95" s="47">
        <f>Table1[[#This Row],[PPS]]/Table1[[#This Row],[RPS success]]</f>
        <v>6567.4642857142835</v>
      </c>
      <c r="BE95" s="4">
        <f>ABS(Table1[[#This Row],[est-In-Tok3]]-Table1[[#This Row],[In-Tok]])/Table1[[#This Row],[In-Tok]]</f>
        <v>0.31349285714285668</v>
      </c>
      <c r="BF95" s="47">
        <f>Table1[[#This Row],[GPS]]/Table1[[#This Row],[RPS success]]</f>
        <v>596.78125</v>
      </c>
      <c r="BG95" s="4">
        <f>ABS(Table1[[#This Row],[est-Out-Tok3]]-Table1[[#This Row],[Out-Tok]])/Table1[[#This Row],[Out-Tok]]</f>
        <v>0.1935625</v>
      </c>
      <c r="BH95" s="162">
        <f>Table1[[#This Row],[est-In-Tok3]]+AvgOutLoad*Table1[[#This Row],[est-Out-Tok3]]</f>
        <v>6865.8549107142835</v>
      </c>
      <c r="BI95" s="4">
        <f>ABS(Table1[[#This Row],[est-Tok/Req3]]-Table1[[#This Row],[tok/req]])/Table1[[#This Row],[tok/req]]</f>
        <v>0.30778188775510162</v>
      </c>
      <c r="BJ95" s="162">
        <f>MaxTok/Table1[[#This Row],[est-Tok/Req3]]</f>
        <v>56.498756096230871</v>
      </c>
      <c r="BK95" s="4">
        <f>ABS(Table1[[#This Row],[est-N-max3]]-Table1[[#This Row],[N-max]])/Table1[[#This Row],[N-max]]</f>
        <v>0.23534649824783144</v>
      </c>
      <c r="BL95" s="44">
        <f>MaxTok*Table1[[#This Row],[Kvcache]]/Table1[[#This Row],[Run]]</f>
        <v>5245.540530591139</v>
      </c>
      <c r="BM95" s="170">
        <f>ABS(Table1[[#This Row],[est-Tok/Req]]-Table1[[#This Row],[tok/req]])/Table1[[#This Row],[tok/req]]</f>
        <v>8.4942274454494638E-4</v>
      </c>
      <c r="BN95" s="44">
        <f>MaxTok/Table1[[#This Row],[est-Tok/Req]]</f>
        <v>73.950865450436254</v>
      </c>
      <c r="BO95" s="180">
        <f>Table1[[#This Row],[Run]]/Table1[[#This Row],[Kvcache]]</f>
        <v>73.950865450436254</v>
      </c>
      <c r="BP95" s="4" cm="1">
        <f t="array" aca="1" ref="BP95" ca="1">_xlfn.CEILING.MATH(INDIRECT("Table1"&amp;BP$3)/BP$2)*BP$2</f>
        <v>6000</v>
      </c>
      <c r="BQ95" s="4" cm="1">
        <f t="array" aca="1" ref="BQ95" ca="1">_xlfn.CEILING.MATH(INDIRECT("Table1"&amp;BQ$3)/BQ$2)*BQ$2</f>
        <v>2.5000000000000001E-2</v>
      </c>
      <c r="BR95" s="4" cm="1">
        <f t="array" aca="1" ref="BR95" ca="1">_xlfn.CEILING.MATH(INDIRECT("Table1"&amp;BR$3)/BR$2)*BR$2</f>
        <v>0.5</v>
      </c>
      <c r="BS95" s="4" cm="1">
        <f t="array" aca="1" ref="BS95" ca="1">_xlfn.CEILING.MATH(INDIRECT("Table1"&amp;BS$3)/BS$2)*BS$2</f>
        <v>0.48</v>
      </c>
      <c r="BT95" s="3" cm="1">
        <f t="array" aca="1" ref="BT95" ca="1">_xlfn.CEILING.MATH(INDIRECT("Table1"&amp;BT$3)/BT$2)*BT$2</f>
        <v>36</v>
      </c>
      <c r="BU95" s="135" cm="1">
        <f t="array" aca="1" ref="BU95" ca="1">_xlfn.CEILING.MATH(INDIRECT("Table1"&amp;BU$3)/BU$2)*BU$2</f>
        <v>10</v>
      </c>
      <c r="BV95" s="135" cm="1">
        <f t="array" aca="1" ref="BV95" ca="1">_xlfn.CEILING.MATH(INDIRECT("Table1"&amp;BV$3)/BV$2)*BV$2</f>
        <v>5000</v>
      </c>
      <c r="BW95" s="4"/>
      <c r="BX95" s="4"/>
      <c r="BY95" s="190">
        <v>0.83607447633824672</v>
      </c>
      <c r="BZ95" s="4"/>
      <c r="CA95" s="3"/>
      <c r="CF95" s="5"/>
      <c r="CH95" s="8"/>
      <c r="CI95" s="8"/>
      <c r="CJ95" s="14"/>
      <c r="CK95" s="8"/>
      <c r="CL95" s="8"/>
      <c r="CM95" s="8"/>
      <c r="CN95" s="8"/>
      <c r="CO95" s="8"/>
      <c r="CP95" s="8"/>
      <c r="CQ95" s="8">
        <f>Table1[[#This Row],[In-Tok]]+AvgOutLoad*Table1[[#This Row],[Out-Tok]]</f>
        <v>5250</v>
      </c>
      <c r="CR95" s="8"/>
      <c r="CS95" s="8"/>
      <c r="CT95" s="8"/>
      <c r="CU95" s="8"/>
      <c r="CV95" s="8"/>
      <c r="CW95" s="8"/>
      <c r="CX95" s="8"/>
      <c r="CY95" s="8"/>
      <c r="GJ95"/>
    </row>
    <row r="96" spans="1:192" hidden="1" x14ac:dyDescent="0.25">
      <c r="A96" s="3">
        <v>5000</v>
      </c>
      <c r="B96" s="3">
        <v>500</v>
      </c>
      <c r="C96">
        <v>3.4</v>
      </c>
      <c r="D96" s="199">
        <f>Table1[[#This Row],[Kvcache]]</f>
        <v>0.47788337212309279</v>
      </c>
      <c r="E96" s="4" t="s">
        <v>141</v>
      </c>
      <c r="F96" s="219">
        <v>46092</v>
      </c>
      <c r="G96" s="10"/>
      <c r="H96" s="10">
        <v>2.1085595476216281</v>
      </c>
      <c r="I96" s="10">
        <v>1.1353691109673829</v>
      </c>
      <c r="J96" s="10">
        <v>5.8375862573755199</v>
      </c>
      <c r="K96" s="10">
        <v>16.30083003044129</v>
      </c>
      <c r="L96" s="10">
        <v>17.47421408176422</v>
      </c>
      <c r="M96" s="10">
        <v>2.899486974076091E-2</v>
      </c>
      <c r="N96" s="10">
        <v>16.19147654632469</v>
      </c>
      <c r="O96" s="47">
        <v>28098.254545454551</v>
      </c>
      <c r="P96" s="47">
        <v>2635.7454545454539</v>
      </c>
      <c r="Q96" s="5">
        <v>35.666666666666657</v>
      </c>
      <c r="R96" s="5">
        <v>74</v>
      </c>
      <c r="S96" s="170">
        <v>0.47788337212309279</v>
      </c>
      <c r="T96" s="170">
        <v>0.98867339022498057</v>
      </c>
      <c r="U96" s="20">
        <f>(Table1[[#This Row],[In-Tok]]+Table1[[#This Row],[Out-Tok]])*Table1[[#This Row],[RPS]]</f>
        <v>18700</v>
      </c>
      <c r="V96" s="3">
        <f>Table1[[#This Row],[In-Tok]]+AvgOutLoad*Table1[[#This Row],[Out-Tok]]</f>
        <v>5250</v>
      </c>
      <c r="W96" s="3">
        <f>Table1[[#This Row],[In-Tok]]*Table1[[#This Row],[RPS]]</f>
        <v>17000</v>
      </c>
      <c r="X96" s="3">
        <f>Table1[[#This Row],[Out-Tok]]*Table1[[#This Row],[RPS]]</f>
        <v>1700</v>
      </c>
      <c r="Y96" s="75">
        <f>Table1[[#This Row],[In-Tok]]/Table1[[#This Row],[Out-Tok]]</f>
        <v>10</v>
      </c>
      <c r="Z96" s="26">
        <f>Table1[[#This Row],[In-Tok]]*Table1[[#This Row],[N]]+AvgOutLoad*Table1[[#This Row],[Out-Tok]]*Table1[[#This Row],[Ndecode]]</f>
        <v>433123.14493583539</v>
      </c>
      <c r="AA96" s="3">
        <f>Table1[[#This Row],[tok(N)]]/Table1[[#This Row],[Kvcache]]</f>
        <v>906336.50426378904</v>
      </c>
      <c r="AB96" s="3">
        <f>Table1[[#This Row],[tok/req]]*Table1[[#This Row],[Run]]</f>
        <v>187249.99999999994</v>
      </c>
      <c r="AC96" s="3">
        <f>Table1[[#This Row],[tok(Run)]]/Table1[[#This Row],[Kvcache]]</f>
        <v>391832.00530310196</v>
      </c>
      <c r="AD96" s="3">
        <f>Table1[[#This Row],[tok/req]]*Table1[[#This Row],[MaxRun]]</f>
        <v>388500</v>
      </c>
      <c r="AE96" s="3">
        <f>Table1[[#This Row],[tok(MaxRun)]]/Table1[[#This Row],[MaxKvcache]]</f>
        <v>392950.80037664785</v>
      </c>
      <c r="AF96" s="75">
        <f>Table1[[#This Row],[PPS]]*Table1[[#This Row],[Prefill]]/Table1[[#This Row],[In-Tok]]</f>
        <v>6.3803780566015922</v>
      </c>
      <c r="AG96" s="5">
        <f>Table1[[#This Row],[GPS]]*Table1[[#This Row],[ITL]]</f>
        <v>76.423096124348092</v>
      </c>
      <c r="AH96" s="5">
        <f>Table1[[#This Row],[Nprefill]]+Table1[[#This Row],[Ndecode]]</f>
        <v>82.803474180949678</v>
      </c>
      <c r="AI96" s="4">
        <f>Table1[[#This Row],[Run]]/Table1[[#This Row],[ITL]]/Table1[[#This Row],[GPS]]</f>
        <v>0.4667001008259779</v>
      </c>
      <c r="AJ96" s="10">
        <f>Table1[[#This Row],[Prefill]]+Table1[[#This Row],[ITL]]</f>
        <v>1.1643639807081438</v>
      </c>
      <c r="AK96" s="4">
        <f>Table1[[#This Row],[TTFT]]/Table1[[#This Row],[estTTFT]]</f>
        <v>1.8109110059718978</v>
      </c>
      <c r="AL96" s="5">
        <f>Table1[[#This Row],[In-Tok]]*Table1[[#This Row],[RPS]]/Table1[[#This Row],[PPS]]</f>
        <v>0.60501978770599785</v>
      </c>
      <c r="AM96" s="4">
        <f>Table1[[#This Row],[Prefill]]/Table1[[#This Row],[estPrefill]]</f>
        <v>1.8765817813534091</v>
      </c>
      <c r="AN96" s="4">
        <f>Table1[[#This Row],[Prefill]]/Table1[[#This Row],[TTFT]]</f>
        <v>0.53845721940745495</v>
      </c>
      <c r="AO96" s="10">
        <f>Table1[[#This Row],[Run]]/(Table1[[#This Row],[Out-Tok]]*Table1[[#This Row],[RPS]])</f>
        <v>2.0980392156862739E-2</v>
      </c>
      <c r="AP96" s="4">
        <f>Table1[[#This Row],[ITL]]/Table1[[#This Row],[estITL]]</f>
        <v>1.3819984642792589</v>
      </c>
      <c r="AQ96" s="44">
        <f>Table1[[#This Row],[E2E]]-Table1[[#This Row],[TTFT]]+Table1[[#This Row],[ITL]]</f>
        <v>14.111911868443823</v>
      </c>
      <c r="AR96" s="4">
        <f>Table1[[#This Row],[estDecode]]/Table1[[#This Row],[Run]]</f>
        <v>0.39566108042365866</v>
      </c>
      <c r="AS96" s="44">
        <f>Table1[[#This Row],[Prefill]]+Table1[[#This Row],[Out-Tok]]*Table1[[#This Row],[ITL]]</f>
        <v>15.632803981347839</v>
      </c>
      <c r="AT96" s="5">
        <f>Table1[[#This Row],[estPrefill]]+Table1[[#This Row],[Out-Tok]]*Table1[[#This Row],[ITL]]</f>
        <v>15.102454658086454</v>
      </c>
      <c r="AU96" s="4">
        <f>Table1[[#This Row],[E2E]]/Table1[[#This Row],[estE2E]]</f>
        <v>1.0721089328121327</v>
      </c>
      <c r="AV96" s="5">
        <f>Table1[[#This Row],[N]]/Table1[[#This Row],[estE2E]]</f>
        <v>5.4827825049362691</v>
      </c>
      <c r="AW96" s="5">
        <f>Table1[[#This Row],[PPS]]/Table1[[#This Row],[In-Tok]]</f>
        <v>5.6196509090909101</v>
      </c>
      <c r="AX96" s="4">
        <f>Table1[[#This Row],[RPS]]/Table1[[#This Row],[RPS(IL)]]</f>
        <v>0.60501978770599774</v>
      </c>
      <c r="AY96" s="5">
        <f>Table1[[#This Row],[GPS]]/Table1[[#This Row],[Out-Tok]]</f>
        <v>5.2714909090909075</v>
      </c>
      <c r="AZ96" s="89">
        <f>Table1[[#This Row],[RPS]]/Table1[[#This Row],[RPS(OL)]]</f>
        <v>0.64497882262047668</v>
      </c>
      <c r="BA96" s="135">
        <f>MaxTok/Table1[[#This Row],[tok/req]]</f>
        <v>73.88804990334387</v>
      </c>
      <c r="BB96" s="4">
        <f>Table1[[#This Row],[N]]/Table1[[#This Row],[N-max]]</f>
        <v>1.1206612475125335</v>
      </c>
      <c r="BC96" s="44">
        <f>Table1[[#This Row],[RPS]]</f>
        <v>3.4</v>
      </c>
      <c r="BD96" s="47">
        <f>Table1[[#This Row],[PPS]]/Table1[[#This Row],[RPS success]]</f>
        <v>8264.1925133689856</v>
      </c>
      <c r="BE96" s="4">
        <f>ABS(Table1[[#This Row],[est-In-Tok3]]-Table1[[#This Row],[In-Tok]])/Table1[[#This Row],[In-Tok]]</f>
        <v>0.65283850267379717</v>
      </c>
      <c r="BF96" s="47">
        <f>Table1[[#This Row],[GPS]]/Table1[[#This Row],[RPS success]]</f>
        <v>775.2192513368982</v>
      </c>
      <c r="BG96" s="4">
        <f>ABS(Table1[[#This Row],[est-Out-Tok3]]-Table1[[#This Row],[Out-Tok]])/Table1[[#This Row],[Out-Tok]]</f>
        <v>0.55043850267379635</v>
      </c>
      <c r="BH96" s="162">
        <f>Table1[[#This Row],[est-In-Tok3]]+AvgOutLoad*Table1[[#This Row],[est-Out-Tok3]]</f>
        <v>8651.8021390374342</v>
      </c>
      <c r="BI96" s="4">
        <f>ABS(Table1[[#This Row],[est-Tok/Req3]]-Table1[[#This Row],[tok/req]])/Table1[[#This Row],[tok/req]]</f>
        <v>0.64796231219760647</v>
      </c>
      <c r="BJ96" s="162">
        <f>MaxTok/Table1[[#This Row],[est-Tok/Req3]]</f>
        <v>44.836007083688678</v>
      </c>
      <c r="BK96" s="4">
        <f>ABS(Table1[[#This Row],[est-N-max3]]-Table1[[#This Row],[N-max]])/Table1[[#This Row],[N-max]]</f>
        <v>0.3931900064714039</v>
      </c>
      <c r="BL96" s="44">
        <f>MaxTok*Table1[[#This Row],[Kvcache]]/Table1[[#This Row],[Run]]</f>
        <v>5197.4809303429629</v>
      </c>
      <c r="BM96" s="170">
        <f>ABS(Table1[[#This Row],[est-Tok/Req]]-Table1[[#This Row],[tok/req]])/Table1[[#This Row],[tok/req]]</f>
        <v>1.0003632315626116E-2</v>
      </c>
      <c r="BN96" s="44">
        <f>MaxTok/Table1[[#This Row],[est-Tok/Req]]</f>
        <v>74.634667676781334</v>
      </c>
      <c r="BO96" s="180">
        <f>Table1[[#This Row],[Run]]/Table1[[#This Row],[Kvcache]]</f>
        <v>74.634667676781334</v>
      </c>
      <c r="BP96" s="4" cm="1">
        <f t="array" aca="1" ref="BP96" ca="1">_xlfn.CEILING.MATH(INDIRECT("Table1"&amp;BP$3)/BP$2)*BP$2</f>
        <v>6000</v>
      </c>
      <c r="BQ96" s="4" cm="1">
        <f t="array" aca="1" ref="BQ96" ca="1">_xlfn.CEILING.MATH(INDIRECT("Table1"&amp;BQ$3)/BQ$2)*BQ$2</f>
        <v>0.03</v>
      </c>
      <c r="BR96" s="4" cm="1">
        <f t="array" aca="1" ref="BR96" ca="1">_xlfn.CEILING.MATH(INDIRECT("Table1"&amp;BR$3)/BR$2)*BR$2</f>
        <v>0.5</v>
      </c>
      <c r="BS96" s="4" cm="1">
        <f t="array" aca="1" ref="BS96" ca="1">_xlfn.CEILING.MATH(INDIRECT("Table1"&amp;BS$3)/BS$2)*BS$2</f>
        <v>0.48</v>
      </c>
      <c r="BT96" s="3" cm="1">
        <f t="array" aca="1" ref="BT96" ca="1">_xlfn.CEILING.MATH(INDIRECT("Table1"&amp;BT$3)/BT$2)*BT$2</f>
        <v>36</v>
      </c>
      <c r="BU96" s="135" cm="1">
        <f t="array" aca="1" ref="BU96" ca="1">_xlfn.CEILING.MATH(INDIRECT("Table1"&amp;BU$3)/BU$2)*BU$2</f>
        <v>10</v>
      </c>
      <c r="BV96" s="135" cm="1">
        <f t="array" aca="1" ref="BV96" ca="1">_xlfn.CEILING.MATH(INDIRECT("Table1"&amp;BV$3)/BV$2)*BV$2</f>
        <v>5000</v>
      </c>
      <c r="BW96" s="4"/>
      <c r="BX96" s="4"/>
      <c r="BY96" s="190">
        <v>0.98867339022498057</v>
      </c>
      <c r="BZ96" s="4"/>
      <c r="CA96" s="3"/>
      <c r="CF96" s="5"/>
      <c r="CH96" s="8"/>
      <c r="CI96" s="8"/>
      <c r="CJ96" s="14"/>
      <c r="CK96" s="8"/>
      <c r="CL96" s="8"/>
      <c r="CM96" s="8"/>
      <c r="CN96" s="8"/>
      <c r="CO96" s="8"/>
      <c r="CP96" s="8"/>
      <c r="CQ96" s="8">
        <f>Table1[[#This Row],[In-Tok]]+AvgOutLoad*Table1[[#This Row],[Out-Tok]]</f>
        <v>5250</v>
      </c>
      <c r="CR96" s="8"/>
      <c r="CS96" s="8"/>
      <c r="CT96" s="8"/>
      <c r="CU96" s="8"/>
      <c r="CV96" s="8"/>
      <c r="CW96" s="8"/>
      <c r="CX96" s="8"/>
      <c r="CY96" s="8"/>
      <c r="GJ96"/>
    </row>
    <row r="97" spans="1:192" hidden="1" x14ac:dyDescent="0.25">
      <c r="A97" s="3">
        <v>5000</v>
      </c>
      <c r="B97" s="3">
        <v>500</v>
      </c>
      <c r="C97">
        <v>3.6</v>
      </c>
      <c r="D97" s="199">
        <f>Table1[[#This Row],[Kvcache]]</f>
        <v>0.48270530865565769</v>
      </c>
      <c r="E97" s="4" t="s">
        <v>141</v>
      </c>
      <c r="F97" s="219">
        <v>46092</v>
      </c>
      <c r="G97" s="10"/>
      <c r="H97" s="10">
        <v>0.68332388432197322</v>
      </c>
      <c r="I97" s="10">
        <v>0.52980489719111601</v>
      </c>
      <c r="J97" s="10">
        <v>3.1475115282083652</v>
      </c>
      <c r="K97" s="10">
        <v>6.8255829215049744</v>
      </c>
      <c r="L97" s="10">
        <v>7.6076858997344958</v>
      </c>
      <c r="M97" s="10">
        <v>2.6898599939678539E-2</v>
      </c>
      <c r="N97" s="10">
        <v>14.127510175918241</v>
      </c>
      <c r="O97" s="47">
        <v>25088.76923076923</v>
      </c>
      <c r="P97" s="47">
        <v>2353.8461538461538</v>
      </c>
      <c r="Q97" s="5">
        <v>35.857142857142847</v>
      </c>
      <c r="R97" s="5">
        <v>73</v>
      </c>
      <c r="S97" s="170">
        <v>0.48270530865565769</v>
      </c>
      <c r="T97" s="170">
        <v>0.98991466252909233</v>
      </c>
      <c r="U97" s="20">
        <f>(Table1[[#This Row],[In-Tok]]+Table1[[#This Row],[Out-Tok]])*Table1[[#This Row],[RPS]]</f>
        <v>19800</v>
      </c>
      <c r="V97" s="3">
        <f>Table1[[#This Row],[In-Tok]]+AvgOutLoad*Table1[[#This Row],[Out-Tok]]</f>
        <v>5250</v>
      </c>
      <c r="W97" s="3">
        <f>Table1[[#This Row],[In-Tok]]*Table1[[#This Row],[RPS]]</f>
        <v>18000</v>
      </c>
      <c r="X97" s="3">
        <f>Table1[[#This Row],[Out-Tok]]*Table1[[#This Row],[RPS]]</f>
        <v>1800</v>
      </c>
      <c r="Y97" s="75">
        <f>Table1[[#This Row],[In-Tok]]/Table1[[#This Row],[Out-Tok]]</f>
        <v>10</v>
      </c>
      <c r="Z97" s="26">
        <f>Table1[[#This Row],[In-Tok]]*Table1[[#This Row],[N]]+AvgOutLoad*Table1[[#This Row],[Out-Tok]]*Table1[[#This Row],[Ndecode]]</f>
        <v>345696.77436521754</v>
      </c>
      <c r="AA97" s="3">
        <f>Table1[[#This Row],[tok(N)]]/Table1[[#This Row],[Kvcache]]</f>
        <v>716165.26308357541</v>
      </c>
      <c r="AB97" s="3">
        <f>Table1[[#This Row],[tok/req]]*Table1[[#This Row],[Run]]</f>
        <v>188249.99999999994</v>
      </c>
      <c r="AC97" s="3">
        <f>Table1[[#This Row],[tok(Run)]]/Table1[[#This Row],[Kvcache]]</f>
        <v>389989.49591890612</v>
      </c>
      <c r="AD97" s="3">
        <f>Table1[[#This Row],[tok/req]]*Table1[[#This Row],[MaxRun]]</f>
        <v>383250</v>
      </c>
      <c r="AE97" s="3">
        <f>Table1[[#This Row],[tok(MaxRun)]]/Table1[[#This Row],[MaxKvcache]]</f>
        <v>387154.58463949844</v>
      </c>
      <c r="AF97" s="75">
        <f>Table1[[#This Row],[PPS]]*Table1[[#This Row],[Prefill]]/Table1[[#This Row],[In-Tok]]</f>
        <v>2.6584305605918654</v>
      </c>
      <c r="AG97" s="5">
        <f>Table1[[#This Row],[GPS]]*Table1[[#This Row],[ITL]]</f>
        <v>63.315166011858715</v>
      </c>
      <c r="AH97" s="5">
        <f>Table1[[#This Row],[Nprefill]]+Table1[[#This Row],[Ndecode]]</f>
        <v>65.973596572450575</v>
      </c>
      <c r="AI97" s="4">
        <f>Table1[[#This Row],[Run]]/Table1[[#This Row],[ITL]]/Table1[[#This Row],[GPS]]</f>
        <v>0.5663278660665112</v>
      </c>
      <c r="AJ97" s="10">
        <f>Table1[[#This Row],[Prefill]]+Table1[[#This Row],[ITL]]</f>
        <v>0.55670349713079459</v>
      </c>
      <c r="AK97" s="4">
        <f>Table1[[#This Row],[TTFT]]/Table1[[#This Row],[estTTFT]]</f>
        <v>1.2274467249510197</v>
      </c>
      <c r="AL97" s="5">
        <f>Table1[[#This Row],[In-Tok]]*Table1[[#This Row],[RPS]]/Table1[[#This Row],[PPS]]</f>
        <v>0.71745249176769255</v>
      </c>
      <c r="AM97" s="4">
        <f>Table1[[#This Row],[Prefill]]/Table1[[#This Row],[estPrefill]]</f>
        <v>0.73845293349774044</v>
      </c>
      <c r="AN97" s="4">
        <f>Table1[[#This Row],[Prefill]]/Table1[[#This Row],[TTFT]]</f>
        <v>0.77533496098532229</v>
      </c>
      <c r="AO97" s="10">
        <f>Table1[[#This Row],[Run]]/(Table1[[#This Row],[Out-Tok]]*Table1[[#This Row],[RPS]])</f>
        <v>1.9920634920634915E-2</v>
      </c>
      <c r="AP97" s="4">
        <f>Table1[[#This Row],[ITL]]/Table1[[#This Row],[estITL]]</f>
        <v>1.3502882838245007</v>
      </c>
      <c r="AQ97" s="44">
        <f>Table1[[#This Row],[E2E]]-Table1[[#This Row],[TTFT]]+Table1[[#This Row],[ITL]]</f>
        <v>13.471084891535947</v>
      </c>
      <c r="AR97" s="4">
        <f>Table1[[#This Row],[estDecode]]/Table1[[#This Row],[Run]]</f>
        <v>0.3756876264571779</v>
      </c>
      <c r="AS97" s="44">
        <f>Table1[[#This Row],[Prefill]]+Table1[[#This Row],[Out-Tok]]*Table1[[#This Row],[ITL]]</f>
        <v>13.979104867030387</v>
      </c>
      <c r="AT97" s="5">
        <f>Table1[[#This Row],[estPrefill]]+Table1[[#This Row],[Out-Tok]]*Table1[[#This Row],[ITL]]</f>
        <v>14.166752461606963</v>
      </c>
      <c r="AU97" s="4">
        <f>Table1[[#This Row],[E2E]]/Table1[[#This Row],[estE2E]]</f>
        <v>0.99722997307992278</v>
      </c>
      <c r="AV97" s="5">
        <f>Table1[[#This Row],[N]]/Table1[[#This Row],[estE2E]]</f>
        <v>4.6569315551495887</v>
      </c>
      <c r="AW97" s="5">
        <f>Table1[[#This Row],[PPS]]/Table1[[#This Row],[In-Tok]]</f>
        <v>5.0177538461538465</v>
      </c>
      <c r="AX97" s="4">
        <f>Table1[[#This Row],[RPS]]/Table1[[#This Row],[RPS(IL)]]</f>
        <v>0.71745249176769255</v>
      </c>
      <c r="AY97" s="5">
        <f>Table1[[#This Row],[GPS]]/Table1[[#This Row],[Out-Tok]]</f>
        <v>4.7076923076923078</v>
      </c>
      <c r="AZ97" s="89">
        <f>Table1[[#This Row],[RPS]]/Table1[[#This Row],[RPS(OL)]]</f>
        <v>0.76470588235294112</v>
      </c>
      <c r="BA97" s="135">
        <f>MaxTok/Table1[[#This Row],[tok/req]]</f>
        <v>73.88804990334387</v>
      </c>
      <c r="BB97" s="4">
        <f>Table1[[#This Row],[N]]/Table1[[#This Row],[N-max]]</f>
        <v>0.89288588152960413</v>
      </c>
      <c r="BC97" s="44">
        <f>Table1[[#This Row],[RPS]]</f>
        <v>3.6</v>
      </c>
      <c r="BD97" s="47">
        <f>Table1[[#This Row],[PPS]]/Table1[[#This Row],[RPS success]]</f>
        <v>6969.1025641025635</v>
      </c>
      <c r="BE97" s="4">
        <f>ABS(Table1[[#This Row],[est-In-Tok3]]-Table1[[#This Row],[In-Tok]])/Table1[[#This Row],[In-Tok]]</f>
        <v>0.39382051282051272</v>
      </c>
      <c r="BF97" s="47">
        <f>Table1[[#This Row],[GPS]]/Table1[[#This Row],[RPS success]]</f>
        <v>653.84615384615381</v>
      </c>
      <c r="BG97" s="4">
        <f>ABS(Table1[[#This Row],[est-Out-Tok3]]-Table1[[#This Row],[Out-Tok]])/Table1[[#This Row],[Out-Tok]]</f>
        <v>0.3076923076923076</v>
      </c>
      <c r="BH97" s="162">
        <f>Table1[[#This Row],[est-In-Tok3]]+AvgOutLoad*Table1[[#This Row],[est-Out-Tok3]]</f>
        <v>7296.0256410256407</v>
      </c>
      <c r="BI97" s="4">
        <f>ABS(Table1[[#This Row],[est-Tok/Req3]]-Table1[[#This Row],[tok/req]])/Table1[[#This Row],[tok/req]]</f>
        <v>0.38971916971916964</v>
      </c>
      <c r="BJ97" s="162">
        <f>MaxTok/Table1[[#This Row],[est-Tok/Req3]]</f>
        <v>53.16761221497358</v>
      </c>
      <c r="BK97" s="4">
        <f>ABS(Table1[[#This Row],[est-N-max3]]-Table1[[#This Row],[N-max]])/Table1[[#This Row],[N-max]]</f>
        <v>0.28043016043156616</v>
      </c>
      <c r="BL97" s="44">
        <f>MaxTok*Table1[[#This Row],[Kvcache]]/Table1[[#This Row],[Run]]</f>
        <v>5222.0364824502612</v>
      </c>
      <c r="BM97" s="170">
        <f>ABS(Table1[[#This Row],[est-Tok/Req]]-Table1[[#This Row],[tok/req]])/Table1[[#This Row],[tok/req]]</f>
        <v>5.3263842951883338E-3</v>
      </c>
      <c r="BN97" s="44">
        <f>MaxTok/Table1[[#This Row],[est-Tok/Req]]</f>
        <v>74.283713508363078</v>
      </c>
      <c r="BO97" s="180">
        <f>Table1[[#This Row],[Run]]/Table1[[#This Row],[Kvcache]]</f>
        <v>74.283713508363078</v>
      </c>
      <c r="BP97" s="4" cm="1">
        <f t="array" aca="1" ref="BP97" ca="1">_xlfn.CEILING.MATH(INDIRECT("Table1"&amp;BP$3)/BP$2)*BP$2</f>
        <v>6000</v>
      </c>
      <c r="BQ97" s="4" cm="1">
        <f t="array" aca="1" ref="BQ97" ca="1">_xlfn.CEILING.MATH(INDIRECT("Table1"&amp;BQ$3)/BQ$2)*BQ$2</f>
        <v>0.03</v>
      </c>
      <c r="BR97" s="4" cm="1">
        <f t="array" aca="1" ref="BR97" ca="1">_xlfn.CEILING.MATH(INDIRECT("Table1"&amp;BR$3)/BR$2)*BR$2</f>
        <v>0.5</v>
      </c>
      <c r="BS97" s="4" cm="1">
        <f t="array" aca="1" ref="BS97" ca="1">_xlfn.CEILING.MATH(INDIRECT("Table1"&amp;BS$3)/BS$2)*BS$2</f>
        <v>0.49</v>
      </c>
      <c r="BT97" s="3" cm="1">
        <f t="array" aca="1" ref="BT97" ca="1">_xlfn.CEILING.MATH(INDIRECT("Table1"&amp;BT$3)/BT$2)*BT$2</f>
        <v>36</v>
      </c>
      <c r="BU97" s="135" cm="1">
        <f t="array" aca="1" ref="BU97" ca="1">_xlfn.CEILING.MATH(INDIRECT("Table1"&amp;BU$3)/BU$2)*BU$2</f>
        <v>10</v>
      </c>
      <c r="BV97" s="135" cm="1">
        <f t="array" aca="1" ref="BV97" ca="1">_xlfn.CEILING.MATH(INDIRECT("Table1"&amp;BV$3)/BV$2)*BV$2</f>
        <v>5000</v>
      </c>
      <c r="BW97" s="4"/>
      <c r="BX97" s="4"/>
      <c r="BY97" s="190">
        <v>0.98991466252909233</v>
      </c>
      <c r="BZ97" s="4"/>
      <c r="CA97" s="3"/>
      <c r="CF97" s="5"/>
      <c r="CH97" s="8"/>
      <c r="CI97" s="8"/>
      <c r="CJ97" s="14"/>
      <c r="CK97" s="8"/>
      <c r="CL97" s="8"/>
      <c r="CM97" s="8"/>
      <c r="CN97" s="8"/>
      <c r="CO97" s="8"/>
      <c r="CP97" s="8"/>
      <c r="CQ97" s="8">
        <f>Table1[[#This Row],[In-Tok]]+AvgOutLoad*Table1[[#This Row],[Out-Tok]]</f>
        <v>5250</v>
      </c>
      <c r="CR97" s="8"/>
      <c r="CS97" s="8"/>
      <c r="CT97" s="8"/>
      <c r="CU97" s="8"/>
      <c r="CV97" s="8"/>
      <c r="CW97" s="8"/>
      <c r="CX97" s="8"/>
      <c r="CY97" s="8"/>
      <c r="GJ97"/>
    </row>
    <row r="98" spans="1:192" hidden="1" x14ac:dyDescent="0.25">
      <c r="A98" s="3">
        <v>5000</v>
      </c>
      <c r="B98" s="3">
        <v>500</v>
      </c>
      <c r="C98">
        <v>3.8</v>
      </c>
      <c r="D98" s="199">
        <f>Table1[[#This Row],[Kvcache]]</f>
        <v>0.49365638240735221</v>
      </c>
      <c r="E98" s="4" t="s">
        <v>141</v>
      </c>
      <c r="F98" s="219">
        <v>46092</v>
      </c>
      <c r="G98" s="10"/>
      <c r="H98" s="10">
        <v>1.8313010636107021</v>
      </c>
      <c r="I98" s="10">
        <v>1.097514941873035</v>
      </c>
      <c r="J98" s="10">
        <v>4.4845863933762606</v>
      </c>
      <c r="K98" s="10">
        <v>11.8969829082489</v>
      </c>
      <c r="L98" s="10">
        <v>13.724070405960081</v>
      </c>
      <c r="M98" s="10">
        <v>2.7495596487765641E-2</v>
      </c>
      <c r="N98" s="10">
        <v>15.55108878919887</v>
      </c>
      <c r="O98" s="47">
        <v>25486.966666666671</v>
      </c>
      <c r="P98" s="47">
        <v>2391.666666666667</v>
      </c>
      <c r="Q98" s="5">
        <v>36.846153846153847</v>
      </c>
      <c r="R98" s="5">
        <v>73</v>
      </c>
      <c r="S98" s="170">
        <v>0.49365638240735221</v>
      </c>
      <c r="T98" s="170">
        <v>0.99666408068269974</v>
      </c>
      <c r="U98" s="20">
        <f>(Table1[[#This Row],[In-Tok]]+Table1[[#This Row],[Out-Tok]])*Table1[[#This Row],[RPS]]</f>
        <v>20900</v>
      </c>
      <c r="V98" s="3">
        <f>Table1[[#This Row],[In-Tok]]+AvgOutLoad*Table1[[#This Row],[Out-Tok]]</f>
        <v>5250</v>
      </c>
      <c r="W98" s="3">
        <f>Table1[[#This Row],[In-Tok]]*Table1[[#This Row],[RPS]]</f>
        <v>19000</v>
      </c>
      <c r="X98" s="3">
        <f>Table1[[#This Row],[Out-Tok]]*Table1[[#This Row],[RPS]]</f>
        <v>1900</v>
      </c>
      <c r="Y98" s="75">
        <f>Table1[[#This Row],[In-Tok]]/Table1[[#This Row],[Out-Tok]]</f>
        <v>10</v>
      </c>
      <c r="Z98" s="26">
        <f>Table1[[#This Row],[In-Tok]]*Table1[[#This Row],[N]]+AvgOutLoad*Table1[[#This Row],[Out-Tok]]*Table1[[#This Row],[Ndecode]]</f>
        <v>373213.91013919411</v>
      </c>
      <c r="AA98" s="3">
        <f>Table1[[#This Row],[tok(N)]]/Table1[[#This Row],[Kvcache]]</f>
        <v>756019.61898920173</v>
      </c>
      <c r="AB98" s="3">
        <f>Table1[[#This Row],[tok/req]]*Table1[[#This Row],[Run]]</f>
        <v>193442.30769230769</v>
      </c>
      <c r="AC98" s="3">
        <f>Table1[[#This Row],[tok(Run)]]/Table1[[#This Row],[Kvcache]]</f>
        <v>391856.18698774202</v>
      </c>
      <c r="AD98" s="3">
        <f>Table1[[#This Row],[tok/req]]*Table1[[#This Row],[MaxRun]]</f>
        <v>383250</v>
      </c>
      <c r="AE98" s="3">
        <f>Table1[[#This Row],[tok(MaxRun)]]/Table1[[#This Row],[MaxKvcache]]</f>
        <v>384532.77029656729</v>
      </c>
      <c r="AF98" s="75">
        <f>Table1[[#This Row],[PPS]]*Table1[[#This Row],[Prefill]]/Table1[[#This Row],[In-Tok]]</f>
        <v>5.5944653479373301</v>
      </c>
      <c r="AG98" s="5">
        <f>Table1[[#This Row],[GPS]]*Table1[[#This Row],[ITL]]</f>
        <v>65.760301599906171</v>
      </c>
      <c r="AH98" s="5">
        <f>Table1[[#This Row],[Nprefill]]+Table1[[#This Row],[Ndecode]]</f>
        <v>71.354766947843501</v>
      </c>
      <c r="AI98" s="4">
        <f>Table1[[#This Row],[Run]]/Table1[[#This Row],[ITL]]/Table1[[#This Row],[GPS]]</f>
        <v>0.56030998869698656</v>
      </c>
      <c r="AJ98" s="10">
        <f>Table1[[#This Row],[Prefill]]+Table1[[#This Row],[ITL]]</f>
        <v>1.1250105383608007</v>
      </c>
      <c r="AK98" s="4">
        <f>Table1[[#This Row],[TTFT]]/Table1[[#This Row],[estTTFT]]</f>
        <v>1.6278079192742529</v>
      </c>
      <c r="AL98" s="5">
        <f>Table1[[#This Row],[In-Tok]]*Table1[[#This Row],[RPS]]/Table1[[#This Row],[PPS]]</f>
        <v>0.74547906184729695</v>
      </c>
      <c r="AM98" s="4">
        <f>Table1[[#This Row],[Prefill]]/Table1[[#This Row],[estPrefill]]</f>
        <v>1.4722277231414027</v>
      </c>
      <c r="AN98" s="4">
        <f>Table1[[#This Row],[Prefill]]/Table1[[#This Row],[TTFT]]</f>
        <v>0.59930885406089884</v>
      </c>
      <c r="AO98" s="10">
        <f>Table1[[#This Row],[Run]]/(Table1[[#This Row],[Out-Tok]]*Table1[[#This Row],[RPS]])</f>
        <v>1.9392712550607288E-2</v>
      </c>
      <c r="AP98" s="4">
        <f>Table1[[#This Row],[ITL]]/Table1[[#This Row],[estITL]]</f>
        <v>1.4178313846509631</v>
      </c>
      <c r="AQ98" s="44">
        <f>Table1[[#This Row],[E2E]]-Table1[[#This Row],[TTFT]]+Table1[[#This Row],[ITL]]</f>
        <v>13.747283322075933</v>
      </c>
      <c r="AR98" s="4">
        <f>Table1[[#This Row],[estDecode]]/Table1[[#This Row],[Run]]</f>
        <v>0.37309954736322992</v>
      </c>
      <c r="AS98" s="44">
        <f>Table1[[#This Row],[Prefill]]+Table1[[#This Row],[Out-Tok]]*Table1[[#This Row],[ITL]]</f>
        <v>14.845313185755856</v>
      </c>
      <c r="AT98" s="5">
        <f>Table1[[#This Row],[estPrefill]]+Table1[[#This Row],[Out-Tok]]*Table1[[#This Row],[ITL]]</f>
        <v>14.493277305730118</v>
      </c>
      <c r="AU98" s="4">
        <f>Table1[[#This Row],[E2E]]/Table1[[#This Row],[estE2E]]</f>
        <v>1.0729863550634287</v>
      </c>
      <c r="AV98" s="5">
        <f>Table1[[#This Row],[N]]/Table1[[#This Row],[estE2E]]</f>
        <v>4.9233010203725565</v>
      </c>
      <c r="AW98" s="5">
        <f>Table1[[#This Row],[PPS]]/Table1[[#This Row],[In-Tok]]</f>
        <v>5.0973933333333346</v>
      </c>
      <c r="AX98" s="4">
        <f>Table1[[#This Row],[RPS]]/Table1[[#This Row],[RPS(IL)]]</f>
        <v>0.74547906184729695</v>
      </c>
      <c r="AY98" s="5">
        <f>Table1[[#This Row],[GPS]]/Table1[[#This Row],[Out-Tok]]</f>
        <v>4.7833333333333341</v>
      </c>
      <c r="AZ98" s="89">
        <f>Table1[[#This Row],[RPS]]/Table1[[#This Row],[RPS(OL)]]</f>
        <v>0.79442508710801374</v>
      </c>
      <c r="BA98" s="135">
        <f>MaxTok/Table1[[#This Row],[tok/req]]</f>
        <v>73.88804990334387</v>
      </c>
      <c r="BB98" s="4">
        <f>Table1[[#This Row],[N]]/Table1[[#This Row],[N-max]]</f>
        <v>0.96571457821915363</v>
      </c>
      <c r="BC98" s="44">
        <f>Table1[[#This Row],[RPS]]</f>
        <v>3.8</v>
      </c>
      <c r="BD98" s="47">
        <f>Table1[[#This Row],[PPS]]/Table1[[#This Row],[RPS success]]</f>
        <v>6707.0964912280715</v>
      </c>
      <c r="BE98" s="4">
        <f>ABS(Table1[[#This Row],[est-In-Tok3]]-Table1[[#This Row],[In-Tok]])/Table1[[#This Row],[In-Tok]]</f>
        <v>0.34141929824561429</v>
      </c>
      <c r="BF98" s="47">
        <f>Table1[[#This Row],[GPS]]/Table1[[#This Row],[RPS success]]</f>
        <v>629.38596491228077</v>
      </c>
      <c r="BG98" s="4">
        <f>ABS(Table1[[#This Row],[est-Out-Tok3]]-Table1[[#This Row],[Out-Tok]])/Table1[[#This Row],[Out-Tok]]</f>
        <v>0.25877192982456154</v>
      </c>
      <c r="BH98" s="162">
        <f>Table1[[#This Row],[est-In-Tok3]]+AvgOutLoad*Table1[[#This Row],[est-Out-Tok3]]</f>
        <v>7021.7894736842118</v>
      </c>
      <c r="BI98" s="4">
        <f>ABS(Table1[[#This Row],[est-Tok/Req3]]-Table1[[#This Row],[tok/req]])/Table1[[#This Row],[tok/req]]</f>
        <v>0.33748370927318322</v>
      </c>
      <c r="BJ98" s="162">
        <f>MaxTok/Table1[[#This Row],[est-Tok/Req3]]</f>
        <v>55.244074668764519</v>
      </c>
      <c r="BK98" s="4">
        <f>ABS(Table1[[#This Row],[est-N-max3]]-Table1[[#This Row],[N-max]])/Table1[[#This Row],[N-max]]</f>
        <v>0.25232734195811551</v>
      </c>
      <c r="BL98" s="44">
        <f>MaxTok*Table1[[#This Row],[Kvcache]]/Table1[[#This Row],[Run]]</f>
        <v>5197.1601906201931</v>
      </c>
      <c r="BM98" s="170">
        <f>ABS(Table1[[#This Row],[est-Tok/Req]]-Table1[[#This Row],[tok/req]])/Table1[[#This Row],[tok/req]]</f>
        <v>1.0064725596153689E-2</v>
      </c>
      <c r="BN98" s="44">
        <f>MaxTok/Table1[[#This Row],[est-Tok/Req]]</f>
        <v>74.639273711950864</v>
      </c>
      <c r="BO98" s="180">
        <f>Table1[[#This Row],[Run]]/Table1[[#This Row],[Kvcache]]</f>
        <v>74.639273711950864</v>
      </c>
      <c r="BP98" s="4" cm="1">
        <f t="array" aca="1" ref="BP98" ca="1">_xlfn.CEILING.MATH(INDIRECT("Table1"&amp;BP$3)/BP$2)*BP$2</f>
        <v>6000</v>
      </c>
      <c r="BQ98" s="4" cm="1">
        <f t="array" aca="1" ref="BQ98" ca="1">_xlfn.CEILING.MATH(INDIRECT("Table1"&amp;BQ$3)/BQ$2)*BQ$2</f>
        <v>0.03</v>
      </c>
      <c r="BR98" s="4" cm="1">
        <f t="array" aca="1" ref="BR98" ca="1">_xlfn.CEILING.MATH(INDIRECT("Table1"&amp;BR$3)/BR$2)*BR$2</f>
        <v>0.5</v>
      </c>
      <c r="BS98" s="4" cm="1">
        <f t="array" aca="1" ref="BS98" ca="1">_xlfn.CEILING.MATH(INDIRECT("Table1"&amp;BS$3)/BS$2)*BS$2</f>
        <v>0.5</v>
      </c>
      <c r="BT98" s="3" cm="1">
        <f t="array" aca="1" ref="BT98" ca="1">_xlfn.CEILING.MATH(INDIRECT("Table1"&amp;BT$3)/BT$2)*BT$2</f>
        <v>37</v>
      </c>
      <c r="BU98" s="135" cm="1">
        <f t="array" aca="1" ref="BU98" ca="1">_xlfn.CEILING.MATH(INDIRECT("Table1"&amp;BU$3)/BU$2)*BU$2</f>
        <v>10</v>
      </c>
      <c r="BV98" s="135" cm="1">
        <f t="array" aca="1" ref="BV98" ca="1">_xlfn.CEILING.MATH(INDIRECT("Table1"&amp;BV$3)/BV$2)*BV$2</f>
        <v>5000</v>
      </c>
      <c r="BW98" s="4"/>
      <c r="BX98" s="4"/>
      <c r="BY98" s="190">
        <v>0.99666408068269974</v>
      </c>
      <c r="BZ98" s="4"/>
      <c r="CA98" s="3"/>
      <c r="CF98" s="5"/>
      <c r="CH98" s="8"/>
      <c r="CI98" s="8"/>
      <c r="CJ98" s="14"/>
      <c r="CK98" s="8"/>
      <c r="CL98" s="8"/>
      <c r="CM98" s="8"/>
      <c r="CN98" s="8"/>
      <c r="CO98" s="8"/>
      <c r="CP98" s="8"/>
      <c r="CQ98" s="8">
        <f>Table1[[#This Row],[In-Tok]]+AvgOutLoad*Table1[[#This Row],[Out-Tok]]</f>
        <v>5250</v>
      </c>
      <c r="CR98" s="8"/>
      <c r="CS98" s="8"/>
      <c r="CT98" s="8"/>
      <c r="CU98" s="8"/>
      <c r="CV98" s="8"/>
      <c r="CW98" s="8"/>
      <c r="CX98" s="8"/>
      <c r="CY98" s="8"/>
      <c r="GJ98"/>
    </row>
    <row r="99" spans="1:192" x14ac:dyDescent="0.25">
      <c r="A99" s="3">
        <v>5000</v>
      </c>
      <c r="B99" s="3">
        <v>1000</v>
      </c>
      <c r="C99">
        <v>2</v>
      </c>
      <c r="D99" s="199">
        <f>Table1[[#This Row],[Kvcache]]</f>
        <v>0.41702999741401603</v>
      </c>
      <c r="E99" s="4" t="s">
        <v>142</v>
      </c>
      <c r="F99" s="219">
        <v>46092</v>
      </c>
      <c r="G99" s="10"/>
      <c r="H99" s="10">
        <v>0.22058631616677774</v>
      </c>
      <c r="I99" s="10">
        <v>0.18708273940370831</v>
      </c>
      <c r="J99" s="10">
        <v>1.7244043041525279</v>
      </c>
      <c r="K99" s="10">
        <v>4.8457100659608834</v>
      </c>
      <c r="L99" s="10">
        <v>5.9301235830783856</v>
      </c>
      <c r="M99" s="10">
        <v>1.9820489445293736E-2</v>
      </c>
      <c r="N99" s="10">
        <v>20.239235813842367</v>
      </c>
      <c r="O99" s="47">
        <v>9376.3686507936472</v>
      </c>
      <c r="P99" s="47">
        <v>1742.5408730158731</v>
      </c>
      <c r="Q99" s="5">
        <v>29.425000000000001</v>
      </c>
      <c r="R99" s="5">
        <v>51</v>
      </c>
      <c r="S99" s="170">
        <v>0.41702999741401603</v>
      </c>
      <c r="T99" s="170">
        <v>0.72443754848719943</v>
      </c>
      <c r="U99" s="20">
        <f>(Table1[[#This Row],[In-Tok]]+Table1[[#This Row],[Out-Tok]])*Table1[[#This Row],[RPS]]</f>
        <v>12000</v>
      </c>
      <c r="V99" s="3">
        <f>Table1[[#This Row],[In-Tok]]+AvgOutLoad*Table1[[#This Row],[Out-Tok]]</f>
        <v>5500</v>
      </c>
      <c r="W99" s="3">
        <f>Table1[[#This Row],[In-Tok]]*Table1[[#This Row],[RPS]]</f>
        <v>10000</v>
      </c>
      <c r="X99" s="3">
        <f>Table1[[#This Row],[Out-Tok]]*Table1[[#This Row],[RPS]]</f>
        <v>2000</v>
      </c>
      <c r="Y99" s="75">
        <f>Table1[[#This Row],[In-Tok]]/Table1[[#This Row],[Out-Tok]]</f>
        <v>5</v>
      </c>
      <c r="Z99" s="26">
        <f>Table1[[#This Row],[In-Tok]]*Table1[[#This Row],[N]]+AvgOutLoad*Table1[[#This Row],[Out-Tok]]*Table1[[#This Row],[Ndecode]]</f>
        <v>191713.22813167179</v>
      </c>
      <c r="AA99" s="3">
        <f>Table1[[#This Row],[tok(N)]]/Table1[[#This Row],[Kvcache]]</f>
        <v>459710.88247962197</v>
      </c>
      <c r="AB99" s="3">
        <f>Table1[[#This Row],[tok/req]]*Table1[[#This Row],[Run]]</f>
        <v>161837.5</v>
      </c>
      <c r="AC99" s="3">
        <f>Table1[[#This Row],[tok(Run)]]/Table1[[#This Row],[Kvcache]]</f>
        <v>388071.60396985098</v>
      </c>
      <c r="AD99" s="3">
        <f>Table1[[#This Row],[tok/req]]*Table1[[#This Row],[MaxRun]]</f>
        <v>280500</v>
      </c>
      <c r="AE99" s="3">
        <f>Table1[[#This Row],[tok(MaxRun)]]/Table1[[#This Row],[MaxKvcache]]</f>
        <v>387196.93724566285</v>
      </c>
      <c r="AF99" s="75">
        <f>Table1[[#This Row],[PPS]]*Table1[[#This Row],[Prefill]]/Table1[[#This Row],[In-Tok]]</f>
        <v>0.35083134656990561</v>
      </c>
      <c r="AG99" s="5">
        <f>Table1[[#This Row],[GPS]]*Table1[[#This Row],[ITL]]</f>
        <v>34.538012981604048</v>
      </c>
      <c r="AH99" s="5">
        <f>Table1[[#This Row],[Nprefill]]+Table1[[#This Row],[Ndecode]]</f>
        <v>34.888844328173953</v>
      </c>
      <c r="AI99" s="4">
        <f>Table1[[#This Row],[Run]]/Table1[[#This Row],[ITL]]/Table1[[#This Row],[GPS]]</f>
        <v>0.85195983960260291</v>
      </c>
      <c r="AJ99" s="10">
        <f>Table1[[#This Row],[Prefill]]+Table1[[#This Row],[ITL]]</f>
        <v>0.20690322884900206</v>
      </c>
      <c r="AK99" s="4">
        <f>Table1[[#This Row],[TTFT]]/Table1[[#This Row],[estTTFT]]</f>
        <v>1.0661327877476556</v>
      </c>
      <c r="AL99" s="5">
        <f>Table1[[#This Row],[In-Tok]]*Table1[[#This Row],[RPS]]/Table1[[#This Row],[PPS]]</f>
        <v>1.066510967351264</v>
      </c>
      <c r="AM99" s="4">
        <f>Table1[[#This Row],[Prefill]]/Table1[[#This Row],[estPrefill]]</f>
        <v>0.17541567328495281</v>
      </c>
      <c r="AN99" s="4">
        <f>Table1[[#This Row],[Prefill]]/Table1[[#This Row],[TTFT]]</f>
        <v>0.84811579727484765</v>
      </c>
      <c r="AO99" s="10">
        <f>Table1[[#This Row],[Run]]/(Table1[[#This Row],[Out-Tok]]*Table1[[#This Row],[RPS]])</f>
        <v>1.47125E-2</v>
      </c>
      <c r="AP99" s="4">
        <f>Table1[[#This Row],[ITL]]/Table1[[#This Row],[estITL]]</f>
        <v>1.3471870481083252</v>
      </c>
      <c r="AQ99" s="44">
        <f>Table1[[#This Row],[E2E]]-Table1[[#This Row],[TTFT]]+Table1[[#This Row],[ITL]]</f>
        <v>20.038469987120884</v>
      </c>
      <c r="AR99" s="4">
        <f>Table1[[#This Row],[estDecode]]/Table1[[#This Row],[Run]]</f>
        <v>0.68100152887411669</v>
      </c>
      <c r="AS99" s="44">
        <f>Table1[[#This Row],[Prefill]]+Table1[[#This Row],[Out-Tok]]*Table1[[#This Row],[ITL]]</f>
        <v>20.007572184697445</v>
      </c>
      <c r="AT99" s="5">
        <f>Table1[[#This Row],[estPrefill]]+Table1[[#This Row],[Out-Tok]]*Table1[[#This Row],[ITL]]</f>
        <v>20.887000412644998</v>
      </c>
      <c r="AU99" s="4">
        <f>Table1[[#This Row],[E2E]]/Table1[[#This Row],[estE2E]]</f>
        <v>0.96898718887320578</v>
      </c>
      <c r="AV99" s="5">
        <f>Table1[[#This Row],[N]]/Table1[[#This Row],[estE2E]]</f>
        <v>1.6703616430750023</v>
      </c>
      <c r="AW99" s="5">
        <f>Table1[[#This Row],[PPS]]/Table1[[#This Row],[In-Tok]]</f>
        <v>1.8752737301587294</v>
      </c>
      <c r="AX99" s="4">
        <f>Table1[[#This Row],[RPS]]/Table1[[#This Row],[RPS(IL)]]</f>
        <v>1.066510967351264</v>
      </c>
      <c r="AY99" s="5">
        <f>Table1[[#This Row],[GPS]]/Table1[[#This Row],[Out-Tok]]</f>
        <v>1.7425408730158731</v>
      </c>
      <c r="AZ99" s="89">
        <f>Table1[[#This Row],[RPS]]/Table1[[#This Row],[RPS(OL)]]</f>
        <v>1.1477492614210729</v>
      </c>
      <c r="BA99" s="135">
        <f>MaxTok/Table1[[#This Row],[tok/req]]</f>
        <v>70.529502180464604</v>
      </c>
      <c r="BB99" s="4">
        <f>Table1[[#This Row],[N]]/Table1[[#This Row],[N-max]]</f>
        <v>0.49467021954732487</v>
      </c>
      <c r="BC99" s="44">
        <f>Table1[[#This Row],[RPS]]</f>
        <v>2</v>
      </c>
      <c r="BD99" s="47">
        <f>Table1[[#This Row],[PPS]]/Table1[[#This Row],[RPS success]]</f>
        <v>4688.1843253968236</v>
      </c>
      <c r="BE99" s="4">
        <f>ABS(Table1[[#This Row],[est-In-Tok3]]-Table1[[#This Row],[In-Tok]])/Table1[[#This Row],[In-Tok]]</f>
        <v>6.2363134920635277E-2</v>
      </c>
      <c r="BF99" s="47">
        <f>Table1[[#This Row],[GPS]]/Table1[[#This Row],[RPS success]]</f>
        <v>871.27043650793655</v>
      </c>
      <c r="BG99" s="4">
        <f>ABS(Table1[[#This Row],[est-Out-Tok3]]-Table1[[#This Row],[Out-Tok]])/Table1[[#This Row],[Out-Tok]]</f>
        <v>0.12872956349206344</v>
      </c>
      <c r="BH99" s="162">
        <f>Table1[[#This Row],[est-In-Tok3]]+AvgOutLoad*Table1[[#This Row],[est-Out-Tok3]]</f>
        <v>5123.8195436507922</v>
      </c>
      <c r="BI99" s="4">
        <f>ABS(Table1[[#This Row],[est-Tok/Req3]]-Table1[[#This Row],[tok/req]])/Table1[[#This Row],[tok/req]]</f>
        <v>6.8396446608946879E-2</v>
      </c>
      <c r="BJ99" s="162">
        <f>MaxTok/Table1[[#This Row],[est-Tok/Req3]]</f>
        <v>75.707635424678216</v>
      </c>
      <c r="BK99" s="4">
        <f>ABS(Table1[[#This Row],[est-N-max3]]-Table1[[#This Row],[N-max]])/Table1[[#This Row],[N-max]]</f>
        <v>7.3417975232042132E-2</v>
      </c>
      <c r="BL99" s="44">
        <f>MaxTok*Table1[[#This Row],[Kvcache]]/Table1[[#This Row],[Run]]</f>
        <v>5497.7417031646701</v>
      </c>
      <c r="BM99" s="170">
        <f>ABS(Table1[[#This Row],[est-Tok/Req]]-Table1[[#This Row],[tok/req]])/Table1[[#This Row],[tok/req]]</f>
        <v>4.1059942460544167E-4</v>
      </c>
      <c r="BN99" s="44">
        <f>MaxTok/Table1[[#This Row],[est-Tok/Req]]</f>
        <v>70.558473449063825</v>
      </c>
      <c r="BO99" s="180">
        <f>Table1[[#This Row],[Run]]/Table1[[#This Row],[Kvcache]]</f>
        <v>70.558473449063811</v>
      </c>
      <c r="BP99" s="4" cm="1">
        <f t="array" aca="1" ref="BP99" ca="1">_xlfn.CEILING.MATH(INDIRECT("Table1"&amp;BP$3)/BP$2)*BP$2</f>
        <v>6000</v>
      </c>
      <c r="BQ99" s="4" cm="1">
        <f t="array" aca="1" ref="BQ99" ca="1">_xlfn.CEILING.MATH(INDIRECT("Table1"&amp;BQ$3)/BQ$2)*BQ$2</f>
        <v>0.02</v>
      </c>
      <c r="BR99" s="4" cm="1">
        <f t="array" aca="1" ref="BR99" ca="1">_xlfn.CEILING.MATH(INDIRECT("Table1"&amp;BR$3)/BR$2)*BR$2</f>
        <v>0.5</v>
      </c>
      <c r="BS99" s="4" cm="1">
        <f t="array" aca="1" ref="BS99" ca="1">_xlfn.CEILING.MATH(INDIRECT("Table1"&amp;BS$3)/BS$2)*BS$2</f>
        <v>0.42</v>
      </c>
      <c r="BT99" s="3" cm="1">
        <f t="array" aca="1" ref="BT99" ca="1">_xlfn.CEILING.MATH(INDIRECT("Table1"&amp;BT$3)/BT$2)*BT$2</f>
        <v>30</v>
      </c>
      <c r="BU99" s="135" cm="1">
        <f t="array" aca="1" ref="BU99" ca="1">_xlfn.CEILING.MATH(INDIRECT("Table1"&amp;BU$3)/BU$2)*BU$2</f>
        <v>5</v>
      </c>
      <c r="BV99" s="135" cm="1">
        <f t="array" aca="1" ref="BV99" ca="1">_xlfn.CEILING.MATH(INDIRECT("Table1"&amp;BV$3)/BV$2)*BV$2</f>
        <v>5000</v>
      </c>
      <c r="BW99" s="4"/>
      <c r="BX99" s="4"/>
      <c r="BY99" s="190">
        <v>0.72443754848719943</v>
      </c>
      <c r="BZ99" s="4"/>
      <c r="CA99" s="3"/>
      <c r="CF99" s="5"/>
      <c r="CH99" s="8"/>
      <c r="CI99" s="8"/>
      <c r="CJ99" s="14"/>
      <c r="CK99" s="8"/>
      <c r="CL99" s="8"/>
      <c r="CM99" s="8"/>
      <c r="CN99" s="8"/>
      <c r="CO99" s="8"/>
      <c r="CP99" s="8"/>
      <c r="CQ99" s="8">
        <f>Table1[[#This Row],[In-Tok]]+AvgOutLoad*Table1[[#This Row],[Out-Tok]]</f>
        <v>5500</v>
      </c>
      <c r="CR99" s="8"/>
      <c r="CS99" s="8"/>
      <c r="CT99" s="8"/>
      <c r="CU99" s="8"/>
      <c r="CV99" s="8"/>
      <c r="CW99" s="8"/>
      <c r="CX99" s="8"/>
      <c r="CY99" s="8"/>
      <c r="GJ99"/>
    </row>
    <row r="100" spans="1:192" x14ac:dyDescent="0.25">
      <c r="A100" s="3">
        <v>5000</v>
      </c>
      <c r="B100" s="3">
        <v>1000</v>
      </c>
      <c r="C100">
        <v>2.2000000000000002</v>
      </c>
      <c r="D100" s="199">
        <f>Table1[[#This Row],[Kvcache]]</f>
        <v>0.54082065739406704</v>
      </c>
      <c r="E100" s="4" t="s">
        <v>142</v>
      </c>
      <c r="F100" s="219">
        <v>46092</v>
      </c>
      <c r="G100" s="10"/>
      <c r="H100" s="10">
        <v>0.36363777946386272</v>
      </c>
      <c r="I100" s="10">
        <v>0.21287415386511527</v>
      </c>
      <c r="J100" s="10">
        <v>2.6572337137385209</v>
      </c>
      <c r="K100" s="10">
        <v>10.409152847528459</v>
      </c>
      <c r="L100" s="10">
        <v>11.270163493156433</v>
      </c>
      <c r="M100" s="10">
        <v>2.21166259454268E-2</v>
      </c>
      <c r="N100" s="10">
        <v>22.153427009098213</v>
      </c>
      <c r="O100" s="47">
        <v>11476.888958333337</v>
      </c>
      <c r="P100" s="47">
        <v>1999.0216666666668</v>
      </c>
      <c r="Q100" s="5">
        <v>38.209226190476194</v>
      </c>
      <c r="R100" s="5">
        <v>58.75</v>
      </c>
      <c r="S100" s="170">
        <v>0.54082065739406704</v>
      </c>
      <c r="T100" s="170">
        <v>0.83436772692009309</v>
      </c>
      <c r="U100" s="20">
        <f>(Table1[[#This Row],[In-Tok]]+Table1[[#This Row],[Out-Tok]])*Table1[[#This Row],[RPS]]</f>
        <v>13200.000000000002</v>
      </c>
      <c r="V100" s="3">
        <f>Table1[[#This Row],[In-Tok]]+AvgOutLoad*Table1[[#This Row],[Out-Tok]]</f>
        <v>5500</v>
      </c>
      <c r="W100" s="3">
        <f>Table1[[#This Row],[In-Tok]]*Table1[[#This Row],[RPS]]</f>
        <v>11000</v>
      </c>
      <c r="X100" s="3">
        <f>Table1[[#This Row],[Out-Tok]]*Table1[[#This Row],[RPS]]</f>
        <v>2200</v>
      </c>
      <c r="Y100" s="75">
        <f>Table1[[#This Row],[In-Tok]]/Table1[[#This Row],[Out-Tok]]</f>
        <v>5</v>
      </c>
      <c r="Z100" s="26">
        <f>Table1[[#This Row],[In-Tok]]*Table1[[#This Row],[N]]+AvgOutLoad*Table1[[#This Row],[Out-Tok]]*Table1[[#This Row],[Ndecode]]</f>
        <v>245607.01254759589</v>
      </c>
      <c r="AA100" s="3">
        <f>Table1[[#This Row],[tok(N)]]/Table1[[#This Row],[Kvcache]]</f>
        <v>454137.6317447786</v>
      </c>
      <c r="AB100" s="3">
        <f>Table1[[#This Row],[tok/req]]*Table1[[#This Row],[Run]]</f>
        <v>210150.74404761905</v>
      </c>
      <c r="AC100" s="3">
        <f>Table1[[#This Row],[tok(Run)]]/Table1[[#This Row],[Kvcache]]</f>
        <v>388577.50933595252</v>
      </c>
      <c r="AD100" s="3">
        <f>Table1[[#This Row],[tok/req]]*Table1[[#This Row],[MaxRun]]</f>
        <v>323125</v>
      </c>
      <c r="AE100" s="3">
        <f>Table1[[#This Row],[tok(MaxRun)]]/Table1[[#This Row],[MaxKvcache]]</f>
        <v>387269.29335192934</v>
      </c>
      <c r="AF100" s="75">
        <f>Table1[[#This Row],[PPS]]*Table1[[#This Row],[Prefill]]/Table1[[#This Row],[In-Tok]]</f>
        <v>0.48862660520181861</v>
      </c>
      <c r="AG100" s="5">
        <f>Table1[[#This Row],[GPS]]*Table1[[#This Row],[ITL]]</f>
        <v>44.211614458470329</v>
      </c>
      <c r="AH100" s="5">
        <f>Table1[[#This Row],[Nprefill]]+Table1[[#This Row],[Ndecode]]</f>
        <v>44.700241063672145</v>
      </c>
      <c r="AI100" s="4">
        <f>Table1[[#This Row],[Run]]/Table1[[#This Row],[ITL]]/Table1[[#This Row],[GPS]]</f>
        <v>0.86423503548750957</v>
      </c>
      <c r="AJ100" s="10">
        <f>Table1[[#This Row],[Prefill]]+Table1[[#This Row],[ITL]]</f>
        <v>0.23499077981054206</v>
      </c>
      <c r="AK100" s="4">
        <f>Table1[[#This Row],[TTFT]]/Table1[[#This Row],[estTTFT]]</f>
        <v>1.5474555204125049</v>
      </c>
      <c r="AL100" s="5">
        <f>Table1[[#This Row],[In-Tok]]*Table1[[#This Row],[RPS]]/Table1[[#This Row],[PPS]]</f>
        <v>0.95844788948776327</v>
      </c>
      <c r="AM100" s="4">
        <f>Table1[[#This Row],[Prefill]]/Table1[[#This Row],[estPrefill]]</f>
        <v>0.22210300236446301</v>
      </c>
      <c r="AN100" s="4">
        <f>Table1[[#This Row],[Prefill]]/Table1[[#This Row],[TTFT]]</f>
        <v>0.58540164385276716</v>
      </c>
      <c r="AO100" s="10">
        <f>Table1[[#This Row],[Run]]/(Table1[[#This Row],[Out-Tok]]*Table1[[#This Row],[RPS]])</f>
        <v>1.7367830086580088E-2</v>
      </c>
      <c r="AP100" s="4">
        <f>Table1[[#This Row],[ITL]]/Table1[[#This Row],[estITL]]</f>
        <v>1.2734248225122866</v>
      </c>
      <c r="AQ100" s="44">
        <f>Table1[[#This Row],[E2E]]-Table1[[#This Row],[TTFT]]+Table1[[#This Row],[ITL]]</f>
        <v>21.811905855579777</v>
      </c>
      <c r="AR100" s="4">
        <f>Table1[[#This Row],[estDecode]]/Table1[[#This Row],[Run]]</f>
        <v>0.57085442523346586</v>
      </c>
      <c r="AS100" s="44">
        <f>Table1[[#This Row],[Prefill]]+Table1[[#This Row],[Out-Tok]]*Table1[[#This Row],[ITL]]</f>
        <v>22.329500099291916</v>
      </c>
      <c r="AT100" s="5">
        <f>Table1[[#This Row],[estPrefill]]+Table1[[#This Row],[Out-Tok]]*Table1[[#This Row],[ITL]]</f>
        <v>23.075073834914566</v>
      </c>
      <c r="AU100" s="4">
        <f>Table1[[#This Row],[E2E]]/Table1[[#This Row],[estE2E]]</f>
        <v>0.96005877023796027</v>
      </c>
      <c r="AV100" s="5">
        <f>Table1[[#This Row],[N]]/Table1[[#This Row],[estE2E]]</f>
        <v>1.9371656785789715</v>
      </c>
      <c r="AW100" s="5">
        <f>Table1[[#This Row],[PPS]]/Table1[[#This Row],[In-Tok]]</f>
        <v>2.2953777916666671</v>
      </c>
      <c r="AX100" s="4">
        <f>Table1[[#This Row],[RPS]]/Table1[[#This Row],[RPS(IL)]]</f>
        <v>0.95844788948776338</v>
      </c>
      <c r="AY100" s="5">
        <f>Table1[[#This Row],[GPS]]/Table1[[#This Row],[Out-Tok]]</f>
        <v>1.9990216666666667</v>
      </c>
      <c r="AZ100" s="89">
        <f>Table1[[#This Row],[RPS]]/Table1[[#This Row],[RPS(OL)]]</f>
        <v>1.1005383466745817</v>
      </c>
      <c r="BA100" s="135">
        <f>MaxTok/Table1[[#This Row],[tok/req]]</f>
        <v>70.529502180464604</v>
      </c>
      <c r="BB100" s="4">
        <f>Table1[[#This Row],[N]]/Table1[[#This Row],[N-max]]</f>
        <v>0.63378075389355726</v>
      </c>
      <c r="BC100" s="44">
        <f>Table1[[#This Row],[RPS]]</f>
        <v>2.2000000000000002</v>
      </c>
      <c r="BD100" s="47">
        <f>Table1[[#This Row],[PPS]]/Table1[[#This Row],[RPS success]]</f>
        <v>5216.7677083333347</v>
      </c>
      <c r="BE100" s="4">
        <f>ABS(Table1[[#This Row],[est-In-Tok3]]-Table1[[#This Row],[In-Tok]])/Table1[[#This Row],[In-Tok]]</f>
        <v>4.3353541666666932E-2</v>
      </c>
      <c r="BF100" s="47">
        <f>Table1[[#This Row],[GPS]]/Table1[[#This Row],[RPS success]]</f>
        <v>908.6462121212121</v>
      </c>
      <c r="BG100" s="4">
        <f>ABS(Table1[[#This Row],[est-Out-Tok3]]-Table1[[#This Row],[Out-Tok]])/Table1[[#This Row],[Out-Tok]]</f>
        <v>9.1353787878787895E-2</v>
      </c>
      <c r="BH100" s="162">
        <f>Table1[[#This Row],[est-In-Tok3]]+AvgOutLoad*Table1[[#This Row],[est-Out-Tok3]]</f>
        <v>5671.0908143939405</v>
      </c>
      <c r="BI100" s="4">
        <f>ABS(Table1[[#This Row],[est-Tok/Req3]]-Table1[[#This Row],[tok/req]])/Table1[[#This Row],[tok/req]]</f>
        <v>3.1107420798898271E-2</v>
      </c>
      <c r="BJ100" s="162">
        <f>MaxTok/Table1[[#This Row],[est-Tok/Req3]]</f>
        <v>68.401701663458695</v>
      </c>
      <c r="BK100" s="4">
        <f>ABS(Table1[[#This Row],[est-N-max3]]-Table1[[#This Row],[N-max]])/Table1[[#This Row],[N-max]]</f>
        <v>3.0168942800155921E-2</v>
      </c>
      <c r="BL100" s="44">
        <f>MaxTok*Table1[[#This Row],[Kvcache]]/Table1[[#This Row],[Run]]</f>
        <v>5490.5839625279978</v>
      </c>
      <c r="BM100" s="170">
        <f>ABS(Table1[[#This Row],[est-Tok/Req]]-Table1[[#This Row],[tok/req]])/Table1[[#This Row],[tok/req]]</f>
        <v>1.7120068130913172E-3</v>
      </c>
      <c r="BN100" s="44">
        <f>MaxTok/Table1[[#This Row],[est-Tok/Req]]</f>
        <v>70.650456242900447</v>
      </c>
      <c r="BO100" s="180">
        <f>Table1[[#This Row],[Run]]/Table1[[#This Row],[Kvcache]]</f>
        <v>70.650456242900461</v>
      </c>
      <c r="BP100" s="4" cm="1">
        <f t="array" aca="1" ref="BP100" ca="1">_xlfn.CEILING.MATH(INDIRECT("Table1"&amp;BP$3)/BP$2)*BP$2</f>
        <v>6000</v>
      </c>
      <c r="BQ100" s="4" cm="1">
        <f t="array" aca="1" ref="BQ100" ca="1">_xlfn.CEILING.MATH(INDIRECT("Table1"&amp;BQ$3)/BQ$2)*BQ$2</f>
        <v>2.5000000000000001E-2</v>
      </c>
      <c r="BR100" s="4" cm="1">
        <f t="array" aca="1" ref="BR100" ca="1">_xlfn.CEILING.MATH(INDIRECT("Table1"&amp;BR$3)/BR$2)*BR$2</f>
        <v>0.60000000000000009</v>
      </c>
      <c r="BS100" s="4" cm="1">
        <f t="array" aca="1" ref="BS100" ca="1">_xlfn.CEILING.MATH(INDIRECT("Table1"&amp;BS$3)/BS$2)*BS$2</f>
        <v>0.55000000000000004</v>
      </c>
      <c r="BT100" s="3" cm="1">
        <f t="array" aca="1" ref="BT100" ca="1">_xlfn.CEILING.MATH(INDIRECT("Table1"&amp;BT$3)/BT$2)*BT$2</f>
        <v>39</v>
      </c>
      <c r="BU100" s="135" cm="1">
        <f t="array" aca="1" ref="BU100" ca="1">_xlfn.CEILING.MATH(INDIRECT("Table1"&amp;BU$3)/BU$2)*BU$2</f>
        <v>5</v>
      </c>
      <c r="BV100" s="135" cm="1">
        <f t="array" aca="1" ref="BV100" ca="1">_xlfn.CEILING.MATH(INDIRECT("Table1"&amp;BV$3)/BV$2)*BV$2</f>
        <v>5000</v>
      </c>
      <c r="BW100" s="4"/>
      <c r="BX100" s="4"/>
      <c r="BY100" s="190">
        <v>0.83436772692009309</v>
      </c>
      <c r="BZ100" s="4"/>
      <c r="CA100" s="3"/>
      <c r="CF100" s="5"/>
      <c r="CH100" s="8"/>
      <c r="CI100" s="8"/>
      <c r="CJ100" s="14"/>
      <c r="CK100" s="8"/>
      <c r="CL100" s="8"/>
      <c r="CM100" s="8"/>
      <c r="CN100" s="8"/>
      <c r="CO100" s="8"/>
      <c r="CP100" s="8"/>
      <c r="CQ100" s="8">
        <f>Table1[[#This Row],[In-Tok]]+AvgOutLoad*Table1[[#This Row],[Out-Tok]]</f>
        <v>5500</v>
      </c>
      <c r="CR100" s="8"/>
      <c r="CS100" s="8"/>
      <c r="CT100" s="8"/>
      <c r="CU100" s="8"/>
      <c r="CV100" s="8"/>
      <c r="CW100" s="8"/>
      <c r="CX100" s="8"/>
      <c r="CY100" s="8"/>
      <c r="GJ100"/>
    </row>
    <row r="101" spans="1:192" x14ac:dyDescent="0.25">
      <c r="A101" s="3">
        <v>5000</v>
      </c>
      <c r="B101" s="3">
        <v>1000</v>
      </c>
      <c r="C101">
        <v>2.4</v>
      </c>
      <c r="D101" s="199">
        <f>Table1[[#This Row],[Kvcache]]</f>
        <v>0.56045971252478244</v>
      </c>
      <c r="E101" s="4" t="s">
        <v>142</v>
      </c>
      <c r="F101" s="219">
        <v>46092</v>
      </c>
      <c r="G101" s="10"/>
      <c r="H101" s="10">
        <v>0.49804553552893949</v>
      </c>
      <c r="I101" s="10">
        <v>0.34084885026655765</v>
      </c>
      <c r="J101" s="10">
        <v>2.9002478197423951</v>
      </c>
      <c r="K101" s="10">
        <v>8.688214436173439</v>
      </c>
      <c r="L101" s="10">
        <v>9.9302989912033048</v>
      </c>
      <c r="M101" s="10">
        <v>2.3147635654410761E-2</v>
      </c>
      <c r="N101" s="10">
        <v>23.242222685570606</v>
      </c>
      <c r="O101" s="47">
        <v>10908.357430555556</v>
      </c>
      <c r="P101" s="47">
        <v>1969.4657638888891</v>
      </c>
      <c r="Q101" s="5">
        <v>39.763194444444444</v>
      </c>
      <c r="R101" s="5">
        <v>66.25</v>
      </c>
      <c r="S101" s="170">
        <v>0.56045971252478244</v>
      </c>
      <c r="T101" s="170">
        <v>0.91885182311869662</v>
      </c>
      <c r="U101" s="20">
        <f>(Table1[[#This Row],[In-Tok]]+Table1[[#This Row],[Out-Tok]])*Table1[[#This Row],[RPS]]</f>
        <v>14400</v>
      </c>
      <c r="V101" s="3">
        <f>Table1[[#This Row],[In-Tok]]+AvgOutLoad*Table1[[#This Row],[Out-Tok]]</f>
        <v>5500</v>
      </c>
      <c r="W101" s="3">
        <f>Table1[[#This Row],[In-Tok]]*Table1[[#This Row],[RPS]]</f>
        <v>12000</v>
      </c>
      <c r="X101" s="3">
        <f>Table1[[#This Row],[Out-Tok]]*Table1[[#This Row],[RPS]]</f>
        <v>2400</v>
      </c>
      <c r="Y101" s="75">
        <f>Table1[[#This Row],[In-Tok]]/Table1[[#This Row],[Out-Tok]]</f>
        <v>5</v>
      </c>
      <c r="Z101" s="26">
        <f>Table1[[#This Row],[In-Tok]]*Table1[[#This Row],[N]]+AvgOutLoad*Table1[[#This Row],[Out-Tok]]*Table1[[#This Row],[Ndecode]]</f>
        <v>254454.71873834828</v>
      </c>
      <c r="AA101" s="3">
        <f>Table1[[#This Row],[tok(N)]]/Table1[[#This Row],[Kvcache]]</f>
        <v>454010.72200545867</v>
      </c>
      <c r="AB101" s="3">
        <f>Table1[[#This Row],[tok/req]]*Table1[[#This Row],[Run]]</f>
        <v>218697.56944444444</v>
      </c>
      <c r="AC101" s="3">
        <f>Table1[[#This Row],[tok(Run)]]/Table1[[#This Row],[Kvcache]]</f>
        <v>390211.04382194835</v>
      </c>
      <c r="AD101" s="3">
        <f>Table1[[#This Row],[tok/req]]*Table1[[#This Row],[MaxRun]]</f>
        <v>364375</v>
      </c>
      <c r="AE101" s="3">
        <f>Table1[[#This Row],[tok(MaxRun)]]/Table1[[#This Row],[MaxKvcache]]</f>
        <v>396554.69013846677</v>
      </c>
      <c r="AF101" s="75">
        <f>Table1[[#This Row],[PPS]]*Table1[[#This Row],[Prefill]]/Table1[[#This Row],[In-Tok]]</f>
        <v>0.7436202177003044</v>
      </c>
      <c r="AG101" s="5">
        <f>Table1[[#This Row],[GPS]]*Table1[[#This Row],[ITL]]</f>
        <v>45.588475936335776</v>
      </c>
      <c r="AH101" s="5">
        <f>Table1[[#This Row],[Nprefill]]+Table1[[#This Row],[Ndecode]]</f>
        <v>46.33209615403608</v>
      </c>
      <c r="AI101" s="4">
        <f>Table1[[#This Row],[Run]]/Table1[[#This Row],[ITL]]/Table1[[#This Row],[GPS]]</f>
        <v>0.87222030628910852</v>
      </c>
      <c r="AJ101" s="10">
        <f>Table1[[#This Row],[Prefill]]+Table1[[#This Row],[ITL]]</f>
        <v>0.36399648592096839</v>
      </c>
      <c r="AK101" s="4">
        <f>Table1[[#This Row],[TTFT]]/Table1[[#This Row],[estTTFT]]</f>
        <v>1.3682701751056907</v>
      </c>
      <c r="AL101" s="5">
        <f>Table1[[#This Row],[In-Tok]]*Table1[[#This Row],[RPS]]/Table1[[#This Row],[PPS]]</f>
        <v>1.100073964058661</v>
      </c>
      <c r="AM101" s="4">
        <f>Table1[[#This Row],[Prefill]]/Table1[[#This Row],[estPrefill]]</f>
        <v>0.30984175737512687</v>
      </c>
      <c r="AN101" s="4">
        <f>Table1[[#This Row],[Prefill]]/Table1[[#This Row],[TTFT]]</f>
        <v>0.68437286543401266</v>
      </c>
      <c r="AO101" s="10">
        <f>Table1[[#This Row],[Run]]/(Table1[[#This Row],[Out-Tok]]*Table1[[#This Row],[RPS]])</f>
        <v>1.6567997685185184E-2</v>
      </c>
      <c r="AP101" s="4">
        <f>Table1[[#This Row],[ITL]]/Table1[[#This Row],[estITL]]</f>
        <v>1.397129338997251</v>
      </c>
      <c r="AQ101" s="44">
        <f>Table1[[#This Row],[E2E]]-Table1[[#This Row],[TTFT]]+Table1[[#This Row],[ITL]]</f>
        <v>22.767324785696079</v>
      </c>
      <c r="AR101" s="4">
        <f>Table1[[#This Row],[estDecode]]/Table1[[#This Row],[Run]]</f>
        <v>0.57257283032191186</v>
      </c>
      <c r="AS101" s="44">
        <f>Table1[[#This Row],[Prefill]]+Table1[[#This Row],[Out-Tok]]*Table1[[#This Row],[ITL]]</f>
        <v>23.48848450467732</v>
      </c>
      <c r="AT101" s="5">
        <f>Table1[[#This Row],[estPrefill]]+Table1[[#This Row],[Out-Tok]]*Table1[[#This Row],[ITL]]</f>
        <v>24.247709618469425</v>
      </c>
      <c r="AU101" s="4">
        <f>Table1[[#This Row],[E2E]]/Table1[[#This Row],[estE2E]]</f>
        <v>0.95853270479068498</v>
      </c>
      <c r="AV101" s="5">
        <f>Table1[[#This Row],[N]]/Table1[[#This Row],[estE2E]]</f>
        <v>1.9107823742142238</v>
      </c>
      <c r="AW101" s="5">
        <f>Table1[[#This Row],[PPS]]/Table1[[#This Row],[In-Tok]]</f>
        <v>2.1816714861111111</v>
      </c>
      <c r="AX101" s="4">
        <f>Table1[[#This Row],[RPS]]/Table1[[#This Row],[RPS(IL)]]</f>
        <v>1.100073964058661</v>
      </c>
      <c r="AY101" s="5">
        <f>Table1[[#This Row],[GPS]]/Table1[[#This Row],[Out-Tok]]</f>
        <v>1.9694657638888891</v>
      </c>
      <c r="AZ101" s="89">
        <f>Table1[[#This Row],[RPS]]/Table1[[#This Row],[RPS(OL)]]</f>
        <v>1.2186045799856819</v>
      </c>
      <c r="BA101" s="135">
        <f>MaxTok/Table1[[#This Row],[tok/req]]</f>
        <v>70.529502180464604</v>
      </c>
      <c r="BB101" s="4">
        <f>Table1[[#This Row],[N]]/Table1[[#This Row],[N-max]]</f>
        <v>0.65691795236957207</v>
      </c>
      <c r="BC101" s="44">
        <f>Table1[[#This Row],[RPS]]</f>
        <v>2.4</v>
      </c>
      <c r="BD101" s="47">
        <f>Table1[[#This Row],[PPS]]/Table1[[#This Row],[RPS success]]</f>
        <v>4545.1489293981485</v>
      </c>
      <c r="BE101" s="4">
        <f>ABS(Table1[[#This Row],[est-In-Tok3]]-Table1[[#This Row],[In-Tok]])/Table1[[#This Row],[In-Tok]]</f>
        <v>9.0970214120370291E-2</v>
      </c>
      <c r="BF101" s="47">
        <f>Table1[[#This Row],[GPS]]/Table1[[#This Row],[RPS success]]</f>
        <v>820.61073495370385</v>
      </c>
      <c r="BG101" s="4">
        <f>ABS(Table1[[#This Row],[est-Out-Tok3]]-Table1[[#This Row],[Out-Tok]])/Table1[[#This Row],[Out-Tok]]</f>
        <v>0.17938926504629615</v>
      </c>
      <c r="BH101" s="162">
        <f>Table1[[#This Row],[est-In-Tok3]]+AvgOutLoad*Table1[[#This Row],[est-Out-Tok3]]</f>
        <v>4955.4542968750002</v>
      </c>
      <c r="BI101" s="4">
        <f>ABS(Table1[[#This Row],[est-Tok/Req3]]-Table1[[#This Row],[tok/req]])/Table1[[#This Row],[tok/req]]</f>
        <v>9.9008309659090882E-2</v>
      </c>
      <c r="BJ101" s="162">
        <f>MaxTok/Table1[[#This Row],[est-Tok/Req3]]</f>
        <v>78.279858667484802</v>
      </c>
      <c r="BK101" s="4">
        <f>ABS(Table1[[#This Row],[est-N-max3]]-Table1[[#This Row],[N-max]])/Table1[[#This Row],[N-max]]</f>
        <v>0.10988814960283254</v>
      </c>
      <c r="BL101" s="44">
        <f>MaxTok*Table1[[#This Row],[Kvcache]]/Table1[[#This Row],[Run]]</f>
        <v>5467.5988154055658</v>
      </c>
      <c r="BM101" s="170">
        <f>ABS(Table1[[#This Row],[est-Tok/Req]]-Table1[[#This Row],[tok/req]])/Table1[[#This Row],[tok/req]]</f>
        <v>5.8911244717153085E-3</v>
      </c>
      <c r="BN101" s="44">
        <f>MaxTok/Table1[[#This Row],[est-Tok/Req]]</f>
        <v>70.947462513081518</v>
      </c>
      <c r="BO101" s="180">
        <f>Table1[[#This Row],[Run]]/Table1[[#This Row],[Kvcache]]</f>
        <v>70.947462513081518</v>
      </c>
      <c r="BP101" s="4" cm="1">
        <f t="array" aca="1" ref="BP101" ca="1">_xlfn.CEILING.MATH(INDIRECT("Table1"&amp;BP$3)/BP$2)*BP$2</f>
        <v>6000</v>
      </c>
      <c r="BQ101" s="4" cm="1">
        <f t="array" aca="1" ref="BQ101" ca="1">_xlfn.CEILING.MATH(INDIRECT("Table1"&amp;BQ$3)/BQ$2)*BQ$2</f>
        <v>2.5000000000000001E-2</v>
      </c>
      <c r="BR101" s="4" cm="1">
        <f t="array" aca="1" ref="BR101" ca="1">_xlfn.CEILING.MATH(INDIRECT("Table1"&amp;BR$3)/BR$2)*BR$2</f>
        <v>0.60000000000000009</v>
      </c>
      <c r="BS101" s="4" cm="1">
        <f t="array" aca="1" ref="BS101" ca="1">_xlfn.CEILING.MATH(INDIRECT("Table1"&amp;BS$3)/BS$2)*BS$2</f>
        <v>0.57000000000000006</v>
      </c>
      <c r="BT101" s="3" cm="1">
        <f t="array" aca="1" ref="BT101" ca="1">_xlfn.CEILING.MATH(INDIRECT("Table1"&amp;BT$3)/BT$2)*BT$2</f>
        <v>40</v>
      </c>
      <c r="BU101" s="135" cm="1">
        <f t="array" aca="1" ref="BU101" ca="1">_xlfn.CEILING.MATH(INDIRECT("Table1"&amp;BU$3)/BU$2)*BU$2</f>
        <v>5</v>
      </c>
      <c r="BV101" s="135" cm="1">
        <f t="array" aca="1" ref="BV101" ca="1">_xlfn.CEILING.MATH(INDIRECT("Table1"&amp;BV$3)/BV$2)*BV$2</f>
        <v>5000</v>
      </c>
      <c r="BW101" s="4"/>
      <c r="BX101" s="4"/>
      <c r="BY101" s="190">
        <v>0.91885182311869662</v>
      </c>
      <c r="BZ101" s="4"/>
      <c r="CA101" s="3"/>
      <c r="CF101" s="5"/>
      <c r="CH101" s="8"/>
      <c r="CI101" s="8"/>
      <c r="CJ101" s="14"/>
      <c r="CK101" s="8"/>
      <c r="CL101" s="8"/>
      <c r="CM101" s="8"/>
      <c r="CN101" s="8"/>
      <c r="CO101" s="8"/>
      <c r="CP101" s="8"/>
      <c r="CQ101" s="8">
        <f>Table1[[#This Row],[In-Tok]]+AvgOutLoad*Table1[[#This Row],[Out-Tok]]</f>
        <v>5500</v>
      </c>
      <c r="CR101" s="8"/>
      <c r="CS101" s="8"/>
      <c r="CT101" s="8"/>
      <c r="CU101" s="8"/>
      <c r="CV101" s="8"/>
      <c r="CW101" s="8"/>
      <c r="CX101" s="8"/>
      <c r="CY101" s="8"/>
      <c r="GJ101"/>
    </row>
    <row r="102" spans="1:192" x14ac:dyDescent="0.25">
      <c r="A102" s="3">
        <v>5000</v>
      </c>
      <c r="B102" s="3">
        <v>1000</v>
      </c>
      <c r="C102">
        <v>2.6</v>
      </c>
      <c r="D102" s="199">
        <f>Table1[[#This Row],[Kvcache]]</f>
        <v>0.65109408671666236</v>
      </c>
      <c r="E102" s="4" t="s">
        <v>142</v>
      </c>
      <c r="F102" s="219">
        <v>46092</v>
      </c>
      <c r="G102" s="10"/>
      <c r="H102" s="10">
        <v>1.4924599860886767</v>
      </c>
      <c r="I102" s="10">
        <v>0.32445321451237169</v>
      </c>
      <c r="J102" s="10">
        <v>3.8372524363317222</v>
      </c>
      <c r="K102" s="10">
        <v>13.436211395263673</v>
      </c>
      <c r="L102" s="10">
        <v>14.159840741157533</v>
      </c>
      <c r="M102" s="10">
        <v>2.7029909332638716E-2</v>
      </c>
      <c r="N102" s="10">
        <v>27.888758274097839</v>
      </c>
      <c r="O102" s="47">
        <v>12396.37544642857</v>
      </c>
      <c r="P102" s="47">
        <v>2235.1123511904761</v>
      </c>
      <c r="Q102" s="5">
        <v>45.961111111111116</v>
      </c>
      <c r="R102" s="5">
        <v>70.75</v>
      </c>
      <c r="S102" s="170">
        <v>0.65109408671666236</v>
      </c>
      <c r="T102" s="170">
        <v>0.9960240496508922</v>
      </c>
      <c r="U102" s="20">
        <f>(Table1[[#This Row],[In-Tok]]+Table1[[#This Row],[Out-Tok]])*Table1[[#This Row],[RPS]]</f>
        <v>15600</v>
      </c>
      <c r="V102" s="3">
        <f>Table1[[#This Row],[In-Tok]]+AvgOutLoad*Table1[[#This Row],[Out-Tok]]</f>
        <v>5500</v>
      </c>
      <c r="W102" s="3">
        <f>Table1[[#This Row],[In-Tok]]*Table1[[#This Row],[RPS]]</f>
        <v>13000</v>
      </c>
      <c r="X102" s="3">
        <f>Table1[[#This Row],[Out-Tok]]*Table1[[#This Row],[RPS]]</f>
        <v>2600</v>
      </c>
      <c r="Y102" s="75">
        <f>Table1[[#This Row],[In-Tok]]/Table1[[#This Row],[Out-Tok]]</f>
        <v>5</v>
      </c>
      <c r="Z102" s="26">
        <f>Table1[[#This Row],[In-Tok]]*Table1[[#This Row],[N]]+AvgOutLoad*Table1[[#This Row],[Out-Tok]]*Table1[[#This Row],[Ndecode]]</f>
        <v>336303.90696706338</v>
      </c>
      <c r="AA102" s="3">
        <f>Table1[[#This Row],[tok(N)]]/Table1[[#This Row],[Kvcache]]</f>
        <v>516521.21226131375</v>
      </c>
      <c r="AB102" s="3">
        <f>Table1[[#This Row],[tok/req]]*Table1[[#This Row],[Run]]</f>
        <v>252786.11111111112</v>
      </c>
      <c r="AC102" s="3">
        <f>Table1[[#This Row],[tok(Run)]]/Table1[[#This Row],[Kvcache]]</f>
        <v>388248.20600945875</v>
      </c>
      <c r="AD102" s="3">
        <f>Table1[[#This Row],[tok/req]]*Table1[[#This Row],[MaxRun]]</f>
        <v>389125</v>
      </c>
      <c r="AE102" s="3">
        <f>Table1[[#This Row],[tok(MaxRun)]]/Table1[[#This Row],[MaxKvcache]]</f>
        <v>390678.31759322365</v>
      </c>
      <c r="AF102" s="75">
        <f>Table1[[#This Row],[PPS]]*Table1[[#This Row],[Prefill]]/Table1[[#This Row],[In-Tok]]</f>
        <v>0.80440877237919717</v>
      </c>
      <c r="AG102" s="5">
        <f>Table1[[#This Row],[GPS]]*Table1[[#This Row],[ITL]]</f>
        <v>60.414884200939518</v>
      </c>
      <c r="AH102" s="5">
        <f>Table1[[#This Row],[Nprefill]]+Table1[[#This Row],[Ndecode]]</f>
        <v>61.219292973318716</v>
      </c>
      <c r="AI102" s="4">
        <f>Table1[[#This Row],[Run]]/Table1[[#This Row],[ITL]]/Table1[[#This Row],[GPS]]</f>
        <v>0.76075807673891682</v>
      </c>
      <c r="AJ102" s="10">
        <f>Table1[[#This Row],[Prefill]]+Table1[[#This Row],[ITL]]</f>
        <v>0.3514831238450104</v>
      </c>
      <c r="AK102" s="4">
        <f>Table1[[#This Row],[TTFT]]/Table1[[#This Row],[estTTFT]]</f>
        <v>4.2461782226187061</v>
      </c>
      <c r="AL102" s="5">
        <f>Table1[[#This Row],[In-Tok]]*Table1[[#This Row],[RPS]]/Table1[[#This Row],[PPS]]</f>
        <v>1.0486936327622551</v>
      </c>
      <c r="AM102" s="4">
        <f>Table1[[#This Row],[Prefill]]/Table1[[#This Row],[estPrefill]]</f>
        <v>0.30938798937661433</v>
      </c>
      <c r="AN102" s="4">
        <f>Table1[[#This Row],[Prefill]]/Table1[[#This Row],[TTFT]]</f>
        <v>0.21739491680622774</v>
      </c>
      <c r="AO102" s="10">
        <f>Table1[[#This Row],[Run]]/(Table1[[#This Row],[Out-Tok]]*Table1[[#This Row],[RPS]])</f>
        <v>1.7677350427350431E-2</v>
      </c>
      <c r="AP102" s="4">
        <f>Table1[[#This Row],[ITL]]/Table1[[#This Row],[estITL]]</f>
        <v>1.5290701761966539</v>
      </c>
      <c r="AQ102" s="44">
        <f>Table1[[#This Row],[E2E]]-Table1[[#This Row],[TTFT]]+Table1[[#This Row],[ITL]]</f>
        <v>26.423328197341803</v>
      </c>
      <c r="AR102" s="4">
        <f>Table1[[#This Row],[estDecode]]/Table1[[#This Row],[Run]]</f>
        <v>0.57490621002315045</v>
      </c>
      <c r="AS102" s="44">
        <f>Table1[[#This Row],[Prefill]]+Table1[[#This Row],[Out-Tok]]*Table1[[#This Row],[ITL]]</f>
        <v>27.354362547151087</v>
      </c>
      <c r="AT102" s="5">
        <f>Table1[[#This Row],[estPrefill]]+Table1[[#This Row],[Out-Tok]]*Table1[[#This Row],[ITL]]</f>
        <v>28.078602965400972</v>
      </c>
      <c r="AU102" s="4">
        <f>Table1[[#This Row],[E2E]]/Table1[[#This Row],[estE2E]]</f>
        <v>0.99323881278790604</v>
      </c>
      <c r="AV102" s="5">
        <f>Table1[[#This Row],[N]]/Table1[[#This Row],[estE2E]]</f>
        <v>2.1802827244914704</v>
      </c>
      <c r="AW102" s="5">
        <f>Table1[[#This Row],[PPS]]/Table1[[#This Row],[In-Tok]]</f>
        <v>2.4792750892857143</v>
      </c>
      <c r="AX102" s="4">
        <f>Table1[[#This Row],[RPS]]/Table1[[#This Row],[RPS(IL)]]</f>
        <v>1.0486936327622551</v>
      </c>
      <c r="AY102" s="5">
        <f>Table1[[#This Row],[GPS]]/Table1[[#This Row],[Out-Tok]]</f>
        <v>2.2351123511904762</v>
      </c>
      <c r="AZ102" s="89">
        <f>Table1[[#This Row],[RPS]]/Table1[[#This Row],[RPS(OL)]]</f>
        <v>1.1632524864422031</v>
      </c>
      <c r="BA102" s="135">
        <f>MaxTok/Table1[[#This Row],[tok/req]]</f>
        <v>70.529502180464604</v>
      </c>
      <c r="BB102" s="4">
        <f>Table1[[#This Row],[N]]/Table1[[#This Row],[N-max]]</f>
        <v>0.86799553492772774</v>
      </c>
      <c r="BC102" s="44">
        <f>Table1[[#This Row],[RPS]]</f>
        <v>2.6</v>
      </c>
      <c r="BD102" s="47">
        <f>Table1[[#This Row],[PPS]]/Table1[[#This Row],[RPS success]]</f>
        <v>4767.8367101648346</v>
      </c>
      <c r="BE102" s="4">
        <f>ABS(Table1[[#This Row],[est-In-Tok3]]-Table1[[#This Row],[In-Tok]])/Table1[[#This Row],[In-Tok]]</f>
        <v>4.6432657967033081E-2</v>
      </c>
      <c r="BF102" s="47">
        <f>Table1[[#This Row],[GPS]]/Table1[[#This Row],[RPS success]]</f>
        <v>859.65859661172158</v>
      </c>
      <c r="BG102" s="4">
        <f>ABS(Table1[[#This Row],[est-Out-Tok3]]-Table1[[#This Row],[Out-Tok]])/Table1[[#This Row],[Out-Tok]]</f>
        <v>0.14034140338827841</v>
      </c>
      <c r="BH102" s="162">
        <f>Table1[[#This Row],[est-In-Tok3]]+AvgOutLoad*Table1[[#This Row],[est-Out-Tok3]]</f>
        <v>5197.6660084706955</v>
      </c>
      <c r="BI102" s="4">
        <f>ABS(Table1[[#This Row],[est-Tok/Req3]]-Table1[[#This Row],[tok/req]])/Table1[[#This Row],[tok/req]]</f>
        <v>5.4969816641691732E-2</v>
      </c>
      <c r="BJ102" s="162">
        <f>MaxTok/Table1[[#This Row],[est-Tok/Req3]]</f>
        <v>74.63201009075425</v>
      </c>
      <c r="BK102" s="4">
        <f>ABS(Table1[[#This Row],[est-N-max3]]-Table1[[#This Row],[N-max]])/Table1[[#This Row],[N-max]]</f>
        <v>5.8167260273474124E-2</v>
      </c>
      <c r="BL102" s="44">
        <f>MaxTok*Table1[[#This Row],[Kvcache]]/Table1[[#This Row],[Run]]</f>
        <v>5495.2409513698458</v>
      </c>
      <c r="BM102" s="170">
        <f>ABS(Table1[[#This Row],[est-Tok/Req]]-Table1[[#This Row],[tok/req]])/Table1[[#This Row],[tok/req]]</f>
        <v>8.6528156911894758E-4</v>
      </c>
      <c r="BN102" s="44">
        <f>MaxTok/Table1[[#This Row],[est-Tok/Req]]</f>
        <v>70.590582910810681</v>
      </c>
      <c r="BO102" s="180">
        <f>Table1[[#This Row],[Run]]/Table1[[#This Row],[Kvcache]]</f>
        <v>70.590582910810681</v>
      </c>
      <c r="BP102" s="4" cm="1">
        <f t="array" aca="1" ref="BP102" ca="1">_xlfn.CEILING.MATH(INDIRECT("Table1"&amp;BP$3)/BP$2)*BP$2</f>
        <v>6000</v>
      </c>
      <c r="BQ102" s="4" cm="1">
        <f t="array" aca="1" ref="BQ102" ca="1">_xlfn.CEILING.MATH(INDIRECT("Table1"&amp;BQ$3)/BQ$2)*BQ$2</f>
        <v>0.03</v>
      </c>
      <c r="BR102" s="4" cm="1">
        <f t="array" aca="1" ref="BR102" ca="1">_xlfn.CEILING.MATH(INDIRECT("Table1"&amp;BR$3)/BR$2)*BR$2</f>
        <v>0.70000000000000007</v>
      </c>
      <c r="BS102" s="4" cm="1">
        <f t="array" aca="1" ref="BS102" ca="1">_xlfn.CEILING.MATH(INDIRECT("Table1"&amp;BS$3)/BS$2)*BS$2</f>
        <v>0.66</v>
      </c>
      <c r="BT102" s="3" cm="1">
        <f t="array" aca="1" ref="BT102" ca="1">_xlfn.CEILING.MATH(INDIRECT("Table1"&amp;BT$3)/BT$2)*BT$2</f>
        <v>46</v>
      </c>
      <c r="BU102" s="135" cm="1">
        <f t="array" aca="1" ref="BU102" ca="1">_xlfn.CEILING.MATH(INDIRECT("Table1"&amp;BU$3)/BU$2)*BU$2</f>
        <v>5</v>
      </c>
      <c r="BV102" s="135" cm="1">
        <f t="array" aca="1" ref="BV102" ca="1">_xlfn.CEILING.MATH(INDIRECT("Table1"&amp;BV$3)/BV$2)*BV$2</f>
        <v>5000</v>
      </c>
      <c r="BW102" s="4"/>
      <c r="BX102" s="4"/>
      <c r="BY102" s="190">
        <v>0.9960240496508922</v>
      </c>
      <c r="BZ102" s="4"/>
      <c r="CA102" s="3"/>
      <c r="CF102" s="5"/>
      <c r="CH102" s="8"/>
      <c r="CI102" s="8"/>
      <c r="CJ102" s="14"/>
      <c r="CK102" s="8"/>
      <c r="CL102" s="8"/>
      <c r="CM102" s="8"/>
      <c r="CN102" s="8"/>
      <c r="CO102" s="8"/>
      <c r="CP102" s="8"/>
      <c r="CQ102" s="8">
        <f>Table1[[#This Row],[In-Tok]]+AvgOutLoad*Table1[[#This Row],[Out-Tok]]</f>
        <v>5500</v>
      </c>
      <c r="CR102" s="8"/>
      <c r="CS102" s="8"/>
      <c r="CT102" s="8"/>
      <c r="CU102" s="8"/>
      <c r="CV102" s="8"/>
      <c r="CW102" s="8"/>
      <c r="CX102" s="8"/>
      <c r="CY102" s="8"/>
      <c r="GJ102"/>
    </row>
    <row r="103" spans="1:192" x14ac:dyDescent="0.25">
      <c r="A103" s="3">
        <v>5000</v>
      </c>
      <c r="B103" s="3">
        <v>1000</v>
      </c>
      <c r="C103">
        <v>2.8</v>
      </c>
      <c r="D103" s="199">
        <f>Table1[[#This Row],[Kvcache]]</f>
        <v>0.67199419769847424</v>
      </c>
      <c r="E103" s="4" t="s">
        <v>142</v>
      </c>
      <c r="F103" s="219">
        <v>46092</v>
      </c>
      <c r="G103" s="10"/>
      <c r="H103" s="10">
        <v>2.1318950119705917</v>
      </c>
      <c r="I103" s="10">
        <v>0.284615048688595</v>
      </c>
      <c r="J103" s="10">
        <v>3.9895933152286811</v>
      </c>
      <c r="K103" s="10">
        <v>10.66984308063984</v>
      </c>
      <c r="L103" s="10">
        <v>11.958593722581863</v>
      </c>
      <c r="M103" s="10">
        <v>2.7770829411846651E-2</v>
      </c>
      <c r="N103" s="10">
        <v>29.830165287416666</v>
      </c>
      <c r="O103" s="47">
        <v>11845.038749999998</v>
      </c>
      <c r="P103" s="47">
        <v>2187.6231944444444</v>
      </c>
      <c r="Q103" s="5">
        <v>47.489236111111111</v>
      </c>
      <c r="R103" s="5">
        <v>70.25</v>
      </c>
      <c r="S103" s="170">
        <v>0.67199419769847424</v>
      </c>
      <c r="T103" s="170">
        <v>0.99617920868890608</v>
      </c>
      <c r="U103" s="20">
        <f>(Table1[[#This Row],[In-Tok]]+Table1[[#This Row],[Out-Tok]])*Table1[[#This Row],[RPS]]</f>
        <v>16800</v>
      </c>
      <c r="V103" s="3">
        <f>Table1[[#This Row],[In-Tok]]+AvgOutLoad*Table1[[#This Row],[Out-Tok]]</f>
        <v>5500</v>
      </c>
      <c r="W103" s="3">
        <f>Table1[[#This Row],[In-Tok]]*Table1[[#This Row],[RPS]]</f>
        <v>14000</v>
      </c>
      <c r="X103" s="3">
        <f>Table1[[#This Row],[Out-Tok]]*Table1[[#This Row],[RPS]]</f>
        <v>2800</v>
      </c>
      <c r="Y103" s="75">
        <f>Table1[[#This Row],[In-Tok]]/Table1[[#This Row],[Out-Tok]]</f>
        <v>5</v>
      </c>
      <c r="Z103" s="26">
        <f>Table1[[#This Row],[In-Tok]]*Table1[[#This Row],[N]]+AvgOutLoad*Table1[[#This Row],[Out-Tok]]*Table1[[#This Row],[Ndecode]]</f>
        <v>337507.88430728589</v>
      </c>
      <c r="AA103" s="3">
        <f>Table1[[#This Row],[tok(N)]]/Table1[[#This Row],[Kvcache]]</f>
        <v>502248.21205781697</v>
      </c>
      <c r="AB103" s="3">
        <f>Table1[[#This Row],[tok/req]]*Table1[[#This Row],[Run]]</f>
        <v>261190.79861111112</v>
      </c>
      <c r="AC103" s="3">
        <f>Table1[[#This Row],[tok(Run)]]/Table1[[#This Row],[Kvcache]]</f>
        <v>388680.13965845015</v>
      </c>
      <c r="AD103" s="3">
        <f>Table1[[#This Row],[tok/req]]*Table1[[#This Row],[MaxRun]]</f>
        <v>386375</v>
      </c>
      <c r="AE103" s="3">
        <f>Table1[[#This Row],[tok(MaxRun)]]/Table1[[#This Row],[MaxKvcache]]</f>
        <v>387856.92035122559</v>
      </c>
      <c r="AF103" s="75">
        <f>Table1[[#This Row],[PPS]]*Table1[[#This Row],[Prefill]]/Table1[[#This Row],[In-Tok]]</f>
        <v>0.67425525610990877</v>
      </c>
      <c r="AG103" s="5">
        <f>Table1[[#This Row],[GPS]]*Table1[[#This Row],[ITL]]</f>
        <v>60.752110550315699</v>
      </c>
      <c r="AH103" s="5">
        <f>Table1[[#This Row],[Nprefill]]+Table1[[#This Row],[Ndecode]]</f>
        <v>61.426365806425608</v>
      </c>
      <c r="AI103" s="4">
        <f>Table1[[#This Row],[Run]]/Table1[[#This Row],[ITL]]/Table1[[#This Row],[GPS]]</f>
        <v>0.78168866366839873</v>
      </c>
      <c r="AJ103" s="10">
        <f>Table1[[#This Row],[Prefill]]+Table1[[#This Row],[ITL]]</f>
        <v>0.31238587810044166</v>
      </c>
      <c r="AK103" s="4">
        <f>Table1[[#This Row],[TTFT]]/Table1[[#This Row],[estTTFT]]</f>
        <v>6.8245562985568826</v>
      </c>
      <c r="AL103" s="5">
        <f>Table1[[#This Row],[In-Tok]]*Table1[[#This Row],[RPS]]/Table1[[#This Row],[PPS]]</f>
        <v>1.1819294386014569</v>
      </c>
      <c r="AM103" s="4">
        <f>Table1[[#This Row],[Prefill]]/Table1[[#This Row],[estPrefill]]</f>
        <v>0.24080544861068168</v>
      </c>
      <c r="AN103" s="4">
        <f>Table1[[#This Row],[Prefill]]/Table1[[#This Row],[TTFT]]</f>
        <v>0.13350331376098792</v>
      </c>
      <c r="AO103" s="10">
        <f>Table1[[#This Row],[Run]]/(Table1[[#This Row],[Out-Tok]]*Table1[[#This Row],[RPS]])</f>
        <v>1.696044146825397E-2</v>
      </c>
      <c r="AP103" s="4">
        <f>Table1[[#This Row],[ITL]]/Table1[[#This Row],[estITL]]</f>
        <v>1.6373883583058395</v>
      </c>
      <c r="AQ103" s="44">
        <f>Table1[[#This Row],[E2E]]-Table1[[#This Row],[TTFT]]+Table1[[#This Row],[ITL]]</f>
        <v>27.72604110485792</v>
      </c>
      <c r="AR103" s="4">
        <f>Table1[[#This Row],[estDecode]]/Table1[[#This Row],[Run]]</f>
        <v>0.5838384310917738</v>
      </c>
      <c r="AS103" s="44">
        <f>Table1[[#This Row],[Prefill]]+Table1[[#This Row],[Out-Tok]]*Table1[[#This Row],[ITL]]</f>
        <v>28.055444460535249</v>
      </c>
      <c r="AT103" s="5">
        <f>Table1[[#This Row],[estPrefill]]+Table1[[#This Row],[Out-Tok]]*Table1[[#This Row],[ITL]]</f>
        <v>28.952758850448109</v>
      </c>
      <c r="AU103" s="4">
        <f>Table1[[#This Row],[E2E]]/Table1[[#This Row],[estE2E]]</f>
        <v>1.0303047609901594</v>
      </c>
      <c r="AV103" s="5">
        <f>Table1[[#This Row],[N]]/Table1[[#This Row],[estE2E]]</f>
        <v>2.1216066532283122</v>
      </c>
      <c r="AW103" s="5">
        <f>Table1[[#This Row],[PPS]]/Table1[[#This Row],[In-Tok]]</f>
        <v>2.3690077499999997</v>
      </c>
      <c r="AX103" s="4">
        <f>Table1[[#This Row],[RPS]]/Table1[[#This Row],[RPS(IL)]]</f>
        <v>1.1819294386014567</v>
      </c>
      <c r="AY103" s="5">
        <f>Table1[[#This Row],[GPS]]/Table1[[#This Row],[Out-Tok]]</f>
        <v>2.1876231944444444</v>
      </c>
      <c r="AZ103" s="89">
        <f>Table1[[#This Row],[RPS]]/Table1[[#This Row],[RPS(OL)]]</f>
        <v>1.2799279177102851</v>
      </c>
      <c r="BA103" s="135">
        <f>MaxTok/Table1[[#This Row],[tok/req]]</f>
        <v>70.529502180464604</v>
      </c>
      <c r="BB103" s="4">
        <f>Table1[[#This Row],[N]]/Table1[[#This Row],[N-max]]</f>
        <v>0.87093150961498778</v>
      </c>
      <c r="BC103" s="44">
        <f>Table1[[#This Row],[RPS]]</f>
        <v>2.8</v>
      </c>
      <c r="BD103" s="47">
        <f>Table1[[#This Row],[PPS]]/Table1[[#This Row],[RPS success]]</f>
        <v>4230.3709821428565</v>
      </c>
      <c r="BE103" s="4">
        <f>ABS(Table1[[#This Row],[est-In-Tok3]]-Table1[[#This Row],[In-Tok]])/Table1[[#This Row],[In-Tok]]</f>
        <v>0.15392580357142871</v>
      </c>
      <c r="BF103" s="47">
        <f>Table1[[#This Row],[GPS]]/Table1[[#This Row],[RPS success]]</f>
        <v>781.29399801587306</v>
      </c>
      <c r="BG103" s="4">
        <f>ABS(Table1[[#This Row],[est-Out-Tok3]]-Table1[[#This Row],[Out-Tok]])/Table1[[#This Row],[Out-Tok]]</f>
        <v>0.21870600198412693</v>
      </c>
      <c r="BH103" s="162">
        <f>Table1[[#This Row],[est-In-Tok3]]+AvgOutLoad*Table1[[#This Row],[est-Out-Tok3]]</f>
        <v>4621.0179811507933</v>
      </c>
      <c r="BI103" s="4">
        <f>ABS(Table1[[#This Row],[est-Tok/Req3]]-Table1[[#This Row],[tok/req]])/Table1[[#This Row],[tok/req]]</f>
        <v>0.15981491251803759</v>
      </c>
      <c r="BJ103" s="162">
        <f>MaxTok/Table1[[#This Row],[est-Tok/Req3]]</f>
        <v>83.945196399333582</v>
      </c>
      <c r="BK103" s="4">
        <f>ABS(Table1[[#This Row],[est-N-max3]]-Table1[[#This Row],[N-max]])/Table1[[#This Row],[N-max]]</f>
        <v>0.19021393607092385</v>
      </c>
      <c r="BL103" s="44">
        <f>MaxTok*Table1[[#This Row],[Kvcache]]/Table1[[#This Row],[Run]]</f>
        <v>5489.1341832743683</v>
      </c>
      <c r="BM103" s="170">
        <f>ABS(Table1[[#This Row],[est-Tok/Req]]-Table1[[#This Row],[tok/req]])/Table1[[#This Row],[tok/req]]</f>
        <v>1.9756030410239458E-3</v>
      </c>
      <c r="BN103" s="44">
        <f>MaxTok/Table1[[#This Row],[est-Tok/Req]]</f>
        <v>70.669116301536391</v>
      </c>
      <c r="BO103" s="180">
        <f>Table1[[#This Row],[Run]]/Table1[[#This Row],[Kvcache]]</f>
        <v>70.669116301536391</v>
      </c>
      <c r="BP103" s="4" cm="1">
        <f t="array" aca="1" ref="BP103" ca="1">_xlfn.CEILING.MATH(INDIRECT("Table1"&amp;BP$3)/BP$2)*BP$2</f>
        <v>6000</v>
      </c>
      <c r="BQ103" s="4" cm="1">
        <f t="array" aca="1" ref="BQ103" ca="1">_xlfn.CEILING.MATH(INDIRECT("Table1"&amp;BQ$3)/BQ$2)*BQ$2</f>
        <v>0.03</v>
      </c>
      <c r="BR103" s="4" cm="1">
        <f t="array" aca="1" ref="BR103" ca="1">_xlfn.CEILING.MATH(INDIRECT("Table1"&amp;BR$3)/BR$2)*BR$2</f>
        <v>0.70000000000000007</v>
      </c>
      <c r="BS103" s="4" cm="1">
        <f t="array" aca="1" ref="BS103" ca="1">_xlfn.CEILING.MATH(INDIRECT("Table1"&amp;BS$3)/BS$2)*BS$2</f>
        <v>0.68</v>
      </c>
      <c r="BT103" s="3" cm="1">
        <f t="array" aca="1" ref="BT103" ca="1">_xlfn.CEILING.MATH(INDIRECT("Table1"&amp;BT$3)/BT$2)*BT$2</f>
        <v>48</v>
      </c>
      <c r="BU103" s="135" cm="1">
        <f t="array" aca="1" ref="BU103" ca="1">_xlfn.CEILING.MATH(INDIRECT("Table1"&amp;BU$3)/BU$2)*BU$2</f>
        <v>5</v>
      </c>
      <c r="BV103" s="135" cm="1">
        <f t="array" aca="1" ref="BV103" ca="1">_xlfn.CEILING.MATH(INDIRECT("Table1"&amp;BV$3)/BV$2)*BV$2</f>
        <v>5000</v>
      </c>
      <c r="BW103" s="4"/>
      <c r="BX103" s="4"/>
      <c r="BY103" s="190">
        <v>0.99617920868890608</v>
      </c>
      <c r="BZ103" s="4"/>
      <c r="CA103" s="3"/>
      <c r="CF103" s="5"/>
      <c r="CH103" s="8"/>
      <c r="CI103" s="8"/>
      <c r="CJ103" s="14"/>
      <c r="CK103" s="8"/>
      <c r="CL103" s="8"/>
      <c r="CM103" s="8"/>
      <c r="CN103" s="8"/>
      <c r="CO103" s="8"/>
      <c r="CP103" s="8"/>
      <c r="CQ103" s="8">
        <f>Table1[[#This Row],[In-Tok]]+AvgOutLoad*Table1[[#This Row],[Out-Tok]]</f>
        <v>5500</v>
      </c>
      <c r="CR103" s="8"/>
      <c r="CS103" s="8"/>
      <c r="CT103" s="8"/>
      <c r="CU103" s="8"/>
      <c r="CV103" s="8"/>
      <c r="CW103" s="8"/>
      <c r="CX103" s="8"/>
      <c r="CY103" s="8"/>
      <c r="GJ103"/>
    </row>
    <row r="104" spans="1:192" x14ac:dyDescent="0.25">
      <c r="A104" s="3">
        <v>5000</v>
      </c>
      <c r="B104" s="3">
        <v>1000</v>
      </c>
      <c r="C104">
        <v>3</v>
      </c>
      <c r="D104" s="199">
        <f>Table1[[#This Row],[Kvcache]]</f>
        <v>0.69155535181136429</v>
      </c>
      <c r="E104" s="4" t="s">
        <v>142</v>
      </c>
      <c r="F104" s="219">
        <v>46092</v>
      </c>
      <c r="G104" s="10"/>
      <c r="H104" s="10">
        <v>3.5608779512379258</v>
      </c>
      <c r="I104" s="10">
        <v>0.35638908945720671</v>
      </c>
      <c r="J104" s="10">
        <v>5.4412847553205728</v>
      </c>
      <c r="K104" s="10">
        <v>14.315434846282001</v>
      </c>
      <c r="L104" s="10">
        <v>15.292170528173443</v>
      </c>
      <c r="M104" s="10">
        <v>2.8225682364917449E-2</v>
      </c>
      <c r="N104" s="10">
        <v>30.915781222292985</v>
      </c>
      <c r="O104" s="47">
        <v>12423.338720238096</v>
      </c>
      <c r="P104" s="47">
        <v>2235.7259623015871</v>
      </c>
      <c r="Q104" s="5">
        <v>48.752525252525253</v>
      </c>
      <c r="R104" s="5">
        <v>71.5</v>
      </c>
      <c r="S104" s="170">
        <v>0.69155535181136429</v>
      </c>
      <c r="T104" s="170">
        <v>0.99807990690457715</v>
      </c>
      <c r="U104" s="20">
        <f>(Table1[[#This Row],[In-Tok]]+Table1[[#This Row],[Out-Tok]])*Table1[[#This Row],[RPS]]</f>
        <v>18000</v>
      </c>
      <c r="V104" s="3">
        <f>Table1[[#This Row],[In-Tok]]+AvgOutLoad*Table1[[#This Row],[Out-Tok]]</f>
        <v>5500</v>
      </c>
      <c r="W104" s="3">
        <f>Table1[[#This Row],[In-Tok]]*Table1[[#This Row],[RPS]]</f>
        <v>15000</v>
      </c>
      <c r="X104" s="3">
        <f>Table1[[#This Row],[Out-Tok]]*Table1[[#This Row],[RPS]]</f>
        <v>3000</v>
      </c>
      <c r="Y104" s="75">
        <f>Table1[[#This Row],[In-Tok]]/Table1[[#This Row],[Out-Tok]]</f>
        <v>5</v>
      </c>
      <c r="Z104" s="26">
        <f>Table1[[#This Row],[In-Tok]]*Table1[[#This Row],[N]]+AvgOutLoad*Table1[[#This Row],[Out-Tok]]*Table1[[#This Row],[Ndecode]]</f>
        <v>351504.44214260613</v>
      </c>
      <c r="AA104" s="3">
        <f>Table1[[#This Row],[tok(N)]]/Table1[[#This Row],[Kvcache]]</f>
        <v>508280.99474890053</v>
      </c>
      <c r="AB104" s="3">
        <f>Table1[[#This Row],[tok/req]]*Table1[[#This Row],[Run]]</f>
        <v>268138.88888888888</v>
      </c>
      <c r="AC104" s="3">
        <f>Table1[[#This Row],[tok(Run)]]/Table1[[#This Row],[Kvcache]]</f>
        <v>387733.08338452305</v>
      </c>
      <c r="AD104" s="3">
        <f>Table1[[#This Row],[tok/req]]*Table1[[#This Row],[MaxRun]]</f>
        <v>393250</v>
      </c>
      <c r="AE104" s="3">
        <f>Table1[[#This Row],[tok(MaxRun)]]/Table1[[#This Row],[MaxKvcache]]</f>
        <v>394006.52921629976</v>
      </c>
      <c r="AF104" s="75">
        <f>Table1[[#This Row],[PPS]]*Table1[[#This Row],[Prefill]]/Table1[[#This Row],[In-Tok]]</f>
        <v>0.88550847490482298</v>
      </c>
      <c r="AG104" s="5">
        <f>Table1[[#This Row],[GPS]]*Table1[[#This Row],[ITL]]</f>
        <v>63.104890866924002</v>
      </c>
      <c r="AH104" s="5">
        <f>Table1[[#This Row],[Nprefill]]+Table1[[#This Row],[Ndecode]]</f>
        <v>63.990399341828827</v>
      </c>
      <c r="AI104" s="4">
        <f>Table1[[#This Row],[Run]]/Table1[[#This Row],[ITL]]/Table1[[#This Row],[GPS]]</f>
        <v>0.77256333990553749</v>
      </c>
      <c r="AJ104" s="10">
        <f>Table1[[#This Row],[Prefill]]+Table1[[#This Row],[ITL]]</f>
        <v>0.38461477182212417</v>
      </c>
      <c r="AK104" s="4">
        <f>Table1[[#This Row],[TTFT]]/Table1[[#This Row],[estTTFT]]</f>
        <v>9.2582974241164955</v>
      </c>
      <c r="AL104" s="5">
        <f>Table1[[#This Row],[In-Tok]]*Table1[[#This Row],[RPS]]/Table1[[#This Row],[PPS]]</f>
        <v>1.2074048963636823</v>
      </c>
      <c r="AM104" s="4">
        <f>Table1[[#This Row],[Prefill]]/Table1[[#This Row],[estPrefill]]</f>
        <v>0.29516949163494099</v>
      </c>
      <c r="AN104" s="4">
        <f>Table1[[#This Row],[Prefill]]/Table1[[#This Row],[TTFT]]</f>
        <v>0.10008461237299902</v>
      </c>
      <c r="AO104" s="10">
        <f>Table1[[#This Row],[Run]]/(Table1[[#This Row],[Out-Tok]]*Table1[[#This Row],[RPS]])</f>
        <v>1.6250841750841752E-2</v>
      </c>
      <c r="AP104" s="4">
        <f>Table1[[#This Row],[ITL]]/Table1[[#This Row],[estITL]]</f>
        <v>1.7368750983902377</v>
      </c>
      <c r="AQ104" s="44">
        <f>Table1[[#This Row],[E2E]]-Table1[[#This Row],[TTFT]]+Table1[[#This Row],[ITL]]</f>
        <v>27.383128953419977</v>
      </c>
      <c r="AR104" s="4">
        <f>Table1[[#This Row],[estDecode]]/Table1[[#This Row],[Run]]</f>
        <v>0.56167611444909926</v>
      </c>
      <c r="AS104" s="44">
        <f>Table1[[#This Row],[Prefill]]+Table1[[#This Row],[Out-Tok]]*Table1[[#This Row],[ITL]]</f>
        <v>28.582071454374656</v>
      </c>
      <c r="AT104" s="5">
        <f>Table1[[#This Row],[estPrefill]]+Table1[[#This Row],[Out-Tok]]*Table1[[#This Row],[ITL]]</f>
        <v>29.433087261281131</v>
      </c>
      <c r="AU104" s="4">
        <f>Table1[[#This Row],[E2E]]/Table1[[#This Row],[estE2E]]</f>
        <v>1.0503750744136964</v>
      </c>
      <c r="AV104" s="5">
        <f>Table1[[#This Row],[N]]/Table1[[#This Row],[estE2E]]</f>
        <v>2.174097428984537</v>
      </c>
      <c r="AW104" s="5">
        <f>Table1[[#This Row],[PPS]]/Table1[[#This Row],[In-Tok]]</f>
        <v>2.4846677440476195</v>
      </c>
      <c r="AX104" s="4">
        <f>Table1[[#This Row],[RPS]]/Table1[[#This Row],[RPS(IL)]]</f>
        <v>1.2074048963636821</v>
      </c>
      <c r="AY104" s="5">
        <f>Table1[[#This Row],[GPS]]/Table1[[#This Row],[Out-Tok]]</f>
        <v>2.2357259623015873</v>
      </c>
      <c r="AZ104" s="89">
        <f>Table1[[#This Row],[RPS]]/Table1[[#This Row],[RPS(OL)]]</f>
        <v>1.341846027011121</v>
      </c>
      <c r="BA104" s="135">
        <f>MaxTok/Table1[[#This Row],[tok/req]]</f>
        <v>70.529502180464604</v>
      </c>
      <c r="BB104" s="4">
        <f>Table1[[#This Row],[N]]/Table1[[#This Row],[N-max]]</f>
        <v>0.90728556651507186</v>
      </c>
      <c r="BC104" s="44">
        <f>Table1[[#This Row],[RPS]]</f>
        <v>3</v>
      </c>
      <c r="BD104" s="47">
        <f>Table1[[#This Row],[PPS]]/Table1[[#This Row],[RPS success]]</f>
        <v>4141.1129067460324</v>
      </c>
      <c r="BE104" s="4">
        <f>ABS(Table1[[#This Row],[est-In-Tok3]]-Table1[[#This Row],[In-Tok]])/Table1[[#This Row],[In-Tok]]</f>
        <v>0.17177741865079352</v>
      </c>
      <c r="BF104" s="47">
        <f>Table1[[#This Row],[GPS]]/Table1[[#This Row],[RPS success]]</f>
        <v>745.24198743386239</v>
      </c>
      <c r="BG104" s="4">
        <f>ABS(Table1[[#This Row],[est-Out-Tok3]]-Table1[[#This Row],[Out-Tok]])/Table1[[#This Row],[Out-Tok]]</f>
        <v>0.25475801256613761</v>
      </c>
      <c r="BH104" s="162">
        <f>Table1[[#This Row],[est-In-Tok3]]+AvgOutLoad*Table1[[#This Row],[est-Out-Tok3]]</f>
        <v>4513.7339004629639</v>
      </c>
      <c r="BI104" s="4">
        <f>ABS(Table1[[#This Row],[est-Tok/Req3]]-Table1[[#This Row],[tok/req]])/Table1[[#This Row],[tok/req]]</f>
        <v>0.17932110900673384</v>
      </c>
      <c r="BJ104" s="162">
        <f>MaxTok/Table1[[#This Row],[est-Tok/Req3]]</f>
        <v>85.940436575751164</v>
      </c>
      <c r="BK104" s="4">
        <f>ABS(Table1[[#This Row],[est-N-max3]]-Table1[[#This Row],[N-max]])/Table1[[#This Row],[N-max]]</f>
        <v>0.21850337686851148</v>
      </c>
      <c r="BL104" s="44">
        <f>MaxTok*Table1[[#This Row],[Kvcache]]/Table1[[#This Row],[Run]]</f>
        <v>5502.5416514257049</v>
      </c>
      <c r="BM104" s="170">
        <f>ABS(Table1[[#This Row],[est-Tok/Req]]-Table1[[#This Row],[tok/req]])/Table1[[#This Row],[tok/req]]</f>
        <v>4.6211844103725692E-4</v>
      </c>
      <c r="BN104" s="44">
        <f>MaxTok/Table1[[#This Row],[est-Tok/Req]]</f>
        <v>70.496924251731471</v>
      </c>
      <c r="BO104" s="180">
        <f>Table1[[#This Row],[Run]]/Table1[[#This Row],[Kvcache]]</f>
        <v>70.496924251731471</v>
      </c>
      <c r="BP104" s="4" cm="1">
        <f t="array" aca="1" ref="BP104" ca="1">_xlfn.CEILING.MATH(INDIRECT("Table1"&amp;BP$3)/BP$2)*BP$2</f>
        <v>6000</v>
      </c>
      <c r="BQ104" s="4" cm="1">
        <f t="array" aca="1" ref="BQ104" ca="1">_xlfn.CEILING.MATH(INDIRECT("Table1"&amp;BQ$3)/BQ$2)*BQ$2</f>
        <v>0.03</v>
      </c>
      <c r="BR104" s="4" cm="1">
        <f t="array" aca="1" ref="BR104" ca="1">_xlfn.CEILING.MATH(INDIRECT("Table1"&amp;BR$3)/BR$2)*BR$2</f>
        <v>0.70000000000000007</v>
      </c>
      <c r="BS104" s="4" cm="1">
        <f t="array" aca="1" ref="BS104" ca="1">_xlfn.CEILING.MATH(INDIRECT("Table1"&amp;BS$3)/BS$2)*BS$2</f>
        <v>0.70000000000000007</v>
      </c>
      <c r="BT104" s="3" cm="1">
        <f t="array" aca="1" ref="BT104" ca="1">_xlfn.CEILING.MATH(INDIRECT("Table1"&amp;BT$3)/BT$2)*BT$2</f>
        <v>49</v>
      </c>
      <c r="BU104" s="135" cm="1">
        <f t="array" aca="1" ref="BU104" ca="1">_xlfn.CEILING.MATH(INDIRECT("Table1"&amp;BU$3)/BU$2)*BU$2</f>
        <v>5</v>
      </c>
      <c r="BV104" s="135" cm="1">
        <f t="array" aca="1" ref="BV104" ca="1">_xlfn.CEILING.MATH(INDIRECT("Table1"&amp;BV$3)/BV$2)*BV$2</f>
        <v>5000</v>
      </c>
      <c r="BW104" s="4"/>
      <c r="BX104" s="4"/>
      <c r="BY104" s="190">
        <v>0.99807990690457715</v>
      </c>
      <c r="BZ104" s="4"/>
      <c r="CA104" s="3"/>
      <c r="CF104" s="5"/>
      <c r="CH104" s="8"/>
      <c r="CI104" s="8"/>
      <c r="CJ104" s="14"/>
      <c r="CK104" s="8"/>
      <c r="CL104" s="8"/>
      <c r="CM104" s="8"/>
      <c r="CN104" s="8"/>
      <c r="CO104" s="8"/>
      <c r="CP104" s="8"/>
      <c r="CQ104" s="8">
        <f>Table1[[#This Row],[In-Tok]]+AvgOutLoad*Table1[[#This Row],[Out-Tok]]</f>
        <v>5500</v>
      </c>
      <c r="CR104" s="8"/>
      <c r="CS104" s="8"/>
      <c r="CT104" s="8"/>
      <c r="CU104" s="8"/>
      <c r="CV104" s="8"/>
      <c r="CW104" s="8"/>
      <c r="CX104" s="8"/>
      <c r="CY104" s="8"/>
      <c r="GJ104"/>
    </row>
    <row r="105" spans="1:192" hidden="1" x14ac:dyDescent="0.25">
      <c r="A105" s="3">
        <v>5000</v>
      </c>
      <c r="B105" s="3">
        <v>200</v>
      </c>
      <c r="C105">
        <v>2</v>
      </c>
      <c r="D105" s="199">
        <f>Table1[[#This Row],[Kvcache]]</f>
        <v>6.9947992989110142E-2</v>
      </c>
      <c r="E105" s="4" t="s">
        <v>143</v>
      </c>
      <c r="F105" s="219">
        <v>46092</v>
      </c>
      <c r="G105" s="10"/>
      <c r="H105" s="10">
        <v>0.17111156936045049</v>
      </c>
      <c r="I105" s="10">
        <v>0.14817790955466786</v>
      </c>
      <c r="J105" s="10">
        <v>0.78302010879935935</v>
      </c>
      <c r="K105" s="10">
        <v>1.0646291335423763</v>
      </c>
      <c r="L105" s="10">
        <v>1.4754151487350453</v>
      </c>
      <c r="M105" s="10">
        <v>1.0464462487309993E-2</v>
      </c>
      <c r="N105" s="10">
        <v>2.2515525206627593</v>
      </c>
      <c r="O105" s="47">
        <v>12566.9625</v>
      </c>
      <c r="P105" s="47">
        <v>463.47499999999997</v>
      </c>
      <c r="Q105" s="5">
        <v>5.2962962962962967</v>
      </c>
      <c r="R105" s="5">
        <v>10.666666666666666</v>
      </c>
      <c r="S105" s="170">
        <v>6.9947992989110142E-2</v>
      </c>
      <c r="T105" s="170">
        <v>0.14116886475303855</v>
      </c>
      <c r="U105" s="20">
        <f>(Table1[[#This Row],[In-Tok]]+Table1[[#This Row],[Out-Tok]])*Table1[[#This Row],[RPS]]</f>
        <v>10400</v>
      </c>
      <c r="V105" s="3">
        <f>Table1[[#This Row],[In-Tok]]+AvgOutLoad*Table1[[#This Row],[Out-Tok]]</f>
        <v>5100</v>
      </c>
      <c r="W105" s="3">
        <f>Table1[[#This Row],[In-Tok]]*Table1[[#This Row],[RPS]]</f>
        <v>10000</v>
      </c>
      <c r="X105" s="3">
        <f>Table1[[#This Row],[Out-Tok]]*Table1[[#This Row],[RPS]]</f>
        <v>400</v>
      </c>
      <c r="Y105" s="75">
        <f>Table1[[#This Row],[In-Tok]]/Table1[[#This Row],[Out-Tok]]</f>
        <v>25</v>
      </c>
      <c r="Z105" s="26">
        <f>Table1[[#This Row],[In-Tok]]*Table1[[#This Row],[N]]+AvgOutLoad*Table1[[#This Row],[Out-Tok]]*Table1[[#This Row],[Ndecode]]</f>
        <v>26597.231664362494</v>
      </c>
      <c r="AA105" s="3">
        <f>Table1[[#This Row],[tok(N)]]/Table1[[#This Row],[Kvcache]]</f>
        <v>380242.95662783756</v>
      </c>
      <c r="AB105" s="3">
        <f>Table1[[#This Row],[tok/req]]*Table1[[#This Row],[Run]]</f>
        <v>27011.111111111113</v>
      </c>
      <c r="AC105" s="3">
        <f>Table1[[#This Row],[tok(Run)]]/Table1[[#This Row],[Kvcache]]</f>
        <v>386159.91620111733</v>
      </c>
      <c r="AD105" s="3">
        <f>Table1[[#This Row],[tok/req]]*Table1[[#This Row],[MaxRun]]</f>
        <v>54400</v>
      </c>
      <c r="AE105" s="3">
        <f>Table1[[#This Row],[tok(MaxRun)]]/Table1[[#This Row],[MaxKvcache]]</f>
        <v>385354.09415643883</v>
      </c>
      <c r="AF105" s="75">
        <f>Table1[[#This Row],[PPS]]*Table1[[#This Row],[Prefill]]/Table1[[#This Row],[In-Tok]]</f>
        <v>0.37242924654038051</v>
      </c>
      <c r="AG105" s="5">
        <f>Table1[[#This Row],[GPS]]*Table1[[#This Row],[ITL]]</f>
        <v>4.8500167513059989</v>
      </c>
      <c r="AH105" s="5">
        <f>Table1[[#This Row],[Nprefill]]+Table1[[#This Row],[Ndecode]]</f>
        <v>5.2224459978463793</v>
      </c>
      <c r="AI105" s="4">
        <f>Table1[[#This Row],[Run]]/Table1[[#This Row],[ITL]]/Table1[[#This Row],[GPS]]</f>
        <v>1.0920160832166455</v>
      </c>
      <c r="AJ105" s="10">
        <f>Table1[[#This Row],[Prefill]]+Table1[[#This Row],[ITL]]</f>
        <v>0.15864237204197787</v>
      </c>
      <c r="AK105" s="4">
        <f>Table1[[#This Row],[TTFT]]/Table1[[#This Row],[estTTFT]]</f>
        <v>1.0785994129939838</v>
      </c>
      <c r="AL105" s="5">
        <f>Table1[[#This Row],[In-Tok]]*Table1[[#This Row],[RPS]]/Table1[[#This Row],[PPS]]</f>
        <v>0.79573723562873688</v>
      </c>
      <c r="AM105" s="4">
        <f>Table1[[#This Row],[Prefill]]/Table1[[#This Row],[estPrefill]]</f>
        <v>0.18621462327019025</v>
      </c>
      <c r="AN105" s="4">
        <f>Table1[[#This Row],[Prefill]]/Table1[[#This Row],[TTFT]]</f>
        <v>0.86597247695465673</v>
      </c>
      <c r="AO105" s="10">
        <f>Table1[[#This Row],[Run]]/(Table1[[#This Row],[Out-Tok]]*Table1[[#This Row],[RPS]])</f>
        <v>1.3240740740740742E-2</v>
      </c>
      <c r="AP105" s="4">
        <f>Table1[[#This Row],[ITL]]/Table1[[#This Row],[estITL]]</f>
        <v>0.7903230409996358</v>
      </c>
      <c r="AQ105" s="44">
        <f>Table1[[#This Row],[E2E]]-Table1[[#This Row],[TTFT]]+Table1[[#This Row],[ITL]]</f>
        <v>2.0909054137896188</v>
      </c>
      <c r="AR105" s="4">
        <f>Table1[[#This Row],[estDecode]]/Table1[[#This Row],[Run]]</f>
        <v>0.39478633686936854</v>
      </c>
      <c r="AS105" s="44">
        <f>Table1[[#This Row],[Prefill]]+Table1[[#This Row],[Out-Tok]]*Table1[[#This Row],[ITL]]</f>
        <v>2.2410704070166667</v>
      </c>
      <c r="AT105" s="5">
        <f>Table1[[#This Row],[estPrefill]]+Table1[[#This Row],[Out-Tok]]*Table1[[#This Row],[ITL]]</f>
        <v>2.8886297330907356</v>
      </c>
      <c r="AU105" s="4">
        <f>Table1[[#This Row],[E2E]]/Table1[[#This Row],[estE2E]]</f>
        <v>0.77945348788391611</v>
      </c>
      <c r="AV105" s="5">
        <f>Table1[[#This Row],[N]]/Table1[[#This Row],[estE2E]]</f>
        <v>1.8079319540405547</v>
      </c>
      <c r="AW105" s="5">
        <f>Table1[[#This Row],[PPS]]/Table1[[#This Row],[In-Tok]]</f>
        <v>2.5133925000000001</v>
      </c>
      <c r="AX105" s="4">
        <f>Table1[[#This Row],[RPS]]/Table1[[#This Row],[RPS(IL)]]</f>
        <v>0.79573723562873677</v>
      </c>
      <c r="AY105" s="5">
        <f>Table1[[#This Row],[GPS]]/Table1[[#This Row],[Out-Tok]]</f>
        <v>2.3173749999999997</v>
      </c>
      <c r="AZ105" s="89">
        <f>Table1[[#This Row],[RPS]]/Table1[[#This Row],[RPS(OL)]]</f>
        <v>0.86304547170829071</v>
      </c>
      <c r="BA105" s="135">
        <f>MaxTok/Table1[[#This Row],[tok/req]]</f>
        <v>76.061227841677507</v>
      </c>
      <c r="BB105" s="4">
        <f>Table1[[#This Row],[N]]/Table1[[#This Row],[N-max]]</f>
        <v>6.8661079317796081E-2</v>
      </c>
      <c r="BC105" s="44">
        <f>Table1[[#This Row],[RPS]]</f>
        <v>2</v>
      </c>
      <c r="BD105" s="47">
        <f>Table1[[#This Row],[PPS]]/Table1[[#This Row],[RPS success]]</f>
        <v>6283.4812499999998</v>
      </c>
      <c r="BE105" s="4">
        <f>ABS(Table1[[#This Row],[est-In-Tok3]]-Table1[[#This Row],[In-Tok]])/Table1[[#This Row],[In-Tok]]</f>
        <v>0.25669624999999996</v>
      </c>
      <c r="BF105" s="47">
        <f>Table1[[#This Row],[GPS]]/Table1[[#This Row],[RPS success]]</f>
        <v>231.73749999999998</v>
      </c>
      <c r="BG105" s="4">
        <f>ABS(Table1[[#This Row],[est-Out-Tok3]]-Table1[[#This Row],[Out-Tok]])/Table1[[#This Row],[Out-Tok]]</f>
        <v>0.15868749999999993</v>
      </c>
      <c r="BH105" s="162">
        <f>Table1[[#This Row],[est-In-Tok3]]+AvgOutLoad*Table1[[#This Row],[est-Out-Tok3]]</f>
        <v>6399.3499999999995</v>
      </c>
      <c r="BI105" s="4">
        <f>ABS(Table1[[#This Row],[est-Tok/Req3]]-Table1[[#This Row],[tok/req]])/Table1[[#This Row],[tok/req]]</f>
        <v>0.25477450980392147</v>
      </c>
      <c r="BJ105" s="162">
        <f>MaxTok/Table1[[#This Row],[est-Tok/Req3]]</f>
        <v>60.617447395837907</v>
      </c>
      <c r="BK105" s="4">
        <f>ABS(Table1[[#This Row],[est-N-max3]]-Table1[[#This Row],[N-max]])/Table1[[#This Row],[N-max]]</f>
        <v>0.20304405916225862</v>
      </c>
      <c r="BL105" s="44">
        <f>MaxTok*Table1[[#This Row],[Kvcache]]/Table1[[#This Row],[Run]]</f>
        <v>5123.1431672770486</v>
      </c>
      <c r="BM105" s="170">
        <f>ABS(Table1[[#This Row],[est-Tok/Req]]-Table1[[#This Row],[tok/req]])/Table1[[#This Row],[tok/req]]</f>
        <v>4.5378759366762021E-3</v>
      </c>
      <c r="BN105" s="44">
        <f>MaxTok/Table1[[#This Row],[est-Tok/Req]]</f>
        <v>75.717630627670061</v>
      </c>
      <c r="BO105" s="180">
        <f>Table1[[#This Row],[Run]]/Table1[[#This Row],[Kvcache]]</f>
        <v>75.717630627670061</v>
      </c>
      <c r="BP105" s="4" cm="1">
        <f t="array" aca="1" ref="BP105" ca="1">_xlfn.CEILING.MATH(INDIRECT("Table1"&amp;BP$3)/BP$2)*BP$2</f>
        <v>6000</v>
      </c>
      <c r="BQ105" s="4" cm="1">
        <f t="array" aca="1" ref="BQ105" ca="1">_xlfn.CEILING.MATH(INDIRECT("Table1"&amp;BQ$3)/BQ$2)*BQ$2</f>
        <v>1.4999999999999999E-2</v>
      </c>
      <c r="BR105" s="4" cm="1">
        <f t="array" aca="1" ref="BR105" ca="1">_xlfn.CEILING.MATH(INDIRECT("Table1"&amp;BR$3)/BR$2)*BR$2</f>
        <v>0.1</v>
      </c>
      <c r="BS105" s="4" cm="1">
        <f t="array" aca="1" ref="BS105" ca="1">_xlfn.CEILING.MATH(INDIRECT("Table1"&amp;BS$3)/BS$2)*BS$2</f>
        <v>7.0000000000000007E-2</v>
      </c>
      <c r="BT105" s="3" cm="1">
        <f t="array" aca="1" ref="BT105" ca="1">_xlfn.CEILING.MATH(INDIRECT("Table1"&amp;BT$3)/BT$2)*BT$2</f>
        <v>6</v>
      </c>
      <c r="BU105" s="135" cm="1">
        <f t="array" aca="1" ref="BU105" ca="1">_xlfn.CEILING.MATH(INDIRECT("Table1"&amp;BU$3)/BU$2)*BU$2</f>
        <v>25</v>
      </c>
      <c r="BV105" s="135" cm="1">
        <f t="array" aca="1" ref="BV105" ca="1">_xlfn.CEILING.MATH(INDIRECT("Table1"&amp;BV$3)/BV$2)*BV$2</f>
        <v>5000</v>
      </c>
      <c r="BW105" s="4"/>
      <c r="BX105" s="4"/>
      <c r="BY105" s="190">
        <v>0.14116886475303855</v>
      </c>
      <c r="BZ105" s="4"/>
      <c r="CA105" s="3"/>
      <c r="CF105" s="5"/>
      <c r="CH105" s="8"/>
      <c r="CI105" s="8"/>
      <c r="CJ105" s="14"/>
      <c r="CK105" s="8"/>
      <c r="CL105" s="8"/>
      <c r="CM105" s="8"/>
      <c r="CN105" s="8"/>
      <c r="CO105" s="8"/>
      <c r="CP105" s="8"/>
      <c r="CQ105" s="8">
        <f>Table1[[#This Row],[In-Tok]]+AvgOutLoad*Table1[[#This Row],[Out-Tok]]</f>
        <v>5100</v>
      </c>
      <c r="CR105" s="8"/>
      <c r="CS105" s="8"/>
      <c r="CT105" s="8"/>
      <c r="CU105" s="8"/>
      <c r="CV105" s="8"/>
      <c r="CW105" s="8"/>
      <c r="CX105" s="8"/>
      <c r="CY105" s="8"/>
      <c r="GJ105"/>
    </row>
    <row r="106" spans="1:192" hidden="1" x14ac:dyDescent="0.25">
      <c r="A106" s="3">
        <v>5000</v>
      </c>
      <c r="B106" s="3">
        <v>200</v>
      </c>
      <c r="C106">
        <v>2.2000000000000002</v>
      </c>
      <c r="D106" s="199">
        <f>Table1[[#This Row],[Kvcache]]</f>
        <v>5.8994914231531768E-2</v>
      </c>
      <c r="E106" s="4" t="s">
        <v>143</v>
      </c>
      <c r="F106" s="219">
        <v>46092</v>
      </c>
      <c r="G106" s="10"/>
      <c r="H106" s="10">
        <v>0.17417187530369771</v>
      </c>
      <c r="I106" s="10">
        <v>0.1488430971451522</v>
      </c>
      <c r="J106" s="10">
        <v>0.76926682079348796</v>
      </c>
      <c r="K106" s="10">
        <v>1.0059027671813963</v>
      </c>
      <c r="L106" s="10">
        <v>1.1269246069590251</v>
      </c>
      <c r="M106" s="10">
        <v>1.0721021489823184E-2</v>
      </c>
      <c r="N106" s="10">
        <v>2.3052074238938194</v>
      </c>
      <c r="O106" s="47">
        <v>12653.112499999997</v>
      </c>
      <c r="P106" s="47">
        <v>465.85416666666669</v>
      </c>
      <c r="Q106" s="5">
        <v>4.4814814814814818</v>
      </c>
      <c r="R106" s="5">
        <v>11</v>
      </c>
      <c r="S106" s="170">
        <v>5.8994914231531768E-2</v>
      </c>
      <c r="T106" s="170">
        <v>0.14453064391000778</v>
      </c>
      <c r="U106" s="20">
        <f>(Table1[[#This Row],[In-Tok]]+Table1[[#This Row],[Out-Tok]])*Table1[[#This Row],[RPS]]</f>
        <v>11440.000000000002</v>
      </c>
      <c r="V106" s="3">
        <f>Table1[[#This Row],[In-Tok]]+AvgOutLoad*Table1[[#This Row],[Out-Tok]]</f>
        <v>5100</v>
      </c>
      <c r="W106" s="3">
        <f>Table1[[#This Row],[In-Tok]]*Table1[[#This Row],[RPS]]</f>
        <v>11000</v>
      </c>
      <c r="X106" s="3">
        <f>Table1[[#This Row],[Out-Tok]]*Table1[[#This Row],[RPS]]</f>
        <v>440.00000000000006</v>
      </c>
      <c r="Y106" s="75">
        <f>Table1[[#This Row],[In-Tok]]/Table1[[#This Row],[Out-Tok]]</f>
        <v>25</v>
      </c>
      <c r="Z106" s="26">
        <f>Table1[[#This Row],[In-Tok]]*Table1[[#This Row],[N]]+AvgOutLoad*Table1[[#This Row],[Out-Tok]]*Table1[[#This Row],[Ndecode]]</f>
        <v>27354.934366006764</v>
      </c>
      <c r="AA106" s="3">
        <f>Table1[[#This Row],[tok(N)]]/Table1[[#This Row],[Kvcache]]</f>
        <v>463682.92457633611</v>
      </c>
      <c r="AB106" s="3">
        <f>Table1[[#This Row],[tok/req]]*Table1[[#This Row],[Run]]</f>
        <v>22855.555555555558</v>
      </c>
      <c r="AC106" s="3">
        <f>Table1[[#This Row],[tok(Run)]]/Table1[[#This Row],[Kvcache]]</f>
        <v>387415.69257744012</v>
      </c>
      <c r="AD106" s="3">
        <f>Table1[[#This Row],[tok/req]]*Table1[[#This Row],[MaxRun]]</f>
        <v>56100</v>
      </c>
      <c r="AE106" s="3">
        <f>Table1[[#This Row],[tok(MaxRun)]]/Table1[[#This Row],[MaxKvcache]]</f>
        <v>388152.9790660225</v>
      </c>
      <c r="AF106" s="75">
        <f>Table1[[#This Row],[PPS]]*Table1[[#This Row],[Prefill]]/Table1[[#This Row],[In-Tok]]</f>
        <v>0.37666569060520788</v>
      </c>
      <c r="AG106" s="5">
        <f>Table1[[#This Row],[GPS]]*Table1[[#This Row],[ITL]]</f>
        <v>4.9944325319570053</v>
      </c>
      <c r="AH106" s="5">
        <f>Table1[[#This Row],[Nprefill]]+Table1[[#This Row],[Ndecode]]</f>
        <v>5.371098222562213</v>
      </c>
      <c r="AI106" s="4">
        <f>Table1[[#This Row],[Run]]/Table1[[#This Row],[ITL]]/Table1[[#This Row],[GPS]]</f>
        <v>0.89729542902153703</v>
      </c>
      <c r="AJ106" s="10">
        <f>Table1[[#This Row],[Prefill]]+Table1[[#This Row],[ITL]]</f>
        <v>0.15956411863497538</v>
      </c>
      <c r="AK106" s="4">
        <f>Table1[[#This Row],[TTFT]]/Table1[[#This Row],[estTTFT]]</f>
        <v>1.0915478792706494</v>
      </c>
      <c r="AL106" s="5">
        <f>Table1[[#This Row],[In-Tok]]*Table1[[#This Row],[RPS]]/Table1[[#This Row],[PPS]]</f>
        <v>0.8693513157335796</v>
      </c>
      <c r="AM106" s="4">
        <f>Table1[[#This Row],[Prefill]]/Table1[[#This Row],[estPrefill]]</f>
        <v>0.17121167754782174</v>
      </c>
      <c r="AN106" s="4">
        <f>Table1[[#This Row],[Prefill]]/Table1[[#This Row],[TTFT]]</f>
        <v>0.85457595771773964</v>
      </c>
      <c r="AO106" s="10">
        <f>Table1[[#This Row],[Run]]/(Table1[[#This Row],[Out-Tok]]*Table1[[#This Row],[RPS]])</f>
        <v>1.0185185185185184E-2</v>
      </c>
      <c r="AP106" s="4">
        <f>Table1[[#This Row],[ITL]]/Table1[[#This Row],[estITL]]</f>
        <v>1.0526093826371854</v>
      </c>
      <c r="AQ106" s="44">
        <f>Table1[[#This Row],[E2E]]-Table1[[#This Row],[TTFT]]+Table1[[#This Row],[ITL]]</f>
        <v>2.1417565700799446</v>
      </c>
      <c r="AR106" s="4">
        <f>Table1[[#This Row],[estDecode]]/Table1[[#This Row],[Run]]</f>
        <v>0.47791262307569005</v>
      </c>
      <c r="AS106" s="44">
        <f>Table1[[#This Row],[Prefill]]+Table1[[#This Row],[Out-Tok]]*Table1[[#This Row],[ITL]]</f>
        <v>2.2930473951097889</v>
      </c>
      <c r="AT106" s="5">
        <f>Table1[[#This Row],[estPrefill]]+Table1[[#This Row],[Out-Tok]]*Table1[[#This Row],[ITL]]</f>
        <v>3.0135556136982165</v>
      </c>
      <c r="AU106" s="4">
        <f>Table1[[#This Row],[E2E]]/Table1[[#This Row],[estE2E]]</f>
        <v>0.76494603697221419</v>
      </c>
      <c r="AV106" s="5">
        <f>Table1[[#This Row],[N]]/Table1[[#This Row],[estE2E]]</f>
        <v>1.7823126270335643</v>
      </c>
      <c r="AW106" s="5">
        <f>Table1[[#This Row],[PPS]]/Table1[[#This Row],[In-Tok]]</f>
        <v>2.5306224999999993</v>
      </c>
      <c r="AX106" s="4">
        <f>Table1[[#This Row],[RPS]]/Table1[[#This Row],[RPS(IL)]]</f>
        <v>0.86935131573357971</v>
      </c>
      <c r="AY106" s="5">
        <f>Table1[[#This Row],[GPS]]/Table1[[#This Row],[Out-Tok]]</f>
        <v>2.3292708333333336</v>
      </c>
      <c r="AZ106" s="89">
        <f>Table1[[#This Row],[RPS]]/Table1[[#This Row],[RPS(OL)]]</f>
        <v>0.94450158758552838</v>
      </c>
      <c r="BA106" s="135">
        <f>MaxTok/Table1[[#This Row],[tok/req]]</f>
        <v>76.061227841677507</v>
      </c>
      <c r="BB106" s="4">
        <f>Table1[[#This Row],[N]]/Table1[[#This Row],[N-max]]</f>
        <v>7.0615455140196112E-2</v>
      </c>
      <c r="BC106" s="44">
        <f>Table1[[#This Row],[RPS]]</f>
        <v>2.2000000000000002</v>
      </c>
      <c r="BD106" s="47">
        <f>Table1[[#This Row],[PPS]]/Table1[[#This Row],[RPS success]]</f>
        <v>5751.4147727272712</v>
      </c>
      <c r="BE106" s="4">
        <f>ABS(Table1[[#This Row],[est-In-Tok3]]-Table1[[#This Row],[In-Tok]])/Table1[[#This Row],[In-Tok]]</f>
        <v>0.15028295454545423</v>
      </c>
      <c r="BF106" s="47">
        <f>Table1[[#This Row],[GPS]]/Table1[[#This Row],[RPS success]]</f>
        <v>211.75189393939394</v>
      </c>
      <c r="BG106" s="4">
        <f>ABS(Table1[[#This Row],[est-Out-Tok3]]-Table1[[#This Row],[Out-Tok]])/Table1[[#This Row],[Out-Tok]]</f>
        <v>5.8759469696969685E-2</v>
      </c>
      <c r="BH106" s="162">
        <f>Table1[[#This Row],[est-In-Tok3]]+AvgOutLoad*Table1[[#This Row],[est-Out-Tok3]]</f>
        <v>5857.2907196969682</v>
      </c>
      <c r="BI106" s="4">
        <f>ABS(Table1[[#This Row],[est-Tok/Req3]]-Table1[[#This Row],[tok/req]])/Table1[[#This Row],[tok/req]]</f>
        <v>0.14848837641117021</v>
      </c>
      <c r="BJ106" s="162">
        <f>MaxTok/Table1[[#This Row],[est-Tok/Req3]]</f>
        <v>66.227250883771092</v>
      </c>
      <c r="BK106" s="4">
        <f>ABS(Table1[[#This Row],[est-N-max3]]-Table1[[#This Row],[N-max]])/Table1[[#This Row],[N-max]]</f>
        <v>0.12929027359873776</v>
      </c>
      <c r="BL106" s="44">
        <f>MaxTok*Table1[[#This Row],[Kvcache]]/Table1[[#This Row],[Run]]</f>
        <v>5106.5369164584918</v>
      </c>
      <c r="BM106" s="170">
        <f>ABS(Table1[[#This Row],[est-Tok/Req]]-Table1[[#This Row],[tok/req]])/Table1[[#This Row],[tok/req]]</f>
        <v>1.2817483251944628E-3</v>
      </c>
      <c r="BN106" s="44">
        <f>MaxTok/Table1[[#This Row],[est-Tok/Req]]</f>
        <v>75.963861289694137</v>
      </c>
      <c r="BO106" s="180">
        <f>Table1[[#This Row],[Run]]/Table1[[#This Row],[Kvcache]]</f>
        <v>75.963861289694137</v>
      </c>
      <c r="BP106" s="4" cm="1">
        <f t="array" aca="1" ref="BP106" ca="1">_xlfn.CEILING.MATH(INDIRECT("Table1"&amp;BP$3)/BP$2)*BP$2</f>
        <v>6000</v>
      </c>
      <c r="BQ106" s="4" cm="1">
        <f t="array" aca="1" ref="BQ106" ca="1">_xlfn.CEILING.MATH(INDIRECT("Table1"&amp;BQ$3)/BQ$2)*BQ$2</f>
        <v>1.4999999999999999E-2</v>
      </c>
      <c r="BR106" s="4" cm="1">
        <f t="array" aca="1" ref="BR106" ca="1">_xlfn.CEILING.MATH(INDIRECT("Table1"&amp;BR$3)/BR$2)*BR$2</f>
        <v>0.1</v>
      </c>
      <c r="BS106" s="4" cm="1">
        <f t="array" aca="1" ref="BS106" ca="1">_xlfn.CEILING.MATH(INDIRECT("Table1"&amp;BS$3)/BS$2)*BS$2</f>
        <v>0.06</v>
      </c>
      <c r="BT106" s="3" cm="1">
        <f t="array" aca="1" ref="BT106" ca="1">_xlfn.CEILING.MATH(INDIRECT("Table1"&amp;BT$3)/BT$2)*BT$2</f>
        <v>5</v>
      </c>
      <c r="BU106" s="135" cm="1">
        <f t="array" aca="1" ref="BU106" ca="1">_xlfn.CEILING.MATH(INDIRECT("Table1"&amp;BU$3)/BU$2)*BU$2</f>
        <v>25</v>
      </c>
      <c r="BV106" s="135" cm="1">
        <f t="array" aca="1" ref="BV106" ca="1">_xlfn.CEILING.MATH(INDIRECT("Table1"&amp;BV$3)/BV$2)*BV$2</f>
        <v>5000</v>
      </c>
      <c r="BW106" s="4"/>
      <c r="BX106" s="4"/>
      <c r="BY106" s="190">
        <v>0.14453064391000778</v>
      </c>
      <c r="BZ106" s="4"/>
      <c r="CA106" s="3"/>
      <c r="CF106" s="5"/>
      <c r="CH106" s="8"/>
      <c r="CI106" s="8"/>
      <c r="CJ106" s="14"/>
      <c r="CK106" s="8"/>
      <c r="CL106" s="8"/>
      <c r="CM106" s="8"/>
      <c r="CN106" s="8"/>
      <c r="CO106" s="8"/>
      <c r="CP106" s="8"/>
      <c r="CQ106" s="8">
        <f>Table1[[#This Row],[In-Tok]]+AvgOutLoad*Table1[[#This Row],[Out-Tok]]</f>
        <v>5100</v>
      </c>
      <c r="CR106" s="8"/>
      <c r="CS106" s="8"/>
      <c r="CT106" s="8"/>
      <c r="CU106" s="8"/>
      <c r="CV106" s="8"/>
      <c r="CW106" s="8"/>
      <c r="CX106" s="8"/>
      <c r="CY106" s="8"/>
      <c r="GJ106"/>
    </row>
    <row r="107" spans="1:192" hidden="1" x14ac:dyDescent="0.25">
      <c r="A107" s="3">
        <v>5000</v>
      </c>
      <c r="B107" s="3">
        <v>200</v>
      </c>
      <c r="C107">
        <v>2.4</v>
      </c>
      <c r="D107" s="199">
        <f>Table1[[#This Row],[Kvcache]]</f>
        <v>6.3885297244490422E-2</v>
      </c>
      <c r="E107" s="4" t="s">
        <v>143</v>
      </c>
      <c r="F107" s="219">
        <v>46092</v>
      </c>
      <c r="G107" s="10"/>
      <c r="H107" s="10">
        <v>0.17846621555900777</v>
      </c>
      <c r="I107" s="10">
        <v>0.15019183677874534</v>
      </c>
      <c r="J107" s="10">
        <v>0.78176807028953599</v>
      </c>
      <c r="K107" s="10">
        <v>1.0494675954182942</v>
      </c>
      <c r="L107" s="10">
        <v>1.1592359701792398</v>
      </c>
      <c r="M107" s="10">
        <v>1.128819261719761E-2</v>
      </c>
      <c r="N107" s="10">
        <v>2.4257600241030097</v>
      </c>
      <c r="O107" s="47">
        <v>13654.179166666667</v>
      </c>
      <c r="P107" s="47">
        <v>505.87083333333334</v>
      </c>
      <c r="Q107" s="5">
        <v>4.8518518518518521</v>
      </c>
      <c r="R107" s="5">
        <v>12.333333333333334</v>
      </c>
      <c r="S107" s="170">
        <v>6.3885297244490422E-2</v>
      </c>
      <c r="T107" s="170">
        <v>0.16247737264028958</v>
      </c>
      <c r="U107" s="20">
        <f>(Table1[[#This Row],[In-Tok]]+Table1[[#This Row],[Out-Tok]])*Table1[[#This Row],[RPS]]</f>
        <v>12480</v>
      </c>
      <c r="V107" s="3">
        <f>Table1[[#This Row],[In-Tok]]+AvgOutLoad*Table1[[#This Row],[Out-Tok]]</f>
        <v>5100</v>
      </c>
      <c r="W107" s="3">
        <f>Table1[[#This Row],[In-Tok]]*Table1[[#This Row],[RPS]]</f>
        <v>12000</v>
      </c>
      <c r="X107" s="3">
        <f>Table1[[#This Row],[Out-Tok]]*Table1[[#This Row],[RPS]]</f>
        <v>480</v>
      </c>
      <c r="Y107" s="75">
        <f>Table1[[#This Row],[In-Tok]]/Table1[[#This Row],[Out-Tok]]</f>
        <v>25</v>
      </c>
      <c r="Z107" s="26">
        <f>Table1[[#This Row],[In-Tok]]*Table1[[#This Row],[N]]+AvgOutLoad*Table1[[#This Row],[Out-Tok]]*Table1[[#This Row],[Ndecode]]</f>
        <v>31173.620019801318</v>
      </c>
      <c r="AA107" s="3">
        <f>Table1[[#This Row],[tok(N)]]/Table1[[#This Row],[Kvcache]]</f>
        <v>487962.35384957504</v>
      </c>
      <c r="AB107" s="3">
        <f>Table1[[#This Row],[tok/req]]*Table1[[#This Row],[Run]]</f>
        <v>24744.444444444445</v>
      </c>
      <c r="AC107" s="3">
        <f>Table1[[#This Row],[tok(Run)]]/Table1[[#This Row],[Kvcache]]</f>
        <v>387326.12215525768</v>
      </c>
      <c r="AD107" s="3">
        <f>Table1[[#This Row],[tok/req]]*Table1[[#This Row],[MaxRun]]</f>
        <v>62900</v>
      </c>
      <c r="AE107" s="3">
        <f>Table1[[#This Row],[tok(MaxRun)]]/Table1[[#This Row],[MaxKvcache]]</f>
        <v>387130.82922170951</v>
      </c>
      <c r="AF107" s="75">
        <f>Table1[[#This Row],[PPS]]*Table1[[#This Row],[Prefill]]/Table1[[#This Row],[In-Tok]]</f>
        <v>0.41014924974954903</v>
      </c>
      <c r="AG107" s="5">
        <f>Table1[[#This Row],[GPS]]*Table1[[#This Row],[ITL]]</f>
        <v>5.7103674060889356</v>
      </c>
      <c r="AH107" s="5">
        <f>Table1[[#This Row],[Nprefill]]+Table1[[#This Row],[Ndecode]]</f>
        <v>6.1205166558384843</v>
      </c>
      <c r="AI107" s="4">
        <f>Table1[[#This Row],[Run]]/Table1[[#This Row],[ITL]]/Table1[[#This Row],[GPS]]</f>
        <v>0.84965668700727504</v>
      </c>
      <c r="AJ107" s="10">
        <f>Table1[[#This Row],[Prefill]]+Table1[[#This Row],[ITL]]</f>
        <v>0.16148002939594294</v>
      </c>
      <c r="AK107" s="4">
        <f>Table1[[#This Row],[TTFT]]/Table1[[#This Row],[estTTFT]]</f>
        <v>1.1051906308576112</v>
      </c>
      <c r="AL107" s="5">
        <f>Table1[[#This Row],[In-Tok]]*Table1[[#This Row],[RPS]]/Table1[[#This Row],[PPS]]</f>
        <v>0.87885180452993172</v>
      </c>
      <c r="AM107" s="4">
        <f>Table1[[#This Row],[Prefill]]/Table1[[#This Row],[estPrefill]]</f>
        <v>0.17089552072897876</v>
      </c>
      <c r="AN107" s="4">
        <f>Table1[[#This Row],[Prefill]]/Table1[[#This Row],[TTFT]]</f>
        <v>0.84157013308261786</v>
      </c>
      <c r="AO107" s="10">
        <f>Table1[[#This Row],[Run]]/(Table1[[#This Row],[Out-Tok]]*Table1[[#This Row],[RPS]])</f>
        <v>1.0108024691358025E-2</v>
      </c>
      <c r="AP107" s="4">
        <f>Table1[[#This Row],[ITL]]/Table1[[#This Row],[estITL]]</f>
        <v>1.116755544418939</v>
      </c>
      <c r="AQ107" s="44">
        <f>Table1[[#This Row],[E2E]]-Table1[[#This Row],[TTFT]]+Table1[[#This Row],[ITL]]</f>
        <v>2.2585820011611997</v>
      </c>
      <c r="AR107" s="4">
        <f>Table1[[#This Row],[estDecode]]/Table1[[#This Row],[Run]]</f>
        <v>0.46550926741490373</v>
      </c>
      <c r="AS107" s="44">
        <f>Table1[[#This Row],[Prefill]]+Table1[[#This Row],[Out-Tok]]*Table1[[#This Row],[ITL]]</f>
        <v>2.4078303602182674</v>
      </c>
      <c r="AT107" s="5">
        <f>Table1[[#This Row],[estPrefill]]+Table1[[#This Row],[Out-Tok]]*Table1[[#This Row],[ITL]]</f>
        <v>3.1364903279694536</v>
      </c>
      <c r="AU107" s="4">
        <f>Table1[[#This Row],[E2E]]/Table1[[#This Row],[estE2E]]</f>
        <v>0.77339949129491925</v>
      </c>
      <c r="AV107" s="5">
        <f>Table1[[#This Row],[N]]/Table1[[#This Row],[estE2E]]</f>
        <v>1.9513902533858196</v>
      </c>
      <c r="AW107" s="5">
        <f>Table1[[#This Row],[PPS]]/Table1[[#This Row],[In-Tok]]</f>
        <v>2.7308358333333334</v>
      </c>
      <c r="AX107" s="4">
        <f>Table1[[#This Row],[RPS]]/Table1[[#This Row],[RPS(IL)]]</f>
        <v>0.87885180452993172</v>
      </c>
      <c r="AY107" s="5">
        <f>Table1[[#This Row],[GPS]]/Table1[[#This Row],[Out-Tok]]</f>
        <v>2.5293541666666668</v>
      </c>
      <c r="AZ107" s="89">
        <f>Table1[[#This Row],[RPS]]/Table1[[#This Row],[RPS(OL)]]</f>
        <v>0.94885881606800149</v>
      </c>
      <c r="BA107" s="135">
        <f>MaxTok/Table1[[#This Row],[tok/req]]</f>
        <v>76.061227841677507</v>
      </c>
      <c r="BB107" s="4">
        <f>Table1[[#This Row],[N]]/Table1[[#This Row],[N-max]]</f>
        <v>8.0468286267721373E-2</v>
      </c>
      <c r="BC107" s="44">
        <f>Table1[[#This Row],[RPS]]</f>
        <v>2.4</v>
      </c>
      <c r="BD107" s="47">
        <f>Table1[[#This Row],[PPS]]/Table1[[#This Row],[RPS success]]</f>
        <v>5689.2413194444443</v>
      </c>
      <c r="BE107" s="4">
        <f>ABS(Table1[[#This Row],[est-In-Tok3]]-Table1[[#This Row],[In-Tok]])/Table1[[#This Row],[In-Tok]]</f>
        <v>0.13784826388888888</v>
      </c>
      <c r="BF107" s="47">
        <f>Table1[[#This Row],[GPS]]/Table1[[#This Row],[RPS success]]</f>
        <v>210.77951388888889</v>
      </c>
      <c r="BG107" s="4">
        <f>ABS(Table1[[#This Row],[est-Out-Tok3]]-Table1[[#This Row],[Out-Tok]])/Table1[[#This Row],[Out-Tok]]</f>
        <v>5.3897569444444432E-2</v>
      </c>
      <c r="BH107" s="162">
        <f>Table1[[#This Row],[est-In-Tok3]]+AvgOutLoad*Table1[[#This Row],[est-Out-Tok3]]</f>
        <v>5794.6310763888887</v>
      </c>
      <c r="BI107" s="4">
        <f>ABS(Table1[[#This Row],[est-Tok/Req3]]-Table1[[#This Row],[tok/req]])/Table1[[#This Row],[tok/req]]</f>
        <v>0.13620217184095856</v>
      </c>
      <c r="BJ107" s="162">
        <f>MaxTok/Table1[[#This Row],[est-Tok/Req3]]</f>
        <v>66.943392405629268</v>
      </c>
      <c r="BK107" s="4">
        <f>ABS(Table1[[#This Row],[est-N-max3]]-Table1[[#This Row],[N-max]])/Table1[[#This Row],[N-max]]</f>
        <v>0.11987494410459872</v>
      </c>
      <c r="BL107" s="44">
        <f>MaxTok*Table1[[#This Row],[Kvcache]]/Table1[[#This Row],[Run]]</f>
        <v>5107.7178196853438</v>
      </c>
      <c r="BM107" s="170">
        <f>ABS(Table1[[#This Row],[est-Tok/Req]]-Table1[[#This Row],[tok/req]])/Table1[[#This Row],[tok/req]]</f>
        <v>1.513297977518389E-3</v>
      </c>
      <c r="BN107" s="44">
        <f>MaxTok/Table1[[#This Row],[est-Tok/Req]]</f>
        <v>75.946298461815232</v>
      </c>
      <c r="BO107" s="180">
        <f>Table1[[#This Row],[Run]]/Table1[[#This Row],[Kvcache]]</f>
        <v>75.946298461815232</v>
      </c>
      <c r="BP107" s="4" cm="1">
        <f t="array" aca="1" ref="BP107" ca="1">_xlfn.CEILING.MATH(INDIRECT("Table1"&amp;BP$3)/BP$2)*BP$2</f>
        <v>6000</v>
      </c>
      <c r="BQ107" s="4" cm="1">
        <f t="array" aca="1" ref="BQ107" ca="1">_xlfn.CEILING.MATH(INDIRECT("Table1"&amp;BQ$3)/BQ$2)*BQ$2</f>
        <v>1.4999999999999999E-2</v>
      </c>
      <c r="BR107" s="4" cm="1">
        <f t="array" aca="1" ref="BR107" ca="1">_xlfn.CEILING.MATH(INDIRECT("Table1"&amp;BR$3)/BR$2)*BR$2</f>
        <v>0.1</v>
      </c>
      <c r="BS107" s="4" cm="1">
        <f t="array" aca="1" ref="BS107" ca="1">_xlfn.CEILING.MATH(INDIRECT("Table1"&amp;BS$3)/BS$2)*BS$2</f>
        <v>7.0000000000000007E-2</v>
      </c>
      <c r="BT107" s="3" cm="1">
        <f t="array" aca="1" ref="BT107" ca="1">_xlfn.CEILING.MATH(INDIRECT("Table1"&amp;BT$3)/BT$2)*BT$2</f>
        <v>5</v>
      </c>
      <c r="BU107" s="135" cm="1">
        <f t="array" aca="1" ref="BU107" ca="1">_xlfn.CEILING.MATH(INDIRECT("Table1"&amp;BU$3)/BU$2)*BU$2</f>
        <v>25</v>
      </c>
      <c r="BV107" s="135" cm="1">
        <f t="array" aca="1" ref="BV107" ca="1">_xlfn.CEILING.MATH(INDIRECT("Table1"&amp;BV$3)/BV$2)*BV$2</f>
        <v>5000</v>
      </c>
      <c r="BW107" s="4"/>
      <c r="BX107" s="4"/>
      <c r="BY107" s="190">
        <v>0.16247737264028958</v>
      </c>
      <c r="BZ107" s="4"/>
      <c r="CA107" s="3"/>
      <c r="CF107" s="5"/>
      <c r="CH107" s="8"/>
      <c r="CI107" s="8"/>
      <c r="CJ107" s="14"/>
      <c r="CK107" s="8"/>
      <c r="CL107" s="8"/>
      <c r="CM107" s="8"/>
      <c r="CN107" s="8"/>
      <c r="CO107" s="8"/>
      <c r="CP107" s="8"/>
      <c r="CQ107" s="8">
        <f>Table1[[#This Row],[In-Tok]]+AvgOutLoad*Table1[[#This Row],[Out-Tok]]</f>
        <v>5100</v>
      </c>
      <c r="CR107" s="8"/>
      <c r="CS107" s="8"/>
      <c r="CT107" s="8"/>
      <c r="CU107" s="8"/>
      <c r="CV107" s="8"/>
      <c r="CW107" s="8"/>
      <c r="CX107" s="8"/>
      <c r="CY107" s="8"/>
      <c r="GJ107"/>
    </row>
    <row r="108" spans="1:192" hidden="1" x14ac:dyDescent="0.25">
      <c r="A108" s="3">
        <v>5000</v>
      </c>
      <c r="B108" s="3">
        <v>200</v>
      </c>
      <c r="C108">
        <v>2.6</v>
      </c>
      <c r="D108" s="199">
        <f>Table1[[#This Row],[Kvcache]]</f>
        <v>8.0174122920437893E-2</v>
      </c>
      <c r="E108" s="4" t="s">
        <v>143</v>
      </c>
      <c r="F108" s="219">
        <v>46092</v>
      </c>
      <c r="G108" s="10"/>
      <c r="H108" s="10">
        <v>0.17831290570116409</v>
      </c>
      <c r="I108" s="10">
        <v>0.15084290821219767</v>
      </c>
      <c r="J108" s="10">
        <v>0.76583296281099533</v>
      </c>
      <c r="K108" s="10">
        <v>0.97412598133087158</v>
      </c>
      <c r="L108" s="10">
        <v>1.0951165946324666</v>
      </c>
      <c r="M108" s="10">
        <v>1.1873789179147687E-2</v>
      </c>
      <c r="N108" s="10">
        <v>2.5353028374412432</v>
      </c>
      <c r="O108" s="47">
        <v>14541.495833333334</v>
      </c>
      <c r="P108" s="47">
        <v>536.63333333333333</v>
      </c>
      <c r="Q108" s="5">
        <v>6.0740740740740753</v>
      </c>
      <c r="R108" s="5">
        <v>12</v>
      </c>
      <c r="S108" s="170">
        <v>8.0174122920437893E-2</v>
      </c>
      <c r="T108" s="170">
        <v>0.1581070597362296</v>
      </c>
      <c r="U108" s="20">
        <f>(Table1[[#This Row],[In-Tok]]+Table1[[#This Row],[Out-Tok]])*Table1[[#This Row],[RPS]]</f>
        <v>13520</v>
      </c>
      <c r="V108" s="3">
        <f>Table1[[#This Row],[In-Tok]]+AvgOutLoad*Table1[[#This Row],[Out-Tok]]</f>
        <v>5100</v>
      </c>
      <c r="W108" s="3">
        <f>Table1[[#This Row],[In-Tok]]*Table1[[#This Row],[RPS]]</f>
        <v>13000</v>
      </c>
      <c r="X108" s="3">
        <f>Table1[[#This Row],[Out-Tok]]*Table1[[#This Row],[RPS]]</f>
        <v>520</v>
      </c>
      <c r="Y108" s="75">
        <f>Table1[[#This Row],[In-Tok]]/Table1[[#This Row],[Out-Tok]]</f>
        <v>25</v>
      </c>
      <c r="Z108" s="26">
        <f>Table1[[#This Row],[In-Tok]]*Table1[[#This Row],[N]]+AvgOutLoad*Table1[[#This Row],[Out-Tok]]*Table1[[#This Row],[Ndecode]]</f>
        <v>34690.023960422317</v>
      </c>
      <c r="AA108" s="3">
        <f>Table1[[#This Row],[tok(N)]]/Table1[[#This Row],[Kvcache]]</f>
        <v>432683.54796780914</v>
      </c>
      <c r="AB108" s="3">
        <f>Table1[[#This Row],[tok/req]]*Table1[[#This Row],[Run]]</f>
        <v>30977.777777777785</v>
      </c>
      <c r="AC108" s="3">
        <f>Table1[[#This Row],[tok(Run)]]/Table1[[#This Row],[Kvcache]]</f>
        <v>386381.24932802934</v>
      </c>
      <c r="AD108" s="3">
        <f>Table1[[#This Row],[tok/req]]*Table1[[#This Row],[MaxRun]]</f>
        <v>61200</v>
      </c>
      <c r="AE108" s="3">
        <f>Table1[[#This Row],[tok(MaxRun)]]/Table1[[#This Row],[MaxKvcache]]</f>
        <v>387079.48969578027</v>
      </c>
      <c r="AF108" s="75">
        <f>Table1[[#This Row],[PPS]]*Table1[[#This Row],[Prefill]]/Table1[[#This Row],[In-Tok]]</f>
        <v>0.438696304251111</v>
      </c>
      <c r="AG108" s="5">
        <f>Table1[[#This Row],[GPS]]*Table1[[#This Row],[ITL]]</f>
        <v>6.3718710665032869</v>
      </c>
      <c r="AH108" s="5">
        <f>Table1[[#This Row],[Nprefill]]+Table1[[#This Row],[Ndecode]]</f>
        <v>6.8105673707543977</v>
      </c>
      <c r="AI108" s="4">
        <f>Table1[[#This Row],[Run]]/Table1[[#This Row],[ITL]]/Table1[[#This Row],[GPS]]</f>
        <v>0.9532638075502311</v>
      </c>
      <c r="AJ108" s="10">
        <f>Table1[[#This Row],[Prefill]]+Table1[[#This Row],[ITL]]</f>
        <v>0.16271669739134537</v>
      </c>
      <c r="AK108" s="4">
        <f>Table1[[#This Row],[TTFT]]/Table1[[#This Row],[estTTFT]]</f>
        <v>1.0958488499327683</v>
      </c>
      <c r="AL108" s="5">
        <f>Table1[[#This Row],[In-Tok]]*Table1[[#This Row],[RPS]]/Table1[[#This Row],[PPS]]</f>
        <v>0.89399331052313213</v>
      </c>
      <c r="AM108" s="4">
        <f>Table1[[#This Row],[Prefill]]/Table1[[#This Row],[estPrefill]]</f>
        <v>0.16872934778888884</v>
      </c>
      <c r="AN108" s="4">
        <f>Table1[[#This Row],[Prefill]]/Table1[[#This Row],[TTFT]]</f>
        <v>0.8459449842906851</v>
      </c>
      <c r="AO108" s="10">
        <f>Table1[[#This Row],[Run]]/(Table1[[#This Row],[Out-Tok]]*Table1[[#This Row],[RPS]])</f>
        <v>1.1680911680911683E-2</v>
      </c>
      <c r="AP108" s="4">
        <f>Table1[[#This Row],[ITL]]/Table1[[#This Row],[estITL]]</f>
        <v>1.0165121955806919</v>
      </c>
      <c r="AQ108" s="44">
        <f>Table1[[#This Row],[E2E]]-Table1[[#This Row],[TTFT]]+Table1[[#This Row],[ITL]]</f>
        <v>2.3688637209192271</v>
      </c>
      <c r="AR108" s="4">
        <f>Table1[[#This Row],[estDecode]]/Table1[[#This Row],[Run]]</f>
        <v>0.3899958564927995</v>
      </c>
      <c r="AS108" s="44">
        <f>Table1[[#This Row],[Prefill]]+Table1[[#This Row],[Out-Tok]]*Table1[[#This Row],[ITL]]</f>
        <v>2.5256007440417352</v>
      </c>
      <c r="AT108" s="5">
        <f>Table1[[#This Row],[estPrefill]]+Table1[[#This Row],[Out-Tok]]*Table1[[#This Row],[ITL]]</f>
        <v>3.2687511463526695</v>
      </c>
      <c r="AU108" s="4">
        <f>Table1[[#This Row],[E2E]]/Table1[[#This Row],[estE2E]]</f>
        <v>0.77561818686325479</v>
      </c>
      <c r="AV108" s="5">
        <f>Table1[[#This Row],[N]]/Table1[[#This Row],[estE2E]]</f>
        <v>2.0835380442936899</v>
      </c>
      <c r="AW108" s="5">
        <f>Table1[[#This Row],[PPS]]/Table1[[#This Row],[In-Tok]]</f>
        <v>2.9082991666666667</v>
      </c>
      <c r="AX108" s="4">
        <f>Table1[[#This Row],[RPS]]/Table1[[#This Row],[RPS(IL)]]</f>
        <v>0.89399331052313225</v>
      </c>
      <c r="AY108" s="5">
        <f>Table1[[#This Row],[GPS]]/Table1[[#This Row],[Out-Tok]]</f>
        <v>2.6831666666666667</v>
      </c>
      <c r="AZ108" s="89">
        <f>Table1[[#This Row],[RPS]]/Table1[[#This Row],[RPS(OL)]]</f>
        <v>0.96900428598049571</v>
      </c>
      <c r="BA108" s="135">
        <f>MaxTok/Table1[[#This Row],[tok/req]]</f>
        <v>76.061227841677507</v>
      </c>
      <c r="BB108" s="4">
        <f>Table1[[#This Row],[N]]/Table1[[#This Row],[N-max]]</f>
        <v>8.9540592020558585E-2</v>
      </c>
      <c r="BC108" s="44">
        <f>Table1[[#This Row],[RPS]]</f>
        <v>2.6</v>
      </c>
      <c r="BD108" s="47">
        <f>Table1[[#This Row],[PPS]]/Table1[[#This Row],[RPS success]]</f>
        <v>5592.8830128205127</v>
      </c>
      <c r="BE108" s="4">
        <f>ABS(Table1[[#This Row],[est-In-Tok3]]-Table1[[#This Row],[In-Tok]])/Table1[[#This Row],[In-Tok]]</f>
        <v>0.11857660256410255</v>
      </c>
      <c r="BF108" s="47">
        <f>Table1[[#This Row],[GPS]]/Table1[[#This Row],[RPS success]]</f>
        <v>206.39743589743588</v>
      </c>
      <c r="BG108" s="4">
        <f>ABS(Table1[[#This Row],[est-Out-Tok3]]-Table1[[#This Row],[Out-Tok]])/Table1[[#This Row],[Out-Tok]]</f>
        <v>3.1987179487179419E-2</v>
      </c>
      <c r="BH108" s="162">
        <f>Table1[[#This Row],[est-In-Tok3]]+AvgOutLoad*Table1[[#This Row],[est-Out-Tok3]]</f>
        <v>5696.0817307692305</v>
      </c>
      <c r="BI108" s="4">
        <f>ABS(Table1[[#This Row],[est-Tok/Req3]]-Table1[[#This Row],[tok/req]])/Table1[[#This Row],[tok/req]]</f>
        <v>0.1168787707390648</v>
      </c>
      <c r="BJ108" s="162">
        <f>MaxTok/Table1[[#This Row],[est-Tok/Req3]]</f>
        <v>68.101596909524943</v>
      </c>
      <c r="BK108" s="4">
        <f>ABS(Table1[[#This Row],[est-N-max3]]-Table1[[#This Row],[N-max]])/Table1[[#This Row],[N-max]]</f>
        <v>0.10464767869275848</v>
      </c>
      <c r="BL108" s="44">
        <f>MaxTok*Table1[[#This Row],[Kvcache]]/Table1[[#This Row],[Run]]</f>
        <v>5120.208445939501</v>
      </c>
      <c r="BM108" s="170">
        <f>ABS(Table1[[#This Row],[est-Tok/Req]]-Table1[[#This Row],[tok/req]])/Table1[[#This Row],[tok/req]]</f>
        <v>3.9624403802943058E-3</v>
      </c>
      <c r="BN108" s="44">
        <f>MaxTok/Table1[[#This Row],[est-Tok/Req]]</f>
        <v>75.761029280005758</v>
      </c>
      <c r="BO108" s="180">
        <f>Table1[[#This Row],[Run]]/Table1[[#This Row],[Kvcache]]</f>
        <v>75.761029280005744</v>
      </c>
      <c r="BP108" s="4" cm="1">
        <f t="array" aca="1" ref="BP108" ca="1">_xlfn.CEILING.MATH(INDIRECT("Table1"&amp;BP$3)/BP$2)*BP$2</f>
        <v>6000</v>
      </c>
      <c r="BQ108" s="4" cm="1">
        <f t="array" aca="1" ref="BQ108" ca="1">_xlfn.CEILING.MATH(INDIRECT("Table1"&amp;BQ$3)/BQ$2)*BQ$2</f>
        <v>1.4999999999999999E-2</v>
      </c>
      <c r="BR108" s="4" cm="1">
        <f t="array" aca="1" ref="BR108" ca="1">_xlfn.CEILING.MATH(INDIRECT("Table1"&amp;BR$3)/BR$2)*BR$2</f>
        <v>0.1</v>
      </c>
      <c r="BS108" s="4" cm="1">
        <f t="array" aca="1" ref="BS108" ca="1">_xlfn.CEILING.MATH(INDIRECT("Table1"&amp;BS$3)/BS$2)*BS$2</f>
        <v>0.09</v>
      </c>
      <c r="BT108" s="3" cm="1">
        <f t="array" aca="1" ref="BT108" ca="1">_xlfn.CEILING.MATH(INDIRECT("Table1"&amp;BT$3)/BT$2)*BT$2</f>
        <v>7</v>
      </c>
      <c r="BU108" s="135" cm="1">
        <f t="array" aca="1" ref="BU108" ca="1">_xlfn.CEILING.MATH(INDIRECT("Table1"&amp;BU$3)/BU$2)*BU$2</f>
        <v>25</v>
      </c>
      <c r="BV108" s="135" cm="1">
        <f t="array" aca="1" ref="BV108" ca="1">_xlfn.CEILING.MATH(INDIRECT("Table1"&amp;BV$3)/BV$2)*BV$2</f>
        <v>5000</v>
      </c>
      <c r="BW108" s="4"/>
      <c r="BX108" s="4"/>
      <c r="BY108" s="190">
        <v>0.1581070597362296</v>
      </c>
      <c r="BZ108" s="4"/>
      <c r="CA108" s="3"/>
      <c r="CF108" s="5"/>
      <c r="CH108" s="8"/>
      <c r="CI108" s="8"/>
      <c r="CJ108" s="14"/>
      <c r="CK108" s="8"/>
      <c r="CL108" s="8"/>
      <c r="CM108" s="8"/>
      <c r="CN108" s="8"/>
      <c r="CO108" s="8"/>
      <c r="CP108" s="8"/>
      <c r="CQ108" s="8">
        <f>Table1[[#This Row],[In-Tok]]+AvgOutLoad*Table1[[#This Row],[Out-Tok]]</f>
        <v>5100</v>
      </c>
      <c r="CR108" s="8"/>
      <c r="CS108" s="8"/>
      <c r="CT108" s="8"/>
      <c r="CU108" s="8"/>
      <c r="CV108" s="8"/>
      <c r="CW108" s="8"/>
      <c r="CX108" s="8"/>
      <c r="CY108" s="8"/>
      <c r="GJ108"/>
    </row>
    <row r="109" spans="1:192" hidden="1" x14ac:dyDescent="0.25">
      <c r="A109" s="3">
        <v>5000</v>
      </c>
      <c r="B109" s="3">
        <v>200</v>
      </c>
      <c r="C109">
        <v>2.7999999999999994</v>
      </c>
      <c r="D109" s="199">
        <f>Table1[[#This Row],[Kvcache]]</f>
        <v>0.1015458437491021</v>
      </c>
      <c r="E109" s="4" t="s">
        <v>143</v>
      </c>
      <c r="F109" s="219">
        <v>46092</v>
      </c>
      <c r="G109" s="10"/>
      <c r="H109" s="10">
        <v>0.19986834212535834</v>
      </c>
      <c r="I109" s="10">
        <v>0.16607952366403897</v>
      </c>
      <c r="J109" s="10">
        <v>0.77877536199467901</v>
      </c>
      <c r="K109" s="10">
        <v>1.0451834638913473</v>
      </c>
      <c r="L109" s="10">
        <v>1.33935687383016</v>
      </c>
      <c r="M109" s="10">
        <v>1.3731578108277158E-2</v>
      </c>
      <c r="N109" s="10">
        <v>2.8952817050416684</v>
      </c>
      <c r="O109" s="47">
        <v>17188.204166666666</v>
      </c>
      <c r="P109" s="47">
        <v>626.12500000000011</v>
      </c>
      <c r="Q109" s="5">
        <v>7.7037037037037024</v>
      </c>
      <c r="R109" s="5">
        <v>16.666666666666668</v>
      </c>
      <c r="S109" s="170">
        <v>0.1015458437491021</v>
      </c>
      <c r="T109" s="170">
        <v>0.22061029221618825</v>
      </c>
      <c r="U109" s="20">
        <f>(Table1[[#This Row],[In-Tok]]+Table1[[#This Row],[Out-Tok]])*Table1[[#This Row],[RPS]]</f>
        <v>14559.999999999996</v>
      </c>
      <c r="V109" s="3">
        <f>Table1[[#This Row],[In-Tok]]+AvgOutLoad*Table1[[#This Row],[Out-Tok]]</f>
        <v>5100</v>
      </c>
      <c r="W109" s="3">
        <f>Table1[[#This Row],[In-Tok]]*Table1[[#This Row],[RPS]]</f>
        <v>13999.999999999996</v>
      </c>
      <c r="X109" s="3">
        <f>Table1[[#This Row],[Out-Tok]]*Table1[[#This Row],[RPS]]</f>
        <v>559.99999999999989</v>
      </c>
      <c r="Y109" s="75">
        <f>Table1[[#This Row],[In-Tok]]/Table1[[#This Row],[Out-Tok]]</f>
        <v>25</v>
      </c>
      <c r="Z109" s="26">
        <f>Table1[[#This Row],[In-Tok]]*Table1[[#This Row],[N]]+AvgOutLoad*Table1[[#This Row],[Out-Tok]]*Table1[[#This Row],[Ndecode]]</f>
        <v>46702.798910169942</v>
      </c>
      <c r="AA109" s="3">
        <f>Table1[[#This Row],[tok(N)]]/Table1[[#This Row],[Kvcache]]</f>
        <v>459918.36973222159</v>
      </c>
      <c r="AB109" s="3">
        <f>Table1[[#This Row],[tok/req]]*Table1[[#This Row],[Run]]</f>
        <v>39288.888888888883</v>
      </c>
      <c r="AC109" s="3">
        <f>Table1[[#This Row],[tok(Run)]]/Table1[[#This Row],[Kvcache]]</f>
        <v>386907.89734302927</v>
      </c>
      <c r="AD109" s="3">
        <f>Table1[[#This Row],[tok/req]]*Table1[[#This Row],[MaxRun]]</f>
        <v>85000</v>
      </c>
      <c r="AE109" s="3">
        <f>Table1[[#This Row],[tok(MaxRun)]]/Table1[[#This Row],[MaxKvcache]]</f>
        <v>385294.80717383663</v>
      </c>
      <c r="AF109" s="75">
        <f>Table1[[#This Row],[PPS]]*Table1[[#This Row],[Prefill]]/Table1[[#This Row],[In-Tok]]</f>
        <v>0.57092175212804996</v>
      </c>
      <c r="AG109" s="5">
        <f>Table1[[#This Row],[GPS]]*Table1[[#This Row],[ITL]]</f>
        <v>8.5976843430450369</v>
      </c>
      <c r="AH109" s="5">
        <f>Table1[[#This Row],[Nprefill]]+Table1[[#This Row],[Ndecode]]</f>
        <v>9.1686060951730877</v>
      </c>
      <c r="AI109" s="4">
        <f>Table1[[#This Row],[Run]]/Table1[[#This Row],[ITL]]/Table1[[#This Row],[GPS]]</f>
        <v>0.89602076516515672</v>
      </c>
      <c r="AJ109" s="10">
        <f>Table1[[#This Row],[Prefill]]+Table1[[#This Row],[ITL]]</f>
        <v>0.17981110177231613</v>
      </c>
      <c r="AK109" s="4">
        <f>Table1[[#This Row],[TTFT]]/Table1[[#This Row],[estTTFT]]</f>
        <v>1.1115461734862149</v>
      </c>
      <c r="AL109" s="5">
        <f>Table1[[#This Row],[In-Tok]]*Table1[[#This Row],[RPS]]/Table1[[#This Row],[PPS]]</f>
        <v>0.81451208423218524</v>
      </c>
      <c r="AM109" s="4">
        <f>Table1[[#This Row],[Prefill]]/Table1[[#This Row],[estPrefill]]</f>
        <v>0.20390062576001788</v>
      </c>
      <c r="AN109" s="4">
        <f>Table1[[#This Row],[Prefill]]/Table1[[#This Row],[TTFT]]</f>
        <v>0.83094462033348504</v>
      </c>
      <c r="AO109" s="10">
        <f>Table1[[#This Row],[Run]]/(Table1[[#This Row],[Out-Tok]]*Table1[[#This Row],[RPS]])</f>
        <v>1.3756613756613757E-2</v>
      </c>
      <c r="AP109" s="4">
        <f>Table1[[#This Row],[ITL]]/Table1[[#This Row],[estITL]]</f>
        <v>0.99818010094783949</v>
      </c>
      <c r="AQ109" s="44">
        <f>Table1[[#This Row],[E2E]]-Table1[[#This Row],[TTFT]]+Table1[[#This Row],[ITL]]</f>
        <v>2.7091449410245874</v>
      </c>
      <c r="AR109" s="4">
        <f>Table1[[#This Row],[estDecode]]/Table1[[#This Row],[Run]]</f>
        <v>0.35166785292146091</v>
      </c>
      <c r="AS109" s="44">
        <f>Table1[[#This Row],[Prefill]]+Table1[[#This Row],[Out-Tok]]*Table1[[#This Row],[ITL]]</f>
        <v>2.9123951453194707</v>
      </c>
      <c r="AT109" s="5">
        <f>Table1[[#This Row],[estPrefill]]+Table1[[#This Row],[Out-Tok]]*Table1[[#This Row],[ITL]]</f>
        <v>3.560827705887617</v>
      </c>
      <c r="AU109" s="4">
        <f>Table1[[#This Row],[E2E]]/Table1[[#This Row],[estE2E]]</f>
        <v>0.81309233250867263</v>
      </c>
      <c r="AV109" s="5">
        <f>Table1[[#This Row],[N]]/Table1[[#This Row],[estE2E]]</f>
        <v>2.5748524928665719</v>
      </c>
      <c r="AW109" s="5">
        <f>Table1[[#This Row],[PPS]]/Table1[[#This Row],[In-Tok]]</f>
        <v>3.4376408333333335</v>
      </c>
      <c r="AX109" s="4">
        <f>Table1[[#This Row],[RPS]]/Table1[[#This Row],[RPS(IL)]]</f>
        <v>0.81451208423218513</v>
      </c>
      <c r="AY109" s="5">
        <f>Table1[[#This Row],[GPS]]/Table1[[#This Row],[Out-Tok]]</f>
        <v>3.1306250000000007</v>
      </c>
      <c r="AZ109" s="89">
        <f>Table1[[#This Row],[RPS]]/Table1[[#This Row],[RPS(OL)]]</f>
        <v>0.89439009782391654</v>
      </c>
      <c r="BA109" s="135">
        <f>MaxTok/Table1[[#This Row],[tok/req]]</f>
        <v>76.061227841677507</v>
      </c>
      <c r="BB109" s="4">
        <f>Table1[[#This Row],[N]]/Table1[[#This Row],[N-max]]</f>
        <v>0.1205424413376243</v>
      </c>
      <c r="BC109" s="44">
        <f>Table1[[#This Row],[RPS]]</f>
        <v>2.7999999999999994</v>
      </c>
      <c r="BD109" s="47">
        <f>Table1[[#This Row],[PPS]]/Table1[[#This Row],[RPS success]]</f>
        <v>6138.6443452380963</v>
      </c>
      <c r="BE109" s="4">
        <f>ABS(Table1[[#This Row],[est-In-Tok3]]-Table1[[#This Row],[In-Tok]])/Table1[[#This Row],[In-Tok]]</f>
        <v>0.22772886904761927</v>
      </c>
      <c r="BF109" s="47">
        <f>Table1[[#This Row],[GPS]]/Table1[[#This Row],[RPS success]]</f>
        <v>223.61607142857153</v>
      </c>
      <c r="BG109" s="4">
        <f>ABS(Table1[[#This Row],[est-Out-Tok3]]-Table1[[#This Row],[Out-Tok]])/Table1[[#This Row],[Out-Tok]]</f>
        <v>0.11808035714285765</v>
      </c>
      <c r="BH109" s="162">
        <f>Table1[[#This Row],[est-In-Tok3]]+AvgOutLoad*Table1[[#This Row],[est-Out-Tok3]]</f>
        <v>6250.4523809523816</v>
      </c>
      <c r="BI109" s="4">
        <f>ABS(Table1[[#This Row],[est-Tok/Req3]]-Table1[[#This Row],[tok/req]])/Table1[[#This Row],[tok/req]]</f>
        <v>0.2255788982259572</v>
      </c>
      <c r="BJ109" s="162">
        <f>MaxTok/Table1[[#This Row],[est-Tok/Req3]]</f>
        <v>62.061469850514897</v>
      </c>
      <c r="BK109" s="4">
        <f>ABS(Table1[[#This Row],[est-N-max3]]-Table1[[#This Row],[N-max]])/Table1[[#This Row],[N-max]]</f>
        <v>0.18405905858242652</v>
      </c>
      <c r="BL109" s="44">
        <f>MaxTok*Table1[[#This Row],[Kvcache]]/Table1[[#This Row],[Run]]</f>
        <v>5113.2389639698704</v>
      </c>
      <c r="BM109" s="170">
        <f>ABS(Table1[[#This Row],[est-Tok/Req]]-Table1[[#This Row],[tok/req]])/Table1[[#This Row],[tok/req]]</f>
        <v>2.5958752882098792E-3</v>
      </c>
      <c r="BN109" s="44">
        <f>MaxTok/Table1[[#This Row],[est-Tok/Req]]</f>
        <v>75.864293596672411</v>
      </c>
      <c r="BO109" s="180">
        <f>Table1[[#This Row],[Run]]/Table1[[#This Row],[Kvcache]]</f>
        <v>75.864293596672397</v>
      </c>
      <c r="BP109" s="4" cm="1">
        <f t="array" aca="1" ref="BP109" ca="1">_xlfn.CEILING.MATH(INDIRECT("Table1"&amp;BP$3)/BP$2)*BP$2</f>
        <v>6000</v>
      </c>
      <c r="BQ109" s="4" cm="1">
        <f t="array" aca="1" ref="BQ109" ca="1">_xlfn.CEILING.MATH(INDIRECT("Table1"&amp;BQ$3)/BQ$2)*BQ$2</f>
        <v>1.4999999999999999E-2</v>
      </c>
      <c r="BR109" s="4" cm="1">
        <f t="array" aca="1" ref="BR109" ca="1">_xlfn.CEILING.MATH(INDIRECT("Table1"&amp;BR$3)/BR$2)*BR$2</f>
        <v>0.2</v>
      </c>
      <c r="BS109" s="4" cm="1">
        <f t="array" aca="1" ref="BS109" ca="1">_xlfn.CEILING.MATH(INDIRECT("Table1"&amp;BS$3)/BS$2)*BS$2</f>
        <v>0.11</v>
      </c>
      <c r="BT109" s="3" cm="1">
        <f t="array" aca="1" ref="BT109" ca="1">_xlfn.CEILING.MATH(INDIRECT("Table1"&amp;BT$3)/BT$2)*BT$2</f>
        <v>8</v>
      </c>
      <c r="BU109" s="135" cm="1">
        <f t="array" aca="1" ref="BU109" ca="1">_xlfn.CEILING.MATH(INDIRECT("Table1"&amp;BU$3)/BU$2)*BU$2</f>
        <v>25</v>
      </c>
      <c r="BV109" s="135" cm="1">
        <f t="array" aca="1" ref="BV109" ca="1">_xlfn.CEILING.MATH(INDIRECT("Table1"&amp;BV$3)/BV$2)*BV$2</f>
        <v>5000</v>
      </c>
      <c r="BW109" s="4"/>
      <c r="BX109" s="4"/>
      <c r="BY109" s="190">
        <v>0.22061029221618825</v>
      </c>
      <c r="BZ109" s="4"/>
      <c r="CA109" s="3"/>
      <c r="CF109" s="5"/>
      <c r="CH109" s="8"/>
      <c r="CI109" s="8"/>
      <c r="CJ109" s="14"/>
      <c r="CK109" s="8"/>
      <c r="CL109" s="8"/>
      <c r="CM109" s="8"/>
      <c r="CN109" s="8"/>
      <c r="CO109" s="8"/>
      <c r="CP109" s="8"/>
      <c r="CQ109" s="8">
        <f>Table1[[#This Row],[In-Tok]]+AvgOutLoad*Table1[[#This Row],[Out-Tok]]</f>
        <v>5100</v>
      </c>
      <c r="CR109" s="8"/>
      <c r="CS109" s="8"/>
      <c r="CT109" s="8"/>
      <c r="CU109" s="8"/>
      <c r="CV109" s="8"/>
      <c r="CW109" s="8"/>
      <c r="CX109" s="8"/>
      <c r="CY109" s="8"/>
      <c r="GJ109"/>
    </row>
    <row r="110" spans="1:192" hidden="1" x14ac:dyDescent="0.25">
      <c r="A110" s="3">
        <v>5000</v>
      </c>
      <c r="B110" s="3">
        <v>200</v>
      </c>
      <c r="C110">
        <v>3</v>
      </c>
      <c r="D110" s="199">
        <f>Table1[[#This Row],[Kvcache]]</f>
        <v>9.3204608798092115E-2</v>
      </c>
      <c r="E110" s="4" t="s">
        <v>143</v>
      </c>
      <c r="F110" s="219">
        <v>46092</v>
      </c>
      <c r="G110" s="10"/>
      <c r="H110" s="10">
        <v>0.19872078809769675</v>
      </c>
      <c r="I110" s="10">
        <v>0.16534524085197999</v>
      </c>
      <c r="J110" s="10">
        <v>0.78404027139021137</v>
      </c>
      <c r="K110" s="10">
        <v>1.1013087868690488</v>
      </c>
      <c r="L110" s="10">
        <v>1.3202181116739906</v>
      </c>
      <c r="M110" s="10">
        <v>1.42198915768788E-2</v>
      </c>
      <c r="N110" s="10">
        <v>3.0648093178894626</v>
      </c>
      <c r="O110" s="47">
        <v>17477.541666666668</v>
      </c>
      <c r="P110" s="47">
        <v>650.625</v>
      </c>
      <c r="Q110" s="5">
        <v>7.0740740740740735</v>
      </c>
      <c r="R110" s="5">
        <v>16</v>
      </c>
      <c r="S110" s="170">
        <v>9.3204608798092115E-2</v>
      </c>
      <c r="T110" s="170">
        <v>0.21008533747090766</v>
      </c>
      <c r="U110" s="20">
        <f>(Table1[[#This Row],[In-Tok]]+Table1[[#This Row],[Out-Tok]])*Table1[[#This Row],[RPS]]</f>
        <v>15600</v>
      </c>
      <c r="V110" s="3">
        <f>Table1[[#This Row],[In-Tok]]+AvgOutLoad*Table1[[#This Row],[Out-Tok]]</f>
        <v>5100</v>
      </c>
      <c r="W110" s="3">
        <f>Table1[[#This Row],[In-Tok]]*Table1[[#This Row],[RPS]]</f>
        <v>15000</v>
      </c>
      <c r="X110" s="3">
        <f>Table1[[#This Row],[Out-Tok]]*Table1[[#This Row],[RPS]]</f>
        <v>600</v>
      </c>
      <c r="Y110" s="75">
        <f>Table1[[#This Row],[In-Tok]]/Table1[[#This Row],[Out-Tok]]</f>
        <v>25</v>
      </c>
      <c r="Z110" s="26">
        <f>Table1[[#This Row],[In-Tok]]*Table1[[#This Row],[N]]+AvgOutLoad*Table1[[#This Row],[Out-Tok]]*Table1[[#This Row],[Ndecode]]</f>
        <v>50074.094818130034</v>
      </c>
      <c r="AA110" s="3">
        <f>Table1[[#This Row],[tok(N)]]/Table1[[#This Row],[Kvcache]]</f>
        <v>537249.12816923962</v>
      </c>
      <c r="AB110" s="3">
        <f>Table1[[#This Row],[tok/req]]*Table1[[#This Row],[Run]]</f>
        <v>36077.777777777774</v>
      </c>
      <c r="AC110" s="3">
        <f>Table1[[#This Row],[tok(Run)]]/Table1[[#This Row],[Kvcache]]</f>
        <v>387081.47851285525</v>
      </c>
      <c r="AD110" s="3">
        <f>Table1[[#This Row],[tok/req]]*Table1[[#This Row],[MaxRun]]</f>
        <v>81600</v>
      </c>
      <c r="AE110" s="3">
        <f>Table1[[#This Row],[tok(MaxRun)]]/Table1[[#This Row],[MaxKvcache]]</f>
        <v>388413.58936484496</v>
      </c>
      <c r="AF110" s="75">
        <f>Table1[[#This Row],[PPS]]*Table1[[#This Row],[Prefill]]/Table1[[#This Row],[In-Tok]]</f>
        <v>0.57796566727510312</v>
      </c>
      <c r="AG110" s="5">
        <f>Table1[[#This Row],[GPS]]*Table1[[#This Row],[ITL]]</f>
        <v>9.2518169572067688</v>
      </c>
      <c r="AH110" s="5">
        <f>Table1[[#This Row],[Nprefill]]+Table1[[#This Row],[Ndecode]]</f>
        <v>9.8297826244818722</v>
      </c>
      <c r="AI110" s="4">
        <f>Table1[[#This Row],[Run]]/Table1[[#This Row],[ITL]]/Table1[[#This Row],[GPS]]</f>
        <v>0.76461457320161019</v>
      </c>
      <c r="AJ110" s="10">
        <f>Table1[[#This Row],[Prefill]]+Table1[[#This Row],[ITL]]</f>
        <v>0.1795651324288588</v>
      </c>
      <c r="AK110" s="4">
        <f>Table1[[#This Row],[TTFT]]/Table1[[#This Row],[estTTFT]]</f>
        <v>1.1066780360403607</v>
      </c>
      <c r="AL110" s="5">
        <f>Table1[[#This Row],[In-Tok]]*Table1[[#This Row],[RPS]]/Table1[[#This Row],[PPS]]</f>
        <v>0.85824427062349051</v>
      </c>
      <c r="AM110" s="4">
        <f>Table1[[#This Row],[Prefill]]/Table1[[#This Row],[estPrefill]]</f>
        <v>0.19265522242503441</v>
      </c>
      <c r="AN110" s="4">
        <f>Table1[[#This Row],[Prefill]]/Table1[[#This Row],[TTFT]]</f>
        <v>0.83204803299537844</v>
      </c>
      <c r="AO110" s="10">
        <f>Table1[[#This Row],[Run]]/(Table1[[#This Row],[Out-Tok]]*Table1[[#This Row],[RPS]])</f>
        <v>1.1790123456790123E-2</v>
      </c>
      <c r="AP110" s="4">
        <f>Table1[[#This Row],[ITL]]/Table1[[#This Row],[estITL]]</f>
        <v>1.2060850447405056</v>
      </c>
      <c r="AQ110" s="44">
        <f>Table1[[#This Row],[E2E]]-Table1[[#This Row],[TTFT]]+Table1[[#This Row],[ITL]]</f>
        <v>2.8803084213686447</v>
      </c>
      <c r="AR110" s="4">
        <f>Table1[[#This Row],[estDecode]]/Table1[[#This Row],[Run]]</f>
        <v>0.40716401768038435</v>
      </c>
      <c r="AS110" s="44">
        <f>Table1[[#This Row],[Prefill]]+Table1[[#This Row],[Out-Tok]]*Table1[[#This Row],[ITL]]</f>
        <v>3.0093235562277401</v>
      </c>
      <c r="AT110" s="5">
        <f>Table1[[#This Row],[estPrefill]]+Table1[[#This Row],[Out-Tok]]*Table1[[#This Row],[ITL]]</f>
        <v>3.7022225859992508</v>
      </c>
      <c r="AU110" s="4">
        <f>Table1[[#This Row],[E2E]]/Table1[[#This Row],[estE2E]]</f>
        <v>0.82782956634744131</v>
      </c>
      <c r="AV110" s="5">
        <f>Table1[[#This Row],[N]]/Table1[[#This Row],[estE2E]]</f>
        <v>2.6551030890620422</v>
      </c>
      <c r="AW110" s="5">
        <f>Table1[[#This Row],[PPS]]/Table1[[#This Row],[In-Tok]]</f>
        <v>3.4955083333333334</v>
      </c>
      <c r="AX110" s="4">
        <f>Table1[[#This Row],[RPS]]/Table1[[#This Row],[RPS(IL)]]</f>
        <v>0.85824427062349062</v>
      </c>
      <c r="AY110" s="5">
        <f>Table1[[#This Row],[GPS]]/Table1[[#This Row],[Out-Tok]]</f>
        <v>3.2531249999999998</v>
      </c>
      <c r="AZ110" s="89">
        <f>Table1[[#This Row],[RPS]]/Table1[[#This Row],[RPS(OL)]]</f>
        <v>0.92219020172910671</v>
      </c>
      <c r="BA110" s="135">
        <f>MaxTok/Table1[[#This Row],[tok/req]]</f>
        <v>76.061227841677507</v>
      </c>
      <c r="BB110" s="4">
        <f>Table1[[#This Row],[N]]/Table1[[#This Row],[N-max]]</f>
        <v>0.12923512942681784</v>
      </c>
      <c r="BC110" s="44">
        <f>Table1[[#This Row],[RPS]]</f>
        <v>3</v>
      </c>
      <c r="BD110" s="47">
        <f>Table1[[#This Row],[PPS]]/Table1[[#This Row],[RPS success]]</f>
        <v>5825.8472222222226</v>
      </c>
      <c r="BE110" s="4">
        <f>ABS(Table1[[#This Row],[est-In-Tok3]]-Table1[[#This Row],[In-Tok]])/Table1[[#This Row],[In-Tok]]</f>
        <v>0.16516944444444454</v>
      </c>
      <c r="BF110" s="47">
        <f>Table1[[#This Row],[GPS]]/Table1[[#This Row],[RPS success]]</f>
        <v>216.875</v>
      </c>
      <c r="BG110" s="4">
        <f>ABS(Table1[[#This Row],[est-Out-Tok3]]-Table1[[#This Row],[Out-Tok]])/Table1[[#This Row],[Out-Tok]]</f>
        <v>8.4375000000000006E-2</v>
      </c>
      <c r="BH110" s="162">
        <f>Table1[[#This Row],[est-In-Tok3]]+AvgOutLoad*Table1[[#This Row],[est-Out-Tok3]]</f>
        <v>5934.2847222222226</v>
      </c>
      <c r="BI110" s="4">
        <f>ABS(Table1[[#This Row],[est-Tok/Req3]]-Table1[[#This Row],[tok/req]])/Table1[[#This Row],[tok/req]]</f>
        <v>0.16358523965141619</v>
      </c>
      <c r="BJ110" s="162">
        <f>MaxTok/Table1[[#This Row],[est-Tok/Req3]]</f>
        <v>65.367989597791507</v>
      </c>
      <c r="BK110" s="4">
        <f>ABS(Table1[[#This Row],[est-N-max3]]-Table1[[#This Row],[N-max]])/Table1[[#This Row],[N-max]]</f>
        <v>0.14058724198016001</v>
      </c>
      <c r="BL110" s="44">
        <f>MaxTok*Table1[[#This Row],[Kvcache]]/Table1[[#This Row],[Run]]</f>
        <v>5110.946004863752</v>
      </c>
      <c r="BM110" s="170">
        <f>ABS(Table1[[#This Row],[est-Tok/Req]]-Table1[[#This Row],[tok/req]])/Table1[[#This Row],[tok/req]]</f>
        <v>2.1462754634807889E-3</v>
      </c>
      <c r="BN110" s="44">
        <f>MaxTok/Table1[[#This Row],[est-Tok/Req]]</f>
        <v>75.898329120167702</v>
      </c>
      <c r="BO110" s="180">
        <f>Table1[[#This Row],[Run]]/Table1[[#This Row],[Kvcache]]</f>
        <v>75.898329120167702</v>
      </c>
      <c r="BP110" s="4" cm="1">
        <f t="array" aca="1" ref="BP110" ca="1">_xlfn.CEILING.MATH(INDIRECT("Table1"&amp;BP$3)/BP$2)*BP$2</f>
        <v>6000</v>
      </c>
      <c r="BQ110" s="4" cm="1">
        <f t="array" aca="1" ref="BQ110" ca="1">_xlfn.CEILING.MATH(INDIRECT("Table1"&amp;BQ$3)/BQ$2)*BQ$2</f>
        <v>1.4999999999999999E-2</v>
      </c>
      <c r="BR110" s="4" cm="1">
        <f t="array" aca="1" ref="BR110" ca="1">_xlfn.CEILING.MATH(INDIRECT("Table1"&amp;BR$3)/BR$2)*BR$2</f>
        <v>0.1</v>
      </c>
      <c r="BS110" s="4" cm="1">
        <f t="array" aca="1" ref="BS110" ca="1">_xlfn.CEILING.MATH(INDIRECT("Table1"&amp;BS$3)/BS$2)*BS$2</f>
        <v>0.1</v>
      </c>
      <c r="BT110" s="3" cm="1">
        <f t="array" aca="1" ref="BT110" ca="1">_xlfn.CEILING.MATH(INDIRECT("Table1"&amp;BT$3)/BT$2)*BT$2</f>
        <v>8</v>
      </c>
      <c r="BU110" s="135" cm="1">
        <f t="array" aca="1" ref="BU110" ca="1">_xlfn.CEILING.MATH(INDIRECT("Table1"&amp;BU$3)/BU$2)*BU$2</f>
        <v>25</v>
      </c>
      <c r="BV110" s="135" cm="1">
        <f t="array" aca="1" ref="BV110" ca="1">_xlfn.CEILING.MATH(INDIRECT("Table1"&amp;BV$3)/BV$2)*BV$2</f>
        <v>5000</v>
      </c>
      <c r="BW110" s="4"/>
      <c r="BX110" s="4"/>
      <c r="BY110" s="190">
        <v>0.21008533747090766</v>
      </c>
      <c r="BZ110" s="4"/>
      <c r="CA110" s="3"/>
      <c r="CF110" s="5"/>
      <c r="CH110" s="8"/>
      <c r="CI110" s="8"/>
      <c r="CJ110" s="14"/>
      <c r="CK110" s="8"/>
      <c r="CL110" s="8"/>
      <c r="CM110" s="8"/>
      <c r="CN110" s="8"/>
      <c r="CO110" s="8"/>
      <c r="CP110" s="8"/>
      <c r="CQ110" s="8">
        <f>Table1[[#This Row],[In-Tok]]+AvgOutLoad*Table1[[#This Row],[Out-Tok]]</f>
        <v>5100</v>
      </c>
      <c r="CR110" s="8"/>
      <c r="CS110" s="8"/>
      <c r="CT110" s="8"/>
      <c r="CU110" s="8"/>
      <c r="CV110" s="8"/>
      <c r="CW110" s="8"/>
      <c r="CX110" s="8"/>
      <c r="CY110" s="8"/>
      <c r="GJ110"/>
    </row>
    <row r="111" spans="1:192" hidden="1" x14ac:dyDescent="0.25">
      <c r="A111" s="3">
        <v>5000</v>
      </c>
      <c r="B111" s="3">
        <v>200</v>
      </c>
      <c r="C111">
        <v>3.2000000000000006</v>
      </c>
      <c r="D111" s="199">
        <f>Table1[[#This Row],[Kvcache]]</f>
        <v>0.12825331149613536</v>
      </c>
      <c r="E111" s="4" t="s">
        <v>143</v>
      </c>
      <c r="F111" s="219">
        <v>46092</v>
      </c>
      <c r="G111" s="10"/>
      <c r="H111" s="10">
        <v>0.22499002826243786</v>
      </c>
      <c r="I111" s="10">
        <v>0.18404528138351414</v>
      </c>
      <c r="J111" s="10">
        <v>0.82990540044826944</v>
      </c>
      <c r="K111" s="10">
        <v>1.2650979876518249</v>
      </c>
      <c r="L111" s="10">
        <v>1.4520468330383298</v>
      </c>
      <c r="M111" s="10">
        <v>1.6155172768504214E-2</v>
      </c>
      <c r="N111" s="10">
        <v>3.4314387776310902</v>
      </c>
      <c r="O111" s="47">
        <v>19139.383333333335</v>
      </c>
      <c r="P111" s="47">
        <v>705.55833333333339</v>
      </c>
      <c r="Q111" s="5">
        <v>9.7407407407407405</v>
      </c>
      <c r="R111" s="5">
        <v>19.666666666666668</v>
      </c>
      <c r="S111" s="170">
        <v>0.12825331149613536</v>
      </c>
      <c r="T111" s="170">
        <v>0.25914145332298943</v>
      </c>
      <c r="U111" s="20">
        <f>(Table1[[#This Row],[In-Tok]]+Table1[[#This Row],[Out-Tok]])*Table1[[#This Row],[RPS]]</f>
        <v>16640.000000000004</v>
      </c>
      <c r="V111" s="3">
        <f>Table1[[#This Row],[In-Tok]]+AvgOutLoad*Table1[[#This Row],[Out-Tok]]</f>
        <v>5100</v>
      </c>
      <c r="W111" s="3">
        <f>Table1[[#This Row],[In-Tok]]*Table1[[#This Row],[RPS]]</f>
        <v>16000.000000000004</v>
      </c>
      <c r="X111" s="3">
        <f>Table1[[#This Row],[Out-Tok]]*Table1[[#This Row],[RPS]]</f>
        <v>640.00000000000011</v>
      </c>
      <c r="Y111" s="75">
        <f>Table1[[#This Row],[In-Tok]]/Table1[[#This Row],[Out-Tok]]</f>
        <v>25</v>
      </c>
      <c r="Z111" s="26">
        <f>Table1[[#This Row],[In-Tok]]*Table1[[#This Row],[N]]+AvgOutLoad*Table1[[#This Row],[Out-Tok]]*Table1[[#This Row],[Ndecode]]</f>
        <v>61654.438734705502</v>
      </c>
      <c r="AA111" s="3">
        <f>Table1[[#This Row],[tok(N)]]/Table1[[#This Row],[Kvcache]]</f>
        <v>480723.95180660364</v>
      </c>
      <c r="AB111" s="3">
        <f>Table1[[#This Row],[tok/req]]*Table1[[#This Row],[Run]]</f>
        <v>49677.777777777774</v>
      </c>
      <c r="AC111" s="3">
        <f>Table1[[#This Row],[tok(Run)]]/Table1[[#This Row],[Kvcache]]</f>
        <v>387341.0923917914</v>
      </c>
      <c r="AD111" s="3">
        <f>Table1[[#This Row],[tok/req]]*Table1[[#This Row],[MaxRun]]</f>
        <v>100300</v>
      </c>
      <c r="AE111" s="3">
        <f>Table1[[#This Row],[tok(MaxRun)]]/Table1[[#This Row],[MaxKvcache]]</f>
        <v>387047.30066859588</v>
      </c>
      <c r="AF111" s="75">
        <f>Table1[[#This Row],[PPS]]*Table1[[#This Row],[Prefill]]/Table1[[#This Row],[In-Tok]]</f>
        <v>0.70450263821805492</v>
      </c>
      <c r="AG111" s="5">
        <f>Table1[[#This Row],[GPS]]*Table1[[#This Row],[ITL]]</f>
        <v>11.398416773257887</v>
      </c>
      <c r="AH111" s="5">
        <f>Table1[[#This Row],[Nprefill]]+Table1[[#This Row],[Ndecode]]</f>
        <v>12.102919411475941</v>
      </c>
      <c r="AI111" s="4">
        <f>Table1[[#This Row],[Run]]/Table1[[#This Row],[ITL]]/Table1[[#This Row],[GPS]]</f>
        <v>0.85456962440553486</v>
      </c>
      <c r="AJ111" s="10">
        <f>Table1[[#This Row],[Prefill]]+Table1[[#This Row],[ITL]]</f>
        <v>0.20020045415201837</v>
      </c>
      <c r="AK111" s="4">
        <f>Table1[[#This Row],[TTFT]]/Table1[[#This Row],[estTTFT]]</f>
        <v>1.1238237656124197</v>
      </c>
      <c r="AL111" s="5">
        <f>Table1[[#This Row],[In-Tok]]*Table1[[#This Row],[RPS]]/Table1[[#This Row],[PPS]]</f>
        <v>0.83597259751489739</v>
      </c>
      <c r="AM111" s="4">
        <f>Table1[[#This Row],[Prefill]]/Table1[[#This Row],[estPrefill]]</f>
        <v>0.22015707444314211</v>
      </c>
      <c r="AN111" s="4">
        <f>Table1[[#This Row],[Prefill]]/Table1[[#This Row],[TTFT]]</f>
        <v>0.81801528185434047</v>
      </c>
      <c r="AO111" s="10">
        <f>Table1[[#This Row],[Run]]/(Table1[[#This Row],[Out-Tok]]*Table1[[#This Row],[RPS]])</f>
        <v>1.5219907407407404E-2</v>
      </c>
      <c r="AP111" s="4">
        <f>Table1[[#This Row],[ITL]]/Table1[[#This Row],[estITL]]</f>
        <v>1.0614501347519121</v>
      </c>
      <c r="AQ111" s="44">
        <f>Table1[[#This Row],[E2E]]-Table1[[#This Row],[TTFT]]+Table1[[#This Row],[ITL]]</f>
        <v>3.2226039221371567</v>
      </c>
      <c r="AR111" s="4">
        <f>Table1[[#This Row],[estDecode]]/Table1[[#This Row],[Run]]</f>
        <v>0.33083766501027845</v>
      </c>
      <c r="AS111" s="44">
        <f>Table1[[#This Row],[Prefill]]+Table1[[#This Row],[Out-Tok]]*Table1[[#This Row],[ITL]]</f>
        <v>3.4150798350843568</v>
      </c>
      <c r="AT111" s="5">
        <f>Table1[[#This Row],[estPrefill]]+Table1[[#This Row],[Out-Tok]]*Table1[[#This Row],[ITL]]</f>
        <v>4.0670071512157397</v>
      </c>
      <c r="AU111" s="4">
        <f>Table1[[#This Row],[E2E]]/Table1[[#This Row],[estE2E]]</f>
        <v>0.84372577919007086</v>
      </c>
      <c r="AV111" s="5">
        <f>Table1[[#This Row],[N]]/Table1[[#This Row],[estE2E]]</f>
        <v>2.975878566591172</v>
      </c>
      <c r="AW111" s="5">
        <f>Table1[[#This Row],[PPS]]/Table1[[#This Row],[In-Tok]]</f>
        <v>3.827876666666667</v>
      </c>
      <c r="AX111" s="4">
        <f>Table1[[#This Row],[RPS]]/Table1[[#This Row],[RPS(IL)]]</f>
        <v>0.83597259751489739</v>
      </c>
      <c r="AY111" s="5">
        <f>Table1[[#This Row],[GPS]]/Table1[[#This Row],[Out-Tok]]</f>
        <v>3.5277916666666669</v>
      </c>
      <c r="AZ111" s="89">
        <f>Table1[[#This Row],[RPS]]/Table1[[#This Row],[RPS(OL)]]</f>
        <v>0.90708304298014586</v>
      </c>
      <c r="BA111" s="135">
        <f>MaxTok/Table1[[#This Row],[tok/req]]</f>
        <v>76.061227841677507</v>
      </c>
      <c r="BB111" s="4">
        <f>Table1[[#This Row],[N]]/Table1[[#This Row],[N-max]]</f>
        <v>0.1591207472573061</v>
      </c>
      <c r="BC111" s="44">
        <f>Table1[[#This Row],[RPS]]</f>
        <v>3.2000000000000006</v>
      </c>
      <c r="BD111" s="47">
        <f>Table1[[#This Row],[PPS]]/Table1[[#This Row],[RPS success]]</f>
        <v>5981.0572916666661</v>
      </c>
      <c r="BE111" s="4">
        <f>ABS(Table1[[#This Row],[est-In-Tok3]]-Table1[[#This Row],[In-Tok]])/Table1[[#This Row],[In-Tok]]</f>
        <v>0.1962114583333332</v>
      </c>
      <c r="BF111" s="47">
        <f>Table1[[#This Row],[GPS]]/Table1[[#This Row],[RPS success]]</f>
        <v>220.48697916666663</v>
      </c>
      <c r="BG111" s="4">
        <f>ABS(Table1[[#This Row],[est-Out-Tok3]]-Table1[[#This Row],[Out-Tok]])/Table1[[#This Row],[Out-Tok]]</f>
        <v>0.10243489583333315</v>
      </c>
      <c r="BH111" s="162">
        <f>Table1[[#This Row],[est-In-Tok3]]+AvgOutLoad*Table1[[#This Row],[est-Out-Tok3]]</f>
        <v>6091.3007812499991</v>
      </c>
      <c r="BI111" s="4">
        <f>ABS(Table1[[#This Row],[est-Tok/Req3]]-Table1[[#This Row],[tok/req]])/Table1[[#This Row],[tok/req]]</f>
        <v>0.19437270220588218</v>
      </c>
      <c r="BJ111" s="162">
        <f>MaxTok/Table1[[#This Row],[est-Tok/Req3]]</f>
        <v>63.68299250409887</v>
      </c>
      <c r="BK111" s="4">
        <f>ABS(Table1[[#This Row],[est-N-max3]]-Table1[[#This Row],[N-max]])/Table1[[#This Row],[N-max]]</f>
        <v>0.16274040912597551</v>
      </c>
      <c r="BL111" s="44">
        <f>MaxTok*Table1[[#This Row],[Kvcache]]/Table1[[#This Row],[Run]]</f>
        <v>5107.520412941235</v>
      </c>
      <c r="BM111" s="170">
        <f>ABS(Table1[[#This Row],[est-Tok/Req]]-Table1[[#This Row],[tok/req]])/Table1[[#This Row],[tok/req]]</f>
        <v>1.4745907727911781E-3</v>
      </c>
      <c r="BN111" s="44">
        <f>MaxTok/Table1[[#This Row],[est-Tok/Req]]</f>
        <v>75.949233802312051</v>
      </c>
      <c r="BO111" s="180">
        <f>Table1[[#This Row],[Run]]/Table1[[#This Row],[Kvcache]]</f>
        <v>75.949233802312051</v>
      </c>
      <c r="BP111" s="4" cm="1">
        <f t="array" aca="1" ref="BP111" ca="1">_xlfn.CEILING.MATH(INDIRECT("Table1"&amp;BP$3)/BP$2)*BP$2</f>
        <v>6000</v>
      </c>
      <c r="BQ111" s="4" cm="1">
        <f t="array" aca="1" ref="BQ111" ca="1">_xlfn.CEILING.MATH(INDIRECT("Table1"&amp;BQ$3)/BQ$2)*BQ$2</f>
        <v>0.02</v>
      </c>
      <c r="BR111" s="4" cm="1">
        <f t="array" aca="1" ref="BR111" ca="1">_xlfn.CEILING.MATH(INDIRECT("Table1"&amp;BR$3)/BR$2)*BR$2</f>
        <v>0.2</v>
      </c>
      <c r="BS111" s="4" cm="1">
        <f t="array" aca="1" ref="BS111" ca="1">_xlfn.CEILING.MATH(INDIRECT("Table1"&amp;BS$3)/BS$2)*BS$2</f>
        <v>0.13</v>
      </c>
      <c r="BT111" s="3" cm="1">
        <f t="array" aca="1" ref="BT111" ca="1">_xlfn.CEILING.MATH(INDIRECT("Table1"&amp;BT$3)/BT$2)*BT$2</f>
        <v>10</v>
      </c>
      <c r="BU111" s="135" cm="1">
        <f t="array" aca="1" ref="BU111" ca="1">_xlfn.CEILING.MATH(INDIRECT("Table1"&amp;BU$3)/BU$2)*BU$2</f>
        <v>25</v>
      </c>
      <c r="BV111" s="135" cm="1">
        <f t="array" aca="1" ref="BV111" ca="1">_xlfn.CEILING.MATH(INDIRECT("Table1"&amp;BV$3)/BV$2)*BV$2</f>
        <v>5000</v>
      </c>
      <c r="BW111" s="4"/>
      <c r="BX111" s="4"/>
      <c r="BY111" s="190">
        <v>0.25914145332298943</v>
      </c>
      <c r="BZ111" s="4"/>
      <c r="CA111" s="3"/>
      <c r="CF111" s="5"/>
      <c r="CH111" s="8"/>
      <c r="CI111" s="8"/>
      <c r="CJ111" s="14"/>
      <c r="CK111" s="8"/>
      <c r="CL111" s="8"/>
      <c r="CM111" s="8"/>
      <c r="CN111" s="8"/>
      <c r="CO111" s="8"/>
      <c r="CP111" s="8"/>
      <c r="CQ111" s="8">
        <f>Table1[[#This Row],[In-Tok]]+AvgOutLoad*Table1[[#This Row],[Out-Tok]]</f>
        <v>5100</v>
      </c>
      <c r="CR111" s="8"/>
      <c r="CS111" s="8"/>
      <c r="CT111" s="8"/>
      <c r="CU111" s="8"/>
      <c r="CV111" s="8"/>
      <c r="CW111" s="8"/>
      <c r="CX111" s="8"/>
      <c r="CY111" s="8"/>
      <c r="GJ111"/>
    </row>
    <row r="112" spans="1:192" hidden="1" x14ac:dyDescent="0.25">
      <c r="A112" s="3">
        <v>5000</v>
      </c>
      <c r="B112" s="3">
        <v>200</v>
      </c>
      <c r="C112">
        <v>3.4</v>
      </c>
      <c r="D112" s="199">
        <f>Table1[[#This Row],[Kvcache]]</f>
        <v>0.14127517742723331</v>
      </c>
      <c r="E112" s="4" t="s">
        <v>143</v>
      </c>
      <c r="F112" s="219">
        <v>46092</v>
      </c>
      <c r="G112" s="10"/>
      <c r="H112" s="10">
        <v>0.25547595453570227</v>
      </c>
      <c r="I112" s="10">
        <v>0.20070684176064443</v>
      </c>
      <c r="J112" s="10">
        <v>0.8863056414173216</v>
      </c>
      <c r="K112" s="10">
        <v>1.5485959966977436</v>
      </c>
      <c r="L112" s="10">
        <v>1.8422667598724367</v>
      </c>
      <c r="M112" s="10">
        <v>1.8282164253900317E-2</v>
      </c>
      <c r="N112" s="10">
        <v>3.886152752155374</v>
      </c>
      <c r="O112" s="47">
        <v>20205.862499999999</v>
      </c>
      <c r="P112" s="47">
        <v>746.6875</v>
      </c>
      <c r="Q112" s="5">
        <v>10.74074074074074</v>
      </c>
      <c r="R112" s="5">
        <v>27.666666666666668</v>
      </c>
      <c r="S112" s="170">
        <v>0.14127517742723331</v>
      </c>
      <c r="T112" s="170">
        <v>0.36312386863201446</v>
      </c>
      <c r="U112" s="20">
        <f>(Table1[[#This Row],[In-Tok]]+Table1[[#This Row],[Out-Tok]])*Table1[[#This Row],[RPS]]</f>
        <v>17680</v>
      </c>
      <c r="V112" s="3">
        <f>Table1[[#This Row],[In-Tok]]+AvgOutLoad*Table1[[#This Row],[Out-Tok]]</f>
        <v>5100</v>
      </c>
      <c r="W112" s="3">
        <f>Table1[[#This Row],[In-Tok]]*Table1[[#This Row],[RPS]]</f>
        <v>17000</v>
      </c>
      <c r="X112" s="3">
        <f>Table1[[#This Row],[Out-Tok]]*Table1[[#This Row],[RPS]]</f>
        <v>680</v>
      </c>
      <c r="Y112" s="75">
        <f>Table1[[#This Row],[In-Tok]]/Table1[[#This Row],[Out-Tok]]</f>
        <v>25</v>
      </c>
      <c r="Z112" s="26">
        <f>Table1[[#This Row],[In-Tok]]*Table1[[#This Row],[N]]+AvgOutLoad*Table1[[#This Row],[Out-Tok]]*Table1[[#This Row],[Ndecode]]</f>
        <v>73675.878806229215</v>
      </c>
      <c r="AA112" s="3">
        <f>Table1[[#This Row],[tok(N)]]/Table1[[#This Row],[Kvcache]]</f>
        <v>521506.18493597361</v>
      </c>
      <c r="AB112" s="3">
        <f>Table1[[#This Row],[tok/req]]*Table1[[#This Row],[Run]]</f>
        <v>54777.777777777774</v>
      </c>
      <c r="AC112" s="3">
        <f>Table1[[#This Row],[tok(Run)]]/Table1[[#This Row],[Kvcache]]</f>
        <v>387738.16303286684</v>
      </c>
      <c r="AD112" s="3">
        <f>Table1[[#This Row],[tok/req]]*Table1[[#This Row],[MaxRun]]</f>
        <v>141100</v>
      </c>
      <c r="AE112" s="3">
        <f>Table1[[#This Row],[tok(MaxRun)]]/Table1[[#This Row],[MaxKvcache]]</f>
        <v>388572.6392251816</v>
      </c>
      <c r="AF112" s="75">
        <f>Table1[[#This Row],[PPS]]*Table1[[#This Row],[Prefill]]/Table1[[#This Row],[In-Tok]]</f>
        <v>0.81109096948496784</v>
      </c>
      <c r="AG112" s="5">
        <f>Table1[[#This Row],[GPS]]*Table1[[#This Row],[ITL]]</f>
        <v>13.651063521334192</v>
      </c>
      <c r="AH112" s="5">
        <f>Table1[[#This Row],[Nprefill]]+Table1[[#This Row],[Ndecode]]</f>
        <v>14.462154490819159</v>
      </c>
      <c r="AI112" s="4">
        <f>Table1[[#This Row],[Run]]/Table1[[#This Row],[ITL]]/Table1[[#This Row],[GPS]]</f>
        <v>0.78680615059441095</v>
      </c>
      <c r="AJ112" s="10">
        <f>Table1[[#This Row],[Prefill]]+Table1[[#This Row],[ITL]]</f>
        <v>0.21898900601454474</v>
      </c>
      <c r="AK112" s="4">
        <f>Table1[[#This Row],[TTFT]]/Table1[[#This Row],[estTTFT]]</f>
        <v>1.1666154351088025</v>
      </c>
      <c r="AL112" s="5">
        <f>Table1[[#This Row],[In-Tok]]*Table1[[#This Row],[RPS]]/Table1[[#This Row],[PPS]]</f>
        <v>0.84133998239372365</v>
      </c>
      <c r="AM112" s="4">
        <f>Table1[[#This Row],[Prefill]]/Table1[[#This Row],[estPrefill]]</f>
        <v>0.23855616749557876</v>
      </c>
      <c r="AN112" s="4">
        <f>Table1[[#This Row],[Prefill]]/Table1[[#This Row],[TTFT]]</f>
        <v>0.78561930466374297</v>
      </c>
      <c r="AO112" s="10">
        <f>Table1[[#This Row],[Run]]/(Table1[[#This Row],[Out-Tok]]*Table1[[#This Row],[RPS]])</f>
        <v>1.579520697167756E-2</v>
      </c>
      <c r="AP112" s="4">
        <f>Table1[[#This Row],[ITL]]/Table1[[#This Row],[estITL]]</f>
        <v>1.1574501231089993</v>
      </c>
      <c r="AQ112" s="44">
        <f>Table1[[#This Row],[E2E]]-Table1[[#This Row],[TTFT]]+Table1[[#This Row],[ITL]]</f>
        <v>3.6489589618735723</v>
      </c>
      <c r="AR112" s="4">
        <f>Table1[[#This Row],[estDecode]]/Table1[[#This Row],[Run]]</f>
        <v>0.33973066196753948</v>
      </c>
      <c r="AS112" s="44">
        <f>Table1[[#This Row],[Prefill]]+Table1[[#This Row],[Out-Tok]]*Table1[[#This Row],[ITL]]</f>
        <v>3.857139692540708</v>
      </c>
      <c r="AT112" s="5">
        <f>Table1[[#This Row],[estPrefill]]+Table1[[#This Row],[Out-Tok]]*Table1[[#This Row],[ITL]]</f>
        <v>4.4977728331737872</v>
      </c>
      <c r="AU112" s="4">
        <f>Table1[[#This Row],[E2E]]/Table1[[#This Row],[estE2E]]</f>
        <v>0.86401712498520467</v>
      </c>
      <c r="AV112" s="5">
        <f>Table1[[#This Row],[N]]/Table1[[#This Row],[estE2E]]</f>
        <v>3.2154034957372786</v>
      </c>
      <c r="AW112" s="5">
        <f>Table1[[#This Row],[PPS]]/Table1[[#This Row],[In-Tok]]</f>
        <v>4.0411725000000001</v>
      </c>
      <c r="AX112" s="4">
        <f>Table1[[#This Row],[RPS]]/Table1[[#This Row],[RPS(IL)]]</f>
        <v>0.84133998239372354</v>
      </c>
      <c r="AY112" s="5">
        <f>Table1[[#This Row],[GPS]]/Table1[[#This Row],[Out-Tok]]</f>
        <v>3.7334375</v>
      </c>
      <c r="AZ112" s="89">
        <f>Table1[[#This Row],[RPS]]/Table1[[#This Row],[RPS(OL)]]</f>
        <v>0.91068887586841885</v>
      </c>
      <c r="BA112" s="135">
        <f>MaxTok/Table1[[#This Row],[tok/req]]</f>
        <v>76.061227841677507</v>
      </c>
      <c r="BB112" s="4">
        <f>Table1[[#This Row],[N]]/Table1[[#This Row],[N-max]]</f>
        <v>0.19013832541491879</v>
      </c>
      <c r="BC112" s="44">
        <f>Table1[[#This Row],[RPS]]</f>
        <v>3.4</v>
      </c>
      <c r="BD112" s="47">
        <f>Table1[[#This Row],[PPS]]/Table1[[#This Row],[RPS success]]</f>
        <v>5942.900735294118</v>
      </c>
      <c r="BE112" s="4">
        <f>ABS(Table1[[#This Row],[est-In-Tok3]]-Table1[[#This Row],[In-Tok]])/Table1[[#This Row],[In-Tok]]</f>
        <v>0.18858014705882362</v>
      </c>
      <c r="BF112" s="47">
        <f>Table1[[#This Row],[GPS]]/Table1[[#This Row],[RPS success]]</f>
        <v>219.6139705882353</v>
      </c>
      <c r="BG112" s="4">
        <f>ABS(Table1[[#This Row],[est-Out-Tok3]]-Table1[[#This Row],[Out-Tok]])/Table1[[#This Row],[Out-Tok]]</f>
        <v>9.8069852941176525E-2</v>
      </c>
      <c r="BH112" s="162">
        <f>Table1[[#This Row],[est-In-Tok3]]+AvgOutLoad*Table1[[#This Row],[est-Out-Tok3]]</f>
        <v>6052.707720588236</v>
      </c>
      <c r="BI112" s="4">
        <f>ABS(Table1[[#This Row],[est-Tok/Req3]]-Table1[[#This Row],[tok/req]])/Table1[[#This Row],[tok/req]]</f>
        <v>0.18680543540945804</v>
      </c>
      <c r="BJ112" s="162">
        <f>MaxTok/Table1[[#This Row],[est-Tok/Req3]]</f>
        <v>64.089045746100524</v>
      </c>
      <c r="BK112" s="4">
        <f>ABS(Table1[[#This Row],[est-N-max3]]-Table1[[#This Row],[N-max]])/Table1[[#This Row],[N-max]]</f>
        <v>0.1574019041672223</v>
      </c>
      <c r="BL112" s="44">
        <f>MaxTok*Table1[[#This Row],[Kvcache]]/Table1[[#This Row],[Run]]</f>
        <v>5102.2899595115059</v>
      </c>
      <c r="BM112" s="170">
        <f>ABS(Table1[[#This Row],[est-Tok/Req]]-Table1[[#This Row],[tok/req]])/Table1[[#This Row],[tok/req]]</f>
        <v>4.49011668922728E-4</v>
      </c>
      <c r="BN112" s="44">
        <f>MaxTok/Table1[[#This Row],[est-Tok/Req]]</f>
        <v>76.027090790758209</v>
      </c>
      <c r="BO112" s="180">
        <f>Table1[[#This Row],[Run]]/Table1[[#This Row],[Kvcache]]</f>
        <v>76.027090790758209</v>
      </c>
      <c r="BP112" s="4" cm="1">
        <f t="array" aca="1" ref="BP112" ca="1">_xlfn.CEILING.MATH(INDIRECT("Table1"&amp;BP$3)/BP$2)*BP$2</f>
        <v>6000</v>
      </c>
      <c r="BQ112" s="4" cm="1">
        <f t="array" aca="1" ref="BQ112" ca="1">_xlfn.CEILING.MATH(INDIRECT("Table1"&amp;BQ$3)/BQ$2)*BQ$2</f>
        <v>0.02</v>
      </c>
      <c r="BR112" s="4" cm="1">
        <f t="array" aca="1" ref="BR112" ca="1">_xlfn.CEILING.MATH(INDIRECT("Table1"&amp;BR$3)/BR$2)*BR$2</f>
        <v>0.2</v>
      </c>
      <c r="BS112" s="4" cm="1">
        <f t="array" aca="1" ref="BS112" ca="1">_xlfn.CEILING.MATH(INDIRECT("Table1"&amp;BS$3)/BS$2)*BS$2</f>
        <v>0.15</v>
      </c>
      <c r="BT112" s="3" cm="1">
        <f t="array" aca="1" ref="BT112" ca="1">_xlfn.CEILING.MATH(INDIRECT("Table1"&amp;BT$3)/BT$2)*BT$2</f>
        <v>11</v>
      </c>
      <c r="BU112" s="135" cm="1">
        <f t="array" aca="1" ref="BU112" ca="1">_xlfn.CEILING.MATH(INDIRECT("Table1"&amp;BU$3)/BU$2)*BU$2</f>
        <v>25</v>
      </c>
      <c r="BV112" s="135" cm="1">
        <f t="array" aca="1" ref="BV112" ca="1">_xlfn.CEILING.MATH(INDIRECT("Table1"&amp;BV$3)/BV$2)*BV$2</f>
        <v>5000</v>
      </c>
      <c r="BW112" s="4"/>
      <c r="BX112" s="4"/>
      <c r="BY112" s="190">
        <v>0.36312386863201446</v>
      </c>
      <c r="BZ112" s="4"/>
      <c r="CA112" s="3"/>
      <c r="CF112" s="5"/>
      <c r="CH112" s="8"/>
      <c r="CI112" s="8"/>
      <c r="CJ112" s="14"/>
      <c r="CK112" s="8"/>
      <c r="CL112" s="8"/>
      <c r="CM112" s="8"/>
      <c r="CN112" s="8"/>
      <c r="CO112" s="8"/>
      <c r="CP112" s="8"/>
      <c r="CQ112" s="8">
        <f>Table1[[#This Row],[In-Tok]]+AvgOutLoad*Table1[[#This Row],[Out-Tok]]</f>
        <v>5100</v>
      </c>
      <c r="CR112" s="8"/>
      <c r="CS112" s="8"/>
      <c r="CT112" s="8"/>
      <c r="CU112" s="8"/>
      <c r="CV112" s="8"/>
      <c r="CW112" s="8"/>
      <c r="CX112" s="8"/>
      <c r="CY112" s="8"/>
      <c r="GJ112"/>
    </row>
    <row r="113" spans="1:192" hidden="1" x14ac:dyDescent="0.25">
      <c r="A113" s="3">
        <v>5000</v>
      </c>
      <c r="B113" s="3">
        <v>200</v>
      </c>
      <c r="C113">
        <v>3.7999999999999994</v>
      </c>
      <c r="D113" s="199">
        <f>Table1[[#This Row],[Kvcache]]</f>
        <v>0.17125822486567252</v>
      </c>
      <c r="E113" s="4" t="s">
        <v>143</v>
      </c>
      <c r="F113" s="219">
        <v>46092</v>
      </c>
      <c r="G113" s="10"/>
      <c r="H113" s="10">
        <v>0.25385492319650577</v>
      </c>
      <c r="I113" s="10">
        <v>0.20060907582293877</v>
      </c>
      <c r="J113" s="10">
        <v>0.86868638330636327</v>
      </c>
      <c r="K113" s="10">
        <v>1.4941689213116962</v>
      </c>
      <c r="L113" s="10">
        <v>1.9685821580886855</v>
      </c>
      <c r="M113" s="10">
        <v>1.8460602292626395E-2</v>
      </c>
      <c r="N113" s="10">
        <v>3.9164261845173569</v>
      </c>
      <c r="O113" s="47">
        <v>20893.150000000001</v>
      </c>
      <c r="P113" s="47">
        <v>766.80416666666667</v>
      </c>
      <c r="Q113" s="5">
        <v>13.000000000000002</v>
      </c>
      <c r="R113" s="5">
        <v>26.333333333333332</v>
      </c>
      <c r="S113" s="170">
        <v>0.17125822486567252</v>
      </c>
      <c r="T113" s="170">
        <v>0.34665115076286535</v>
      </c>
      <c r="U113" s="20">
        <f>(Table1[[#This Row],[In-Tok]]+Table1[[#This Row],[Out-Tok]])*Table1[[#This Row],[RPS]]</f>
        <v>19759.999999999996</v>
      </c>
      <c r="V113" s="3">
        <f>Table1[[#This Row],[In-Tok]]+AvgOutLoad*Table1[[#This Row],[Out-Tok]]</f>
        <v>5100</v>
      </c>
      <c r="W113" s="3">
        <f>Table1[[#This Row],[In-Tok]]*Table1[[#This Row],[RPS]]</f>
        <v>18999.999999999996</v>
      </c>
      <c r="X113" s="3">
        <f>Table1[[#This Row],[Out-Tok]]*Table1[[#This Row],[RPS]]</f>
        <v>759.99999999999989</v>
      </c>
      <c r="Y113" s="75">
        <f>Table1[[#This Row],[In-Tok]]/Table1[[#This Row],[Out-Tok]]</f>
        <v>25</v>
      </c>
      <c r="Z113" s="26">
        <f>Table1[[#This Row],[In-Tok]]*Table1[[#This Row],[N]]+AvgOutLoad*Table1[[#This Row],[Out-Tok]]*Table1[[#This Row],[Ndecode]]</f>
        <v>76385.255974056941</v>
      </c>
      <c r="AA113" s="3">
        <f>Table1[[#This Row],[tok(N)]]/Table1[[#This Row],[Kvcache]]</f>
        <v>446023.86854103039</v>
      </c>
      <c r="AB113" s="3">
        <f>Table1[[#This Row],[tok/req]]*Table1[[#This Row],[Run]]</f>
        <v>66300.000000000015</v>
      </c>
      <c r="AC113" s="3">
        <f>Table1[[#This Row],[tok(Run)]]/Table1[[#This Row],[Kvcache]]</f>
        <v>387134.6912068185</v>
      </c>
      <c r="AD113" s="3">
        <f>Table1[[#This Row],[tok/req]]*Table1[[#This Row],[MaxRun]]</f>
        <v>134300</v>
      </c>
      <c r="AE113" s="3">
        <f>Table1[[#This Row],[tok(MaxRun)]]/Table1[[#This Row],[MaxKvcache]]</f>
        <v>387421.18612458027</v>
      </c>
      <c r="AF113" s="75">
        <f>Table1[[#This Row],[PPS]]*Table1[[#This Row],[Prefill]]/Table1[[#This Row],[In-Tok]]</f>
        <v>0.83827110250600667</v>
      </c>
      <c r="AG113" s="5">
        <f>Table1[[#This Row],[GPS]]*Table1[[#This Row],[ITL]]</f>
        <v>14.155666757162139</v>
      </c>
      <c r="AH113" s="5">
        <f>Table1[[#This Row],[Nprefill]]+Table1[[#This Row],[Ndecode]]</f>
        <v>14.993937859668145</v>
      </c>
      <c r="AI113" s="4">
        <f>Table1[[#This Row],[Run]]/Table1[[#This Row],[ITL]]/Table1[[#This Row],[GPS]]</f>
        <v>0.91836013258948612</v>
      </c>
      <c r="AJ113" s="10">
        <f>Table1[[#This Row],[Prefill]]+Table1[[#This Row],[ITL]]</f>
        <v>0.21906967811556516</v>
      </c>
      <c r="AK113" s="4">
        <f>Table1[[#This Row],[TTFT]]/Table1[[#This Row],[estTTFT]]</f>
        <v>1.1587862153273008</v>
      </c>
      <c r="AL113" s="5">
        <f>Table1[[#This Row],[In-Tok]]*Table1[[#This Row],[RPS]]/Table1[[#This Row],[PPS]]</f>
        <v>0.90938896241112499</v>
      </c>
      <c r="AM113" s="4">
        <f>Table1[[#This Row],[Prefill]]/Table1[[#This Row],[estPrefill]]</f>
        <v>0.22059765855421232</v>
      </c>
      <c r="AN113" s="4">
        <f>Table1[[#This Row],[Prefill]]/Table1[[#This Row],[TTFT]]</f>
        <v>0.79025087753626078</v>
      </c>
      <c r="AO113" s="10">
        <f>Table1[[#This Row],[Run]]/(Table1[[#This Row],[Out-Tok]]*Table1[[#This Row],[RPS]])</f>
        <v>1.7105263157894741E-2</v>
      </c>
      <c r="AP113" s="4">
        <f>Table1[[#This Row],[ITL]]/Table1[[#This Row],[estITL]]</f>
        <v>1.0792352109535428</v>
      </c>
      <c r="AQ113" s="44">
        <f>Table1[[#This Row],[E2E]]-Table1[[#This Row],[TTFT]]+Table1[[#This Row],[ITL]]</f>
        <v>3.6810318636134776</v>
      </c>
      <c r="AR113" s="4">
        <f>Table1[[#This Row],[estDecode]]/Table1[[#This Row],[Run]]</f>
        <v>0.28315629720103669</v>
      </c>
      <c r="AS113" s="44">
        <f>Table1[[#This Row],[Prefill]]+Table1[[#This Row],[Out-Tok]]*Table1[[#This Row],[ITL]]</f>
        <v>3.8927295343482178</v>
      </c>
      <c r="AT113" s="5">
        <f>Table1[[#This Row],[estPrefill]]+Table1[[#This Row],[Out-Tok]]*Table1[[#This Row],[ITL]]</f>
        <v>4.601509420936404</v>
      </c>
      <c r="AU113" s="4">
        <f>Table1[[#This Row],[E2E]]/Table1[[#This Row],[estE2E]]</f>
        <v>0.85111771513451928</v>
      </c>
      <c r="AV113" s="5">
        <f>Table1[[#This Row],[N]]/Table1[[#This Row],[estE2E]]</f>
        <v>3.2584824865178454</v>
      </c>
      <c r="AW113" s="5">
        <f>Table1[[#This Row],[PPS]]/Table1[[#This Row],[In-Tok]]</f>
        <v>4.1786300000000001</v>
      </c>
      <c r="AX113" s="4">
        <f>Table1[[#This Row],[RPS]]/Table1[[#This Row],[RPS(IL)]]</f>
        <v>0.90938896241112499</v>
      </c>
      <c r="AY113" s="5">
        <f>Table1[[#This Row],[GPS]]/Table1[[#This Row],[Out-Tok]]</f>
        <v>3.8340208333333332</v>
      </c>
      <c r="AZ113" s="89">
        <f>Table1[[#This Row],[RPS]]/Table1[[#This Row],[RPS(OL)]]</f>
        <v>0.99112659142653747</v>
      </c>
      <c r="BA113" s="135">
        <f>MaxTok/Table1[[#This Row],[tok/req]]</f>
        <v>76.061227841677507</v>
      </c>
      <c r="BB113" s="4">
        <f>Table1[[#This Row],[N]]/Table1[[#This Row],[N-max]]</f>
        <v>0.19712984243270743</v>
      </c>
      <c r="BC113" s="44">
        <f>Table1[[#This Row],[RPS]]</f>
        <v>3.7999999999999994</v>
      </c>
      <c r="BD113" s="47">
        <f>Table1[[#This Row],[PPS]]/Table1[[#This Row],[RPS success]]</f>
        <v>5498.1973684210543</v>
      </c>
      <c r="BE113" s="4">
        <f>ABS(Table1[[#This Row],[est-In-Tok3]]-Table1[[#This Row],[In-Tok]])/Table1[[#This Row],[In-Tok]]</f>
        <v>9.9639473684210861E-2</v>
      </c>
      <c r="BF113" s="47">
        <f>Table1[[#This Row],[GPS]]/Table1[[#This Row],[RPS success]]</f>
        <v>201.79057017543863</v>
      </c>
      <c r="BG113" s="4">
        <f>ABS(Table1[[#This Row],[est-Out-Tok3]]-Table1[[#This Row],[Out-Tok]])/Table1[[#This Row],[Out-Tok]]</f>
        <v>8.9528508771931567E-3</v>
      </c>
      <c r="BH113" s="162">
        <f>Table1[[#This Row],[est-In-Tok3]]+AvgOutLoad*Table1[[#This Row],[est-Out-Tok3]]</f>
        <v>5599.0926535087738</v>
      </c>
      <c r="BI113" s="4">
        <f>ABS(Table1[[#This Row],[est-Tok/Req3]]-Table1[[#This Row],[tok/req]])/Table1[[#This Row],[tok/req]]</f>
        <v>9.7861304609563479E-2</v>
      </c>
      <c r="BJ113" s="162">
        <f>MaxTok/Table1[[#This Row],[est-Tok/Req3]]</f>
        <v>69.281272162814275</v>
      </c>
      <c r="BK113" s="4">
        <f>ABS(Table1[[#This Row],[est-N-max3]]-Table1[[#This Row],[N-max]])/Table1[[#This Row],[N-max]]</f>
        <v>8.9138130835539536E-2</v>
      </c>
      <c r="BL113" s="44">
        <f>MaxTok*Table1[[#This Row],[Kvcache]]/Table1[[#This Row],[Run]]</f>
        <v>5110.2434917286682</v>
      </c>
      <c r="BM113" s="170">
        <f>ABS(Table1[[#This Row],[est-Tok/Req]]-Table1[[#This Row],[tok/req]])/Table1[[#This Row],[tok/req]]</f>
        <v>2.0085277899349473E-3</v>
      </c>
      <c r="BN113" s="44">
        <f>MaxTok/Table1[[#This Row],[est-Tok/Req]]</f>
        <v>75.908762981729126</v>
      </c>
      <c r="BO113" s="180">
        <f>Table1[[#This Row],[Run]]/Table1[[#This Row],[Kvcache]]</f>
        <v>75.908762981729112</v>
      </c>
      <c r="BP113" s="4" cm="1">
        <f t="array" aca="1" ref="BP113" ca="1">_xlfn.CEILING.MATH(INDIRECT("Table1"&amp;BP$3)/BP$2)*BP$2</f>
        <v>6000</v>
      </c>
      <c r="BQ113" s="4" cm="1">
        <f t="array" aca="1" ref="BQ113" ca="1">_xlfn.CEILING.MATH(INDIRECT("Table1"&amp;BQ$3)/BQ$2)*BQ$2</f>
        <v>0.02</v>
      </c>
      <c r="BR113" s="4" cm="1">
        <f t="array" aca="1" ref="BR113" ca="1">_xlfn.CEILING.MATH(INDIRECT("Table1"&amp;BR$3)/BR$2)*BR$2</f>
        <v>0.2</v>
      </c>
      <c r="BS113" s="4" cm="1">
        <f t="array" aca="1" ref="BS113" ca="1">_xlfn.CEILING.MATH(INDIRECT("Table1"&amp;BS$3)/BS$2)*BS$2</f>
        <v>0.18</v>
      </c>
      <c r="BT113" s="3" cm="1">
        <f t="array" aca="1" ref="BT113" ca="1">_xlfn.CEILING.MATH(INDIRECT("Table1"&amp;BT$3)/BT$2)*BT$2</f>
        <v>13</v>
      </c>
      <c r="BU113" s="135" cm="1">
        <f t="array" aca="1" ref="BU113" ca="1">_xlfn.CEILING.MATH(INDIRECT("Table1"&amp;BU$3)/BU$2)*BU$2</f>
        <v>25</v>
      </c>
      <c r="BV113" s="135" cm="1">
        <f t="array" aca="1" ref="BV113" ca="1">_xlfn.CEILING.MATH(INDIRECT("Table1"&amp;BV$3)/BV$2)*BV$2</f>
        <v>5000</v>
      </c>
      <c r="BW113" s="4"/>
      <c r="BX113" s="4"/>
      <c r="BY113" s="190">
        <v>0.34665115076286535</v>
      </c>
      <c r="BZ113" s="4"/>
      <c r="CA113" s="3"/>
      <c r="CF113" s="5"/>
      <c r="CH113" s="8"/>
      <c r="CI113" s="8"/>
      <c r="CJ113" s="14"/>
      <c r="CK113" s="8"/>
      <c r="CL113" s="8"/>
      <c r="CM113" s="8"/>
      <c r="CN113" s="8"/>
      <c r="CO113" s="8"/>
      <c r="CP113" s="8"/>
      <c r="CQ113" s="8">
        <f>Table1[[#This Row],[In-Tok]]+AvgOutLoad*Table1[[#This Row],[Out-Tok]]</f>
        <v>5100</v>
      </c>
      <c r="CR113" s="8"/>
      <c r="CS113" s="8"/>
      <c r="CT113" s="8"/>
      <c r="CU113" s="8"/>
      <c r="CV113" s="8"/>
      <c r="CW113" s="8"/>
      <c r="CX113" s="8"/>
      <c r="CY113" s="8"/>
      <c r="GJ113"/>
    </row>
    <row r="114" spans="1:192" hidden="1" x14ac:dyDescent="0.25">
      <c r="A114" s="3">
        <v>5000</v>
      </c>
      <c r="B114" s="3">
        <v>200</v>
      </c>
      <c r="C114">
        <v>4</v>
      </c>
      <c r="D114" s="199">
        <f>Table1[[#This Row],[Kvcache]]</f>
        <v>0.22976180214349332</v>
      </c>
      <c r="E114" s="4" t="s">
        <v>143</v>
      </c>
      <c r="F114" s="219">
        <v>46092</v>
      </c>
      <c r="G114" s="10"/>
      <c r="H114" s="10">
        <v>0.28309615836930163</v>
      </c>
      <c r="I114" s="10">
        <v>0.21021471894285801</v>
      </c>
      <c r="J114" s="10">
        <v>0.93316867847127771</v>
      </c>
      <c r="K114" s="10">
        <v>1.5945345560709632</v>
      </c>
      <c r="L114" s="10">
        <v>1.9195634269714354</v>
      </c>
      <c r="M114" s="10">
        <v>2.2218246486298266E-2</v>
      </c>
      <c r="N114" s="10">
        <v>4.6544369299690107</v>
      </c>
      <c r="O114" s="47">
        <v>23420.162500000002</v>
      </c>
      <c r="P114" s="47">
        <v>852.19166666666661</v>
      </c>
      <c r="Q114" s="5">
        <v>17.407407407407405</v>
      </c>
      <c r="R114" s="5">
        <v>29.333333333333332</v>
      </c>
      <c r="S114" s="170">
        <v>0.22976180214349332</v>
      </c>
      <c r="T114" s="170">
        <v>0.38818205327126981</v>
      </c>
      <c r="U114" s="20">
        <f>(Table1[[#This Row],[In-Tok]]+Table1[[#This Row],[Out-Tok]])*Table1[[#This Row],[RPS]]</f>
        <v>20800</v>
      </c>
      <c r="V114" s="3">
        <f>Table1[[#This Row],[In-Tok]]+AvgOutLoad*Table1[[#This Row],[Out-Tok]]</f>
        <v>5100</v>
      </c>
      <c r="W114" s="3">
        <f>Table1[[#This Row],[In-Tok]]*Table1[[#This Row],[RPS]]</f>
        <v>20000</v>
      </c>
      <c r="X114" s="3">
        <f>Table1[[#This Row],[Out-Tok]]*Table1[[#This Row],[RPS]]</f>
        <v>800</v>
      </c>
      <c r="Y114" s="75">
        <f>Table1[[#This Row],[In-Tok]]/Table1[[#This Row],[Out-Tok]]</f>
        <v>25</v>
      </c>
      <c r="Z114" s="26">
        <f>Table1[[#This Row],[In-Tok]]*Table1[[#This Row],[N]]+AvgOutLoad*Table1[[#This Row],[Out-Tok]]*Table1[[#This Row],[Ndecode]]</f>
        <v>101487.70584573715</v>
      </c>
      <c r="AA114" s="3">
        <f>Table1[[#This Row],[tok(N)]]/Table1[[#This Row],[Kvcache]]</f>
        <v>441708.34707483253</v>
      </c>
      <c r="AB114" s="3">
        <f>Table1[[#This Row],[tok/req]]*Table1[[#This Row],[Run]]</f>
        <v>88777.777777777766</v>
      </c>
      <c r="AC114" s="3">
        <f>Table1[[#This Row],[tok(Run)]]/Table1[[#This Row],[Kvcache]]</f>
        <v>386390.50072532648</v>
      </c>
      <c r="AD114" s="3">
        <f>Table1[[#This Row],[tok/req]]*Table1[[#This Row],[MaxRun]]</f>
        <v>149600</v>
      </c>
      <c r="AE114" s="3">
        <f>Table1[[#This Row],[tok(MaxRun)]]/Table1[[#This Row],[MaxKvcache]]</f>
        <v>385386.18346545857</v>
      </c>
      <c r="AF114" s="75">
        <f>Table1[[#This Row],[PPS]]*Table1[[#This Row],[Prefill]]/Table1[[#This Row],[In-Tok]]</f>
        <v>0.9846525755067127</v>
      </c>
      <c r="AG114" s="5">
        <f>Table1[[#This Row],[GPS]]*Table1[[#This Row],[ITL]]</f>
        <v>18.93420450356933</v>
      </c>
      <c r="AH114" s="5">
        <f>Table1[[#This Row],[Nprefill]]+Table1[[#This Row],[Ndecode]]</f>
        <v>19.918857079076041</v>
      </c>
      <c r="AI114" s="4">
        <f>Table1[[#This Row],[Run]]/Table1[[#This Row],[ITL]]/Table1[[#This Row],[GPS]]</f>
        <v>0.91936301861141811</v>
      </c>
      <c r="AJ114" s="10">
        <f>Table1[[#This Row],[Prefill]]+Table1[[#This Row],[ITL]]</f>
        <v>0.23243296542915629</v>
      </c>
      <c r="AK114" s="4">
        <f>Table1[[#This Row],[TTFT]]/Table1[[#This Row],[estTTFT]]</f>
        <v>1.2179690511911792</v>
      </c>
      <c r="AL114" s="5">
        <f>Table1[[#This Row],[In-Tok]]*Table1[[#This Row],[RPS]]/Table1[[#This Row],[PPS]]</f>
        <v>0.85396503973872928</v>
      </c>
      <c r="AM114" s="4">
        <f>Table1[[#This Row],[Prefill]]/Table1[[#This Row],[estPrefill]]</f>
        <v>0.24616314387667818</v>
      </c>
      <c r="AN114" s="4">
        <f>Table1[[#This Row],[Prefill]]/Table1[[#This Row],[TTFT]]</f>
        <v>0.74255588685393215</v>
      </c>
      <c r="AO114" s="10">
        <f>Table1[[#This Row],[Run]]/(Table1[[#This Row],[Out-Tok]]*Table1[[#This Row],[RPS]])</f>
        <v>2.1759259259259256E-2</v>
      </c>
      <c r="AP114" s="4">
        <f>Table1[[#This Row],[ITL]]/Table1[[#This Row],[estITL]]</f>
        <v>1.021093881072431</v>
      </c>
      <c r="AQ114" s="44">
        <f>Table1[[#This Row],[E2E]]-Table1[[#This Row],[TTFT]]+Table1[[#This Row],[ITL]]</f>
        <v>4.393559018086008</v>
      </c>
      <c r="AR114" s="4">
        <f>Table1[[#This Row],[estDecode]]/Table1[[#This Row],[Run]]</f>
        <v>0.25239594359217499</v>
      </c>
      <c r="AS114" s="44">
        <f>Table1[[#This Row],[Prefill]]+Table1[[#This Row],[Out-Tok]]*Table1[[#This Row],[ITL]]</f>
        <v>4.6538640162025109</v>
      </c>
      <c r="AT114" s="5">
        <f>Table1[[#This Row],[estPrefill]]+Table1[[#This Row],[Out-Tok]]*Table1[[#This Row],[ITL]]</f>
        <v>5.2976143369983824</v>
      </c>
      <c r="AU114" s="4">
        <f>Table1[[#This Row],[E2E]]/Table1[[#This Row],[estE2E]]</f>
        <v>0.8785911230763932</v>
      </c>
      <c r="AV114" s="5">
        <f>Table1[[#This Row],[N]]/Table1[[#This Row],[estE2E]]</f>
        <v>3.7599673762514816</v>
      </c>
      <c r="AW114" s="5">
        <f>Table1[[#This Row],[PPS]]/Table1[[#This Row],[In-Tok]]</f>
        <v>4.6840325000000007</v>
      </c>
      <c r="AX114" s="4">
        <f>Table1[[#This Row],[RPS]]/Table1[[#This Row],[RPS(IL)]]</f>
        <v>0.85396503973872928</v>
      </c>
      <c r="AY114" s="5">
        <f>Table1[[#This Row],[GPS]]/Table1[[#This Row],[Out-Tok]]</f>
        <v>4.260958333333333</v>
      </c>
      <c r="AZ114" s="89">
        <f>Table1[[#This Row],[RPS]]/Table1[[#This Row],[RPS(OL)]]</f>
        <v>0.93875595278839863</v>
      </c>
      <c r="BA114" s="135">
        <f>MaxTok/Table1[[#This Row],[tok/req]]</f>
        <v>76.061227841677507</v>
      </c>
      <c r="BB114" s="4">
        <f>Table1[[#This Row],[N]]/Table1[[#This Row],[N-max]]</f>
        <v>0.26187924707891141</v>
      </c>
      <c r="BC114" s="44">
        <f>Table1[[#This Row],[RPS]]</f>
        <v>4</v>
      </c>
      <c r="BD114" s="47">
        <f>Table1[[#This Row],[PPS]]/Table1[[#This Row],[RPS success]]</f>
        <v>5855.0406250000005</v>
      </c>
      <c r="BE114" s="4">
        <f>ABS(Table1[[#This Row],[est-In-Tok3]]-Table1[[#This Row],[In-Tok]])/Table1[[#This Row],[In-Tok]]</f>
        <v>0.17100812500000012</v>
      </c>
      <c r="BF114" s="47">
        <f>Table1[[#This Row],[GPS]]/Table1[[#This Row],[RPS success]]</f>
        <v>213.04791666666665</v>
      </c>
      <c r="BG114" s="4">
        <f>ABS(Table1[[#This Row],[est-Out-Tok3]]-Table1[[#This Row],[Out-Tok]])/Table1[[#This Row],[Out-Tok]]</f>
        <v>6.5239583333333254E-2</v>
      </c>
      <c r="BH114" s="162">
        <f>Table1[[#This Row],[est-In-Tok3]]+AvgOutLoad*Table1[[#This Row],[est-Out-Tok3]]</f>
        <v>5961.5645833333338</v>
      </c>
      <c r="BI114" s="4">
        <f>ABS(Table1[[#This Row],[est-Tok/Req3]]-Table1[[#This Row],[tok/req]])/Table1[[#This Row],[tok/req]]</f>
        <v>0.16893423202614388</v>
      </c>
      <c r="BJ114" s="162">
        <f>MaxTok/Table1[[#This Row],[est-Tok/Req3]]</f>
        <v>65.068868510967135</v>
      </c>
      <c r="BK114" s="4">
        <f>ABS(Table1[[#This Row],[est-N-max3]]-Table1[[#This Row],[N-max]])/Table1[[#This Row],[N-max]]</f>
        <v>0.14451987750698844</v>
      </c>
      <c r="BL114" s="44">
        <f>MaxTok*Table1[[#This Row],[Kvcache]]/Table1[[#This Row],[Run]]</f>
        <v>5120.0858521322298</v>
      </c>
      <c r="BM114" s="170">
        <f>ABS(Table1[[#This Row],[est-Tok/Req]]-Table1[[#This Row],[tok/req]])/Table1[[#This Row],[tok/req]]</f>
        <v>3.9384023788685829E-3</v>
      </c>
      <c r="BN114" s="44">
        <f>MaxTok/Table1[[#This Row],[est-Tok/Req]]</f>
        <v>75.762843279475774</v>
      </c>
      <c r="BO114" s="180">
        <f>Table1[[#This Row],[Run]]/Table1[[#This Row],[Kvcache]]</f>
        <v>75.762843279475774</v>
      </c>
      <c r="BP114" s="4" cm="1">
        <f t="array" aca="1" ref="BP114" ca="1">_xlfn.CEILING.MATH(INDIRECT("Table1"&amp;BP$3)/BP$2)*BP$2</f>
        <v>6000</v>
      </c>
      <c r="BQ114" s="4" cm="1">
        <f t="array" aca="1" ref="BQ114" ca="1">_xlfn.CEILING.MATH(INDIRECT("Table1"&amp;BQ$3)/BQ$2)*BQ$2</f>
        <v>2.5000000000000001E-2</v>
      </c>
      <c r="BR114" s="4" cm="1">
        <f t="array" aca="1" ref="BR114" ca="1">_xlfn.CEILING.MATH(INDIRECT("Table1"&amp;BR$3)/BR$2)*BR$2</f>
        <v>0.30000000000000004</v>
      </c>
      <c r="BS114" s="4" cm="1">
        <f t="array" aca="1" ref="BS114" ca="1">_xlfn.CEILING.MATH(INDIRECT("Table1"&amp;BS$3)/BS$2)*BS$2</f>
        <v>0.23</v>
      </c>
      <c r="BT114" s="3" cm="1">
        <f t="array" aca="1" ref="BT114" ca="1">_xlfn.CEILING.MATH(INDIRECT("Table1"&amp;BT$3)/BT$2)*BT$2</f>
        <v>18</v>
      </c>
      <c r="BU114" s="135" cm="1">
        <f t="array" aca="1" ref="BU114" ca="1">_xlfn.CEILING.MATH(INDIRECT("Table1"&amp;BU$3)/BU$2)*BU$2</f>
        <v>25</v>
      </c>
      <c r="BV114" s="135" cm="1">
        <f t="array" aca="1" ref="BV114" ca="1">_xlfn.CEILING.MATH(INDIRECT("Table1"&amp;BV$3)/BV$2)*BV$2</f>
        <v>5000</v>
      </c>
      <c r="BW114" s="4"/>
      <c r="BX114" s="4"/>
      <c r="BY114" s="190">
        <v>0.38818205327126981</v>
      </c>
      <c r="BZ114" s="4"/>
      <c r="CA114" s="3"/>
      <c r="CF114" s="5"/>
      <c r="CH114" s="8"/>
      <c r="CI114" s="8"/>
      <c r="CJ114" s="14"/>
      <c r="CK114" s="8"/>
      <c r="CL114" s="8"/>
      <c r="CM114" s="8"/>
      <c r="CN114" s="8"/>
      <c r="CO114" s="8"/>
      <c r="CP114" s="8"/>
      <c r="CQ114" s="8">
        <f>Table1[[#This Row],[In-Tok]]+AvgOutLoad*Table1[[#This Row],[Out-Tok]]</f>
        <v>5100</v>
      </c>
      <c r="CR114" s="8"/>
      <c r="CS114" s="8"/>
      <c r="CT114" s="8"/>
      <c r="CU114" s="8"/>
      <c r="CV114" s="8"/>
      <c r="CW114" s="8"/>
      <c r="CX114" s="8"/>
      <c r="CY114" s="8"/>
      <c r="GJ114"/>
    </row>
    <row r="115" spans="1:192" hidden="1" x14ac:dyDescent="0.25">
      <c r="A115" s="3">
        <v>5000</v>
      </c>
      <c r="B115" s="3">
        <v>200</v>
      </c>
      <c r="C115">
        <v>4.2</v>
      </c>
      <c r="D115" s="199">
        <f>Table1[[#This Row],[Kvcache]]</f>
        <v>0.28184351923684736</v>
      </c>
      <c r="E115" s="4" t="s">
        <v>143</v>
      </c>
      <c r="F115" s="219">
        <v>46092</v>
      </c>
      <c r="G115" s="10"/>
      <c r="H115" s="10">
        <v>0.32677555311318401</v>
      </c>
      <c r="I115" s="10">
        <v>0.25286004256319128</v>
      </c>
      <c r="J115" s="10">
        <v>0.96999690396026716</v>
      </c>
      <c r="K115" s="10">
        <v>1.6522001902262371</v>
      </c>
      <c r="L115" s="10">
        <v>1.8191676918665565</v>
      </c>
      <c r="M115" s="10">
        <v>2.5528575404787906E-2</v>
      </c>
      <c r="N115" s="10">
        <v>5.342579526777758</v>
      </c>
      <c r="O115" s="47">
        <v>24309.541666666668</v>
      </c>
      <c r="P115" s="47">
        <v>873.70833333333337</v>
      </c>
      <c r="Q115" s="5">
        <v>21.407407407407405</v>
      </c>
      <c r="R115" s="5">
        <v>41.333333333333336</v>
      </c>
      <c r="S115" s="170">
        <v>0.28184351923684736</v>
      </c>
      <c r="T115" s="170">
        <v>0.54504784070338763</v>
      </c>
      <c r="U115" s="20">
        <f>(Table1[[#This Row],[In-Tok]]+Table1[[#This Row],[Out-Tok]])*Table1[[#This Row],[RPS]]</f>
        <v>21840</v>
      </c>
      <c r="V115" s="3">
        <f>Table1[[#This Row],[In-Tok]]+AvgOutLoad*Table1[[#This Row],[Out-Tok]]</f>
        <v>5100</v>
      </c>
      <c r="W115" s="3">
        <f>Table1[[#This Row],[In-Tok]]*Table1[[#This Row],[RPS]]</f>
        <v>21000</v>
      </c>
      <c r="X115" s="3">
        <f>Table1[[#This Row],[Out-Tok]]*Table1[[#This Row],[RPS]]</f>
        <v>840</v>
      </c>
      <c r="Y115" s="75">
        <f>Table1[[#This Row],[In-Tok]]/Table1[[#This Row],[Out-Tok]]</f>
        <v>25</v>
      </c>
      <c r="Z115" s="26">
        <f>Table1[[#This Row],[In-Tok]]*Table1[[#This Row],[N]]+AvgOutLoad*Table1[[#This Row],[Out-Tok]]*Table1[[#This Row],[Ndecode]]</f>
        <v>119900.00999391201</v>
      </c>
      <c r="AA115" s="3">
        <f>Table1[[#This Row],[tok(N)]]/Table1[[#This Row],[Kvcache]]</f>
        <v>425413.40073586709</v>
      </c>
      <c r="AB115" s="3">
        <f>Table1[[#This Row],[tok/req]]*Table1[[#This Row],[Run]]</f>
        <v>109177.77777777777</v>
      </c>
      <c r="AC115" s="3">
        <f>Table1[[#This Row],[tok(Run)]]/Table1[[#This Row],[Kvcache]]</f>
        <v>387370.19064124784</v>
      </c>
      <c r="AD115" s="3">
        <f>Table1[[#This Row],[tok/req]]*Table1[[#This Row],[MaxRun]]</f>
        <v>210800</v>
      </c>
      <c r="AE115" s="3">
        <f>Table1[[#This Row],[tok(MaxRun)]]/Table1[[#This Row],[MaxKvcache]]</f>
        <v>386755.0410399962</v>
      </c>
      <c r="AF115" s="75">
        <f>Table1[[#This Row],[PPS]]*Table1[[#This Row],[Prefill]]/Table1[[#This Row],[In-Tok]]</f>
        <v>1.229382348105001</v>
      </c>
      <c r="AG115" s="5">
        <f>Table1[[#This Row],[GPS]]*Table1[[#This Row],[ITL]]</f>
        <v>22.304529069291569</v>
      </c>
      <c r="AH115" s="5">
        <f>Table1[[#This Row],[Nprefill]]+Table1[[#This Row],[Ndecode]]</f>
        <v>23.53391141739657</v>
      </c>
      <c r="AI115" s="4">
        <f>Table1[[#This Row],[Run]]/Table1[[#This Row],[ITL]]/Table1[[#This Row],[GPS]]</f>
        <v>0.95977849794106151</v>
      </c>
      <c r="AJ115" s="10">
        <f>Table1[[#This Row],[Prefill]]+Table1[[#This Row],[ITL]]</f>
        <v>0.2783886179679792</v>
      </c>
      <c r="AK115" s="4">
        <f>Table1[[#This Row],[TTFT]]/Table1[[#This Row],[estTTFT]]</f>
        <v>1.1738107523877659</v>
      </c>
      <c r="AL115" s="5">
        <f>Table1[[#This Row],[In-Tok]]*Table1[[#This Row],[RPS]]/Table1[[#This Row],[PPS]]</f>
        <v>0.86385832723433353</v>
      </c>
      <c r="AM115" s="4">
        <f>Table1[[#This Row],[Prefill]]/Table1[[#This Row],[estPrefill]]</f>
        <v>0.29271008288214312</v>
      </c>
      <c r="AN115" s="4">
        <f>Table1[[#This Row],[Prefill]]/Table1[[#This Row],[TTFT]]</f>
        <v>0.77380342609536978</v>
      </c>
      <c r="AO115" s="10">
        <f>Table1[[#This Row],[Run]]/(Table1[[#This Row],[Out-Tok]]*Table1[[#This Row],[RPS]])</f>
        <v>2.5485008818342147E-2</v>
      </c>
      <c r="AP115" s="4">
        <f>Table1[[#This Row],[ITL]]/Table1[[#This Row],[estITL]]</f>
        <v>1.0017094985823354</v>
      </c>
      <c r="AQ115" s="44">
        <f>Table1[[#This Row],[E2E]]-Table1[[#This Row],[TTFT]]+Table1[[#This Row],[ITL]]</f>
        <v>5.0413325490693621</v>
      </c>
      <c r="AR115" s="4">
        <f>Table1[[#This Row],[estDecode]]/Table1[[#This Row],[Run]]</f>
        <v>0.23549477305341313</v>
      </c>
      <c r="AS115" s="44">
        <f>Table1[[#This Row],[Prefill]]+Table1[[#This Row],[Out-Tok]]*Table1[[#This Row],[ITL]]</f>
        <v>5.3585751235207724</v>
      </c>
      <c r="AT115" s="5">
        <f>Table1[[#This Row],[estPrefill]]+Table1[[#This Row],[Out-Tok]]*Table1[[#This Row],[ITL]]</f>
        <v>5.9695734081919145</v>
      </c>
      <c r="AU115" s="4">
        <f>Table1[[#This Row],[E2E]]/Table1[[#This Row],[estE2E]]</f>
        <v>0.89496839413118756</v>
      </c>
      <c r="AV115" s="5">
        <f>Table1[[#This Row],[N]]/Table1[[#This Row],[estE2E]]</f>
        <v>3.9423104145266898</v>
      </c>
      <c r="AW115" s="5">
        <f>Table1[[#This Row],[PPS]]/Table1[[#This Row],[In-Tok]]</f>
        <v>4.8619083333333339</v>
      </c>
      <c r="AX115" s="4">
        <f>Table1[[#This Row],[RPS]]/Table1[[#This Row],[RPS(IL)]]</f>
        <v>0.86385832723433353</v>
      </c>
      <c r="AY115" s="5">
        <f>Table1[[#This Row],[GPS]]/Table1[[#This Row],[Out-Tok]]</f>
        <v>4.3685416666666672</v>
      </c>
      <c r="AZ115" s="89">
        <f>Table1[[#This Row],[RPS]]/Table1[[#This Row],[RPS(OL)]]</f>
        <v>0.96141923792264761</v>
      </c>
      <c r="BA115" s="135">
        <f>MaxTok/Table1[[#This Row],[tok/req]]</f>
        <v>76.061227841677507</v>
      </c>
      <c r="BB115" s="4">
        <f>Table1[[#This Row],[N]]/Table1[[#This Row],[N-max]]</f>
        <v>0.30940746139916031</v>
      </c>
      <c r="BC115" s="44">
        <f>Table1[[#This Row],[RPS]]</f>
        <v>4.2</v>
      </c>
      <c r="BD115" s="47">
        <f>Table1[[#This Row],[PPS]]/Table1[[#This Row],[RPS success]]</f>
        <v>5787.9861111111113</v>
      </c>
      <c r="BE115" s="4">
        <f>ABS(Table1[[#This Row],[est-In-Tok3]]-Table1[[#This Row],[In-Tok]])/Table1[[#This Row],[In-Tok]]</f>
        <v>0.15759722222222225</v>
      </c>
      <c r="BF115" s="47">
        <f>Table1[[#This Row],[GPS]]/Table1[[#This Row],[RPS success]]</f>
        <v>208.02579365079364</v>
      </c>
      <c r="BG115" s="4">
        <f>ABS(Table1[[#This Row],[est-Out-Tok3]]-Table1[[#This Row],[Out-Tok]])/Table1[[#This Row],[Out-Tok]]</f>
        <v>4.0128968253968222E-2</v>
      </c>
      <c r="BH115" s="162">
        <f>Table1[[#This Row],[est-In-Tok3]]+AvgOutLoad*Table1[[#This Row],[est-Out-Tok3]]</f>
        <v>5891.999007936508</v>
      </c>
      <c r="BI115" s="4">
        <f>ABS(Table1[[#This Row],[est-Tok/Req3]]-Table1[[#This Row],[tok/req]])/Table1[[#This Row],[tok/req]]</f>
        <v>0.15529392312480547</v>
      </c>
      <c r="BJ115" s="162">
        <f>MaxTok/Table1[[#This Row],[est-Tok/Req3]]</f>
        <v>65.837122760889542</v>
      </c>
      <c r="BK115" s="4">
        <f>ABS(Table1[[#This Row],[est-N-max3]]-Table1[[#This Row],[N-max]])/Table1[[#This Row],[N-max]]</f>
        <v>0.13441940619298942</v>
      </c>
      <c r="BL115" s="44">
        <f>MaxTok*Table1[[#This Row],[Kvcache]]/Table1[[#This Row],[Run]]</f>
        <v>5107.1367491832334</v>
      </c>
      <c r="BM115" s="170">
        <f>ABS(Table1[[#This Row],[est-Tok/Req]]-Table1[[#This Row],[tok/req]])/Table1[[#This Row],[tok/req]]</f>
        <v>1.3993625849477265E-3</v>
      </c>
      <c r="BN115" s="44">
        <f>MaxTok/Table1[[#This Row],[est-Tok/Req]]</f>
        <v>75.954939341421152</v>
      </c>
      <c r="BO115" s="180">
        <f>Table1[[#This Row],[Run]]/Table1[[#This Row],[Kvcache]]</f>
        <v>75.954939341421138</v>
      </c>
      <c r="BP115" s="4" cm="1">
        <f t="array" aca="1" ref="BP115" ca="1">_xlfn.CEILING.MATH(INDIRECT("Table1"&amp;BP$3)/BP$2)*BP$2</f>
        <v>6000</v>
      </c>
      <c r="BQ115" s="4" cm="1">
        <f t="array" aca="1" ref="BQ115" ca="1">_xlfn.CEILING.MATH(INDIRECT("Table1"&amp;BQ$3)/BQ$2)*BQ$2</f>
        <v>0.03</v>
      </c>
      <c r="BR115" s="4" cm="1">
        <f t="array" aca="1" ref="BR115" ca="1">_xlfn.CEILING.MATH(INDIRECT("Table1"&amp;BR$3)/BR$2)*BR$2</f>
        <v>0.30000000000000004</v>
      </c>
      <c r="BS115" s="4" cm="1">
        <f t="array" aca="1" ref="BS115" ca="1">_xlfn.CEILING.MATH(INDIRECT("Table1"&amp;BS$3)/BS$2)*BS$2</f>
        <v>0.28999999999999998</v>
      </c>
      <c r="BT115" s="3" cm="1">
        <f t="array" aca="1" ref="BT115" ca="1">_xlfn.CEILING.MATH(INDIRECT("Table1"&amp;BT$3)/BT$2)*BT$2</f>
        <v>22</v>
      </c>
      <c r="BU115" s="135" cm="1">
        <f t="array" aca="1" ref="BU115" ca="1">_xlfn.CEILING.MATH(INDIRECT("Table1"&amp;BU$3)/BU$2)*BU$2</f>
        <v>25</v>
      </c>
      <c r="BV115" s="135" cm="1">
        <f t="array" aca="1" ref="BV115" ca="1">_xlfn.CEILING.MATH(INDIRECT("Table1"&amp;BV$3)/BV$2)*BV$2</f>
        <v>5000</v>
      </c>
      <c r="BW115" s="4"/>
      <c r="BX115" s="4"/>
      <c r="BY115" s="190">
        <v>0.54504784070338763</v>
      </c>
      <c r="BZ115" s="4"/>
      <c r="CA115" s="3"/>
      <c r="CF115" s="5"/>
      <c r="CH115" s="8"/>
      <c r="CI115" s="8"/>
      <c r="CJ115" s="14"/>
      <c r="CK115" s="8"/>
      <c r="CL115" s="8"/>
      <c r="CM115" s="8"/>
      <c r="CN115" s="8"/>
      <c r="CO115" s="8"/>
      <c r="CP115" s="8"/>
      <c r="CQ115" s="8">
        <f>Table1[[#This Row],[In-Tok]]+AvgOutLoad*Table1[[#This Row],[Out-Tok]]</f>
        <v>5100</v>
      </c>
      <c r="CR115" s="8"/>
      <c r="CS115" s="8"/>
      <c r="CT115" s="8"/>
      <c r="CU115" s="8"/>
      <c r="CV115" s="8"/>
      <c r="CW115" s="8"/>
      <c r="CX115" s="8"/>
      <c r="CY115" s="8"/>
      <c r="GJ115"/>
    </row>
    <row r="116" spans="1:192" hidden="1" x14ac:dyDescent="0.25">
      <c r="A116" s="3">
        <v>5000</v>
      </c>
      <c r="B116" s="3">
        <v>200</v>
      </c>
      <c r="C116">
        <v>4.4000000000000004</v>
      </c>
      <c r="D116" s="199">
        <f>Table1[[#This Row],[Kvcache]]</f>
        <v>0.36012700054593</v>
      </c>
      <c r="E116" s="4" t="s">
        <v>143</v>
      </c>
      <c r="F116" s="219">
        <v>46092</v>
      </c>
      <c r="G116" s="10"/>
      <c r="H116" s="10">
        <v>0.3266886337283364</v>
      </c>
      <c r="I116" s="10">
        <v>0.25693345001399481</v>
      </c>
      <c r="J116" s="10">
        <v>0.95574524956475482</v>
      </c>
      <c r="K116" s="10">
        <v>1.5234337250391643</v>
      </c>
      <c r="L116" s="10">
        <v>1.6795192098617548</v>
      </c>
      <c r="M116" s="10">
        <v>2.9272509485958415E-2</v>
      </c>
      <c r="N116" s="10">
        <v>6.1356892775251808</v>
      </c>
      <c r="O116" s="47">
        <v>25692.991666666669</v>
      </c>
      <c r="P116" s="47">
        <v>917.10833333333323</v>
      </c>
      <c r="Q116" s="5">
        <v>27.333333333333332</v>
      </c>
      <c r="R116" s="5">
        <v>46.666666666666664</v>
      </c>
      <c r="S116" s="170">
        <v>0.36012700054593</v>
      </c>
      <c r="T116" s="170">
        <v>0.61401603310059472</v>
      </c>
      <c r="U116" s="20">
        <f>(Table1[[#This Row],[In-Tok]]+Table1[[#This Row],[Out-Tok]])*Table1[[#This Row],[RPS]]</f>
        <v>22880.000000000004</v>
      </c>
      <c r="V116" s="3">
        <f>Table1[[#This Row],[In-Tok]]+AvgOutLoad*Table1[[#This Row],[Out-Tok]]</f>
        <v>5100</v>
      </c>
      <c r="W116" s="3">
        <f>Table1[[#This Row],[In-Tok]]*Table1[[#This Row],[RPS]]</f>
        <v>22000</v>
      </c>
      <c r="X116" s="3">
        <f>Table1[[#This Row],[Out-Tok]]*Table1[[#This Row],[RPS]]</f>
        <v>880.00000000000011</v>
      </c>
      <c r="Y116" s="75">
        <f>Table1[[#This Row],[In-Tok]]/Table1[[#This Row],[Out-Tok]]</f>
        <v>25</v>
      </c>
      <c r="Z116" s="26">
        <f>Table1[[#This Row],[In-Tok]]*Table1[[#This Row],[N]]+AvgOutLoad*Table1[[#This Row],[Out-Tok]]*Table1[[#This Row],[Ndecode]]</f>
        <v>143516.30716457017</v>
      </c>
      <c r="AA116" s="3">
        <f>Table1[[#This Row],[tok(N)]]/Table1[[#This Row],[Kvcache]]</f>
        <v>398515.8206605126</v>
      </c>
      <c r="AB116" s="3">
        <f>Table1[[#This Row],[tok/req]]*Table1[[#This Row],[Run]]</f>
        <v>139400</v>
      </c>
      <c r="AC116" s="3">
        <f>Table1[[#This Row],[tok(Run)]]/Table1[[#This Row],[Kvcache]]</f>
        <v>387085.6664140104</v>
      </c>
      <c r="AD116" s="3">
        <f>Table1[[#This Row],[tok/req]]*Table1[[#This Row],[MaxRun]]</f>
        <v>238000</v>
      </c>
      <c r="AE116" s="3">
        <f>Table1[[#This Row],[tok(MaxRun)]]/Table1[[#This Row],[MaxKvcache]]</f>
        <v>387612.02830188681</v>
      </c>
      <c r="AF116" s="75">
        <f>Table1[[#This Row],[PPS]]*Table1[[#This Row],[Prefill]]/Table1[[#This Row],[In-Tok]]</f>
        <v>1.3202777980194971</v>
      </c>
      <c r="AG116" s="5">
        <f>Table1[[#This Row],[GPS]]*Table1[[#This Row],[ITL]]</f>
        <v>26.846062387151509</v>
      </c>
      <c r="AH116" s="5">
        <f>Table1[[#This Row],[Nprefill]]+Table1[[#This Row],[Ndecode]]</f>
        <v>28.166340185171006</v>
      </c>
      <c r="AI116" s="4">
        <f>Table1[[#This Row],[Run]]/Table1[[#This Row],[ITL]]/Table1[[#This Row],[GPS]]</f>
        <v>1.0181505555323089</v>
      </c>
      <c r="AJ116" s="10">
        <f>Table1[[#This Row],[Prefill]]+Table1[[#This Row],[ITL]]</f>
        <v>0.2862059594999532</v>
      </c>
      <c r="AK116" s="4">
        <f>Table1[[#This Row],[TTFT]]/Table1[[#This Row],[estTTFT]]</f>
        <v>1.1414459513670254</v>
      </c>
      <c r="AL116" s="5">
        <f>Table1[[#This Row],[In-Tok]]*Table1[[#This Row],[RPS]]/Table1[[#This Row],[PPS]]</f>
        <v>0.85626462988123542</v>
      </c>
      <c r="AM116" s="4">
        <f>Table1[[#This Row],[Prefill]]/Table1[[#This Row],[estPrefill]]</f>
        <v>0.30006313591352207</v>
      </c>
      <c r="AN116" s="4">
        <f>Table1[[#This Row],[Prefill]]/Table1[[#This Row],[TTFT]]</f>
        <v>0.78647808184123202</v>
      </c>
      <c r="AO116" s="10">
        <f>Table1[[#This Row],[Run]]/(Table1[[#This Row],[Out-Tok]]*Table1[[#This Row],[RPS]])</f>
        <v>3.1060606060606056E-2</v>
      </c>
      <c r="AP116" s="4">
        <f>Table1[[#This Row],[ITL]]/Table1[[#This Row],[estITL]]</f>
        <v>0.94243201271866128</v>
      </c>
      <c r="AQ116" s="44">
        <f>Table1[[#This Row],[E2E]]-Table1[[#This Row],[TTFT]]+Table1[[#This Row],[ITL]]</f>
        <v>5.8382731532828025</v>
      </c>
      <c r="AR116" s="4">
        <f>Table1[[#This Row],[estDecode]]/Table1[[#This Row],[Run]]</f>
        <v>0.21359535926644399</v>
      </c>
      <c r="AS116" s="44">
        <f>Table1[[#This Row],[Prefill]]+Table1[[#This Row],[Out-Tok]]*Table1[[#This Row],[ITL]]</f>
        <v>6.1114353472056777</v>
      </c>
      <c r="AT116" s="5">
        <f>Table1[[#This Row],[estPrefill]]+Table1[[#This Row],[Out-Tok]]*Table1[[#This Row],[ITL]]</f>
        <v>6.7107665270729182</v>
      </c>
      <c r="AU116" s="4">
        <f>Table1[[#This Row],[E2E]]/Table1[[#This Row],[estE2E]]</f>
        <v>0.91430528133742528</v>
      </c>
      <c r="AV116" s="5">
        <f>Table1[[#This Row],[N]]/Table1[[#This Row],[estE2E]]</f>
        <v>4.1971867254718092</v>
      </c>
      <c r="AW116" s="5">
        <f>Table1[[#This Row],[PPS]]/Table1[[#This Row],[In-Tok]]</f>
        <v>5.1385983333333334</v>
      </c>
      <c r="AX116" s="4">
        <f>Table1[[#This Row],[RPS]]/Table1[[#This Row],[RPS(IL)]]</f>
        <v>0.85626462988123553</v>
      </c>
      <c r="AY116" s="5">
        <f>Table1[[#This Row],[GPS]]/Table1[[#This Row],[Out-Tok]]</f>
        <v>4.585541666666666</v>
      </c>
      <c r="AZ116" s="89">
        <f>Table1[[#This Row],[RPS]]/Table1[[#This Row],[RPS(OL)]]</f>
        <v>0.95953767730093709</v>
      </c>
      <c r="BA116" s="135">
        <f>MaxTok/Table1[[#This Row],[tok/req]]</f>
        <v>76.061227841677507</v>
      </c>
      <c r="BB116" s="4">
        <f>Table1[[#This Row],[N]]/Table1[[#This Row],[N-max]]</f>
        <v>0.37031140548768987</v>
      </c>
      <c r="BC116" s="44">
        <f>Table1[[#This Row],[RPS]]</f>
        <v>4.4000000000000004</v>
      </c>
      <c r="BD116" s="47">
        <f>Table1[[#This Row],[PPS]]/Table1[[#This Row],[RPS success]]</f>
        <v>5839.316287878788</v>
      </c>
      <c r="BE116" s="4">
        <f>ABS(Table1[[#This Row],[est-In-Tok3]]-Table1[[#This Row],[In-Tok]])/Table1[[#This Row],[In-Tok]]</f>
        <v>0.1678632575757576</v>
      </c>
      <c r="BF116" s="47">
        <f>Table1[[#This Row],[GPS]]/Table1[[#This Row],[RPS success]]</f>
        <v>208.43371212121207</v>
      </c>
      <c r="BG116" s="4">
        <f>ABS(Table1[[#This Row],[est-Out-Tok3]]-Table1[[#This Row],[Out-Tok]])/Table1[[#This Row],[Out-Tok]]</f>
        <v>4.2168560606060342E-2</v>
      </c>
      <c r="BH116" s="162">
        <f>Table1[[#This Row],[est-In-Tok3]]+AvgOutLoad*Table1[[#This Row],[est-Out-Tok3]]</f>
        <v>5943.533143939394</v>
      </c>
      <c r="BI116" s="4">
        <f>ABS(Table1[[#This Row],[est-Tok/Req3]]-Table1[[#This Row],[tok/req]])/Table1[[#This Row],[tok/req]]</f>
        <v>0.16539865567439099</v>
      </c>
      <c r="BJ116" s="162">
        <f>MaxTok/Table1[[#This Row],[est-Tok/Req3]]</f>
        <v>65.26627388090003</v>
      </c>
      <c r="BK116" s="4">
        <f>ABS(Table1[[#This Row],[est-N-max3]]-Table1[[#This Row],[N-max]])/Table1[[#This Row],[N-max]]</f>
        <v>0.14192452931797686</v>
      </c>
      <c r="BL116" s="44">
        <f>MaxTok*Table1[[#This Row],[Kvcache]]/Table1[[#This Row],[Run]]</f>
        <v>5110.890709257289</v>
      </c>
      <c r="BM116" s="170">
        <f>ABS(Table1[[#This Row],[est-Tok/Req]]-Table1[[#This Row],[tok/req]])/Table1[[#This Row],[tok/req]]</f>
        <v>2.1354331877037288E-3</v>
      </c>
      <c r="BN116" s="44">
        <f>MaxTok/Table1[[#This Row],[est-Tok/Req]]</f>
        <v>75.899150277256936</v>
      </c>
      <c r="BO116" s="180">
        <f>Table1[[#This Row],[Run]]/Table1[[#This Row],[Kvcache]]</f>
        <v>75.899150277256936</v>
      </c>
      <c r="BP116" s="4" cm="1">
        <f t="array" aca="1" ref="BP116" ca="1">_xlfn.CEILING.MATH(INDIRECT("Table1"&amp;BP$3)/BP$2)*BP$2</f>
        <v>6000</v>
      </c>
      <c r="BQ116" s="4" cm="1">
        <f t="array" aca="1" ref="BQ116" ca="1">_xlfn.CEILING.MATH(INDIRECT("Table1"&amp;BQ$3)/BQ$2)*BQ$2</f>
        <v>0.03</v>
      </c>
      <c r="BR116" s="4" cm="1">
        <f t="array" aca="1" ref="BR116" ca="1">_xlfn.CEILING.MATH(INDIRECT("Table1"&amp;BR$3)/BR$2)*BR$2</f>
        <v>0.4</v>
      </c>
      <c r="BS116" s="4" cm="1">
        <f t="array" aca="1" ref="BS116" ca="1">_xlfn.CEILING.MATH(INDIRECT("Table1"&amp;BS$3)/BS$2)*BS$2</f>
        <v>0.37</v>
      </c>
      <c r="BT116" s="3" cm="1">
        <f t="array" aca="1" ref="BT116" ca="1">_xlfn.CEILING.MATH(INDIRECT("Table1"&amp;BT$3)/BT$2)*BT$2</f>
        <v>28</v>
      </c>
      <c r="BU116" s="135" cm="1">
        <f t="array" aca="1" ref="BU116" ca="1">_xlfn.CEILING.MATH(INDIRECT("Table1"&amp;BU$3)/BU$2)*BU$2</f>
        <v>25</v>
      </c>
      <c r="BV116" s="135" cm="1">
        <f t="array" aca="1" ref="BV116" ca="1">_xlfn.CEILING.MATH(INDIRECT("Table1"&amp;BV$3)/BV$2)*BV$2</f>
        <v>5000</v>
      </c>
      <c r="BW116" s="4"/>
      <c r="BX116" s="4"/>
      <c r="BY116" s="190">
        <v>0.61401603310059472</v>
      </c>
      <c r="BZ116" s="4"/>
      <c r="CA116" s="3"/>
      <c r="CF116" s="5"/>
      <c r="CH116" s="8"/>
      <c r="CI116" s="8"/>
      <c r="CJ116" s="14"/>
      <c r="CK116" s="8"/>
      <c r="CL116" s="8"/>
      <c r="CM116" s="8"/>
      <c r="CN116" s="8"/>
      <c r="CO116" s="8"/>
      <c r="CP116" s="8"/>
      <c r="CQ116" s="8">
        <f>Table1[[#This Row],[In-Tok]]+AvgOutLoad*Table1[[#This Row],[Out-Tok]]</f>
        <v>5100</v>
      </c>
      <c r="CR116" s="8"/>
      <c r="CS116" s="8"/>
      <c r="CT116" s="8"/>
      <c r="CU116" s="8"/>
      <c r="CV116" s="8"/>
      <c r="CW116" s="8"/>
      <c r="CX116" s="8"/>
      <c r="CY116" s="8"/>
      <c r="GJ116"/>
    </row>
    <row r="117" spans="1:192" hidden="1" x14ac:dyDescent="0.25">
      <c r="A117" s="3">
        <v>5000</v>
      </c>
      <c r="B117" s="3">
        <v>200</v>
      </c>
      <c r="C117">
        <v>4.5999999999999996</v>
      </c>
      <c r="D117" s="199">
        <f>Table1[[#This Row],[Kvcache]]</f>
        <v>0.29222768152170792</v>
      </c>
      <c r="E117" s="4" t="s">
        <v>143</v>
      </c>
      <c r="F117" s="219">
        <v>46092</v>
      </c>
      <c r="G117" s="10"/>
      <c r="H117" s="10">
        <v>0.35544496792904373</v>
      </c>
      <c r="I117" s="10">
        <v>0.27919130141827481</v>
      </c>
      <c r="J117" s="10">
        <v>1.059824705999391</v>
      </c>
      <c r="K117" s="10">
        <v>2.0505916754404701</v>
      </c>
      <c r="L117" s="10">
        <v>2.4307533311843872</v>
      </c>
      <c r="M117" s="10">
        <v>2.6751555661055363E-2</v>
      </c>
      <c r="N117" s="10">
        <v>5.6498766999252661</v>
      </c>
      <c r="O117" s="47">
        <v>24445.774999999998</v>
      </c>
      <c r="P117" s="47">
        <v>884.96249999999998</v>
      </c>
      <c r="Q117" s="5">
        <v>22.148148148148142</v>
      </c>
      <c r="R117" s="5">
        <v>42</v>
      </c>
      <c r="S117" s="170">
        <v>0.29222768152170792</v>
      </c>
      <c r="T117" s="170">
        <v>0.5559606930437031</v>
      </c>
      <c r="U117" s="20">
        <f>(Table1[[#This Row],[In-Tok]]+Table1[[#This Row],[Out-Tok]])*Table1[[#This Row],[RPS]]</f>
        <v>23919.999999999996</v>
      </c>
      <c r="V117" s="3">
        <f>Table1[[#This Row],[In-Tok]]+AvgOutLoad*Table1[[#This Row],[Out-Tok]]</f>
        <v>5100</v>
      </c>
      <c r="W117" s="3">
        <f>Table1[[#This Row],[In-Tok]]*Table1[[#This Row],[RPS]]</f>
        <v>23000</v>
      </c>
      <c r="X117" s="3">
        <f>Table1[[#This Row],[Out-Tok]]*Table1[[#This Row],[RPS]]</f>
        <v>919.99999999999989</v>
      </c>
      <c r="Y117" s="75">
        <f>Table1[[#This Row],[In-Tok]]/Table1[[#This Row],[Out-Tok]]</f>
        <v>25</v>
      </c>
      <c r="Z117" s="26">
        <f>Table1[[#This Row],[In-Tok]]*Table1[[#This Row],[N]]+AvgOutLoad*Table1[[#This Row],[Out-Tok]]*Table1[[#This Row],[Ndecode]]</f>
        <v>127563.07797758153</v>
      </c>
      <c r="AA117" s="3">
        <f>Table1[[#This Row],[tok(N)]]/Table1[[#This Row],[Kvcache]]</f>
        <v>436519.48820634093</v>
      </c>
      <c r="AB117" s="3">
        <f>Table1[[#This Row],[tok/req]]*Table1[[#This Row],[Run]]</f>
        <v>112955.55555555552</v>
      </c>
      <c r="AC117" s="3">
        <f>Table1[[#This Row],[tok(Run)]]/Table1[[#This Row],[Kvcache]]</f>
        <v>386532.70274522126</v>
      </c>
      <c r="AD117" s="3">
        <f>Table1[[#This Row],[tok/req]]*Table1[[#This Row],[MaxRun]]</f>
        <v>214200</v>
      </c>
      <c r="AE117" s="3">
        <f>Table1[[#This Row],[tok(MaxRun)]]/Table1[[#This Row],[MaxKvcache]]</f>
        <v>385279.03623424348</v>
      </c>
      <c r="AF117" s="75">
        <f>Table1[[#This Row],[PPS]]*Table1[[#This Row],[Prefill]]/Table1[[#This Row],[In-Tok]]</f>
        <v>1.3650095472856651</v>
      </c>
      <c r="AG117" s="5">
        <f>Table1[[#This Row],[GPS]]*Table1[[#This Row],[ITL]]</f>
        <v>23.674123576696704</v>
      </c>
      <c r="AH117" s="5">
        <f>Table1[[#This Row],[Nprefill]]+Table1[[#This Row],[Ndecode]]</f>
        <v>25.039133123982371</v>
      </c>
      <c r="AI117" s="4">
        <f>Table1[[#This Row],[Run]]/Table1[[#This Row],[ITL]]/Table1[[#This Row],[GPS]]</f>
        <v>0.9355424743135734</v>
      </c>
      <c r="AJ117" s="10">
        <f>Table1[[#This Row],[Prefill]]+Table1[[#This Row],[ITL]]</f>
        <v>0.30594285707933017</v>
      </c>
      <c r="AK117" s="4">
        <f>Table1[[#This Row],[TTFT]]/Table1[[#This Row],[estTTFT]]</f>
        <v>1.1618018192099115</v>
      </c>
      <c r="AL117" s="5">
        <f>Table1[[#This Row],[In-Tok]]*Table1[[#This Row],[RPS]]/Table1[[#This Row],[PPS]]</f>
        <v>0.94085787830412426</v>
      </c>
      <c r="AM117" s="4">
        <f>Table1[[#This Row],[Prefill]]/Table1[[#This Row],[estPrefill]]</f>
        <v>0.29674120593166636</v>
      </c>
      <c r="AN117" s="4">
        <f>Table1[[#This Row],[Prefill]]/Table1[[#This Row],[TTFT]]</f>
        <v>0.78546983811572435</v>
      </c>
      <c r="AO117" s="10">
        <f>Table1[[#This Row],[Run]]/(Table1[[#This Row],[Out-Tok]]*Table1[[#This Row],[RPS]])</f>
        <v>2.4074074074074071E-2</v>
      </c>
      <c r="AP117" s="4">
        <f>Table1[[#This Row],[ITL]]/Table1[[#This Row],[estITL]]</f>
        <v>1.1112184659207613</v>
      </c>
      <c r="AQ117" s="44">
        <f>Table1[[#This Row],[E2E]]-Table1[[#This Row],[TTFT]]+Table1[[#This Row],[ITL]]</f>
        <v>5.321183287657278</v>
      </c>
      <c r="AR117" s="4">
        <f>Table1[[#This Row],[estDecode]]/Table1[[#This Row],[Run]]</f>
        <v>0.2402540949276698</v>
      </c>
      <c r="AS117" s="44">
        <f>Table1[[#This Row],[Prefill]]+Table1[[#This Row],[Out-Tok]]*Table1[[#This Row],[ITL]]</f>
        <v>5.629502433629348</v>
      </c>
      <c r="AT117" s="5">
        <f>Table1[[#This Row],[estPrefill]]+Table1[[#This Row],[Out-Tok]]*Table1[[#This Row],[ITL]]</f>
        <v>6.2911690105151967</v>
      </c>
      <c r="AU117" s="4">
        <f>Table1[[#This Row],[E2E]]/Table1[[#This Row],[estE2E]]</f>
        <v>0.89806468249095506</v>
      </c>
      <c r="AV117" s="5">
        <f>Table1[[#This Row],[N]]/Table1[[#This Row],[estE2E]]</f>
        <v>3.9800445802888809</v>
      </c>
      <c r="AW117" s="5">
        <f>Table1[[#This Row],[PPS]]/Table1[[#This Row],[In-Tok]]</f>
        <v>4.8891549999999997</v>
      </c>
      <c r="AX117" s="4">
        <f>Table1[[#This Row],[RPS]]/Table1[[#This Row],[RPS(IL)]]</f>
        <v>0.94085787830412415</v>
      </c>
      <c r="AY117" s="5">
        <f>Table1[[#This Row],[GPS]]/Table1[[#This Row],[Out-Tok]]</f>
        <v>4.4248124999999998</v>
      </c>
      <c r="AZ117" s="89">
        <f>Table1[[#This Row],[RPS]]/Table1[[#This Row],[RPS(OL)]]</f>
        <v>1.0395920731104424</v>
      </c>
      <c r="BA117" s="135">
        <f>MaxTok/Table1[[#This Row],[tok/req]]</f>
        <v>76.061227841677507</v>
      </c>
      <c r="BB117" s="4">
        <f>Table1[[#This Row],[N]]/Table1[[#This Row],[N-max]]</f>
        <v>0.32919706707998025</v>
      </c>
      <c r="BC117" s="44">
        <f>Table1[[#This Row],[RPS]]</f>
        <v>4.5999999999999996</v>
      </c>
      <c r="BD117" s="47">
        <f>Table1[[#This Row],[PPS]]/Table1[[#This Row],[RPS success]]</f>
        <v>5314.298913043478</v>
      </c>
      <c r="BE117" s="4">
        <f>ABS(Table1[[#This Row],[est-In-Tok3]]-Table1[[#This Row],[In-Tok]])/Table1[[#This Row],[In-Tok]]</f>
        <v>6.2859782608695611E-2</v>
      </c>
      <c r="BF117" s="47">
        <f>Table1[[#This Row],[GPS]]/Table1[[#This Row],[RPS success]]</f>
        <v>192.38315217391306</v>
      </c>
      <c r="BG117" s="4">
        <f>ABS(Table1[[#This Row],[est-Out-Tok3]]-Table1[[#This Row],[Out-Tok]])/Table1[[#This Row],[Out-Tok]]</f>
        <v>3.8084239130434697E-2</v>
      </c>
      <c r="BH117" s="162">
        <f>Table1[[#This Row],[est-In-Tok3]]+AvgOutLoad*Table1[[#This Row],[est-Out-Tok3]]</f>
        <v>5410.490489130435</v>
      </c>
      <c r="BI117" s="4">
        <f>ABS(Table1[[#This Row],[est-Tok/Req3]]-Table1[[#This Row],[tok/req]])/Table1[[#This Row],[tok/req]]</f>
        <v>6.0880488064791176E-2</v>
      </c>
      <c r="BJ117" s="162">
        <f>MaxTok/Table1[[#This Row],[est-Tok/Req3]]</f>
        <v>71.696320836689964</v>
      </c>
      <c r="BK117" s="4">
        <f>ABS(Table1[[#This Row],[est-N-max3]]-Table1[[#This Row],[N-max]])/Table1[[#This Row],[N-max]]</f>
        <v>5.7386754445683648E-2</v>
      </c>
      <c r="BL117" s="44">
        <f>MaxTok*Table1[[#This Row],[Kvcache]]/Table1[[#This Row],[Run]]</f>
        <v>5118.2022170735727</v>
      </c>
      <c r="BM117" s="170">
        <f>ABS(Table1[[#This Row],[est-Tok/Req]]-Table1[[#This Row],[tok/req]])/Table1[[#This Row],[tok/req]]</f>
        <v>3.5690621712887614E-3</v>
      </c>
      <c r="BN117" s="44">
        <f>MaxTok/Table1[[#This Row],[est-Tok/Req]]</f>
        <v>75.790726028474765</v>
      </c>
      <c r="BO117" s="180">
        <f>Table1[[#This Row],[Run]]/Table1[[#This Row],[Kvcache]]</f>
        <v>75.790726028474765</v>
      </c>
      <c r="BP117" s="4" cm="1">
        <f t="array" aca="1" ref="BP117" ca="1">_xlfn.CEILING.MATH(INDIRECT("Table1"&amp;BP$3)/BP$2)*BP$2</f>
        <v>6000</v>
      </c>
      <c r="BQ117" s="4" cm="1">
        <f t="array" aca="1" ref="BQ117" ca="1">_xlfn.CEILING.MATH(INDIRECT("Table1"&amp;BQ$3)/BQ$2)*BQ$2</f>
        <v>0.03</v>
      </c>
      <c r="BR117" s="4" cm="1">
        <f t="array" aca="1" ref="BR117" ca="1">_xlfn.CEILING.MATH(INDIRECT("Table1"&amp;BR$3)/BR$2)*BR$2</f>
        <v>0.30000000000000004</v>
      </c>
      <c r="BS117" s="4" cm="1">
        <f t="array" aca="1" ref="BS117" ca="1">_xlfn.CEILING.MATH(INDIRECT("Table1"&amp;BS$3)/BS$2)*BS$2</f>
        <v>0.3</v>
      </c>
      <c r="BT117" s="3" cm="1">
        <f t="array" aca="1" ref="BT117" ca="1">_xlfn.CEILING.MATH(INDIRECT("Table1"&amp;BT$3)/BT$2)*BT$2</f>
        <v>23</v>
      </c>
      <c r="BU117" s="135" cm="1">
        <f t="array" aca="1" ref="BU117" ca="1">_xlfn.CEILING.MATH(INDIRECT("Table1"&amp;BU$3)/BU$2)*BU$2</f>
        <v>25</v>
      </c>
      <c r="BV117" s="135" cm="1">
        <f t="array" aca="1" ref="BV117" ca="1">_xlfn.CEILING.MATH(INDIRECT("Table1"&amp;BV$3)/BV$2)*BV$2</f>
        <v>5000</v>
      </c>
      <c r="BW117" s="4"/>
      <c r="BX117" s="4"/>
      <c r="BY117" s="190">
        <v>0.5559606930437031</v>
      </c>
      <c r="BZ117" s="4"/>
      <c r="CA117" s="3"/>
      <c r="CF117" s="5"/>
      <c r="CH117" s="8"/>
      <c r="CI117" s="8"/>
      <c r="CJ117" s="14"/>
      <c r="CK117" s="8"/>
      <c r="CL117" s="8"/>
      <c r="CM117" s="8"/>
      <c r="CN117" s="8"/>
      <c r="CO117" s="8"/>
      <c r="CP117" s="8"/>
      <c r="CQ117" s="8">
        <f>Table1[[#This Row],[In-Tok]]+AvgOutLoad*Table1[[#This Row],[Out-Tok]]</f>
        <v>5100</v>
      </c>
      <c r="CR117" s="8"/>
      <c r="CS117" s="8"/>
      <c r="CT117" s="8"/>
      <c r="CU117" s="8"/>
      <c r="CV117" s="8"/>
      <c r="CW117" s="8"/>
      <c r="CX117" s="8"/>
      <c r="CY117" s="8"/>
      <c r="GJ117"/>
    </row>
    <row r="118" spans="1:192" hidden="1" x14ac:dyDescent="0.25">
      <c r="A118" s="3">
        <v>5000</v>
      </c>
      <c r="B118" s="3">
        <v>200</v>
      </c>
      <c r="C118">
        <v>4.8</v>
      </c>
      <c r="D118" s="199">
        <f>Table1[[#This Row],[Kvcache]]</f>
        <v>0.36374881475734844</v>
      </c>
      <c r="E118" s="4" t="s">
        <v>143</v>
      </c>
      <c r="F118" s="219">
        <v>46092</v>
      </c>
      <c r="G118" s="10"/>
      <c r="H118" s="10">
        <v>0.8747314821377975</v>
      </c>
      <c r="I118" s="10">
        <v>0.59217835931553797</v>
      </c>
      <c r="J118" s="10">
        <v>2.2686812809211454</v>
      </c>
      <c r="K118" s="10">
        <v>4.7535823742548615</v>
      </c>
      <c r="L118" s="10">
        <v>5.3293503650029512</v>
      </c>
      <c r="M118" s="10">
        <v>3.4661223681564719E-2</v>
      </c>
      <c r="N118" s="10">
        <v>7.5911966349946418</v>
      </c>
      <c r="O118" s="47">
        <v>27799.237500000003</v>
      </c>
      <c r="P118" s="47">
        <v>1001.0291666666666</v>
      </c>
      <c r="Q118" s="5">
        <v>27.597222222222218</v>
      </c>
      <c r="R118" s="5">
        <v>63</v>
      </c>
      <c r="S118" s="170">
        <v>0.36374881475734844</v>
      </c>
      <c r="T118" s="170">
        <v>0.835195241789501</v>
      </c>
      <c r="U118" s="20">
        <f>(Table1[[#This Row],[In-Tok]]+Table1[[#This Row],[Out-Tok]])*Table1[[#This Row],[RPS]]</f>
        <v>24960</v>
      </c>
      <c r="V118" s="3">
        <f>Table1[[#This Row],[In-Tok]]+AvgOutLoad*Table1[[#This Row],[Out-Tok]]</f>
        <v>5100</v>
      </c>
      <c r="W118" s="3">
        <f>Table1[[#This Row],[In-Tok]]*Table1[[#This Row],[RPS]]</f>
        <v>24000</v>
      </c>
      <c r="X118" s="3">
        <f>Table1[[#This Row],[Out-Tok]]*Table1[[#This Row],[RPS]]</f>
        <v>960</v>
      </c>
      <c r="Y118" s="75">
        <f>Table1[[#This Row],[In-Tok]]/Table1[[#This Row],[Out-Tok]]</f>
        <v>25</v>
      </c>
      <c r="Z118" s="26">
        <f>Table1[[#This Row],[In-Tok]]*Table1[[#This Row],[N]]+AvgOutLoad*Table1[[#This Row],[Out-Tok]]*Table1[[#This Row],[Ndecode]]</f>
        <v>193416.27572675163</v>
      </c>
      <c r="AA118" s="3">
        <f>Table1[[#This Row],[tok(N)]]/Table1[[#This Row],[Kvcache]]</f>
        <v>531730.32565281843</v>
      </c>
      <c r="AB118" s="3">
        <f>Table1[[#This Row],[tok/req]]*Table1[[#This Row],[Run]]</f>
        <v>140745.83333333331</v>
      </c>
      <c r="AC118" s="3">
        <f>Table1[[#This Row],[tok(Run)]]/Table1[[#This Row],[Kvcache]]</f>
        <v>386931.38677915093</v>
      </c>
      <c r="AD118" s="3">
        <f>Table1[[#This Row],[tok/req]]*Table1[[#This Row],[MaxRun]]</f>
        <v>321300</v>
      </c>
      <c r="AE118" s="3">
        <f>Table1[[#This Row],[tok(MaxRun)]]/Table1[[#This Row],[MaxKvcache]]</f>
        <v>384700.46753568441</v>
      </c>
      <c r="AF118" s="75">
        <f>Table1[[#This Row],[PPS]]*Table1[[#This Row],[Prefill]]/Table1[[#This Row],[In-Tok]]</f>
        <v>3.2924213705945955</v>
      </c>
      <c r="AG118" s="5">
        <f>Table1[[#This Row],[GPS]]*Table1[[#This Row],[ITL]]</f>
        <v>34.696895857603657</v>
      </c>
      <c r="AH118" s="5">
        <f>Table1[[#This Row],[Nprefill]]+Table1[[#This Row],[Ndecode]]</f>
        <v>37.989317228198253</v>
      </c>
      <c r="AI118" s="4">
        <f>Table1[[#This Row],[Run]]/Table1[[#This Row],[ITL]]/Table1[[#This Row],[GPS]]</f>
        <v>0.79538014972525029</v>
      </c>
      <c r="AJ118" s="10">
        <f>Table1[[#This Row],[Prefill]]+Table1[[#This Row],[ITL]]</f>
        <v>0.62683958299710274</v>
      </c>
      <c r="AK118" s="4">
        <f>Table1[[#This Row],[TTFT]]/Table1[[#This Row],[estTTFT]]</f>
        <v>1.3954630592335144</v>
      </c>
      <c r="AL118" s="5">
        <f>Table1[[#This Row],[In-Tok]]*Table1[[#This Row],[RPS]]/Table1[[#This Row],[PPS]]</f>
        <v>0.86333303206607725</v>
      </c>
      <c r="AM118" s="4">
        <f>Table1[[#This Row],[Prefill]]/Table1[[#This Row],[estPrefill]]</f>
        <v>0.68592111887387419</v>
      </c>
      <c r="AN118" s="4">
        <f>Table1[[#This Row],[Prefill]]/Table1[[#This Row],[TTFT]]</f>
        <v>0.67698301868395705</v>
      </c>
      <c r="AO118" s="10">
        <f>Table1[[#This Row],[Run]]/(Table1[[#This Row],[Out-Tok]]*Table1[[#This Row],[RPS]])</f>
        <v>2.8747106481481478E-2</v>
      </c>
      <c r="AP118" s="4">
        <f>Table1[[#This Row],[ITL]]/Table1[[#This Row],[estITL]]</f>
        <v>1.2057291297784367</v>
      </c>
      <c r="AQ118" s="44">
        <f>Table1[[#This Row],[E2E]]-Table1[[#This Row],[TTFT]]+Table1[[#This Row],[ITL]]</f>
        <v>6.7511263765384086</v>
      </c>
      <c r="AR118" s="4">
        <f>Table1[[#This Row],[estDecode]]/Table1[[#This Row],[Run]]</f>
        <v>0.24463064877240337</v>
      </c>
      <c r="AS118" s="44">
        <f>Table1[[#This Row],[Prefill]]+Table1[[#This Row],[Out-Tok]]*Table1[[#This Row],[ITL]]</f>
        <v>7.5244230956284817</v>
      </c>
      <c r="AT118" s="5">
        <f>Table1[[#This Row],[estPrefill]]+Table1[[#This Row],[Out-Tok]]*Table1[[#This Row],[ITL]]</f>
        <v>7.7955777683790206</v>
      </c>
      <c r="AU118" s="4">
        <f>Table1[[#This Row],[E2E]]/Table1[[#This Row],[estE2E]]</f>
        <v>0.97378242646575808</v>
      </c>
      <c r="AV118" s="5">
        <f>Table1[[#This Row],[N]]/Table1[[#This Row],[estE2E]]</f>
        <v>4.8731881531979884</v>
      </c>
      <c r="AW118" s="5">
        <f>Table1[[#This Row],[PPS]]/Table1[[#This Row],[In-Tok]]</f>
        <v>5.5598475000000009</v>
      </c>
      <c r="AX118" s="4">
        <f>Table1[[#This Row],[RPS]]/Table1[[#This Row],[RPS(IL)]]</f>
        <v>0.86333303206607714</v>
      </c>
      <c r="AY118" s="5">
        <f>Table1[[#This Row],[GPS]]/Table1[[#This Row],[Out-Tok]]</f>
        <v>5.0051458333333327</v>
      </c>
      <c r="AZ118" s="89">
        <f>Table1[[#This Row],[RPS]]/Table1[[#This Row],[RPS(OL)]]</f>
        <v>0.95901301577126885</v>
      </c>
      <c r="BA118" s="135">
        <f>MaxTok/Table1[[#This Row],[tok/req]]</f>
        <v>76.061227841677507</v>
      </c>
      <c r="BB118" s="4">
        <f>Table1[[#This Row],[N]]/Table1[[#This Row],[N-max]]</f>
        <v>0.49945705987383665</v>
      </c>
      <c r="BC118" s="44">
        <f>Table1[[#This Row],[RPS]]</f>
        <v>4.8</v>
      </c>
      <c r="BD118" s="47">
        <f>Table1[[#This Row],[PPS]]/Table1[[#This Row],[RPS success]]</f>
        <v>5791.5078125000009</v>
      </c>
      <c r="BE118" s="4">
        <f>ABS(Table1[[#This Row],[est-In-Tok3]]-Table1[[#This Row],[In-Tok]])/Table1[[#This Row],[In-Tok]]</f>
        <v>0.15830156250000019</v>
      </c>
      <c r="BF118" s="47">
        <f>Table1[[#This Row],[GPS]]/Table1[[#This Row],[RPS success]]</f>
        <v>208.54774305555554</v>
      </c>
      <c r="BG118" s="4">
        <f>ABS(Table1[[#This Row],[est-Out-Tok3]]-Table1[[#This Row],[Out-Tok]])/Table1[[#This Row],[Out-Tok]]</f>
        <v>4.2738715277777714E-2</v>
      </c>
      <c r="BH118" s="162">
        <f>Table1[[#This Row],[est-In-Tok3]]+AvgOutLoad*Table1[[#This Row],[est-Out-Tok3]]</f>
        <v>5895.7816840277783</v>
      </c>
      <c r="BI118" s="4">
        <f>ABS(Table1[[#This Row],[est-Tok/Req3]]-Table1[[#This Row],[tok/req]])/Table1[[#This Row],[tok/req]]</f>
        <v>0.1560356243191722</v>
      </c>
      <c r="BJ118" s="162">
        <f>MaxTok/Table1[[#This Row],[est-Tok/Req3]]</f>
        <v>65.794882304316957</v>
      </c>
      <c r="BK118" s="4">
        <f>ABS(Table1[[#This Row],[est-N-max3]]-Table1[[#This Row],[N-max]])/Table1[[#This Row],[N-max]]</f>
        <v>0.13497475426941688</v>
      </c>
      <c r="BL118" s="44">
        <f>MaxTok*Table1[[#This Row],[Kvcache]]/Table1[[#This Row],[Run]]</f>
        <v>5112.928554672194</v>
      </c>
      <c r="BM118" s="170">
        <f>ABS(Table1[[#This Row],[est-Tok/Req]]-Table1[[#This Row],[tok/req]])/Table1[[#This Row],[tok/req]]</f>
        <v>2.535010720038033E-3</v>
      </c>
      <c r="BN118" s="44">
        <f>MaxTok/Table1[[#This Row],[est-Tok/Req]]</f>
        <v>75.868899368460973</v>
      </c>
      <c r="BO118" s="180">
        <f>Table1[[#This Row],[Run]]/Table1[[#This Row],[Kvcache]]</f>
        <v>75.868899368460973</v>
      </c>
      <c r="BP118" s="4" cm="1">
        <f t="array" aca="1" ref="BP118" ca="1">_xlfn.CEILING.MATH(INDIRECT("Table1"&amp;BP$3)/BP$2)*BP$2</f>
        <v>6000</v>
      </c>
      <c r="BQ118" s="4" cm="1">
        <f t="array" aca="1" ref="BQ118" ca="1">_xlfn.CEILING.MATH(INDIRECT("Table1"&amp;BQ$3)/BQ$2)*BQ$2</f>
        <v>3.5000000000000003E-2</v>
      </c>
      <c r="BR118" s="4" cm="1">
        <f t="array" aca="1" ref="BR118" ca="1">_xlfn.CEILING.MATH(INDIRECT("Table1"&amp;BR$3)/BR$2)*BR$2</f>
        <v>0.4</v>
      </c>
      <c r="BS118" s="4" cm="1">
        <f t="array" aca="1" ref="BS118" ca="1">_xlfn.CEILING.MATH(INDIRECT("Table1"&amp;BS$3)/BS$2)*BS$2</f>
        <v>0.37</v>
      </c>
      <c r="BT118" s="3" cm="1">
        <f t="array" aca="1" ref="BT118" ca="1">_xlfn.CEILING.MATH(INDIRECT("Table1"&amp;BT$3)/BT$2)*BT$2</f>
        <v>28</v>
      </c>
      <c r="BU118" s="135" cm="1">
        <f t="array" aca="1" ref="BU118" ca="1">_xlfn.CEILING.MATH(INDIRECT("Table1"&amp;BU$3)/BU$2)*BU$2</f>
        <v>25</v>
      </c>
      <c r="BV118" s="135" cm="1">
        <f t="array" aca="1" ref="BV118" ca="1">_xlfn.CEILING.MATH(INDIRECT("Table1"&amp;BV$3)/BV$2)*BV$2</f>
        <v>5000</v>
      </c>
      <c r="BW118" s="4"/>
      <c r="BX118" s="4"/>
      <c r="BY118" s="190">
        <v>0.835195241789501</v>
      </c>
      <c r="BZ118" s="4"/>
      <c r="CA118" s="3"/>
      <c r="CF118" s="5"/>
      <c r="CH118" s="8"/>
      <c r="CI118" s="8"/>
      <c r="CJ118" s="14"/>
      <c r="CK118" s="8"/>
      <c r="CL118" s="8"/>
      <c r="CM118" s="8"/>
      <c r="CN118" s="8"/>
      <c r="CO118" s="8"/>
      <c r="CP118" s="8"/>
      <c r="CQ118" s="8">
        <f>Table1[[#This Row],[In-Tok]]+AvgOutLoad*Table1[[#This Row],[Out-Tok]]</f>
        <v>5100</v>
      </c>
      <c r="CR118" s="8"/>
      <c r="CS118" s="8"/>
      <c r="CT118" s="8"/>
      <c r="CU118" s="8"/>
      <c r="CV118" s="8"/>
      <c r="CW118" s="8"/>
      <c r="CX118" s="8"/>
      <c r="CY118" s="8"/>
      <c r="GJ118"/>
    </row>
    <row r="119" spans="1:192" hidden="1" x14ac:dyDescent="0.25">
      <c r="A119" s="3">
        <v>5000</v>
      </c>
      <c r="B119" s="3">
        <v>200</v>
      </c>
      <c r="C119">
        <v>5</v>
      </c>
      <c r="D119" s="199">
        <f>Table1[[#This Row],[Kvcache]]</f>
        <v>0.46837916271585794</v>
      </c>
      <c r="E119" s="4" t="s">
        <v>143</v>
      </c>
      <c r="F119" s="219">
        <v>46092</v>
      </c>
      <c r="G119" s="10"/>
      <c r="H119" s="10">
        <v>1.6278743904343511</v>
      </c>
      <c r="I119" s="10">
        <v>0.98734279889595244</v>
      </c>
      <c r="J119" s="10">
        <v>2.9217657266462069</v>
      </c>
      <c r="K119" s="10">
        <v>6.0123484651247665</v>
      </c>
      <c r="L119" s="10">
        <v>6.3483891153335579</v>
      </c>
      <c r="M119" s="10">
        <v>4.0627822946799279E-2</v>
      </c>
      <c r="N119" s="10">
        <v>9.6666061566724881</v>
      </c>
      <c r="O119" s="47">
        <v>28352.924999999999</v>
      </c>
      <c r="P119" s="47">
        <v>1042.325</v>
      </c>
      <c r="Q119" s="5">
        <v>35.592592592592602</v>
      </c>
      <c r="R119" s="5">
        <v>65.333333333333329</v>
      </c>
      <c r="S119" s="170">
        <v>0.46837916271585794</v>
      </c>
      <c r="T119" s="170">
        <v>0.85751228342384278</v>
      </c>
      <c r="U119" s="20">
        <f>(Table1[[#This Row],[In-Tok]]+Table1[[#This Row],[Out-Tok]])*Table1[[#This Row],[RPS]]</f>
        <v>26000</v>
      </c>
      <c r="V119" s="3">
        <f>Table1[[#This Row],[In-Tok]]+AvgOutLoad*Table1[[#This Row],[Out-Tok]]</f>
        <v>5100</v>
      </c>
      <c r="W119" s="3">
        <f>Table1[[#This Row],[In-Tok]]*Table1[[#This Row],[RPS]]</f>
        <v>25000</v>
      </c>
      <c r="X119" s="3">
        <f>Table1[[#This Row],[Out-Tok]]*Table1[[#This Row],[RPS]]</f>
        <v>1000</v>
      </c>
      <c r="Y119" s="75">
        <f>Table1[[#This Row],[In-Tok]]/Table1[[#This Row],[Out-Tok]]</f>
        <v>25</v>
      </c>
      <c r="Z119" s="26">
        <f>Table1[[#This Row],[In-Tok]]*Table1[[#This Row],[N]]+AvgOutLoad*Table1[[#This Row],[Out-Tok]]*Table1[[#This Row],[Ndecode]]</f>
        <v>243965.77364680206</v>
      </c>
      <c r="AA119" s="3">
        <f>Table1[[#This Row],[tok(N)]]/Table1[[#This Row],[Kvcache]]</f>
        <v>520872.38943804981</v>
      </c>
      <c r="AB119" s="3">
        <f>Table1[[#This Row],[tok/req]]*Table1[[#This Row],[Run]]</f>
        <v>181522.22222222228</v>
      </c>
      <c r="AC119" s="3">
        <f>Table1[[#This Row],[tok(Run)]]/Table1[[#This Row],[Kvcache]]</f>
        <v>387554.00895650574</v>
      </c>
      <c r="AD119" s="3">
        <f>Table1[[#This Row],[tok/req]]*Table1[[#This Row],[MaxRun]]</f>
        <v>333200</v>
      </c>
      <c r="AE119" s="3">
        <f>Table1[[#This Row],[tok(MaxRun)]]/Table1[[#This Row],[MaxKvcache]]</f>
        <v>388565.86248492158</v>
      </c>
      <c r="AF119" s="75">
        <f>Table1[[#This Row],[PPS]]*Table1[[#This Row],[Prefill]]/Table1[[#This Row],[In-Tok]]</f>
        <v>5.598811265277404</v>
      </c>
      <c r="AG119" s="5">
        <f>Table1[[#This Row],[GPS]]*Table1[[#This Row],[ITL]]</f>
        <v>42.347395553022558</v>
      </c>
      <c r="AH119" s="5">
        <f>Table1[[#This Row],[Nprefill]]+Table1[[#This Row],[Ndecode]]</f>
        <v>47.946206818299963</v>
      </c>
      <c r="AI119" s="4">
        <f>Table1[[#This Row],[Run]]/Table1[[#This Row],[ITL]]/Table1[[#This Row],[GPS]]</f>
        <v>0.84049071088746496</v>
      </c>
      <c r="AJ119" s="10">
        <f>Table1[[#This Row],[Prefill]]+Table1[[#This Row],[ITL]]</f>
        <v>1.0279706218427518</v>
      </c>
      <c r="AK119" s="4">
        <f>Table1[[#This Row],[TTFT]]/Table1[[#This Row],[estTTFT]]</f>
        <v>1.583580654781948</v>
      </c>
      <c r="AL119" s="5">
        <f>Table1[[#This Row],[In-Tok]]*Table1[[#This Row],[RPS]]/Table1[[#This Row],[PPS]]</f>
        <v>0.8817432416584885</v>
      </c>
      <c r="AM119" s="4">
        <f>Table1[[#This Row],[Prefill]]/Table1[[#This Row],[estPrefill]]</f>
        <v>1.1197622530554809</v>
      </c>
      <c r="AN119" s="4">
        <f>Table1[[#This Row],[Prefill]]/Table1[[#This Row],[TTFT]]</f>
        <v>0.60652271741464558</v>
      </c>
      <c r="AO119" s="10">
        <f>Table1[[#This Row],[Run]]/(Table1[[#This Row],[Out-Tok]]*Table1[[#This Row],[RPS]])</f>
        <v>3.5592592592592599E-2</v>
      </c>
      <c r="AP119" s="4">
        <f>Table1[[#This Row],[ITL]]/Table1[[#This Row],[estITL]]</f>
        <v>1.141468490700916</v>
      </c>
      <c r="AQ119" s="44">
        <f>Table1[[#This Row],[E2E]]-Table1[[#This Row],[TTFT]]+Table1[[#This Row],[ITL]]</f>
        <v>8.0793595891849357</v>
      </c>
      <c r="AR119" s="4">
        <f>Table1[[#This Row],[estDecode]]/Table1[[#This Row],[Run]]</f>
        <v>0.22699553476378065</v>
      </c>
      <c r="AS119" s="44">
        <f>Table1[[#This Row],[Prefill]]+Table1[[#This Row],[Out-Tok]]*Table1[[#This Row],[ITL]]</f>
        <v>9.1129073882558078</v>
      </c>
      <c r="AT119" s="5">
        <f>Table1[[#This Row],[estPrefill]]+Table1[[#This Row],[Out-Tok]]*Table1[[#This Row],[ITL]]</f>
        <v>9.0073078310183448</v>
      </c>
      <c r="AU119" s="4">
        <f>Table1[[#This Row],[E2E]]/Table1[[#This Row],[estE2E]]</f>
        <v>1.0731959357915721</v>
      </c>
      <c r="AV119" s="5">
        <f>Table1[[#This Row],[N]]/Table1[[#This Row],[estE2E]]</f>
        <v>5.3230341093915161</v>
      </c>
      <c r="AW119" s="5">
        <f>Table1[[#This Row],[PPS]]/Table1[[#This Row],[In-Tok]]</f>
        <v>5.670585</v>
      </c>
      <c r="AX119" s="4">
        <f>Table1[[#This Row],[RPS]]/Table1[[#This Row],[RPS(IL)]]</f>
        <v>0.8817432416584885</v>
      </c>
      <c r="AY119" s="5">
        <f>Table1[[#This Row],[GPS]]/Table1[[#This Row],[Out-Tok]]</f>
        <v>5.2116250000000006</v>
      </c>
      <c r="AZ119" s="89">
        <f>Table1[[#This Row],[RPS]]/Table1[[#This Row],[RPS(OL)]]</f>
        <v>0.95939366320485442</v>
      </c>
      <c r="BA119" s="135">
        <f>MaxTok/Table1[[#This Row],[tok/req]]</f>
        <v>76.061227841677507</v>
      </c>
      <c r="BB119" s="4">
        <f>Table1[[#This Row],[N]]/Table1[[#This Row],[N-max]]</f>
        <v>0.63036330307605148</v>
      </c>
      <c r="BC119" s="44">
        <f>Table1[[#This Row],[RPS]]</f>
        <v>5</v>
      </c>
      <c r="BD119" s="47">
        <f>Table1[[#This Row],[PPS]]/Table1[[#This Row],[RPS success]]</f>
        <v>5670.585</v>
      </c>
      <c r="BE119" s="4">
        <f>ABS(Table1[[#This Row],[est-In-Tok3]]-Table1[[#This Row],[In-Tok]])/Table1[[#This Row],[In-Tok]]</f>
        <v>0.13411700000000001</v>
      </c>
      <c r="BF119" s="47">
        <f>Table1[[#This Row],[GPS]]/Table1[[#This Row],[RPS success]]</f>
        <v>208.465</v>
      </c>
      <c r="BG119" s="4">
        <f>ABS(Table1[[#This Row],[est-Out-Tok3]]-Table1[[#This Row],[Out-Tok]])/Table1[[#This Row],[Out-Tok]]</f>
        <v>4.2325000000000015E-2</v>
      </c>
      <c r="BH119" s="162">
        <f>Table1[[#This Row],[est-In-Tok3]]+AvgOutLoad*Table1[[#This Row],[est-Out-Tok3]]</f>
        <v>5774.8175000000001</v>
      </c>
      <c r="BI119" s="4">
        <f>ABS(Table1[[#This Row],[est-Tok/Req3]]-Table1[[#This Row],[tok/req]])/Table1[[#This Row],[tok/req]]</f>
        <v>0.13231715686274512</v>
      </c>
      <c r="BJ119" s="162">
        <f>MaxTok/Table1[[#This Row],[est-Tok/Req3]]</f>
        <v>67.173077243143226</v>
      </c>
      <c r="BK119" s="4">
        <f>ABS(Table1[[#This Row],[est-N-max3]]-Table1[[#This Row],[N-max]])/Table1[[#This Row],[N-max]]</f>
        <v>0.11685520797843402</v>
      </c>
      <c r="BL119" s="44">
        <f>MaxTok*Table1[[#This Row],[Kvcache]]/Table1[[#This Row],[Run]]</f>
        <v>5104.7144151308667</v>
      </c>
      <c r="BM119" s="170">
        <f>ABS(Table1[[#This Row],[est-Tok/Req]]-Table1[[#This Row],[tok/req]])/Table1[[#This Row],[tok/req]]</f>
        <v>9.2439512369934412E-4</v>
      </c>
      <c r="BN119" s="44">
        <f>MaxTok/Table1[[#This Row],[est-Tok/Req]]</f>
        <v>75.990982148334467</v>
      </c>
      <c r="BO119" s="180">
        <f>Table1[[#This Row],[Run]]/Table1[[#This Row],[Kvcache]]</f>
        <v>75.990982148334453</v>
      </c>
      <c r="BP119" s="4" cm="1">
        <f t="array" aca="1" ref="BP119" ca="1">_xlfn.CEILING.MATH(INDIRECT("Table1"&amp;BP$3)/BP$2)*BP$2</f>
        <v>6000</v>
      </c>
      <c r="BQ119" s="4" cm="1">
        <f t="array" aca="1" ref="BQ119" ca="1">_xlfn.CEILING.MATH(INDIRECT("Table1"&amp;BQ$3)/BQ$2)*BQ$2</f>
        <v>4.4999999999999998E-2</v>
      </c>
      <c r="BR119" s="4" cm="1">
        <f t="array" aca="1" ref="BR119" ca="1">_xlfn.CEILING.MATH(INDIRECT("Table1"&amp;BR$3)/BR$2)*BR$2</f>
        <v>0.5</v>
      </c>
      <c r="BS119" s="4" cm="1">
        <f t="array" aca="1" ref="BS119" ca="1">_xlfn.CEILING.MATH(INDIRECT("Table1"&amp;BS$3)/BS$2)*BS$2</f>
        <v>0.47000000000000003</v>
      </c>
      <c r="BT119" s="3" cm="1">
        <f t="array" aca="1" ref="BT119" ca="1">_xlfn.CEILING.MATH(INDIRECT("Table1"&amp;BT$3)/BT$2)*BT$2</f>
        <v>36</v>
      </c>
      <c r="BU119" s="135" cm="1">
        <f t="array" aca="1" ref="BU119" ca="1">_xlfn.CEILING.MATH(INDIRECT("Table1"&amp;BU$3)/BU$2)*BU$2</f>
        <v>25</v>
      </c>
      <c r="BV119" s="135" cm="1">
        <f t="array" aca="1" ref="BV119" ca="1">_xlfn.CEILING.MATH(INDIRECT("Table1"&amp;BV$3)/BV$2)*BV$2</f>
        <v>5000</v>
      </c>
      <c r="BW119" s="4"/>
      <c r="BX119" s="4"/>
      <c r="BY119" s="190">
        <v>0.85751228342384278</v>
      </c>
      <c r="BZ119" s="4"/>
      <c r="CA119" s="3"/>
      <c r="CF119" s="5"/>
      <c r="CH119" s="8"/>
      <c r="CI119" s="8"/>
      <c r="CJ119" s="14"/>
      <c r="CK119" s="8"/>
      <c r="CL119" s="8"/>
      <c r="CM119" s="8"/>
      <c r="CN119" s="8"/>
      <c r="CO119" s="8"/>
      <c r="CP119" s="8"/>
      <c r="CQ119" s="8">
        <f>Table1[[#This Row],[In-Tok]]+AvgOutLoad*Table1[[#This Row],[Out-Tok]]</f>
        <v>5100</v>
      </c>
      <c r="CR119" s="8"/>
      <c r="CS119" s="8"/>
      <c r="CT119" s="8"/>
      <c r="CU119" s="8"/>
      <c r="CV119" s="8"/>
      <c r="CW119" s="8"/>
      <c r="CX119" s="8"/>
      <c r="CY119" s="8"/>
      <c r="GJ119"/>
    </row>
    <row r="120" spans="1:192" hidden="1" x14ac:dyDescent="0.25">
      <c r="A120" s="3">
        <v>5000</v>
      </c>
      <c r="B120" s="3">
        <v>200</v>
      </c>
      <c r="C120">
        <v>5.2</v>
      </c>
      <c r="D120" s="199">
        <f>Table1[[#This Row],[Kvcache]]</f>
        <v>0.41909030830675514</v>
      </c>
      <c r="E120" s="4" t="s">
        <v>143</v>
      </c>
      <c r="F120" s="219">
        <v>46092</v>
      </c>
      <c r="G120" s="10"/>
      <c r="H120" s="10">
        <v>1.208558537846488</v>
      </c>
      <c r="I120" s="10">
        <v>0.86688896098379542</v>
      </c>
      <c r="J120" s="10">
        <v>2.8352766547246322</v>
      </c>
      <c r="K120" s="10">
        <v>7.3769126335779802</v>
      </c>
      <c r="L120" s="10">
        <v>8.7471639680862427</v>
      </c>
      <c r="M120" s="10">
        <v>3.8099701908507574E-2</v>
      </c>
      <c r="N120" s="10">
        <v>8.8008104146614681</v>
      </c>
      <c r="O120" s="47">
        <v>27488.004166666666</v>
      </c>
      <c r="P120" s="47">
        <v>1014.2333333333332</v>
      </c>
      <c r="Q120" s="5">
        <v>31.962962962962958</v>
      </c>
      <c r="R120" s="5">
        <v>69.666666666666671</v>
      </c>
      <c r="S120" s="170">
        <v>0.41909030830675514</v>
      </c>
      <c r="T120" s="170">
        <v>0.91189552624773729</v>
      </c>
      <c r="U120" s="20">
        <f>(Table1[[#This Row],[In-Tok]]+Table1[[#This Row],[Out-Tok]])*Table1[[#This Row],[RPS]]</f>
        <v>27040</v>
      </c>
      <c r="V120" s="3">
        <f>Table1[[#This Row],[In-Tok]]+AvgOutLoad*Table1[[#This Row],[Out-Tok]]</f>
        <v>5100</v>
      </c>
      <c r="W120" s="3">
        <f>Table1[[#This Row],[In-Tok]]*Table1[[#This Row],[RPS]]</f>
        <v>26000</v>
      </c>
      <c r="X120" s="3">
        <f>Table1[[#This Row],[Out-Tok]]*Table1[[#This Row],[RPS]]</f>
        <v>1040</v>
      </c>
      <c r="Y120" s="75">
        <f>Table1[[#This Row],[In-Tok]]/Table1[[#This Row],[Out-Tok]]</f>
        <v>25</v>
      </c>
      <c r="Z120" s="26">
        <f>Table1[[#This Row],[In-Tok]]*Table1[[#This Row],[N]]+AvgOutLoad*Table1[[#This Row],[Out-Tok]]*Table1[[#This Row],[Ndecode]]</f>
        <v>220903.18446648709</v>
      </c>
      <c r="AA120" s="3">
        <f>Table1[[#This Row],[tok(N)]]/Table1[[#This Row],[Kvcache]]</f>
        <v>527101.62962011504</v>
      </c>
      <c r="AB120" s="3">
        <f>Table1[[#This Row],[tok/req]]*Table1[[#This Row],[Run]]</f>
        <v>163011.11111111109</v>
      </c>
      <c r="AC120" s="3">
        <f>Table1[[#This Row],[tok(Run)]]/Table1[[#This Row],[Kvcache]]</f>
        <v>388964.16328433523</v>
      </c>
      <c r="AD120" s="3">
        <f>Table1[[#This Row],[tok/req]]*Table1[[#This Row],[MaxRun]]</f>
        <v>355300</v>
      </c>
      <c r="AE120" s="3">
        <f>Table1[[#This Row],[tok(MaxRun)]]/Table1[[#This Row],[MaxKvcache]]</f>
        <v>389627.96699089697</v>
      </c>
      <c r="AF120" s="75">
        <f>Table1[[#This Row],[PPS]]*Table1[[#This Row],[Prefill]]/Table1[[#This Row],[In-Tok]]</f>
        <v>4.7658094743119808</v>
      </c>
      <c r="AG120" s="5">
        <f>Table1[[#This Row],[GPS]]*Table1[[#This Row],[ITL]]</f>
        <v>38.641987665671998</v>
      </c>
      <c r="AH120" s="5">
        <f>Table1[[#This Row],[Nprefill]]+Table1[[#This Row],[Ndecode]]</f>
        <v>43.407797139983977</v>
      </c>
      <c r="AI120" s="4">
        <f>Table1[[#This Row],[Run]]/Table1[[#This Row],[ITL]]/Table1[[#This Row],[GPS]]</f>
        <v>0.82715628501060734</v>
      </c>
      <c r="AJ120" s="10">
        <f>Table1[[#This Row],[Prefill]]+Table1[[#This Row],[ITL]]</f>
        <v>0.90498866289230295</v>
      </c>
      <c r="AK120" s="4">
        <f>Table1[[#This Row],[TTFT]]/Table1[[#This Row],[estTTFT]]</f>
        <v>1.335440528043732</v>
      </c>
      <c r="AL120" s="5">
        <f>Table1[[#This Row],[In-Tok]]*Table1[[#This Row],[RPS]]/Table1[[#This Row],[PPS]]</f>
        <v>0.94586714416788786</v>
      </c>
      <c r="AM120" s="4">
        <f>Table1[[#This Row],[Prefill]]/Table1[[#This Row],[estPrefill]]</f>
        <v>0.91650182198307317</v>
      </c>
      <c r="AN120" s="4">
        <f>Table1[[#This Row],[Prefill]]/Table1[[#This Row],[TTFT]]</f>
        <v>0.71729166096372265</v>
      </c>
      <c r="AO120" s="10">
        <f>Table1[[#This Row],[Run]]/(Table1[[#This Row],[Out-Tok]]*Table1[[#This Row],[RPS]])</f>
        <v>3.073361823361823E-2</v>
      </c>
      <c r="AP120" s="4">
        <f>Table1[[#This Row],[ITL]]/Table1[[#This Row],[estITL]]</f>
        <v>1.2396751211945456</v>
      </c>
      <c r="AQ120" s="44">
        <f>Table1[[#This Row],[E2E]]-Table1[[#This Row],[TTFT]]+Table1[[#This Row],[ITL]]</f>
        <v>7.630351578723487</v>
      </c>
      <c r="AR120" s="4">
        <f>Table1[[#This Row],[estDecode]]/Table1[[#This Row],[Run]]</f>
        <v>0.23872478867385188</v>
      </c>
      <c r="AS120" s="44">
        <f>Table1[[#This Row],[Prefill]]+Table1[[#This Row],[Out-Tok]]*Table1[[#This Row],[ITL]]</f>
        <v>8.4868293426853096</v>
      </c>
      <c r="AT120" s="5">
        <f>Table1[[#This Row],[estPrefill]]+Table1[[#This Row],[Out-Tok]]*Table1[[#This Row],[ITL]]</f>
        <v>8.5658075258694026</v>
      </c>
      <c r="AU120" s="4">
        <f>Table1[[#This Row],[E2E]]/Table1[[#This Row],[estE2E]]</f>
        <v>1.0274349952508668</v>
      </c>
      <c r="AV120" s="5">
        <f>Table1[[#This Row],[N]]/Table1[[#This Row],[estE2E]]</f>
        <v>5.0675662520887919</v>
      </c>
      <c r="AW120" s="5">
        <f>Table1[[#This Row],[PPS]]/Table1[[#This Row],[In-Tok]]</f>
        <v>5.4976008333333333</v>
      </c>
      <c r="AX120" s="4">
        <f>Table1[[#This Row],[RPS]]/Table1[[#This Row],[RPS(IL)]]</f>
        <v>0.94586714416788786</v>
      </c>
      <c r="AY120" s="5">
        <f>Table1[[#This Row],[GPS]]/Table1[[#This Row],[Out-Tok]]</f>
        <v>5.0711666666666666</v>
      </c>
      <c r="AZ120" s="89">
        <f>Table1[[#This Row],[RPS]]/Table1[[#This Row],[RPS(OL)]]</f>
        <v>1.0254050678673547</v>
      </c>
      <c r="BA120" s="135">
        <f>MaxTok/Table1[[#This Row],[tok/req]]</f>
        <v>76.061227841677507</v>
      </c>
      <c r="BB120" s="4">
        <f>Table1[[#This Row],[N]]/Table1[[#This Row],[N-max]]</f>
        <v>0.57069545643330799</v>
      </c>
      <c r="BC120" s="44">
        <f>Table1[[#This Row],[RPS]]</f>
        <v>5.2</v>
      </c>
      <c r="BD120" s="47">
        <f>Table1[[#This Row],[PPS]]/Table1[[#This Row],[RPS success]]</f>
        <v>5286.1546474358975</v>
      </c>
      <c r="BE120" s="4">
        <f>ABS(Table1[[#This Row],[est-In-Tok3]]-Table1[[#This Row],[In-Tok]])/Table1[[#This Row],[In-Tok]]</f>
        <v>5.7230929487179491E-2</v>
      </c>
      <c r="BF120" s="47">
        <f>Table1[[#This Row],[GPS]]/Table1[[#This Row],[RPS success]]</f>
        <v>195.04487179487177</v>
      </c>
      <c r="BG120" s="4">
        <f>ABS(Table1[[#This Row],[est-Out-Tok3]]-Table1[[#This Row],[Out-Tok]])/Table1[[#This Row],[Out-Tok]]</f>
        <v>2.4775641025641164E-2</v>
      </c>
      <c r="BH120" s="162">
        <f>Table1[[#This Row],[est-In-Tok3]]+AvgOutLoad*Table1[[#This Row],[est-Out-Tok3]]</f>
        <v>5383.677083333333</v>
      </c>
      <c r="BI120" s="4">
        <f>ABS(Table1[[#This Row],[est-Tok/Req3]]-Table1[[#This Row],[tok/req]])/Table1[[#This Row],[tok/req]]</f>
        <v>5.5622957516339812E-2</v>
      </c>
      <c r="BJ120" s="162">
        <f>MaxTok/Table1[[#This Row],[est-Tok/Req3]]</f>
        <v>72.053404390364605</v>
      </c>
      <c r="BK120" s="4">
        <f>ABS(Table1[[#This Row],[est-N-max3]]-Table1[[#This Row],[N-max]])/Table1[[#This Row],[N-max]]</f>
        <v>5.2692068811395494E-2</v>
      </c>
      <c r="BL120" s="44">
        <f>MaxTok*Table1[[#This Row],[Kvcache]]/Table1[[#This Row],[Run]]</f>
        <v>5086.2077355847405</v>
      </c>
      <c r="BM120" s="170">
        <f>ABS(Table1[[#This Row],[est-Tok/Req]]-Table1[[#This Row],[tok/req]])/Table1[[#This Row],[tok/req]]</f>
        <v>2.7043655716195146E-3</v>
      </c>
      <c r="BN120" s="44">
        <f>MaxTok/Table1[[#This Row],[est-Tok/Req]]</f>
        <v>76.267482996928479</v>
      </c>
      <c r="BO120" s="180">
        <f>Table1[[#This Row],[Run]]/Table1[[#This Row],[Kvcache]]</f>
        <v>76.267482996928464</v>
      </c>
      <c r="BP120" s="4" cm="1">
        <f t="array" aca="1" ref="BP120" ca="1">_xlfn.CEILING.MATH(INDIRECT("Table1"&amp;BP$3)/BP$2)*BP$2</f>
        <v>6000</v>
      </c>
      <c r="BQ120" s="4" cm="1">
        <f t="array" aca="1" ref="BQ120" ca="1">_xlfn.CEILING.MATH(INDIRECT("Table1"&amp;BQ$3)/BQ$2)*BQ$2</f>
        <v>0.04</v>
      </c>
      <c r="BR120" s="4" cm="1">
        <f t="array" aca="1" ref="BR120" ca="1">_xlfn.CEILING.MATH(INDIRECT("Table1"&amp;BR$3)/BR$2)*BR$2</f>
        <v>0.5</v>
      </c>
      <c r="BS120" s="4" cm="1">
        <f t="array" aca="1" ref="BS120" ca="1">_xlfn.CEILING.MATH(INDIRECT("Table1"&amp;BS$3)/BS$2)*BS$2</f>
        <v>0.42</v>
      </c>
      <c r="BT120" s="3" cm="1">
        <f t="array" aca="1" ref="BT120" ca="1">_xlfn.CEILING.MATH(INDIRECT("Table1"&amp;BT$3)/BT$2)*BT$2</f>
        <v>32</v>
      </c>
      <c r="BU120" s="135" cm="1">
        <f t="array" aca="1" ref="BU120" ca="1">_xlfn.CEILING.MATH(INDIRECT("Table1"&amp;BU$3)/BU$2)*BU$2</f>
        <v>25</v>
      </c>
      <c r="BV120" s="135" cm="1">
        <f t="array" aca="1" ref="BV120" ca="1">_xlfn.CEILING.MATH(INDIRECT("Table1"&amp;BV$3)/BV$2)*BV$2</f>
        <v>5000</v>
      </c>
      <c r="BW120" s="4"/>
      <c r="BX120" s="4"/>
      <c r="BY120" s="190">
        <v>0.91189552624773729</v>
      </c>
      <c r="BZ120" s="4"/>
      <c r="CA120" s="3"/>
      <c r="CF120" s="5"/>
      <c r="CH120" s="8"/>
      <c r="CI120" s="8"/>
      <c r="CJ120" s="14"/>
      <c r="CK120" s="8"/>
      <c r="CL120" s="8"/>
      <c r="CM120" s="8"/>
      <c r="CN120" s="8"/>
      <c r="CO120" s="8"/>
      <c r="CP120" s="8"/>
      <c r="CQ120" s="8">
        <f>Table1[[#This Row],[In-Tok]]+AvgOutLoad*Table1[[#This Row],[Out-Tok]]</f>
        <v>5100</v>
      </c>
      <c r="CR120" s="8"/>
      <c r="CS120" s="8"/>
      <c r="CT120" s="8"/>
      <c r="CU120" s="8"/>
      <c r="CV120" s="8"/>
      <c r="CW120" s="8"/>
      <c r="CX120" s="8"/>
      <c r="CY120" s="8"/>
      <c r="GJ120"/>
    </row>
    <row r="121" spans="1:192" hidden="1" x14ac:dyDescent="0.25">
      <c r="A121" s="3">
        <v>5000</v>
      </c>
      <c r="B121" s="3">
        <v>200</v>
      </c>
      <c r="C121">
        <v>5.4000000000000012</v>
      </c>
      <c r="D121" s="199">
        <f>Table1[[#This Row],[Kvcache]]</f>
        <v>0.54142099818981126</v>
      </c>
      <c r="E121" s="4" t="s">
        <v>143</v>
      </c>
      <c r="F121" s="219">
        <v>46092</v>
      </c>
      <c r="G121" s="10"/>
      <c r="H121" s="10">
        <v>1.8809171567324012</v>
      </c>
      <c r="I121" s="10">
        <v>1.1216695541638895</v>
      </c>
      <c r="J121" s="10">
        <v>3.2894202022516201</v>
      </c>
      <c r="K121" s="10">
        <v>6.9959011435508707</v>
      </c>
      <c r="L121" s="10">
        <v>8.1253693517049133</v>
      </c>
      <c r="M121" s="10">
        <v>4.6991688022651655E-2</v>
      </c>
      <c r="N121" s="10">
        <v>11.191415982175632</v>
      </c>
      <c r="O121" s="47">
        <v>29551.037500000002</v>
      </c>
      <c r="P121" s="47">
        <v>1068.320238095238</v>
      </c>
      <c r="Q121" s="5">
        <v>41.337962962962969</v>
      </c>
      <c r="R121" s="5">
        <v>74.333333333333329</v>
      </c>
      <c r="S121" s="170">
        <v>0.54142099818981126</v>
      </c>
      <c r="T121" s="170">
        <v>0.97763123868632018</v>
      </c>
      <c r="U121" s="20">
        <f>(Table1[[#This Row],[In-Tok]]+Table1[[#This Row],[Out-Tok]])*Table1[[#This Row],[RPS]]</f>
        <v>28080.000000000007</v>
      </c>
      <c r="V121" s="3">
        <f>Table1[[#This Row],[In-Tok]]+AvgOutLoad*Table1[[#This Row],[Out-Tok]]</f>
        <v>5100</v>
      </c>
      <c r="W121" s="3">
        <f>Table1[[#This Row],[In-Tok]]*Table1[[#This Row],[RPS]]</f>
        <v>27000.000000000007</v>
      </c>
      <c r="X121" s="3">
        <f>Table1[[#This Row],[Out-Tok]]*Table1[[#This Row],[RPS]]</f>
        <v>1080.0000000000002</v>
      </c>
      <c r="Y121" s="75">
        <f>Table1[[#This Row],[In-Tok]]/Table1[[#This Row],[Out-Tok]]</f>
        <v>25</v>
      </c>
      <c r="Z121" s="26">
        <f>Table1[[#This Row],[In-Tok]]*Table1[[#This Row],[N]]+AvgOutLoad*Table1[[#This Row],[Out-Tok]]*Table1[[#This Row],[Ndecode]]</f>
        <v>289177.57287567283</v>
      </c>
      <c r="AA121" s="3">
        <f>Table1[[#This Row],[tok(N)]]/Table1[[#This Row],[Kvcache]]</f>
        <v>534108.52893129387</v>
      </c>
      <c r="AB121" s="3">
        <f>Table1[[#This Row],[tok/req]]*Table1[[#This Row],[Run]]</f>
        <v>210823.61111111115</v>
      </c>
      <c r="AC121" s="3">
        <f>Table1[[#This Row],[tok(Run)]]/Table1[[#This Row],[Kvcache]]</f>
        <v>389389.42489482218</v>
      </c>
      <c r="AD121" s="3">
        <f>Table1[[#This Row],[tok/req]]*Table1[[#This Row],[MaxRun]]</f>
        <v>379100</v>
      </c>
      <c r="AE121" s="3">
        <f>Table1[[#This Row],[tok(MaxRun)]]/Table1[[#This Row],[MaxKvcache]]</f>
        <v>387774.02459992061</v>
      </c>
      <c r="AF121" s="75">
        <f>Table1[[#This Row],[PPS]]*Table1[[#This Row],[Prefill]]/Table1[[#This Row],[In-Tok]]</f>
        <v>6.6292998115410766</v>
      </c>
      <c r="AG121" s="5">
        <f>Table1[[#This Row],[GPS]]*Table1[[#This Row],[ITL]]</f>
        <v>50.20217133685636</v>
      </c>
      <c r="AH121" s="5">
        <f>Table1[[#This Row],[Nprefill]]+Table1[[#This Row],[Ndecode]]</f>
        <v>56.831471148397434</v>
      </c>
      <c r="AI121" s="4">
        <f>Table1[[#This Row],[Run]]/Table1[[#This Row],[ITL]]/Table1[[#This Row],[GPS]]</f>
        <v>0.82342978126554345</v>
      </c>
      <c r="AJ121" s="10">
        <f>Table1[[#This Row],[Prefill]]+Table1[[#This Row],[ITL]]</f>
        <v>1.1686612421865412</v>
      </c>
      <c r="AK121" s="4">
        <f>Table1[[#This Row],[TTFT]]/Table1[[#This Row],[estTTFT]]</f>
        <v>1.6094631094407168</v>
      </c>
      <c r="AL121" s="5">
        <f>Table1[[#This Row],[In-Tok]]*Table1[[#This Row],[RPS]]/Table1[[#This Row],[PPS]]</f>
        <v>0.91367350469505526</v>
      </c>
      <c r="AM121" s="4">
        <f>Table1[[#This Row],[Prefill]]/Table1[[#This Row],[estPrefill]]</f>
        <v>1.2276481132483472</v>
      </c>
      <c r="AN121" s="4">
        <f>Table1[[#This Row],[Prefill]]/Table1[[#This Row],[TTFT]]</f>
        <v>0.59634181662338348</v>
      </c>
      <c r="AO121" s="10">
        <f>Table1[[#This Row],[Run]]/(Table1[[#This Row],[Out-Tok]]*Table1[[#This Row],[RPS]])</f>
        <v>3.8275891632373112E-2</v>
      </c>
      <c r="AP121" s="4">
        <f>Table1[[#This Row],[ITL]]/Table1[[#This Row],[estITL]]</f>
        <v>1.2277098199041525</v>
      </c>
      <c r="AQ121" s="44">
        <f>Table1[[#This Row],[E2E]]-Table1[[#This Row],[TTFT]]+Table1[[#This Row],[ITL]]</f>
        <v>9.3574905134658835</v>
      </c>
      <c r="AR121" s="4">
        <f>Table1[[#This Row],[estDecode]]/Table1[[#This Row],[Run]]</f>
        <v>0.22636554495560876</v>
      </c>
      <c r="AS121" s="44">
        <f>Table1[[#This Row],[Prefill]]+Table1[[#This Row],[Out-Tok]]*Table1[[#This Row],[ITL]]</f>
        <v>10.52000715869422</v>
      </c>
      <c r="AT121" s="5">
        <f>Table1[[#This Row],[estPrefill]]+Table1[[#This Row],[Out-Tok]]*Table1[[#This Row],[ITL]]</f>
        <v>10.312011109225386</v>
      </c>
      <c r="AU121" s="4">
        <f>Table1[[#This Row],[E2E]]/Table1[[#This Row],[estE2E]]</f>
        <v>1.0852796669471689</v>
      </c>
      <c r="AV121" s="5">
        <f>Table1[[#This Row],[N]]/Table1[[#This Row],[estE2E]]</f>
        <v>5.5111918079252806</v>
      </c>
      <c r="AW121" s="5">
        <f>Table1[[#This Row],[PPS]]/Table1[[#This Row],[In-Tok]]</f>
        <v>5.9102075000000003</v>
      </c>
      <c r="AX121" s="4">
        <f>Table1[[#This Row],[RPS]]/Table1[[#This Row],[RPS(IL)]]</f>
        <v>0.91367350469505526</v>
      </c>
      <c r="AY121" s="5">
        <f>Table1[[#This Row],[GPS]]/Table1[[#This Row],[Out-Tok]]</f>
        <v>5.3416011904761902</v>
      </c>
      <c r="AZ121" s="89">
        <f>Table1[[#This Row],[RPS]]/Table1[[#This Row],[RPS(OL)]]</f>
        <v>1.0109328284612362</v>
      </c>
      <c r="BA121" s="135">
        <f>MaxTok/Table1[[#This Row],[tok/req]]</f>
        <v>76.061227841677507</v>
      </c>
      <c r="BB121" s="4">
        <f>Table1[[#This Row],[N]]/Table1[[#This Row],[N-max]]</f>
        <v>0.74718056440914837</v>
      </c>
      <c r="BC121" s="44">
        <f>Table1[[#This Row],[RPS]]</f>
        <v>5.4000000000000012</v>
      </c>
      <c r="BD121" s="47">
        <f>Table1[[#This Row],[PPS]]/Table1[[#This Row],[RPS success]]</f>
        <v>5472.4143518518513</v>
      </c>
      <c r="BE121" s="4">
        <f>ABS(Table1[[#This Row],[est-In-Tok3]]-Table1[[#This Row],[In-Tok]])/Table1[[#This Row],[In-Tok]]</f>
        <v>9.4482870370370259E-2</v>
      </c>
      <c r="BF121" s="47">
        <f>Table1[[#This Row],[GPS]]/Table1[[#This Row],[RPS success]]</f>
        <v>197.83708112874774</v>
      </c>
      <c r="BG121" s="4">
        <f>ABS(Table1[[#This Row],[est-Out-Tok3]]-Table1[[#This Row],[Out-Tok]])/Table1[[#This Row],[Out-Tok]]</f>
        <v>1.0814594356261295E-2</v>
      </c>
      <c r="BH121" s="162">
        <f>Table1[[#This Row],[est-In-Tok3]]+AvgOutLoad*Table1[[#This Row],[est-Out-Tok3]]</f>
        <v>5571.3328924162251</v>
      </c>
      <c r="BI121" s="4">
        <f>ABS(Table1[[#This Row],[est-Tok/Req3]]-Table1[[#This Row],[tok/req]])/Table1[[#This Row],[tok/req]]</f>
        <v>9.2418214199259829E-2</v>
      </c>
      <c r="BJ121" s="162">
        <f>MaxTok/Table1[[#This Row],[est-Tok/Req3]]</f>
        <v>69.626473499831036</v>
      </c>
      <c r="BK121" s="4">
        <f>ABS(Table1[[#This Row],[est-N-max3]]-Table1[[#This Row],[N-max]])/Table1[[#This Row],[N-max]]</f>
        <v>8.4599664302560315E-2</v>
      </c>
      <c r="BL121" s="44">
        <f>MaxTok*Table1[[#This Row],[Kvcache]]/Table1[[#This Row],[Run]]</f>
        <v>5080.6529650783514</v>
      </c>
      <c r="BM121" s="170">
        <f>ABS(Table1[[#This Row],[est-Tok/Req]]-Table1[[#This Row],[tok/req]])/Table1[[#This Row],[tok/req]]</f>
        <v>3.7935362591467897E-3</v>
      </c>
      <c r="BN121" s="44">
        <f>MaxTok/Table1[[#This Row],[est-Tok/Req]]</f>
        <v>76.350867626435701</v>
      </c>
      <c r="BO121" s="180">
        <f>Table1[[#This Row],[Run]]/Table1[[#This Row],[Kvcache]]</f>
        <v>76.350867626435715</v>
      </c>
      <c r="BP121" s="4" cm="1">
        <f t="array" aca="1" ref="BP121" ca="1">_xlfn.CEILING.MATH(INDIRECT("Table1"&amp;BP$3)/BP$2)*BP$2</f>
        <v>6000</v>
      </c>
      <c r="BQ121" s="4" cm="1">
        <f t="array" aca="1" ref="BQ121" ca="1">_xlfn.CEILING.MATH(INDIRECT("Table1"&amp;BQ$3)/BQ$2)*BQ$2</f>
        <v>0.05</v>
      </c>
      <c r="BR121" s="4" cm="1">
        <f t="array" aca="1" ref="BR121" ca="1">_xlfn.CEILING.MATH(INDIRECT("Table1"&amp;BR$3)/BR$2)*BR$2</f>
        <v>0.60000000000000009</v>
      </c>
      <c r="BS121" s="4" cm="1">
        <f t="array" aca="1" ref="BS121" ca="1">_xlfn.CEILING.MATH(INDIRECT("Table1"&amp;BS$3)/BS$2)*BS$2</f>
        <v>0.55000000000000004</v>
      </c>
      <c r="BT121" s="3" cm="1">
        <f t="array" aca="1" ref="BT121" ca="1">_xlfn.CEILING.MATH(INDIRECT("Table1"&amp;BT$3)/BT$2)*BT$2</f>
        <v>42</v>
      </c>
      <c r="BU121" s="135" cm="1">
        <f t="array" aca="1" ref="BU121" ca="1">_xlfn.CEILING.MATH(INDIRECT("Table1"&amp;BU$3)/BU$2)*BU$2</f>
        <v>25</v>
      </c>
      <c r="BV121" s="135" cm="1">
        <f t="array" aca="1" ref="BV121" ca="1">_xlfn.CEILING.MATH(INDIRECT("Table1"&amp;BV$3)/BV$2)*BV$2</f>
        <v>5000</v>
      </c>
      <c r="BW121" s="4"/>
      <c r="BX121" s="4"/>
      <c r="BY121" s="190">
        <v>0.97763123868632018</v>
      </c>
      <c r="BZ121" s="4"/>
      <c r="CA121" s="3"/>
      <c r="CF121" s="5"/>
      <c r="CH121" s="8"/>
      <c r="CI121" s="8"/>
      <c r="CJ121" s="14"/>
      <c r="CK121" s="8"/>
      <c r="CL121" s="8"/>
      <c r="CM121" s="8"/>
      <c r="CN121" s="8"/>
      <c r="CO121" s="8"/>
      <c r="CP121" s="8"/>
      <c r="CQ121" s="8">
        <f>Table1[[#This Row],[In-Tok]]+AvgOutLoad*Table1[[#This Row],[Out-Tok]]</f>
        <v>5100</v>
      </c>
      <c r="CR121" s="8"/>
      <c r="CS121" s="8"/>
      <c r="CT121" s="8"/>
      <c r="CU121" s="8"/>
      <c r="CV121" s="8"/>
      <c r="CW121" s="8"/>
      <c r="CX121" s="8"/>
      <c r="CY121" s="8"/>
      <c r="GJ121"/>
    </row>
    <row r="122" spans="1:192" hidden="1" x14ac:dyDescent="0.25">
      <c r="A122" s="3">
        <v>5000</v>
      </c>
      <c r="B122" s="3">
        <v>200</v>
      </c>
      <c r="C122">
        <v>5.8</v>
      </c>
      <c r="D122" s="199">
        <f>Table1[[#This Row],[Kvcache]]</f>
        <v>0.61607476366979863</v>
      </c>
      <c r="E122" s="4" t="s">
        <v>143</v>
      </c>
      <c r="F122" s="219">
        <v>46092</v>
      </c>
      <c r="G122" s="10"/>
      <c r="H122" s="10">
        <v>2.3685369670477088</v>
      </c>
      <c r="I122" s="10">
        <v>1.0457511996065998</v>
      </c>
      <c r="J122" s="10">
        <v>4.2087037981031132</v>
      </c>
      <c r="K122" s="10">
        <v>9.1919135610262561</v>
      </c>
      <c r="L122" s="10">
        <v>10.924168987274165</v>
      </c>
      <c r="M122" s="10">
        <v>5.388280799580767E-2</v>
      </c>
      <c r="N122" s="10">
        <v>13.080699747560393</v>
      </c>
      <c r="O122" s="47">
        <v>33032.855357142857</v>
      </c>
      <c r="P122" s="47">
        <v>1229.4053571428569</v>
      </c>
      <c r="Q122" s="5">
        <v>46.782407407407412</v>
      </c>
      <c r="R122" s="5">
        <v>75.333333333333329</v>
      </c>
      <c r="S122" s="170">
        <v>0.61607476366979863</v>
      </c>
      <c r="T122" s="170">
        <v>0.99705197827773462</v>
      </c>
      <c r="U122" s="20">
        <f>(Table1[[#This Row],[In-Tok]]+Table1[[#This Row],[Out-Tok]])*Table1[[#This Row],[RPS]]</f>
        <v>30160</v>
      </c>
      <c r="V122" s="3">
        <f>Table1[[#This Row],[In-Tok]]+AvgOutLoad*Table1[[#This Row],[Out-Tok]]</f>
        <v>5100</v>
      </c>
      <c r="W122" s="3">
        <f>Table1[[#This Row],[In-Tok]]*Table1[[#This Row],[RPS]]</f>
        <v>29000</v>
      </c>
      <c r="X122" s="3">
        <f>Table1[[#This Row],[Out-Tok]]*Table1[[#This Row],[RPS]]</f>
        <v>1160</v>
      </c>
      <c r="Y122" s="75">
        <f>Table1[[#This Row],[In-Tok]]/Table1[[#This Row],[Out-Tok]]</f>
        <v>25</v>
      </c>
      <c r="Z122" s="26">
        <f>Table1[[#This Row],[In-Tok]]*Table1[[#This Row],[N]]+AvgOutLoad*Table1[[#This Row],[Out-Tok]]*Table1[[#This Row],[Ndecode]]</f>
        <v>372387.5934366876</v>
      </c>
      <c r="AA122" s="3">
        <f>Table1[[#This Row],[tok(N)]]/Table1[[#This Row],[Kvcache]]</f>
        <v>604451.95193270152</v>
      </c>
      <c r="AB122" s="3">
        <f>Table1[[#This Row],[tok/req]]*Table1[[#This Row],[Run]]</f>
        <v>238590.27777777781</v>
      </c>
      <c r="AC122" s="3">
        <f>Table1[[#This Row],[tok(Run)]]/Table1[[#This Row],[Kvcache]]</f>
        <v>387274.87611496536</v>
      </c>
      <c r="AD122" s="3">
        <f>Table1[[#This Row],[tok/req]]*Table1[[#This Row],[MaxRun]]</f>
        <v>384200</v>
      </c>
      <c r="AE122" s="3">
        <f>Table1[[#This Row],[tok(MaxRun)]]/Table1[[#This Row],[MaxKvcache]]</f>
        <v>385335.97883597884</v>
      </c>
      <c r="AF122" s="75">
        <f>Table1[[#This Row],[PPS]]*Table1[[#This Row],[Prefill]]/Table1[[#This Row],[In-Tok]]</f>
        <v>6.9088296232326876</v>
      </c>
      <c r="AG122" s="5">
        <f>Table1[[#This Row],[GPS]]*Table1[[#This Row],[ITL]]</f>
        <v>66.243812807945915</v>
      </c>
      <c r="AH122" s="5">
        <f>Table1[[#This Row],[Nprefill]]+Table1[[#This Row],[Ndecode]]</f>
        <v>73.152642431178606</v>
      </c>
      <c r="AI122" s="4">
        <f>Table1[[#This Row],[Run]]/Table1[[#This Row],[ITL]]/Table1[[#This Row],[GPS]]</f>
        <v>0.70621550035229674</v>
      </c>
      <c r="AJ122" s="10">
        <f>Table1[[#This Row],[Prefill]]+Table1[[#This Row],[ITL]]</f>
        <v>1.0996340076024074</v>
      </c>
      <c r="AK122" s="4">
        <f>Table1[[#This Row],[TTFT]]/Table1[[#This Row],[estTTFT]]</f>
        <v>2.1539320816495668</v>
      </c>
      <c r="AL122" s="5">
        <f>Table1[[#This Row],[In-Tok]]*Table1[[#This Row],[RPS]]/Table1[[#This Row],[PPS]]</f>
        <v>0.87791381297376059</v>
      </c>
      <c r="AM122" s="4">
        <f>Table1[[#This Row],[Prefill]]/Table1[[#This Row],[estPrefill]]</f>
        <v>1.1911775212470153</v>
      </c>
      <c r="AN122" s="4">
        <f>Table1[[#This Row],[Prefill]]/Table1[[#This Row],[TTFT]]</f>
        <v>0.4415177867838343</v>
      </c>
      <c r="AO122" s="10">
        <f>Table1[[#This Row],[Run]]/(Table1[[#This Row],[Out-Tok]]*Table1[[#This Row],[RPS]])</f>
        <v>4.0329661558109839E-2</v>
      </c>
      <c r="AP122" s="4">
        <f>Table1[[#This Row],[ITL]]/Table1[[#This Row],[estITL]]</f>
        <v>1.3360590174596307</v>
      </c>
      <c r="AQ122" s="44">
        <f>Table1[[#This Row],[E2E]]-Table1[[#This Row],[TTFT]]+Table1[[#This Row],[ITL]]</f>
        <v>10.766045588508492</v>
      </c>
      <c r="AR122" s="4">
        <f>Table1[[#This Row],[estDecode]]/Table1[[#This Row],[Run]]</f>
        <v>0.2301302174287812</v>
      </c>
      <c r="AS122" s="44">
        <f>Table1[[#This Row],[Prefill]]+Table1[[#This Row],[Out-Tok]]*Table1[[#This Row],[ITL]]</f>
        <v>11.822312798768134</v>
      </c>
      <c r="AT122" s="5">
        <f>Table1[[#This Row],[estPrefill]]+Table1[[#This Row],[Out-Tok]]*Table1[[#This Row],[ITL]]</f>
        <v>11.654475412135294</v>
      </c>
      <c r="AU122" s="4">
        <f>Table1[[#This Row],[E2E]]/Table1[[#This Row],[estE2E]]</f>
        <v>1.1223756784402354</v>
      </c>
      <c r="AV122" s="5">
        <f>Table1[[#This Row],[N]]/Table1[[#This Row],[estE2E]]</f>
        <v>6.2767855132293615</v>
      </c>
      <c r="AW122" s="5">
        <f>Table1[[#This Row],[PPS]]/Table1[[#This Row],[In-Tok]]</f>
        <v>6.6065710714285713</v>
      </c>
      <c r="AX122" s="4">
        <f>Table1[[#This Row],[RPS]]/Table1[[#This Row],[RPS(IL)]]</f>
        <v>0.87791381297376059</v>
      </c>
      <c r="AY122" s="5">
        <f>Table1[[#This Row],[GPS]]/Table1[[#This Row],[Out-Tok]]</f>
        <v>6.1470267857142851</v>
      </c>
      <c r="AZ122" s="89">
        <f>Table1[[#This Row],[RPS]]/Table1[[#This Row],[RPS(OL)]]</f>
        <v>0.94354558751545103</v>
      </c>
      <c r="BA122" s="135">
        <f>MaxTok/Table1[[#This Row],[tok/req]]</f>
        <v>76.061227841677507</v>
      </c>
      <c r="BB122" s="4">
        <f>Table1[[#This Row],[N]]/Table1[[#This Row],[N-max]]</f>
        <v>0.96175994665043851</v>
      </c>
      <c r="BC122" s="44">
        <f>Table1[[#This Row],[RPS]]</f>
        <v>5.8</v>
      </c>
      <c r="BD122" s="47">
        <f>Table1[[#This Row],[PPS]]/Table1[[#This Row],[RPS success]]</f>
        <v>5695.3198891625616</v>
      </c>
      <c r="BE122" s="4">
        <f>ABS(Table1[[#This Row],[est-In-Tok3]]-Table1[[#This Row],[In-Tok]])/Table1[[#This Row],[In-Tok]]</f>
        <v>0.13906397783251231</v>
      </c>
      <c r="BF122" s="47">
        <f>Table1[[#This Row],[GPS]]/Table1[[#This Row],[RPS success]]</f>
        <v>211.96644088669947</v>
      </c>
      <c r="BG122" s="4">
        <f>ABS(Table1[[#This Row],[est-Out-Tok3]]-Table1[[#This Row],[Out-Tok]])/Table1[[#This Row],[Out-Tok]]</f>
        <v>5.983220443349737E-2</v>
      </c>
      <c r="BH122" s="162">
        <f>Table1[[#This Row],[est-In-Tok3]]+AvgOutLoad*Table1[[#This Row],[est-Out-Tok3]]</f>
        <v>5801.3031096059112</v>
      </c>
      <c r="BI122" s="4">
        <f>ABS(Table1[[#This Row],[est-Tok/Req3]]-Table1[[#This Row],[tok/req]])/Table1[[#This Row],[tok/req]]</f>
        <v>0.13751041364821789</v>
      </c>
      <c r="BJ122" s="162">
        <f>MaxTok/Table1[[#This Row],[est-Tok/Req3]]</f>
        <v>66.866401334941898</v>
      </c>
      <c r="BK122" s="4">
        <f>ABS(Table1[[#This Row],[est-N-max3]]-Table1[[#This Row],[N-max]])/Table1[[#This Row],[N-max]]</f>
        <v>0.12088716903012356</v>
      </c>
      <c r="BL122" s="44">
        <f>MaxTok*Table1[[#This Row],[Kvcache]]/Table1[[#This Row],[Run]]</f>
        <v>5108.3936970255299</v>
      </c>
      <c r="BM122" s="170">
        <f>ABS(Table1[[#This Row],[est-Tok/Req]]-Table1[[#This Row],[tok/req]])/Table1[[#This Row],[tok/req]]</f>
        <v>1.6458229461823422E-3</v>
      </c>
      <c r="BN122" s="44">
        <f>MaxTok/Table1[[#This Row],[est-Tok/Req]]</f>
        <v>75.936250218620657</v>
      </c>
      <c r="BO122" s="180">
        <f>Table1[[#This Row],[Run]]/Table1[[#This Row],[Kvcache]]</f>
        <v>75.936250218620657</v>
      </c>
      <c r="BP122" s="4" cm="1">
        <f t="array" aca="1" ref="BP122" ca="1">_xlfn.CEILING.MATH(INDIRECT("Table1"&amp;BP$3)/BP$2)*BP$2</f>
        <v>6000</v>
      </c>
      <c r="BQ122" s="4" cm="1">
        <f t="array" aca="1" ref="BQ122" ca="1">_xlfn.CEILING.MATH(INDIRECT("Table1"&amp;BQ$3)/BQ$2)*BQ$2</f>
        <v>5.5E-2</v>
      </c>
      <c r="BR122" s="4" cm="1">
        <f t="array" aca="1" ref="BR122" ca="1">_xlfn.CEILING.MATH(INDIRECT("Table1"&amp;BR$3)/BR$2)*BR$2</f>
        <v>0.70000000000000007</v>
      </c>
      <c r="BS122" s="4" cm="1">
        <f t="array" aca="1" ref="BS122" ca="1">_xlfn.CEILING.MATH(INDIRECT("Table1"&amp;BS$3)/BS$2)*BS$2</f>
        <v>0.62</v>
      </c>
      <c r="BT122" s="3" cm="1">
        <f t="array" aca="1" ref="BT122" ca="1">_xlfn.CEILING.MATH(INDIRECT("Table1"&amp;BT$3)/BT$2)*BT$2</f>
        <v>47</v>
      </c>
      <c r="BU122" s="135" cm="1">
        <f t="array" aca="1" ref="BU122" ca="1">_xlfn.CEILING.MATH(INDIRECT("Table1"&amp;BU$3)/BU$2)*BU$2</f>
        <v>25</v>
      </c>
      <c r="BV122" s="135" cm="1">
        <f t="array" aca="1" ref="BV122" ca="1">_xlfn.CEILING.MATH(INDIRECT("Table1"&amp;BV$3)/BV$2)*BV$2</f>
        <v>5000</v>
      </c>
      <c r="BW122" s="4"/>
      <c r="BX122" s="4"/>
      <c r="BY122" s="190">
        <v>0.99705197827773462</v>
      </c>
      <c r="BZ122" s="4"/>
      <c r="CA122" s="3"/>
      <c r="CF122" s="5"/>
      <c r="CH122" s="8"/>
      <c r="CI122" s="8"/>
      <c r="CJ122" s="14"/>
      <c r="CK122" s="8"/>
      <c r="CL122" s="8"/>
      <c r="CM122" s="8"/>
      <c r="CN122" s="8"/>
      <c r="CO122" s="8"/>
      <c r="CP122" s="8"/>
      <c r="CQ122" s="8">
        <f>Table1[[#This Row],[In-Tok]]+AvgOutLoad*Table1[[#This Row],[Out-Tok]]</f>
        <v>5100</v>
      </c>
      <c r="CR122" s="8"/>
      <c r="CS122" s="8"/>
      <c r="CT122" s="8"/>
      <c r="CU122" s="8"/>
      <c r="CV122" s="8"/>
      <c r="CW122" s="8"/>
      <c r="CX122" s="8"/>
      <c r="CY122" s="8"/>
      <c r="GJ122"/>
    </row>
    <row r="123" spans="1:192" hidden="1" x14ac:dyDescent="0.25">
      <c r="A123" s="3">
        <v>5000</v>
      </c>
      <c r="B123" s="3">
        <v>200</v>
      </c>
      <c r="C123">
        <v>6</v>
      </c>
      <c r="D123" s="199">
        <f>Table1[[#This Row],[Kvcache]]</f>
        <v>0.57643881274602771</v>
      </c>
      <c r="E123" s="4" t="s">
        <v>143</v>
      </c>
      <c r="F123" s="219">
        <v>46092</v>
      </c>
      <c r="G123" s="10"/>
      <c r="H123" s="10">
        <v>3.0727622157033161</v>
      </c>
      <c r="I123" s="10">
        <v>1.4690196156259414</v>
      </c>
      <c r="J123" s="10">
        <v>5.3383856277784103</v>
      </c>
      <c r="K123" s="10">
        <v>10.845544890562694</v>
      </c>
      <c r="L123" s="10">
        <v>12.586471074422201</v>
      </c>
      <c r="M123" s="10">
        <v>5.2543123906379351E-2</v>
      </c>
      <c r="N123" s="10">
        <v>12.623921228212708</v>
      </c>
      <c r="O123" s="47">
        <v>32186.697023809524</v>
      </c>
      <c r="P123" s="47">
        <v>1100.9738095238097</v>
      </c>
      <c r="Q123" s="5">
        <v>43.879629629629626</v>
      </c>
      <c r="R123" s="5">
        <v>76</v>
      </c>
      <c r="S123" s="170">
        <v>0.57643881274602771</v>
      </c>
      <c r="T123" s="170">
        <v>0.9960175846909749</v>
      </c>
      <c r="U123" s="20">
        <f>(Table1[[#This Row],[In-Tok]]+Table1[[#This Row],[Out-Tok]])*Table1[[#This Row],[RPS]]</f>
        <v>31200</v>
      </c>
      <c r="V123" s="3">
        <f>Table1[[#This Row],[In-Tok]]+AvgOutLoad*Table1[[#This Row],[Out-Tok]]</f>
        <v>5100</v>
      </c>
      <c r="W123" s="3">
        <f>Table1[[#This Row],[In-Tok]]*Table1[[#This Row],[RPS]]</f>
        <v>30000</v>
      </c>
      <c r="X123" s="3">
        <f>Table1[[#This Row],[Out-Tok]]*Table1[[#This Row],[RPS]]</f>
        <v>1200</v>
      </c>
      <c r="Y123" s="75">
        <f>Table1[[#This Row],[In-Tok]]/Table1[[#This Row],[Out-Tok]]</f>
        <v>25</v>
      </c>
      <c r="Z123" s="26">
        <f>Table1[[#This Row],[In-Tok]]*Table1[[#This Row],[N]]+AvgOutLoad*Table1[[#This Row],[Out-Tok]]*Table1[[#This Row],[Ndecode]]</f>
        <v>342310.76607677434</v>
      </c>
      <c r="AA123" s="3">
        <f>Table1[[#This Row],[tok(N)]]/Table1[[#This Row],[Kvcache]]</f>
        <v>593837.12287880329</v>
      </c>
      <c r="AB123" s="3">
        <f>Table1[[#This Row],[tok/req]]*Table1[[#This Row],[Run]]</f>
        <v>223786.11111111109</v>
      </c>
      <c r="AC123" s="3">
        <f>Table1[[#This Row],[tok(Run)]]/Table1[[#This Row],[Kvcache]]</f>
        <v>388221.79590066685</v>
      </c>
      <c r="AD123" s="3">
        <f>Table1[[#This Row],[tok/req]]*Table1[[#This Row],[MaxRun]]</f>
        <v>387600</v>
      </c>
      <c r="AE123" s="3">
        <f>Table1[[#This Row],[tok(MaxRun)]]/Table1[[#This Row],[MaxKvcache]]</f>
        <v>389149.75594558107</v>
      </c>
      <c r="AF123" s="75">
        <f>Table1[[#This Row],[PPS]]*Table1[[#This Row],[Prefill]]/Table1[[#This Row],[In-Tok]]</f>
        <v>9.4565778580370594</v>
      </c>
      <c r="AG123" s="5">
        <f>Table1[[#This Row],[GPS]]*Table1[[#This Row],[ITL]]</f>
        <v>57.848603291488033</v>
      </c>
      <c r="AH123" s="5">
        <f>Table1[[#This Row],[Nprefill]]+Table1[[#This Row],[Ndecode]]</f>
        <v>67.305181149525097</v>
      </c>
      <c r="AI123" s="4">
        <f>Table1[[#This Row],[Run]]/Table1[[#This Row],[ITL]]/Table1[[#This Row],[GPS]]</f>
        <v>0.75852530801009277</v>
      </c>
      <c r="AJ123" s="10">
        <f>Table1[[#This Row],[Prefill]]+Table1[[#This Row],[ITL]]</f>
        <v>1.5215627395323208</v>
      </c>
      <c r="AK123" s="4">
        <f>Table1[[#This Row],[TTFT]]/Table1[[#This Row],[estTTFT]]</f>
        <v>2.0194778275444518</v>
      </c>
      <c r="AL123" s="5">
        <f>Table1[[#This Row],[In-Tok]]*Table1[[#This Row],[RPS]]/Table1[[#This Row],[PPS]]</f>
        <v>0.93206208694878034</v>
      </c>
      <c r="AM123" s="4">
        <f>Table1[[#This Row],[Prefill]]/Table1[[#This Row],[estPrefill]]</f>
        <v>1.5760963096728433</v>
      </c>
      <c r="AN123" s="4">
        <f>Table1[[#This Row],[Prefill]]/Table1[[#This Row],[TTFT]]</f>
        <v>0.47807787017118786</v>
      </c>
      <c r="AO123" s="10">
        <f>Table1[[#This Row],[Run]]/(Table1[[#This Row],[Out-Tok]]*Table1[[#This Row],[RPS]])</f>
        <v>3.6566358024691353E-2</v>
      </c>
      <c r="AP123" s="4">
        <f>Table1[[#This Row],[ITL]]/Table1[[#This Row],[estITL]]</f>
        <v>1.4369252707885134</v>
      </c>
      <c r="AQ123" s="44">
        <f>Table1[[#This Row],[E2E]]-Table1[[#This Row],[TTFT]]+Table1[[#This Row],[ITL]]</f>
        <v>9.6037021364157713</v>
      </c>
      <c r="AR123" s="4">
        <f>Table1[[#This Row],[estDecode]]/Table1[[#This Row],[Run]]</f>
        <v>0.21886470367860381</v>
      </c>
      <c r="AS123" s="44">
        <f>Table1[[#This Row],[Prefill]]+Table1[[#This Row],[Out-Tok]]*Table1[[#This Row],[ITL]]</f>
        <v>11.977644396901811</v>
      </c>
      <c r="AT123" s="5">
        <f>Table1[[#This Row],[estPrefill]]+Table1[[#This Row],[Out-Tok]]*Table1[[#This Row],[ITL]]</f>
        <v>11.440686868224651</v>
      </c>
      <c r="AU123" s="4">
        <f>Table1[[#This Row],[E2E]]/Table1[[#This Row],[estE2E]]</f>
        <v>1.1034233672870088</v>
      </c>
      <c r="AV123" s="5">
        <f>Table1[[#This Row],[N]]/Table1[[#This Row],[estE2E]]</f>
        <v>5.8829668117618379</v>
      </c>
      <c r="AW123" s="5">
        <f>Table1[[#This Row],[PPS]]/Table1[[#This Row],[In-Tok]]</f>
        <v>6.4373394047619046</v>
      </c>
      <c r="AX123" s="4">
        <f>Table1[[#This Row],[RPS]]/Table1[[#This Row],[RPS(IL)]]</f>
        <v>0.93206208694878034</v>
      </c>
      <c r="AY123" s="5">
        <f>Table1[[#This Row],[GPS]]/Table1[[#This Row],[Out-Tok]]</f>
        <v>5.5048690476190485</v>
      </c>
      <c r="AZ123" s="89">
        <f>Table1[[#This Row],[RPS]]/Table1[[#This Row],[RPS(OL)]]</f>
        <v>1.0899441836123429</v>
      </c>
      <c r="BA123" s="135">
        <f>MaxTok/Table1[[#This Row],[tok/req]]</f>
        <v>76.061227841677507</v>
      </c>
      <c r="BB123" s="4">
        <f>Table1[[#This Row],[N]]/Table1[[#This Row],[N-max]]</f>
        <v>0.88488160209064415</v>
      </c>
      <c r="BC123" s="44">
        <f>Table1[[#This Row],[RPS]]</f>
        <v>6</v>
      </c>
      <c r="BD123" s="47">
        <f>Table1[[#This Row],[PPS]]/Table1[[#This Row],[RPS success]]</f>
        <v>5364.4495039682542</v>
      </c>
      <c r="BE123" s="4">
        <f>ABS(Table1[[#This Row],[est-In-Tok3]]-Table1[[#This Row],[In-Tok]])/Table1[[#This Row],[In-Tok]]</f>
        <v>7.2889900793650847E-2</v>
      </c>
      <c r="BF123" s="47">
        <f>Table1[[#This Row],[GPS]]/Table1[[#This Row],[RPS success]]</f>
        <v>183.49563492063496</v>
      </c>
      <c r="BG123" s="4">
        <f>ABS(Table1[[#This Row],[est-Out-Tok3]]-Table1[[#This Row],[Out-Tok]])/Table1[[#This Row],[Out-Tok]]</f>
        <v>8.2521825396825219E-2</v>
      </c>
      <c r="BH123" s="162">
        <f>Table1[[#This Row],[est-In-Tok3]]+AvgOutLoad*Table1[[#This Row],[est-Out-Tok3]]</f>
        <v>5456.1973214285717</v>
      </c>
      <c r="BI123" s="4">
        <f>ABS(Table1[[#This Row],[est-Tok/Req3]]-Table1[[#This Row],[tok/req]])/Table1[[#This Row],[tok/req]]</f>
        <v>6.9842612044817995E-2</v>
      </c>
      <c r="BJ123" s="162">
        <f>MaxTok/Table1[[#This Row],[est-Tok/Req3]]</f>
        <v>71.095717244146513</v>
      </c>
      <c r="BK123" s="4">
        <f>ABS(Table1[[#This Row],[est-N-max3]]-Table1[[#This Row],[N-max]])/Table1[[#This Row],[N-max]]</f>
        <v>6.5283071788780123E-2</v>
      </c>
      <c r="BL123" s="44">
        <f>MaxTok*Table1[[#This Row],[Kvcache]]/Table1[[#This Row],[Run]]</f>
        <v>5095.9337086478963</v>
      </c>
      <c r="BM123" s="170">
        <f>ABS(Table1[[#This Row],[est-Tok/Req]]-Table1[[#This Row],[tok/req]])/Table1[[#This Row],[tok/req]]</f>
        <v>7.9731202982425288E-4</v>
      </c>
      <c r="BN123" s="44">
        <f>MaxTok/Table1[[#This Row],[est-Tok/Req]]</f>
        <v>76.121920764836645</v>
      </c>
      <c r="BO123" s="180">
        <f>Table1[[#This Row],[Run]]/Table1[[#This Row],[Kvcache]]</f>
        <v>76.121920764836645</v>
      </c>
      <c r="BP123" s="4" cm="1">
        <f t="array" aca="1" ref="BP123" ca="1">_xlfn.CEILING.MATH(INDIRECT("Table1"&amp;BP$3)/BP$2)*BP$2</f>
        <v>6000</v>
      </c>
      <c r="BQ123" s="4" cm="1">
        <f t="array" aca="1" ref="BQ123" ca="1">_xlfn.CEILING.MATH(INDIRECT("Table1"&amp;BQ$3)/BQ$2)*BQ$2</f>
        <v>5.5E-2</v>
      </c>
      <c r="BR123" s="4" cm="1">
        <f t="array" aca="1" ref="BR123" ca="1">_xlfn.CEILING.MATH(INDIRECT("Table1"&amp;BR$3)/BR$2)*BR$2</f>
        <v>0.60000000000000009</v>
      </c>
      <c r="BS123" s="4" cm="1">
        <f t="array" aca="1" ref="BS123" ca="1">_xlfn.CEILING.MATH(INDIRECT("Table1"&amp;BS$3)/BS$2)*BS$2</f>
        <v>0.57999999999999996</v>
      </c>
      <c r="BT123" s="3" cm="1">
        <f t="array" aca="1" ref="BT123" ca="1">_xlfn.CEILING.MATH(INDIRECT("Table1"&amp;BT$3)/BT$2)*BT$2</f>
        <v>44</v>
      </c>
      <c r="BU123" s="135" cm="1">
        <f t="array" aca="1" ref="BU123" ca="1">_xlfn.CEILING.MATH(INDIRECT("Table1"&amp;BU$3)/BU$2)*BU$2</f>
        <v>25</v>
      </c>
      <c r="BV123" s="135" cm="1">
        <f t="array" aca="1" ref="BV123" ca="1">_xlfn.CEILING.MATH(INDIRECT("Table1"&amp;BV$3)/BV$2)*BV$2</f>
        <v>5000</v>
      </c>
      <c r="BW123" s="4"/>
      <c r="BX123" s="4"/>
      <c r="BY123" s="190">
        <v>0.9960175846909749</v>
      </c>
      <c r="BZ123" s="4"/>
      <c r="CA123" s="3"/>
      <c r="CF123" s="5"/>
      <c r="CH123" s="8"/>
      <c r="CI123" s="8"/>
      <c r="CJ123" s="14"/>
      <c r="CK123" s="8"/>
      <c r="CL123" s="8"/>
      <c r="CM123" s="8"/>
      <c r="CN123" s="8"/>
      <c r="CO123" s="8"/>
      <c r="CP123" s="8"/>
      <c r="CQ123" s="8">
        <f>Table1[[#This Row],[In-Tok]]+AvgOutLoad*Table1[[#This Row],[Out-Tok]]</f>
        <v>5100</v>
      </c>
      <c r="CR123" s="8"/>
      <c r="CS123" s="8"/>
      <c r="CT123" s="8"/>
      <c r="CU123" s="8"/>
      <c r="CV123" s="8"/>
      <c r="CW123" s="8"/>
      <c r="CX123" s="8"/>
      <c r="CY123" s="8"/>
      <c r="GJ123"/>
    </row>
    <row r="124" spans="1:192" hidden="1" x14ac:dyDescent="0.25">
      <c r="A124" s="3">
        <v>5000</v>
      </c>
      <c r="B124" s="3">
        <v>200</v>
      </c>
      <c r="C124">
        <v>6.2</v>
      </c>
      <c r="D124" s="199">
        <f>Table1[[#This Row],[Kvcache]]</f>
        <v>0.58347268913599404</v>
      </c>
      <c r="E124" s="4" t="s">
        <v>143</v>
      </c>
      <c r="F124" s="219">
        <v>46092</v>
      </c>
      <c r="G124" s="10"/>
      <c r="H124" s="10">
        <v>4.7031946429810354</v>
      </c>
      <c r="I124" s="10">
        <v>1.8639268350212816</v>
      </c>
      <c r="J124" s="10">
        <v>6.5371868190442202</v>
      </c>
      <c r="K124" s="10">
        <v>12.892095843950907</v>
      </c>
      <c r="L124" s="10">
        <v>14.754504570960998</v>
      </c>
      <c r="M124" s="10">
        <v>5.1672567798732034E-2</v>
      </c>
      <c r="N124" s="10">
        <v>15.22281768655759</v>
      </c>
      <c r="O124" s="47">
        <v>31883.462500000005</v>
      </c>
      <c r="P124" s="47">
        <v>1166.0208333333333</v>
      </c>
      <c r="Q124" s="5">
        <v>44.444444444444436</v>
      </c>
      <c r="R124" s="5">
        <v>75</v>
      </c>
      <c r="S124" s="170">
        <v>0.58347268913599404</v>
      </c>
      <c r="T124" s="170">
        <v>0.99268166537367464</v>
      </c>
      <c r="U124" s="20">
        <f>(Table1[[#This Row],[In-Tok]]+Table1[[#This Row],[Out-Tok]])*Table1[[#This Row],[RPS]]</f>
        <v>32240</v>
      </c>
      <c r="V124" s="3">
        <f>Table1[[#This Row],[In-Tok]]+AvgOutLoad*Table1[[#This Row],[Out-Tok]]</f>
        <v>5100</v>
      </c>
      <c r="W124" s="3">
        <f>Table1[[#This Row],[In-Tok]]*Table1[[#This Row],[RPS]]</f>
        <v>31000</v>
      </c>
      <c r="X124" s="3">
        <f>Table1[[#This Row],[Out-Tok]]*Table1[[#This Row],[RPS]]</f>
        <v>1240</v>
      </c>
      <c r="Y124" s="75">
        <f>Table1[[#This Row],[In-Tok]]/Table1[[#This Row],[Out-Tok]]</f>
        <v>25</v>
      </c>
      <c r="Z124" s="26">
        <f>Table1[[#This Row],[In-Tok]]*Table1[[#This Row],[N]]+AvgOutLoad*Table1[[#This Row],[Out-Tok]]*Table1[[#This Row],[Ndecode]]</f>
        <v>366710.02322941326</v>
      </c>
      <c r="AA124" s="3">
        <f>Table1[[#This Row],[tok(N)]]/Table1[[#This Row],[Kvcache]]</f>
        <v>628495.60923311976</v>
      </c>
      <c r="AB124" s="3">
        <f>Table1[[#This Row],[tok/req]]*Table1[[#This Row],[Run]]</f>
        <v>226666.66666666663</v>
      </c>
      <c r="AC124" s="3">
        <f>Table1[[#This Row],[tok(Run)]]/Table1[[#This Row],[Kvcache]]</f>
        <v>388478.62271379743</v>
      </c>
      <c r="AD124" s="3">
        <f>Table1[[#This Row],[tok/req]]*Table1[[#This Row],[MaxRun]]</f>
        <v>382500</v>
      </c>
      <c r="AE124" s="3">
        <f>Table1[[#This Row],[tok(MaxRun)]]/Table1[[#This Row],[MaxKvcache]]</f>
        <v>385319.8999661344</v>
      </c>
      <c r="AF124" s="75">
        <f>Table1[[#This Row],[PPS]]*Table1[[#This Row],[Prefill]]/Table1[[#This Row],[In-Tok]]</f>
        <v>11.885688269428945</v>
      </c>
      <c r="AG124" s="5">
        <f>Table1[[#This Row],[GPS]]*Table1[[#This Row],[ITL]]</f>
        <v>60.25129056515069</v>
      </c>
      <c r="AH124" s="5">
        <f>Table1[[#This Row],[Nprefill]]+Table1[[#This Row],[Ndecode]]</f>
        <v>72.136978834579637</v>
      </c>
      <c r="AI124" s="4">
        <f>Table1[[#This Row],[Run]]/Table1[[#This Row],[ITL]]/Table1[[#This Row],[GPS]]</f>
        <v>0.73765132709291825</v>
      </c>
      <c r="AJ124" s="10">
        <f>Table1[[#This Row],[Prefill]]+Table1[[#This Row],[ITL]]</f>
        <v>1.9155994028200136</v>
      </c>
      <c r="AK124" s="4">
        <f>Table1[[#This Row],[TTFT]]/Table1[[#This Row],[estTTFT]]</f>
        <v>2.455207824797458</v>
      </c>
      <c r="AL124" s="5">
        <f>Table1[[#This Row],[In-Tok]]*Table1[[#This Row],[RPS]]/Table1[[#This Row],[PPS]]</f>
        <v>0.97229088590989754</v>
      </c>
      <c r="AM124" s="4">
        <f>Table1[[#This Row],[Prefill]]/Table1[[#This Row],[estPrefill]]</f>
        <v>1.9170464950691848</v>
      </c>
      <c r="AN124" s="4">
        <f>Table1[[#This Row],[Prefill]]/Table1[[#This Row],[TTFT]]</f>
        <v>0.39631080074539826</v>
      </c>
      <c r="AO124" s="10">
        <f>Table1[[#This Row],[Run]]/(Table1[[#This Row],[Out-Tok]]*Table1[[#This Row],[RPS]])</f>
        <v>3.5842293906810027E-2</v>
      </c>
      <c r="AP124" s="4">
        <f>Table1[[#This Row],[ITL]]/Table1[[#This Row],[estITL]]</f>
        <v>1.4416646415846242</v>
      </c>
      <c r="AQ124" s="44">
        <f>Table1[[#This Row],[E2E]]-Table1[[#This Row],[TTFT]]+Table1[[#This Row],[ITL]]</f>
        <v>10.571295611375287</v>
      </c>
      <c r="AR124" s="4">
        <f>Table1[[#This Row],[estDecode]]/Table1[[#This Row],[Run]]</f>
        <v>0.237854151255944</v>
      </c>
      <c r="AS124" s="44">
        <f>Table1[[#This Row],[Prefill]]+Table1[[#This Row],[Out-Tok]]*Table1[[#This Row],[ITL]]</f>
        <v>12.198440394767688</v>
      </c>
      <c r="AT124" s="5">
        <f>Table1[[#This Row],[estPrefill]]+Table1[[#This Row],[Out-Tok]]*Table1[[#This Row],[ITL]]</f>
        <v>11.306804445656304</v>
      </c>
      <c r="AU124" s="4">
        <f>Table1[[#This Row],[E2E]]/Table1[[#This Row],[estE2E]]</f>
        <v>1.3463412903020258</v>
      </c>
      <c r="AV124" s="5">
        <f>Table1[[#This Row],[N]]/Table1[[#This Row],[estE2E]]</f>
        <v>6.379961657715965</v>
      </c>
      <c r="AW124" s="5">
        <f>Table1[[#This Row],[PPS]]/Table1[[#This Row],[In-Tok]]</f>
        <v>6.3766925000000008</v>
      </c>
      <c r="AX124" s="4">
        <f>Table1[[#This Row],[RPS]]/Table1[[#This Row],[RPS(IL)]]</f>
        <v>0.97229088590989754</v>
      </c>
      <c r="AY124" s="5">
        <f>Table1[[#This Row],[GPS]]/Table1[[#This Row],[Out-Tok]]</f>
        <v>5.8301041666666666</v>
      </c>
      <c r="AZ124" s="89">
        <f>Table1[[#This Row],[RPS]]/Table1[[#This Row],[RPS(OL)]]</f>
        <v>1.0634458360878343</v>
      </c>
      <c r="BA124" s="135">
        <f>MaxTok/Table1[[#This Row],[tok/req]]</f>
        <v>76.061227841677507</v>
      </c>
      <c r="BB124" s="4">
        <f>Table1[[#This Row],[N]]/Table1[[#This Row],[N-max]]</f>
        <v>0.94840670971988184</v>
      </c>
      <c r="BC124" s="44">
        <f>Table1[[#This Row],[RPS]]</f>
        <v>6.2</v>
      </c>
      <c r="BD124" s="47">
        <f>Table1[[#This Row],[PPS]]/Table1[[#This Row],[RPS success]]</f>
        <v>5142.4939516129043</v>
      </c>
      <c r="BE124" s="4">
        <f>ABS(Table1[[#This Row],[est-In-Tok3]]-Table1[[#This Row],[In-Tok]])/Table1[[#This Row],[In-Tok]]</f>
        <v>2.8498790322580861E-2</v>
      </c>
      <c r="BF124" s="47">
        <f>Table1[[#This Row],[GPS]]/Table1[[#This Row],[RPS success]]</f>
        <v>188.06787634408602</v>
      </c>
      <c r="BG124" s="4">
        <f>ABS(Table1[[#This Row],[est-Out-Tok3]]-Table1[[#This Row],[Out-Tok]])/Table1[[#This Row],[Out-Tok]]</f>
        <v>5.9660618279569914E-2</v>
      </c>
      <c r="BH124" s="162">
        <f>Table1[[#This Row],[est-In-Tok3]]+AvgOutLoad*Table1[[#This Row],[est-Out-Tok3]]</f>
        <v>5236.5278897849475</v>
      </c>
      <c r="BI124" s="4">
        <f>ABS(Table1[[#This Row],[est-Tok/Req3]]-Table1[[#This Row],[tok/req]])/Table1[[#This Row],[tok/req]]</f>
        <v>2.6770174467636774E-2</v>
      </c>
      <c r="BJ124" s="162">
        <f>MaxTok/Table1[[#This Row],[est-Tok/Req3]]</f>
        <v>74.078143028564284</v>
      </c>
      <c r="BK124" s="4">
        <f>ABS(Table1[[#This Row],[est-N-max3]]-Table1[[#This Row],[N-max]])/Table1[[#This Row],[N-max]]</f>
        <v>2.6072216678398107E-2</v>
      </c>
      <c r="BL124" s="44">
        <f>MaxTok*Table1[[#This Row],[Kvcache]]/Table1[[#This Row],[Run]]</f>
        <v>5092.5647397065068</v>
      </c>
      <c r="BM124" s="170">
        <f>ABS(Table1[[#This Row],[est-Tok/Req]]-Table1[[#This Row],[tok/req]])/Table1[[#This Row],[tok/req]]</f>
        <v>1.4578941751947508E-3</v>
      </c>
      <c r="BN124" s="44">
        <f>MaxTok/Table1[[#This Row],[est-Tok/Req]]</f>
        <v>76.172278963489688</v>
      </c>
      <c r="BO124" s="180">
        <f>Table1[[#This Row],[Run]]/Table1[[#This Row],[Kvcache]]</f>
        <v>76.172278963489688</v>
      </c>
      <c r="BP124" s="4" cm="1">
        <f t="array" aca="1" ref="BP124" ca="1">_xlfn.CEILING.MATH(INDIRECT("Table1"&amp;BP$3)/BP$2)*BP$2</f>
        <v>6000</v>
      </c>
      <c r="BQ124" s="4" cm="1">
        <f t="array" aca="1" ref="BQ124" ca="1">_xlfn.CEILING.MATH(INDIRECT("Table1"&amp;BQ$3)/BQ$2)*BQ$2</f>
        <v>5.5E-2</v>
      </c>
      <c r="BR124" s="4" cm="1">
        <f t="array" aca="1" ref="BR124" ca="1">_xlfn.CEILING.MATH(INDIRECT("Table1"&amp;BR$3)/BR$2)*BR$2</f>
        <v>0.60000000000000009</v>
      </c>
      <c r="BS124" s="4" cm="1">
        <f t="array" aca="1" ref="BS124" ca="1">_xlfn.CEILING.MATH(INDIRECT("Table1"&amp;BS$3)/BS$2)*BS$2</f>
        <v>0.59</v>
      </c>
      <c r="BT124" s="3" cm="1">
        <f t="array" aca="1" ref="BT124" ca="1">_xlfn.CEILING.MATH(INDIRECT("Table1"&amp;BT$3)/BT$2)*BT$2</f>
        <v>45</v>
      </c>
      <c r="BU124" s="135" cm="1">
        <f t="array" aca="1" ref="BU124" ca="1">_xlfn.CEILING.MATH(INDIRECT("Table1"&amp;BU$3)/BU$2)*BU$2</f>
        <v>25</v>
      </c>
      <c r="BV124" s="135" cm="1">
        <f t="array" aca="1" ref="BV124" ca="1">_xlfn.CEILING.MATH(INDIRECT("Table1"&amp;BV$3)/BV$2)*BV$2</f>
        <v>5000</v>
      </c>
      <c r="BW124" s="4"/>
      <c r="BX124" s="4"/>
      <c r="BY124" s="190">
        <v>0.99268166537367464</v>
      </c>
      <c r="BZ124" s="4"/>
      <c r="CA124" s="3"/>
      <c r="CF124" s="5"/>
      <c r="CH124" s="8"/>
      <c r="CI124" s="8"/>
      <c r="CJ124" s="14"/>
      <c r="CK124" s="8"/>
      <c r="CL124" s="8"/>
      <c r="CM124" s="8"/>
      <c r="CN124" s="8"/>
      <c r="CO124" s="8"/>
      <c r="CP124" s="8"/>
      <c r="CQ124" s="8">
        <f>Table1[[#This Row],[In-Tok]]+AvgOutLoad*Table1[[#This Row],[Out-Tok]]</f>
        <v>5100</v>
      </c>
      <c r="CR124" s="8"/>
      <c r="CS124" s="8"/>
      <c r="CT124" s="8"/>
      <c r="CU124" s="8"/>
      <c r="CV124" s="8"/>
      <c r="CW124" s="8"/>
      <c r="CX124" s="8"/>
      <c r="CY124" s="8"/>
      <c r="GJ124"/>
    </row>
    <row r="125" spans="1:192" hidden="1" x14ac:dyDescent="0.25">
      <c r="A125" s="3">
        <v>5000</v>
      </c>
      <c r="B125" s="3">
        <v>200</v>
      </c>
      <c r="C125">
        <v>6.4000000000000012</v>
      </c>
      <c r="D125" s="199">
        <f>Table1[[#This Row],[Kvcache]]</f>
        <v>0.58683698244404214</v>
      </c>
      <c r="E125" s="4" t="s">
        <v>143</v>
      </c>
      <c r="F125" s="219">
        <v>46092</v>
      </c>
      <c r="G125" s="10"/>
      <c r="H125" s="10">
        <v>3.6113220324175601</v>
      </c>
      <c r="I125" s="10">
        <v>1.3741587436765066</v>
      </c>
      <c r="J125" s="10">
        <v>5.7031288058201683</v>
      </c>
      <c r="K125" s="10">
        <v>11.832127559185025</v>
      </c>
      <c r="L125" s="10">
        <v>12.858048308690387</v>
      </c>
      <c r="M125" s="10">
        <v>5.1964322290533771E-2</v>
      </c>
      <c r="N125" s="10">
        <v>13.990549376499565</v>
      </c>
      <c r="O125" s="47">
        <v>32060.889285714289</v>
      </c>
      <c r="P125" s="47">
        <v>1182.0226190476189</v>
      </c>
      <c r="Q125" s="5">
        <v>44.796296296296305</v>
      </c>
      <c r="R125" s="5">
        <v>72</v>
      </c>
      <c r="S125" s="170">
        <v>0.58683698244404214</v>
      </c>
      <c r="T125" s="170">
        <v>0.94517713990173269</v>
      </c>
      <c r="U125" s="20">
        <f>(Table1[[#This Row],[In-Tok]]+Table1[[#This Row],[Out-Tok]])*Table1[[#This Row],[RPS]]</f>
        <v>33280.000000000007</v>
      </c>
      <c r="V125" s="3">
        <f>Table1[[#This Row],[In-Tok]]+AvgOutLoad*Table1[[#This Row],[Out-Tok]]</f>
        <v>5100</v>
      </c>
      <c r="W125" s="3">
        <f>Table1[[#This Row],[In-Tok]]*Table1[[#This Row],[RPS]]</f>
        <v>32000.000000000007</v>
      </c>
      <c r="X125" s="3">
        <f>Table1[[#This Row],[Out-Tok]]*Table1[[#This Row],[RPS]]</f>
        <v>1280.0000000000002</v>
      </c>
      <c r="Y125" s="75">
        <f>Table1[[#This Row],[In-Tok]]/Table1[[#This Row],[Out-Tok]]</f>
        <v>25</v>
      </c>
      <c r="Z125" s="26">
        <f>Table1[[#This Row],[In-Tok]]*Table1[[#This Row],[N]]+AvgOutLoad*Table1[[#This Row],[Out-Tok]]*Table1[[#This Row],[Ndecode]]</f>
        <v>357314.07342955435</v>
      </c>
      <c r="AA125" s="3">
        <f>Table1[[#This Row],[tok(N)]]/Table1[[#This Row],[Kvcache]]</f>
        <v>608881.31477573677</v>
      </c>
      <c r="AB125" s="3">
        <f>Table1[[#This Row],[tok/req]]*Table1[[#This Row],[Run]]</f>
        <v>228461.11111111115</v>
      </c>
      <c r="AC125" s="3">
        <f>Table1[[#This Row],[tok(Run)]]/Table1[[#This Row],[Kvcache]]</f>
        <v>389309.32771077711</v>
      </c>
      <c r="AD125" s="3">
        <f>Table1[[#This Row],[tok/req]]*Table1[[#This Row],[MaxRun]]</f>
        <v>367200</v>
      </c>
      <c r="AE125" s="3">
        <f>Table1[[#This Row],[tok(MaxRun)]]/Table1[[#This Row],[MaxKvcache]]</f>
        <v>388498.60465116275</v>
      </c>
      <c r="AF125" s="75">
        <f>Table1[[#This Row],[PPS]]*Table1[[#This Row],[Prefill]]/Table1[[#This Row],[In-Tok]]</f>
        <v>8.8113502684017444</v>
      </c>
      <c r="AG125" s="5">
        <f>Table1[[#This Row],[GPS]]*Table1[[#This Row],[ITL]]</f>
        <v>61.423004330891295</v>
      </c>
      <c r="AH125" s="5">
        <f>Table1[[#This Row],[Nprefill]]+Table1[[#This Row],[Ndecode]]</f>
        <v>70.234354599293042</v>
      </c>
      <c r="AI125" s="4">
        <f>Table1[[#This Row],[Run]]/Table1[[#This Row],[ITL]]/Table1[[#This Row],[GPS]]</f>
        <v>0.7293081278632122</v>
      </c>
      <c r="AJ125" s="10">
        <f>Table1[[#This Row],[Prefill]]+Table1[[#This Row],[ITL]]</f>
        <v>1.4261230659670403</v>
      </c>
      <c r="AK125" s="4">
        <f>Table1[[#This Row],[TTFT]]/Table1[[#This Row],[estTTFT]]</f>
        <v>2.5322653553525956</v>
      </c>
      <c r="AL125" s="5">
        <f>Table1[[#This Row],[In-Tok]]*Table1[[#This Row],[RPS]]/Table1[[#This Row],[PPS]]</f>
        <v>0.99810082355571428</v>
      </c>
      <c r="AM125" s="4">
        <f>Table1[[#This Row],[Prefill]]/Table1[[#This Row],[estPrefill]]</f>
        <v>1.3767734794377722</v>
      </c>
      <c r="AN125" s="4">
        <f>Table1[[#This Row],[Prefill]]/Table1[[#This Row],[TTFT]]</f>
        <v>0.38051404204365319</v>
      </c>
      <c r="AO125" s="10">
        <f>Table1[[#This Row],[Run]]/(Table1[[#This Row],[Out-Tok]]*Table1[[#This Row],[RPS]])</f>
        <v>3.499710648148148E-2</v>
      </c>
      <c r="AP125" s="4">
        <f>Table1[[#This Row],[ITL]]/Table1[[#This Row],[estITL]]</f>
        <v>1.4848176753706881</v>
      </c>
      <c r="AQ125" s="44">
        <f>Table1[[#This Row],[E2E]]-Table1[[#This Row],[TTFT]]+Table1[[#This Row],[ITL]]</f>
        <v>10.431191666372539</v>
      </c>
      <c r="AR125" s="4">
        <f>Table1[[#This Row],[estDecode]]/Table1[[#This Row],[Run]]</f>
        <v>0.23285835055151594</v>
      </c>
      <c r="AS125" s="44">
        <f>Table1[[#This Row],[Prefill]]+Table1[[#This Row],[Out-Tok]]*Table1[[#This Row],[ITL]]</f>
        <v>11.76702320178326</v>
      </c>
      <c r="AT125" s="5">
        <f>Table1[[#This Row],[estPrefill]]+Table1[[#This Row],[Out-Tok]]*Table1[[#This Row],[ITL]]</f>
        <v>11.390965281662467</v>
      </c>
      <c r="AU125" s="4">
        <f>Table1[[#This Row],[E2E]]/Table1[[#This Row],[estE2E]]</f>
        <v>1.2282145569368024</v>
      </c>
      <c r="AV125" s="5">
        <f>Table1[[#This Row],[N]]/Table1[[#This Row],[estE2E]]</f>
        <v>6.1657948086593244</v>
      </c>
      <c r="AW125" s="5">
        <f>Table1[[#This Row],[PPS]]/Table1[[#This Row],[In-Tok]]</f>
        <v>6.4121778571428578</v>
      </c>
      <c r="AX125" s="4">
        <f>Table1[[#This Row],[RPS]]/Table1[[#This Row],[RPS(IL)]]</f>
        <v>0.99810082355571417</v>
      </c>
      <c r="AY125" s="5">
        <f>Table1[[#This Row],[GPS]]/Table1[[#This Row],[Out-Tok]]</f>
        <v>5.9101130952380947</v>
      </c>
      <c r="AZ125" s="89">
        <f>Table1[[#This Row],[RPS]]/Table1[[#This Row],[RPS(OL)]]</f>
        <v>1.0828895990428034</v>
      </c>
      <c r="BA125" s="135">
        <f>MaxTok/Table1[[#This Row],[tok/req]]</f>
        <v>76.061227841677507</v>
      </c>
      <c r="BB125" s="4">
        <f>Table1[[#This Row],[N]]/Table1[[#This Row],[N-max]]</f>
        <v>0.92339233262821918</v>
      </c>
      <c r="BC125" s="44">
        <f>Table1[[#This Row],[RPS]]</f>
        <v>6.4000000000000012</v>
      </c>
      <c r="BD125" s="47">
        <f>Table1[[#This Row],[PPS]]/Table1[[#This Row],[RPS success]]</f>
        <v>5009.5139508928569</v>
      </c>
      <c r="BE125" s="4">
        <f>ABS(Table1[[#This Row],[est-In-Tok3]]-Table1[[#This Row],[In-Tok]])/Table1[[#This Row],[In-Tok]]</f>
        <v>1.9027901785713766E-3</v>
      </c>
      <c r="BF125" s="47">
        <f>Table1[[#This Row],[GPS]]/Table1[[#This Row],[RPS success]]</f>
        <v>184.69103422619042</v>
      </c>
      <c r="BG125" s="4">
        <f>ABS(Table1[[#This Row],[est-Out-Tok3]]-Table1[[#This Row],[Out-Tok]])/Table1[[#This Row],[Out-Tok]]</f>
        <v>7.6544828869047871E-2</v>
      </c>
      <c r="BH125" s="162">
        <f>Table1[[#This Row],[est-In-Tok3]]+AvgOutLoad*Table1[[#This Row],[est-Out-Tok3]]</f>
        <v>5101.8594680059523</v>
      </c>
      <c r="BI125" s="4">
        <f>ABS(Table1[[#This Row],[est-Tok/Req3]]-Table1[[#This Row],[tok/req]])/Table1[[#This Row],[tok/req]]</f>
        <v>3.6460156979456753E-4</v>
      </c>
      <c r="BJ125" s="162">
        <f>MaxTok/Table1[[#This Row],[est-Tok/Req3]]</f>
        <v>76.033505906067177</v>
      </c>
      <c r="BK125" s="4">
        <f>ABS(Table1[[#This Row],[est-N-max3]]-Table1[[#This Row],[N-max]])/Table1[[#This Row],[N-max]]</f>
        <v>3.6446868394017772E-4</v>
      </c>
      <c r="BL125" s="44">
        <f>MaxTok*Table1[[#This Row],[Kvcache]]/Table1[[#This Row],[Run]]</f>
        <v>5081.6982675323297</v>
      </c>
      <c r="BM125" s="170">
        <f>ABS(Table1[[#This Row],[est-Tok/Req]]-Table1[[#This Row],[tok/req]])/Table1[[#This Row],[tok/req]]</f>
        <v>3.5885749936608357E-3</v>
      </c>
      <c r="BN125" s="44">
        <f>MaxTok/Table1[[#This Row],[est-Tok/Req]]</f>
        <v>76.335162296230806</v>
      </c>
      <c r="BO125" s="180">
        <f>Table1[[#This Row],[Run]]/Table1[[#This Row],[Kvcache]]</f>
        <v>76.335162296230806</v>
      </c>
      <c r="BP125" s="4" cm="1">
        <f t="array" aca="1" ref="BP125" ca="1">_xlfn.CEILING.MATH(INDIRECT("Table1"&amp;BP$3)/BP$2)*BP$2</f>
        <v>6000</v>
      </c>
      <c r="BQ125" s="4" cm="1">
        <f t="array" aca="1" ref="BQ125" ca="1">_xlfn.CEILING.MATH(INDIRECT("Table1"&amp;BQ$3)/BQ$2)*BQ$2</f>
        <v>5.5E-2</v>
      </c>
      <c r="BR125" s="4" cm="1">
        <f t="array" aca="1" ref="BR125" ca="1">_xlfn.CEILING.MATH(INDIRECT("Table1"&amp;BR$3)/BR$2)*BR$2</f>
        <v>0.60000000000000009</v>
      </c>
      <c r="BS125" s="4" cm="1">
        <f t="array" aca="1" ref="BS125" ca="1">_xlfn.CEILING.MATH(INDIRECT("Table1"&amp;BS$3)/BS$2)*BS$2</f>
        <v>0.59</v>
      </c>
      <c r="BT125" s="3" cm="1">
        <f t="array" aca="1" ref="BT125" ca="1">_xlfn.CEILING.MATH(INDIRECT("Table1"&amp;BT$3)/BT$2)*BT$2</f>
        <v>45</v>
      </c>
      <c r="BU125" s="135" cm="1">
        <f t="array" aca="1" ref="BU125" ca="1">_xlfn.CEILING.MATH(INDIRECT("Table1"&amp;BU$3)/BU$2)*BU$2</f>
        <v>25</v>
      </c>
      <c r="BV125" s="135" cm="1">
        <f t="array" aca="1" ref="BV125" ca="1">_xlfn.CEILING.MATH(INDIRECT("Table1"&amp;BV$3)/BV$2)*BV$2</f>
        <v>5000</v>
      </c>
      <c r="BW125" s="4"/>
      <c r="BX125" s="4"/>
      <c r="BY125" s="190">
        <v>0.94517713990173269</v>
      </c>
      <c r="BZ125" s="4"/>
      <c r="CA125" s="3"/>
      <c r="CF125" s="5"/>
      <c r="CH125" s="8"/>
      <c r="CI125" s="8"/>
      <c r="CJ125" s="14"/>
      <c r="CK125" s="8"/>
      <c r="CL125" s="8"/>
      <c r="CM125" s="8"/>
      <c r="CN125" s="8"/>
      <c r="CO125" s="8"/>
      <c r="CP125" s="8"/>
      <c r="CQ125" s="8">
        <f>Table1[[#This Row],[In-Tok]]+AvgOutLoad*Table1[[#This Row],[Out-Tok]]</f>
        <v>5100</v>
      </c>
      <c r="CR125" s="8"/>
      <c r="CS125" s="8"/>
      <c r="CT125" s="8"/>
      <c r="CU125" s="8"/>
      <c r="CV125" s="8"/>
      <c r="CW125" s="8"/>
      <c r="CX125" s="8"/>
      <c r="CY125" s="8"/>
      <c r="GJ125"/>
    </row>
    <row r="126" spans="1:192" hidden="1" x14ac:dyDescent="0.25">
      <c r="A126" s="3">
        <v>5000</v>
      </c>
      <c r="B126" s="3">
        <v>200</v>
      </c>
      <c r="C126">
        <v>6.5999999999999988</v>
      </c>
      <c r="D126" s="199">
        <f>Table1[[#This Row],[Kvcache]]</f>
        <v>0.57772749475619911</v>
      </c>
      <c r="E126" s="4" t="s">
        <v>143</v>
      </c>
      <c r="F126" s="219">
        <v>46092</v>
      </c>
      <c r="G126" s="10"/>
      <c r="H126" s="10">
        <v>4.7297283733849502</v>
      </c>
      <c r="I126" s="10">
        <v>1.2600287174116651</v>
      </c>
      <c r="J126" s="10">
        <v>7.5669091572976184</v>
      </c>
      <c r="K126" s="10">
        <v>15.780579980214441</v>
      </c>
      <c r="L126" s="10">
        <v>17.197256290117895</v>
      </c>
      <c r="M126" s="10">
        <v>5.4497487006289348E-2</v>
      </c>
      <c r="N126" s="10">
        <v>15.168667619242166</v>
      </c>
      <c r="O126" s="47">
        <v>33396.366666666669</v>
      </c>
      <c r="P126" s="47">
        <v>1211.0541666666666</v>
      </c>
      <c r="Q126" s="5">
        <v>43.995370370370374</v>
      </c>
      <c r="R126" s="5">
        <v>73.666666666666671</v>
      </c>
      <c r="S126" s="170">
        <v>0.57772749475619911</v>
      </c>
      <c r="T126" s="170">
        <v>0.96951124903025587</v>
      </c>
      <c r="U126" s="20">
        <f>(Table1[[#This Row],[In-Tok]]+Table1[[#This Row],[Out-Tok]])*Table1[[#This Row],[RPS]]</f>
        <v>34319.999999999993</v>
      </c>
      <c r="V126" s="3">
        <f>Table1[[#This Row],[In-Tok]]+AvgOutLoad*Table1[[#This Row],[Out-Tok]]</f>
        <v>5100</v>
      </c>
      <c r="W126" s="3">
        <f>Table1[[#This Row],[In-Tok]]*Table1[[#This Row],[RPS]]</f>
        <v>32999.999999999993</v>
      </c>
      <c r="X126" s="3">
        <f>Table1[[#This Row],[Out-Tok]]*Table1[[#This Row],[RPS]]</f>
        <v>1319.9999999999998</v>
      </c>
      <c r="Y126" s="75">
        <f>Table1[[#This Row],[In-Tok]]/Table1[[#This Row],[Out-Tok]]</f>
        <v>25</v>
      </c>
      <c r="Z126" s="26">
        <f>Table1[[#This Row],[In-Tok]]*Table1[[#This Row],[N]]+AvgOutLoad*Table1[[#This Row],[Out-Tok]]*Table1[[#This Row],[Ndecode]]</f>
        <v>378677.3654875388</v>
      </c>
      <c r="AA126" s="3">
        <f>Table1[[#This Row],[tok(N)]]/Table1[[#This Row],[Kvcache]]</f>
        <v>655460.17616374756</v>
      </c>
      <c r="AB126" s="3">
        <f>Table1[[#This Row],[tok/req]]*Table1[[#This Row],[Run]]</f>
        <v>224376.38888888891</v>
      </c>
      <c r="AC126" s="3">
        <f>Table1[[#This Row],[tok(Run)]]/Table1[[#This Row],[Kvcache]]</f>
        <v>388377.54984047572</v>
      </c>
      <c r="AD126" s="3">
        <f>Table1[[#This Row],[tok/req]]*Table1[[#This Row],[MaxRun]]</f>
        <v>375700</v>
      </c>
      <c r="AE126" s="3">
        <f>Table1[[#This Row],[tok(MaxRun)]]/Table1[[#This Row],[MaxKvcache]]</f>
        <v>387514.84356245503</v>
      </c>
      <c r="AF126" s="75">
        <f>Table1[[#This Row],[PPS]]*Table1[[#This Row],[Prefill]]/Table1[[#This Row],[In-Tok]]</f>
        <v>8.4160762114419363</v>
      </c>
      <c r="AG126" s="5">
        <f>Table1[[#This Row],[GPS]]*Table1[[#This Row],[ITL]]</f>
        <v>65.999408711829233</v>
      </c>
      <c r="AH126" s="5">
        <f>Table1[[#This Row],[Nprefill]]+Table1[[#This Row],[Ndecode]]</f>
        <v>74.415484923271165</v>
      </c>
      <c r="AI126" s="4">
        <f>Table1[[#This Row],[Run]]/Table1[[#This Row],[ITL]]/Table1[[#This Row],[GPS]]</f>
        <v>0.666602492796045</v>
      </c>
      <c r="AJ126" s="10">
        <f>Table1[[#This Row],[Prefill]]+Table1[[#This Row],[ITL]]</f>
        <v>1.3145262044179544</v>
      </c>
      <c r="AK126" s="4">
        <f>Table1[[#This Row],[TTFT]]/Table1[[#This Row],[estTTFT]]</f>
        <v>3.598047994394435</v>
      </c>
      <c r="AL126" s="5">
        <f>Table1[[#This Row],[In-Tok]]*Table1[[#This Row],[RPS]]/Table1[[#This Row],[PPS]]</f>
        <v>0.98813144344045378</v>
      </c>
      <c r="AM126" s="4">
        <f>Table1[[#This Row],[Prefill]]/Table1[[#This Row],[estPrefill]]</f>
        <v>1.2751630623396879</v>
      </c>
      <c r="AN126" s="4">
        <f>Table1[[#This Row],[Prefill]]/Table1[[#This Row],[TTFT]]</f>
        <v>0.266406148078625</v>
      </c>
      <c r="AO126" s="10">
        <f>Table1[[#This Row],[Run]]/(Table1[[#This Row],[Out-Tok]]*Table1[[#This Row],[RPS]])</f>
        <v>3.3329826038159378E-2</v>
      </c>
      <c r="AP126" s="4">
        <f>Table1[[#This Row],[ITL]]/Table1[[#This Row],[estITL]]</f>
        <v>1.6350966531867006</v>
      </c>
      <c r="AQ126" s="44">
        <f>Table1[[#This Row],[E2E]]-Table1[[#This Row],[TTFT]]+Table1[[#This Row],[ITL]]</f>
        <v>10.493436732863506</v>
      </c>
      <c r="AR126" s="4">
        <f>Table1[[#This Row],[estDecode]]/Table1[[#This Row],[Run]]</f>
        <v>0.23851229446474978</v>
      </c>
      <c r="AS126" s="44">
        <f>Table1[[#This Row],[Prefill]]+Table1[[#This Row],[Out-Tok]]*Table1[[#This Row],[ITL]]</f>
        <v>12.159526118669534</v>
      </c>
      <c r="AT126" s="5">
        <f>Table1[[#This Row],[estPrefill]]+Table1[[#This Row],[Out-Tok]]*Table1[[#This Row],[ITL]]</f>
        <v>11.887628844698323</v>
      </c>
      <c r="AU126" s="4">
        <f>Table1[[#This Row],[E2E]]/Table1[[#This Row],[estE2E]]</f>
        <v>1.2760044763684837</v>
      </c>
      <c r="AV126" s="5">
        <f>Table1[[#This Row],[N]]/Table1[[#This Row],[estE2E]]</f>
        <v>6.2599098521198515</v>
      </c>
      <c r="AW126" s="5">
        <f>Table1[[#This Row],[PPS]]/Table1[[#This Row],[In-Tok]]</f>
        <v>6.6792733333333336</v>
      </c>
      <c r="AX126" s="4">
        <f>Table1[[#This Row],[RPS]]/Table1[[#This Row],[RPS(IL)]]</f>
        <v>0.98813144344045389</v>
      </c>
      <c r="AY126" s="5">
        <f>Table1[[#This Row],[GPS]]/Table1[[#This Row],[Out-Tok]]</f>
        <v>6.0552708333333332</v>
      </c>
      <c r="AZ126" s="89">
        <f>Table1[[#This Row],[RPS]]/Table1[[#This Row],[RPS(OL)]]</f>
        <v>1.0899595049767246</v>
      </c>
      <c r="BA126" s="135">
        <f>MaxTok/Table1[[#This Row],[tok/req]]</f>
        <v>76.061227841677507</v>
      </c>
      <c r="BB126" s="4">
        <f>Table1[[#This Row],[N]]/Table1[[#This Row],[N-max]]</f>
        <v>0.97836291938605069</v>
      </c>
      <c r="BC126" s="44">
        <f>Table1[[#This Row],[RPS]]</f>
        <v>6.5999999999999988</v>
      </c>
      <c r="BD126" s="47">
        <f>Table1[[#This Row],[PPS]]/Table1[[#This Row],[RPS success]]</f>
        <v>5060.0555555555566</v>
      </c>
      <c r="BE126" s="4">
        <f>ABS(Table1[[#This Row],[est-In-Tok3]]-Table1[[#This Row],[In-Tok]])/Table1[[#This Row],[In-Tok]]</f>
        <v>1.2011111111111313E-2</v>
      </c>
      <c r="BF126" s="47">
        <f>Table1[[#This Row],[GPS]]/Table1[[#This Row],[RPS success]]</f>
        <v>183.49305555555557</v>
      </c>
      <c r="BG126" s="4">
        <f>ABS(Table1[[#This Row],[est-Out-Tok3]]-Table1[[#This Row],[Out-Tok]])/Table1[[#This Row],[Out-Tok]]</f>
        <v>8.2534722222222148E-2</v>
      </c>
      <c r="BH126" s="162">
        <f>Table1[[#This Row],[est-In-Tok3]]+AvgOutLoad*Table1[[#This Row],[est-Out-Tok3]]</f>
        <v>5151.8020833333339</v>
      </c>
      <c r="BI126" s="4">
        <f>ABS(Table1[[#This Row],[est-Tok/Req3]]-Table1[[#This Row],[tok/req]])/Table1[[#This Row],[tok/req]]</f>
        <v>1.0157271241830185E-2</v>
      </c>
      <c r="BJ126" s="162">
        <f>MaxTok/Table1[[#This Row],[est-Tok/Req3]]</f>
        <v>75.296421663304102</v>
      </c>
      <c r="BK126" s="4">
        <f>ABS(Table1[[#This Row],[est-N-max3]]-Table1[[#This Row],[N-max]])/Table1[[#This Row],[N-max]]</f>
        <v>1.0055138472985996E-2</v>
      </c>
      <c r="BL126" s="44">
        <f>MaxTok*Table1[[#This Row],[Kvcache]]/Table1[[#This Row],[Run]]</f>
        <v>5093.8900484197165</v>
      </c>
      <c r="BM126" s="170">
        <f>ABS(Table1[[#This Row],[est-Tok/Req]]-Table1[[#This Row],[tok/req]])/Table1[[#This Row],[tok/req]]</f>
        <v>1.1980297216242059E-3</v>
      </c>
      <c r="BN126" s="44">
        <f>MaxTok/Table1[[#This Row],[est-Tok/Req]]</f>
        <v>76.152460753034461</v>
      </c>
      <c r="BO126" s="180">
        <f>Table1[[#This Row],[Run]]/Table1[[#This Row],[Kvcache]]</f>
        <v>76.152460753034461</v>
      </c>
      <c r="BP126" s="4" cm="1">
        <f t="array" aca="1" ref="BP126" ca="1">_xlfn.CEILING.MATH(INDIRECT("Table1"&amp;BP$3)/BP$2)*BP$2</f>
        <v>6000</v>
      </c>
      <c r="BQ126" s="4" cm="1">
        <f t="array" aca="1" ref="BQ126" ca="1">_xlfn.CEILING.MATH(INDIRECT("Table1"&amp;BQ$3)/BQ$2)*BQ$2</f>
        <v>5.5E-2</v>
      </c>
      <c r="BR126" s="4" cm="1">
        <f t="array" aca="1" ref="BR126" ca="1">_xlfn.CEILING.MATH(INDIRECT("Table1"&amp;BR$3)/BR$2)*BR$2</f>
        <v>0.60000000000000009</v>
      </c>
      <c r="BS126" s="4" cm="1">
        <f t="array" aca="1" ref="BS126" ca="1">_xlfn.CEILING.MATH(INDIRECT("Table1"&amp;BS$3)/BS$2)*BS$2</f>
        <v>0.57999999999999996</v>
      </c>
      <c r="BT126" s="3" cm="1">
        <f t="array" aca="1" ref="BT126" ca="1">_xlfn.CEILING.MATH(INDIRECT("Table1"&amp;BT$3)/BT$2)*BT$2</f>
        <v>44</v>
      </c>
      <c r="BU126" s="135" cm="1">
        <f t="array" aca="1" ref="BU126" ca="1">_xlfn.CEILING.MATH(INDIRECT("Table1"&amp;BU$3)/BU$2)*BU$2</f>
        <v>25</v>
      </c>
      <c r="BV126" s="135" cm="1">
        <f t="array" aca="1" ref="BV126" ca="1">_xlfn.CEILING.MATH(INDIRECT("Table1"&amp;BV$3)/BV$2)*BV$2</f>
        <v>5000</v>
      </c>
      <c r="BW126" s="4"/>
      <c r="BX126" s="4"/>
      <c r="BY126" s="190">
        <v>0.96951124903025587</v>
      </c>
      <c r="BZ126" s="4"/>
      <c r="CA126" s="3"/>
      <c r="CF126" s="5"/>
      <c r="CH126" s="8"/>
      <c r="CI126" s="8"/>
      <c r="CJ126" s="14"/>
      <c r="CK126" s="8"/>
      <c r="CL126" s="8"/>
      <c r="CM126" s="8"/>
      <c r="CN126" s="8"/>
      <c r="CO126" s="8"/>
      <c r="CP126" s="8"/>
      <c r="CQ126" s="8">
        <f>Table1[[#This Row],[In-Tok]]+AvgOutLoad*Table1[[#This Row],[Out-Tok]]</f>
        <v>5100</v>
      </c>
      <c r="CR126" s="8"/>
      <c r="CS126" s="8"/>
      <c r="CT126" s="8"/>
      <c r="CU126" s="8"/>
      <c r="CV126" s="8"/>
      <c r="CW126" s="8"/>
      <c r="CX126" s="8"/>
      <c r="CY126" s="8"/>
      <c r="GJ126"/>
    </row>
    <row r="127" spans="1:192" hidden="1" x14ac:dyDescent="0.25">
      <c r="A127" s="3">
        <v>5000</v>
      </c>
      <c r="B127" s="3">
        <v>200</v>
      </c>
      <c r="C127">
        <v>6.8</v>
      </c>
      <c r="D127" s="199">
        <f>Table1[[#This Row],[Kvcache]]</f>
        <v>0.62465017383558896</v>
      </c>
      <c r="E127" s="4" t="s">
        <v>143</v>
      </c>
      <c r="F127" s="219">
        <v>46092</v>
      </c>
      <c r="G127" s="10"/>
      <c r="H127" s="10">
        <v>2.9973468623482744</v>
      </c>
      <c r="I127" s="10">
        <v>1.0035043611307832</v>
      </c>
      <c r="J127" s="10">
        <v>5.8338504617620801</v>
      </c>
      <c r="K127" s="10">
        <v>16.488277618090311</v>
      </c>
      <c r="L127" s="10">
        <v>17.274262119928995</v>
      </c>
      <c r="M127" s="10">
        <v>5.4876145341185456E-2</v>
      </c>
      <c r="N127" s="10">
        <v>13.586382740722948</v>
      </c>
      <c r="O127" s="47">
        <v>35524.65</v>
      </c>
      <c r="P127" s="47">
        <v>1147.9666666666667</v>
      </c>
      <c r="Q127" s="5">
        <v>47.592592592592588</v>
      </c>
      <c r="R127" s="5">
        <v>72.666666666666671</v>
      </c>
      <c r="S127" s="170">
        <v>0.62465017383558896</v>
      </c>
      <c r="T127" s="170">
        <v>0.95888285492629943</v>
      </c>
      <c r="U127" s="20">
        <f>(Table1[[#This Row],[In-Tok]]+Table1[[#This Row],[Out-Tok]])*Table1[[#This Row],[RPS]]</f>
        <v>35360</v>
      </c>
      <c r="V127" s="3">
        <f>Table1[[#This Row],[In-Tok]]+AvgOutLoad*Table1[[#This Row],[Out-Tok]]</f>
        <v>5100</v>
      </c>
      <c r="W127" s="3">
        <f>Table1[[#This Row],[In-Tok]]*Table1[[#This Row],[RPS]]</f>
        <v>34000</v>
      </c>
      <c r="X127" s="3">
        <f>Table1[[#This Row],[Out-Tok]]*Table1[[#This Row],[RPS]]</f>
        <v>1360</v>
      </c>
      <c r="Y127" s="75">
        <f>Table1[[#This Row],[In-Tok]]/Table1[[#This Row],[Out-Tok]]</f>
        <v>25</v>
      </c>
      <c r="Z127" s="26">
        <f>Table1[[#This Row],[In-Tok]]*Table1[[#This Row],[N]]+AvgOutLoad*Table1[[#This Row],[Out-Tok]]*Table1[[#This Row],[Ndecode]]</f>
        <v>356928.66800150927</v>
      </c>
      <c r="AA127" s="3">
        <f>Table1[[#This Row],[tok(N)]]/Table1[[#This Row],[Kvcache]]</f>
        <v>571405.69706373708</v>
      </c>
      <c r="AB127" s="3">
        <f>Table1[[#This Row],[tok/req]]*Table1[[#This Row],[Run]]</f>
        <v>242722.22222222219</v>
      </c>
      <c r="AC127" s="3">
        <f>Table1[[#This Row],[tok(Run)]]/Table1[[#This Row],[Kvcache]]</f>
        <v>388573.04838613217</v>
      </c>
      <c r="AD127" s="3">
        <f>Table1[[#This Row],[tok/req]]*Table1[[#This Row],[MaxRun]]</f>
        <v>370600</v>
      </c>
      <c r="AE127" s="3">
        <f>Table1[[#This Row],[tok(MaxRun)]]/Table1[[#This Row],[MaxKvcache]]</f>
        <v>386491.42394822009</v>
      </c>
      <c r="AF127" s="75">
        <f>Table1[[#This Row],[PPS]]*Table1[[#This Row],[Prefill]]/Table1[[#This Row],[In-Tok]]</f>
        <v>7.1298282405289353</v>
      </c>
      <c r="AG127" s="5">
        <f>Table1[[#This Row],[GPS]]*Table1[[#This Row],[ITL]]</f>
        <v>62.995985646836196</v>
      </c>
      <c r="AH127" s="5">
        <f>Table1[[#This Row],[Nprefill]]+Table1[[#This Row],[Ndecode]]</f>
        <v>70.125813887365126</v>
      </c>
      <c r="AI127" s="4">
        <f>Table1[[#This Row],[Run]]/Table1[[#This Row],[ITL]]/Table1[[#This Row],[GPS]]</f>
        <v>0.75548611715360625</v>
      </c>
      <c r="AJ127" s="10">
        <f>Table1[[#This Row],[Prefill]]+Table1[[#This Row],[ITL]]</f>
        <v>1.0583805064719687</v>
      </c>
      <c r="AK127" s="4">
        <f>Table1[[#This Row],[TTFT]]/Table1[[#This Row],[estTTFT]]</f>
        <v>2.8320125361527144</v>
      </c>
      <c r="AL127" s="5">
        <f>Table1[[#This Row],[In-Tok]]*Table1[[#This Row],[RPS]]/Table1[[#This Row],[PPS]]</f>
        <v>0.95708191354453875</v>
      </c>
      <c r="AM127" s="4">
        <f>Table1[[#This Row],[Prefill]]/Table1[[#This Row],[estPrefill]]</f>
        <v>1.0485041530189612</v>
      </c>
      <c r="AN127" s="4">
        <f>Table1[[#This Row],[Prefill]]/Table1[[#This Row],[TTFT]]</f>
        <v>0.33479754169812254</v>
      </c>
      <c r="AO127" s="10">
        <f>Table1[[#This Row],[Run]]/(Table1[[#This Row],[Out-Tok]]*Table1[[#This Row],[RPS]])</f>
        <v>3.4994553376906316E-2</v>
      </c>
      <c r="AP127" s="4">
        <f>Table1[[#This Row],[ITL]]/Table1[[#This Row],[estITL]]</f>
        <v>1.5681338964422802</v>
      </c>
      <c r="AQ127" s="44">
        <f>Table1[[#This Row],[E2E]]-Table1[[#This Row],[TTFT]]+Table1[[#This Row],[ITL]]</f>
        <v>10.64391202371586</v>
      </c>
      <c r="AR127" s="4">
        <f>Table1[[#This Row],[estDecode]]/Table1[[#This Row],[Run]]</f>
        <v>0.22364640049830992</v>
      </c>
      <c r="AS127" s="44">
        <f>Table1[[#This Row],[Prefill]]+Table1[[#This Row],[Out-Tok]]*Table1[[#This Row],[ITL]]</f>
        <v>11.978733429367875</v>
      </c>
      <c r="AT127" s="5">
        <f>Table1[[#This Row],[estPrefill]]+Table1[[#This Row],[Out-Tok]]*Table1[[#This Row],[ITL]]</f>
        <v>11.93231098178163</v>
      </c>
      <c r="AU127" s="4">
        <f>Table1[[#This Row],[E2E]]/Table1[[#This Row],[estE2E]]</f>
        <v>1.1386212412219872</v>
      </c>
      <c r="AV127" s="5">
        <f>Table1[[#This Row],[N]]/Table1[[#This Row],[estE2E]]</f>
        <v>5.8769683420448828</v>
      </c>
      <c r="AW127" s="5">
        <f>Table1[[#This Row],[PPS]]/Table1[[#This Row],[In-Tok]]</f>
        <v>7.1049300000000004</v>
      </c>
      <c r="AX127" s="4">
        <f>Table1[[#This Row],[RPS]]/Table1[[#This Row],[RPS(IL)]]</f>
        <v>0.95708191354453875</v>
      </c>
      <c r="AY127" s="5">
        <f>Table1[[#This Row],[GPS]]/Table1[[#This Row],[Out-Tok]]</f>
        <v>5.7398333333333333</v>
      </c>
      <c r="AZ127" s="89">
        <f>Table1[[#This Row],[RPS]]/Table1[[#This Row],[RPS(OL)]]</f>
        <v>1.1847033886001335</v>
      </c>
      <c r="BA127" s="135">
        <f>MaxTok/Table1[[#This Row],[tok/req]]</f>
        <v>76.061227841677507</v>
      </c>
      <c r="BB127" s="4">
        <f>Table1[[#This Row],[N]]/Table1[[#This Row],[N-max]]</f>
        <v>0.9219653150134911</v>
      </c>
      <c r="BC127" s="44">
        <f>Table1[[#This Row],[RPS]]</f>
        <v>6.8</v>
      </c>
      <c r="BD127" s="47">
        <f>Table1[[#This Row],[PPS]]/Table1[[#This Row],[RPS success]]</f>
        <v>5224.213235294118</v>
      </c>
      <c r="BE127" s="4">
        <f>ABS(Table1[[#This Row],[est-In-Tok3]]-Table1[[#This Row],[In-Tok]])/Table1[[#This Row],[In-Tok]]</f>
        <v>4.4842647058823605E-2</v>
      </c>
      <c r="BF127" s="47">
        <f>Table1[[#This Row],[GPS]]/Table1[[#This Row],[RPS success]]</f>
        <v>168.81862745098042</v>
      </c>
      <c r="BG127" s="4">
        <f>ABS(Table1[[#This Row],[est-Out-Tok3]]-Table1[[#This Row],[Out-Tok]])/Table1[[#This Row],[Out-Tok]]</f>
        <v>0.15590686274509793</v>
      </c>
      <c r="BH127" s="162">
        <f>Table1[[#This Row],[est-In-Tok3]]+AvgOutLoad*Table1[[#This Row],[est-Out-Tok3]]</f>
        <v>5308.6225490196084</v>
      </c>
      <c r="BI127" s="4">
        <f>ABS(Table1[[#This Row],[est-Tok/Req3]]-Table1[[#This Row],[tok/req]])/Table1[[#This Row],[tok/req]]</f>
        <v>4.0906382160707529E-2</v>
      </c>
      <c r="BJ127" s="162">
        <f>MaxTok/Table1[[#This Row],[est-Tok/Req3]]</f>
        <v>73.072112098871031</v>
      </c>
      <c r="BK127" s="4">
        <f>ABS(Table1[[#This Row],[est-N-max3]]-Table1[[#This Row],[N-max]])/Table1[[#This Row],[N-max]]</f>
        <v>3.9298810019585295E-2</v>
      </c>
      <c r="BL127" s="44">
        <f>MaxTok*Table1[[#This Row],[Kvcache]]/Table1[[#This Row],[Run]]</f>
        <v>5091.3272147380294</v>
      </c>
      <c r="BM127" s="170">
        <f>ABS(Table1[[#This Row],[est-Tok/Req]]-Table1[[#This Row],[tok/req]])/Table1[[#This Row],[tok/req]]</f>
        <v>1.7005461297981573E-3</v>
      </c>
      <c r="BN127" s="44">
        <f>MaxTok/Table1[[#This Row],[est-Tok/Req]]</f>
        <v>76.190793801202389</v>
      </c>
      <c r="BO127" s="180">
        <f>Table1[[#This Row],[Run]]/Table1[[#This Row],[Kvcache]]</f>
        <v>76.190793801202389</v>
      </c>
      <c r="BP127" s="4" cm="1">
        <f t="array" aca="1" ref="BP127" ca="1">_xlfn.CEILING.MATH(INDIRECT("Table1"&amp;BP$3)/BP$2)*BP$2</f>
        <v>6000</v>
      </c>
      <c r="BQ127" s="4" cm="1">
        <f t="array" aca="1" ref="BQ127" ca="1">_xlfn.CEILING.MATH(INDIRECT("Table1"&amp;BQ$3)/BQ$2)*BQ$2</f>
        <v>5.5E-2</v>
      </c>
      <c r="BR127" s="4" cm="1">
        <f t="array" aca="1" ref="BR127" ca="1">_xlfn.CEILING.MATH(INDIRECT("Table1"&amp;BR$3)/BR$2)*BR$2</f>
        <v>0.70000000000000007</v>
      </c>
      <c r="BS127" s="4" cm="1">
        <f t="array" aca="1" ref="BS127" ca="1">_xlfn.CEILING.MATH(INDIRECT("Table1"&amp;BS$3)/BS$2)*BS$2</f>
        <v>0.63</v>
      </c>
      <c r="BT127" s="3" cm="1">
        <f t="array" aca="1" ref="BT127" ca="1">_xlfn.CEILING.MATH(INDIRECT("Table1"&amp;BT$3)/BT$2)*BT$2</f>
        <v>48</v>
      </c>
      <c r="BU127" s="135" cm="1">
        <f t="array" aca="1" ref="BU127" ca="1">_xlfn.CEILING.MATH(INDIRECT("Table1"&amp;BU$3)/BU$2)*BU$2</f>
        <v>25</v>
      </c>
      <c r="BV127" s="135" cm="1">
        <f t="array" aca="1" ref="BV127" ca="1">_xlfn.CEILING.MATH(INDIRECT("Table1"&amp;BV$3)/BV$2)*BV$2</f>
        <v>5000</v>
      </c>
      <c r="BW127" s="4"/>
      <c r="BX127" s="4"/>
      <c r="BY127" s="190">
        <v>0.95888285492629943</v>
      </c>
      <c r="BZ127" s="4"/>
      <c r="CA127" s="3"/>
      <c r="CF127" s="5"/>
      <c r="CH127" s="8"/>
      <c r="CI127" s="8"/>
      <c r="CJ127" s="14"/>
      <c r="CK127" s="8"/>
      <c r="CL127" s="8"/>
      <c r="CM127" s="8"/>
      <c r="CN127" s="8"/>
      <c r="CO127" s="8"/>
      <c r="CP127" s="8"/>
      <c r="CQ127" s="8">
        <f>Table1[[#This Row],[In-Tok]]+AvgOutLoad*Table1[[#This Row],[Out-Tok]]</f>
        <v>5100</v>
      </c>
      <c r="CR127" s="8"/>
      <c r="CS127" s="8"/>
      <c r="CT127" s="8"/>
      <c r="CU127" s="8"/>
      <c r="CV127" s="8"/>
      <c r="CW127" s="8"/>
      <c r="CX127" s="8"/>
      <c r="CY127" s="8"/>
      <c r="GJ127"/>
    </row>
    <row r="128" spans="1:192" x14ac:dyDescent="0.25">
      <c r="A128" s="3">
        <v>6000</v>
      </c>
      <c r="B128" s="3">
        <v>100</v>
      </c>
      <c r="C128">
        <v>2</v>
      </c>
      <c r="D128" s="199">
        <f>Table1[[#This Row],[Kvcache]]</f>
        <v>4.4642703215240054E-2</v>
      </c>
      <c r="E128" s="4" t="s">
        <v>144</v>
      </c>
      <c r="F128" s="219">
        <v>46092</v>
      </c>
      <c r="G128" s="10"/>
      <c r="H128" s="10">
        <v>0.21398596348679985</v>
      </c>
      <c r="I128" s="10">
        <v>0.18273021965980119</v>
      </c>
      <c r="J128" s="10">
        <v>0.82711112814061227</v>
      </c>
      <c r="K128" s="10">
        <v>1.145523754755656</v>
      </c>
      <c r="L128" s="10">
        <v>1.3494903262456264</v>
      </c>
      <c r="M128" s="10">
        <v>1.1061016764952936E-2</v>
      </c>
      <c r="N128" s="10">
        <v>1.3060347893368214</v>
      </c>
      <c r="O128" s="47">
        <v>13909.445833333333</v>
      </c>
      <c r="P128" s="47">
        <v>215.375</v>
      </c>
      <c r="Q128" s="5">
        <v>2.8518518518518516</v>
      </c>
      <c r="R128" s="5">
        <v>8.3333333333333339</v>
      </c>
      <c r="S128" s="170">
        <v>4.4642703215240054E-2</v>
      </c>
      <c r="T128" s="170">
        <v>0.12997155417636408</v>
      </c>
      <c r="U128" s="20">
        <f>(Table1[[#This Row],[In-Tok]]+Table1[[#This Row],[Out-Tok]])*Table1[[#This Row],[RPS]]</f>
        <v>12200</v>
      </c>
      <c r="V128" s="3">
        <f>Table1[[#This Row],[In-Tok]]+AvgOutLoad*Table1[[#This Row],[Out-Tok]]</f>
        <v>6050</v>
      </c>
      <c r="W128" s="3">
        <f>Table1[[#This Row],[In-Tok]]*Table1[[#This Row],[RPS]]</f>
        <v>12000</v>
      </c>
      <c r="X128" s="3">
        <f>Table1[[#This Row],[Out-Tok]]*Table1[[#This Row],[RPS]]</f>
        <v>200</v>
      </c>
      <c r="Y128" s="75">
        <f>Table1[[#This Row],[In-Tok]]/Table1[[#This Row],[Out-Tok]]</f>
        <v>60</v>
      </c>
      <c r="Z128" s="26">
        <f>Table1[[#This Row],[In-Tok]]*Table1[[#This Row],[N]]+AvgOutLoad*Table1[[#This Row],[Out-Tok]]*Table1[[#This Row],[Ndecode]]</f>
        <v>16954.388331269121</v>
      </c>
      <c r="AA128" s="3">
        <f>Table1[[#This Row],[tok(N)]]/Table1[[#This Row],[Kvcache]]</f>
        <v>379779.60809239838</v>
      </c>
      <c r="AB128" s="3">
        <f>Table1[[#This Row],[tok/req]]*Table1[[#This Row],[Run]]</f>
        <v>17253.703703703701</v>
      </c>
      <c r="AC128" s="3">
        <f>Table1[[#This Row],[tok(Run)]]/Table1[[#This Row],[Kvcache]]</f>
        <v>386484.29555255198</v>
      </c>
      <c r="AD128" s="3">
        <f>Table1[[#This Row],[tok/req]]*Table1[[#This Row],[MaxRun]]</f>
        <v>50416.666666666672</v>
      </c>
      <c r="AE128" s="3">
        <f>Table1[[#This Row],[tok(MaxRun)]]/Table1[[#This Row],[MaxKvcache]]</f>
        <v>387905.39196179877</v>
      </c>
      <c r="AF128" s="75">
        <f>Table1[[#This Row],[PPS]]*Table1[[#This Row],[Prefill]]/Table1[[#This Row],[In-Tok]]</f>
        <v>0.42361268207851771</v>
      </c>
      <c r="AG128" s="5">
        <f>Table1[[#This Row],[GPS]]*Table1[[#This Row],[ITL]]</f>
        <v>2.3822664857517384</v>
      </c>
      <c r="AH128" s="5">
        <f>Table1[[#This Row],[Nprefill]]+Table1[[#This Row],[Ndecode]]</f>
        <v>2.8058791678302559</v>
      </c>
      <c r="AI128" s="4">
        <f>Table1[[#This Row],[Run]]/Table1[[#This Row],[ITL]]/Table1[[#This Row],[GPS]]</f>
        <v>1.1971170601226555</v>
      </c>
      <c r="AJ128" s="10">
        <f>Table1[[#This Row],[Prefill]]+Table1[[#This Row],[ITL]]</f>
        <v>0.19379123642475413</v>
      </c>
      <c r="AK128" s="4">
        <f>Table1[[#This Row],[TTFT]]/Table1[[#This Row],[estTTFT]]</f>
        <v>1.1042086702918943</v>
      </c>
      <c r="AL128" s="5">
        <f>Table1[[#This Row],[In-Tok]]*Table1[[#This Row],[RPS]]/Table1[[#This Row],[PPS]]</f>
        <v>0.86272308356401695</v>
      </c>
      <c r="AM128" s="4">
        <f>Table1[[#This Row],[Prefill]]/Table1[[#This Row],[estPrefill]]</f>
        <v>0.21180634103925886</v>
      </c>
      <c r="AN128" s="4">
        <f>Table1[[#This Row],[Prefill]]/Table1[[#This Row],[TTFT]]</f>
        <v>0.85393554176310849</v>
      </c>
      <c r="AO128" s="10">
        <f>Table1[[#This Row],[Run]]/(Table1[[#This Row],[Out-Tok]]*Table1[[#This Row],[RPS]])</f>
        <v>1.4259259259259258E-2</v>
      </c>
      <c r="AP128" s="4">
        <f>Table1[[#This Row],[ITL]]/Table1[[#This Row],[estITL]]</f>
        <v>0.77570766923046575</v>
      </c>
      <c r="AQ128" s="44">
        <f>Table1[[#This Row],[E2E]]-Table1[[#This Row],[TTFT]]+Table1[[#This Row],[ITL]]</f>
        <v>1.1031098426149746</v>
      </c>
      <c r="AR128" s="4">
        <f>Table1[[#This Row],[estDecode]]/Table1[[#This Row],[Run]]</f>
        <v>0.38680475000784825</v>
      </c>
      <c r="AS128" s="44">
        <f>Table1[[#This Row],[Prefill]]+Table1[[#This Row],[Out-Tok]]*Table1[[#This Row],[ITL]]</f>
        <v>1.2888318961550946</v>
      </c>
      <c r="AT128" s="5">
        <f>Table1[[#This Row],[estPrefill]]+Table1[[#This Row],[Out-Tok]]*Table1[[#This Row],[ITL]]</f>
        <v>1.9688247600593105</v>
      </c>
      <c r="AU128" s="4">
        <f>Table1[[#This Row],[E2E]]/Table1[[#This Row],[estE2E]]</f>
        <v>0.66335756022160008</v>
      </c>
      <c r="AV128" s="5">
        <f>Table1[[#This Row],[N]]/Table1[[#This Row],[estE2E]]</f>
        <v>1.4251543482954416</v>
      </c>
      <c r="AW128" s="5">
        <f>Table1[[#This Row],[PPS]]/Table1[[#This Row],[In-Tok]]</f>
        <v>2.3182409722222221</v>
      </c>
      <c r="AX128" s="4">
        <f>Table1[[#This Row],[RPS]]/Table1[[#This Row],[RPS(IL)]]</f>
        <v>0.86272308356401695</v>
      </c>
      <c r="AY128" s="5">
        <f>Table1[[#This Row],[GPS]]/Table1[[#This Row],[Out-Tok]]</f>
        <v>2.1537500000000001</v>
      </c>
      <c r="AZ128" s="89">
        <f>Table1[[#This Row],[RPS]]/Table1[[#This Row],[RPS(OL)]]</f>
        <v>0.92861288450377244</v>
      </c>
      <c r="BA128" s="135">
        <f>MaxTok/Table1[[#This Row],[tok/req]]</f>
        <v>64.117729254967813</v>
      </c>
      <c r="BB128" s="4">
        <f>Table1[[#This Row],[N]]/Table1[[#This Row],[N-max]]</f>
        <v>4.3761362113628778E-2</v>
      </c>
      <c r="BC128" s="44">
        <f>Table1[[#This Row],[RPS]]</f>
        <v>2</v>
      </c>
      <c r="BD128" s="47">
        <f>Table1[[#This Row],[PPS]]/Table1[[#This Row],[RPS success]]</f>
        <v>6954.7229166666666</v>
      </c>
      <c r="BE128" s="4">
        <f>ABS(Table1[[#This Row],[est-In-Tok3]]-Table1[[#This Row],[In-Tok]])/Table1[[#This Row],[In-Tok]]</f>
        <v>0.1591204861111111</v>
      </c>
      <c r="BF128" s="47">
        <f>Table1[[#This Row],[GPS]]/Table1[[#This Row],[RPS success]]</f>
        <v>107.6875</v>
      </c>
      <c r="BG128" s="4">
        <f>ABS(Table1[[#This Row],[est-Out-Tok3]]-Table1[[#This Row],[Out-Tok]])/Table1[[#This Row],[Out-Tok]]</f>
        <v>7.6874999999999999E-2</v>
      </c>
      <c r="BH128" s="162">
        <f>Table1[[#This Row],[est-In-Tok3]]+AvgOutLoad*Table1[[#This Row],[est-Out-Tok3]]</f>
        <v>7008.5666666666666</v>
      </c>
      <c r="BI128" s="4">
        <f>ABS(Table1[[#This Row],[est-Tok/Req3]]-Table1[[#This Row],[tok/req]])/Table1[[#This Row],[tok/req]]</f>
        <v>0.15844077134986226</v>
      </c>
      <c r="BJ128" s="162">
        <f>MaxTok/Table1[[#This Row],[est-Tok/Req3]]</f>
        <v>55.348301648823387</v>
      </c>
      <c r="BK128" s="4">
        <f>ABS(Table1[[#This Row],[est-N-max3]]-Table1[[#This Row],[N-max]])/Table1[[#This Row],[N-max]]</f>
        <v>0.13677071393580231</v>
      </c>
      <c r="BL128" s="44">
        <f>MaxTok*Table1[[#This Row],[Kvcache]]/Table1[[#This Row],[Run]]</f>
        <v>6072.3532936821357</v>
      </c>
      <c r="BM128" s="170">
        <f>ABS(Table1[[#This Row],[est-Tok/Req]]-Table1[[#This Row],[tok/req]])/Table1[[#This Row],[tok/req]]</f>
        <v>3.6947592863034217E-3</v>
      </c>
      <c r="BN128" s="44">
        <f>MaxTok/Table1[[#This Row],[est-Tok/Req]]</f>
        <v>63.881701744223484</v>
      </c>
      <c r="BO128" s="180">
        <f>Table1[[#This Row],[Run]]/Table1[[#This Row],[Kvcache]]</f>
        <v>63.881701744223477</v>
      </c>
      <c r="BP128" s="4" cm="1">
        <f t="array" aca="1" ref="BP128" ca="1">_xlfn.CEILING.MATH(INDIRECT("Table1"&amp;BP$3)/BP$2)*BP$2</f>
        <v>7000</v>
      </c>
      <c r="BQ128" s="4" cm="1">
        <f t="array" aca="1" ref="BQ128" ca="1">_xlfn.CEILING.MATH(INDIRECT("Table1"&amp;BQ$3)/BQ$2)*BQ$2</f>
        <v>1.4999999999999999E-2</v>
      </c>
      <c r="BR128" s="4" cm="1">
        <f t="array" aca="1" ref="BR128" ca="1">_xlfn.CEILING.MATH(INDIRECT("Table1"&amp;BR$3)/BR$2)*BR$2</f>
        <v>0.1</v>
      </c>
      <c r="BS128" s="4" cm="1">
        <f t="array" aca="1" ref="BS128" ca="1">_xlfn.CEILING.MATH(INDIRECT("Table1"&amp;BS$3)/BS$2)*BS$2</f>
        <v>0.05</v>
      </c>
      <c r="BT128" s="3" cm="1">
        <f t="array" aca="1" ref="BT128" ca="1">_xlfn.CEILING.MATH(INDIRECT("Table1"&amp;BT$3)/BT$2)*BT$2</f>
        <v>3</v>
      </c>
      <c r="BU128" s="135" cm="1">
        <f t="array" aca="1" ref="BU128" ca="1">_xlfn.CEILING.MATH(INDIRECT("Table1"&amp;BU$3)/BU$2)*BU$2</f>
        <v>60</v>
      </c>
      <c r="BV128" s="135" cm="1">
        <f t="array" aca="1" ref="BV128" ca="1">_xlfn.CEILING.MATH(INDIRECT("Table1"&amp;BV$3)/BV$2)*BV$2</f>
        <v>6000</v>
      </c>
      <c r="BW128" s="4"/>
      <c r="BX128" s="4"/>
      <c r="BY128" s="190">
        <v>0.12997155417636408</v>
      </c>
      <c r="BZ128" s="4"/>
      <c r="CA128" s="3"/>
      <c r="CF128" s="5"/>
      <c r="CH128" s="8"/>
      <c r="CI128" s="8"/>
      <c r="CJ128" s="14"/>
      <c r="CK128" s="8"/>
      <c r="CL128" s="8"/>
      <c r="CM128" s="8"/>
      <c r="CN128" s="8"/>
      <c r="CO128" s="8"/>
      <c r="CP128" s="8"/>
      <c r="CQ128" s="8">
        <f>Table1[[#This Row],[In-Tok]]+AvgOutLoad*Table1[[#This Row],[Out-Tok]]</f>
        <v>6050</v>
      </c>
      <c r="CR128" s="8"/>
      <c r="CS128" s="8"/>
      <c r="CT128" s="8"/>
      <c r="CU128" s="8"/>
      <c r="CV128" s="8"/>
      <c r="CW128" s="8"/>
      <c r="CX128" s="8"/>
      <c r="CY128" s="8"/>
      <c r="GJ128"/>
    </row>
    <row r="129" spans="1:192" x14ac:dyDescent="0.25">
      <c r="A129" s="3">
        <v>6000</v>
      </c>
      <c r="B129" s="3">
        <v>100</v>
      </c>
      <c r="C129">
        <v>2.2000000000000002</v>
      </c>
      <c r="D129" s="199">
        <f>Table1[[#This Row],[Kvcache]]</f>
        <v>4.6332212740281015E-2</v>
      </c>
      <c r="E129" s="4" t="s">
        <v>144</v>
      </c>
      <c r="F129" s="219">
        <v>46092</v>
      </c>
      <c r="G129" s="10"/>
      <c r="H129" s="10">
        <v>0.2180064322344645</v>
      </c>
      <c r="I129" s="10">
        <v>0.18401447805069526</v>
      </c>
      <c r="J129" s="10">
        <v>0.81775052915205271</v>
      </c>
      <c r="K129" s="10">
        <v>1.0985199054082233</v>
      </c>
      <c r="L129" s="10">
        <v>1.2533580112457274</v>
      </c>
      <c r="M129" s="10">
        <v>1.1654574736677229E-2</v>
      </c>
      <c r="N129" s="10">
        <v>1.3727719605136011</v>
      </c>
      <c r="O129" s="47">
        <v>14788.987500000001</v>
      </c>
      <c r="P129" s="47">
        <v>228.9708333333333</v>
      </c>
      <c r="Q129" s="5">
        <v>2.9629629629629624</v>
      </c>
      <c r="R129" s="5">
        <v>8</v>
      </c>
      <c r="S129" s="170">
        <v>4.6332212740281015E-2</v>
      </c>
      <c r="T129" s="170">
        <v>0.12503232479958626</v>
      </c>
      <c r="U129" s="20">
        <f>(Table1[[#This Row],[In-Tok]]+Table1[[#This Row],[Out-Tok]])*Table1[[#This Row],[RPS]]</f>
        <v>13420.000000000002</v>
      </c>
      <c r="V129" s="3">
        <f>Table1[[#This Row],[In-Tok]]+AvgOutLoad*Table1[[#This Row],[Out-Tok]]</f>
        <v>6050</v>
      </c>
      <c r="W129" s="3">
        <f>Table1[[#This Row],[In-Tok]]*Table1[[#This Row],[RPS]]</f>
        <v>13200.000000000002</v>
      </c>
      <c r="X129" s="3">
        <f>Table1[[#This Row],[Out-Tok]]*Table1[[#This Row],[RPS]]</f>
        <v>220.00000000000003</v>
      </c>
      <c r="Y129" s="75">
        <f>Table1[[#This Row],[In-Tok]]/Table1[[#This Row],[Out-Tok]]</f>
        <v>60</v>
      </c>
      <c r="Z129" s="26">
        <f>Table1[[#This Row],[In-Tok]]*Table1[[#This Row],[N]]+AvgOutLoad*Table1[[#This Row],[Out-Tok]]*Table1[[#This Row],[Ndecode]]</f>
        <v>18866.161837806478</v>
      </c>
      <c r="AA129" s="3">
        <f>Table1[[#This Row],[tok(N)]]/Table1[[#This Row],[Kvcache]]</f>
        <v>407193.19717282406</v>
      </c>
      <c r="AB129" s="3">
        <f>Table1[[#This Row],[tok/req]]*Table1[[#This Row],[Run]]</f>
        <v>17925.925925925923</v>
      </c>
      <c r="AC129" s="3">
        <f>Table1[[#This Row],[tok(Run)]]/Table1[[#This Row],[Kvcache]]</f>
        <v>386899.84496124019</v>
      </c>
      <c r="AD129" s="3">
        <f>Table1[[#This Row],[tok/req]]*Table1[[#This Row],[MaxRun]]</f>
        <v>48400</v>
      </c>
      <c r="AE129" s="3">
        <f>Table1[[#This Row],[tok(MaxRun)]]/Table1[[#This Row],[MaxKvcache]]</f>
        <v>387099.89658738358</v>
      </c>
      <c r="AF129" s="75">
        <f>Table1[[#This Row],[PPS]]*Table1[[#This Row],[Prefill]]/Table1[[#This Row],[In-Tok]]</f>
        <v>0.45356463595179281</v>
      </c>
      <c r="AG129" s="5">
        <f>Table1[[#This Row],[GPS]]*Table1[[#This Row],[ITL]]</f>
        <v>2.6685576896025984</v>
      </c>
      <c r="AH129" s="5">
        <f>Table1[[#This Row],[Nprefill]]+Table1[[#This Row],[Ndecode]]</f>
        <v>3.1221223255543911</v>
      </c>
      <c r="AI129" s="4">
        <f>Table1[[#This Row],[Run]]/Table1[[#This Row],[ITL]]/Table1[[#This Row],[GPS]]</f>
        <v>1.110323743236822</v>
      </c>
      <c r="AJ129" s="10">
        <f>Table1[[#This Row],[Prefill]]+Table1[[#This Row],[ITL]]</f>
        <v>0.19566905278737248</v>
      </c>
      <c r="AK129" s="4">
        <f>Table1[[#This Row],[TTFT]]/Table1[[#This Row],[estTTFT]]</f>
        <v>1.1141589798125378</v>
      </c>
      <c r="AL129" s="5">
        <f>Table1[[#This Row],[In-Tok]]*Table1[[#This Row],[RPS]]/Table1[[#This Row],[PPS]]</f>
        <v>0.89255603197987698</v>
      </c>
      <c r="AM129" s="4">
        <f>Table1[[#This Row],[Prefill]]/Table1[[#This Row],[estPrefill]]</f>
        <v>0.20616574361445125</v>
      </c>
      <c r="AN129" s="4">
        <f>Table1[[#This Row],[Prefill]]/Table1[[#This Row],[TTFT]]</f>
        <v>0.84407820523748989</v>
      </c>
      <c r="AO129" s="10">
        <f>Table1[[#This Row],[Run]]/(Table1[[#This Row],[Out-Tok]]*Table1[[#This Row],[RPS]])</f>
        <v>1.3468013468013464E-2</v>
      </c>
      <c r="AP129" s="4">
        <f>Table1[[#This Row],[ITL]]/Table1[[#This Row],[estITL]]</f>
        <v>0.86535217419828447</v>
      </c>
      <c r="AQ129" s="44">
        <f>Table1[[#This Row],[E2E]]-Table1[[#This Row],[TTFT]]+Table1[[#This Row],[ITL]]</f>
        <v>1.1664201030158137</v>
      </c>
      <c r="AR129" s="4">
        <f>Table1[[#This Row],[estDecode]]/Table1[[#This Row],[Run]]</f>
        <v>0.39366678476783717</v>
      </c>
      <c r="AS129" s="44">
        <f>Table1[[#This Row],[Prefill]]+Table1[[#This Row],[Out-Tok]]*Table1[[#This Row],[ITL]]</f>
        <v>1.3494719517184182</v>
      </c>
      <c r="AT129" s="5">
        <f>Table1[[#This Row],[estPrefill]]+Table1[[#This Row],[Out-Tok]]*Table1[[#This Row],[ITL]]</f>
        <v>2.0580135056475997</v>
      </c>
      <c r="AU129" s="4">
        <f>Table1[[#This Row],[E2E]]/Table1[[#This Row],[estE2E]]</f>
        <v>0.66703739151683938</v>
      </c>
      <c r="AV129" s="5">
        <f>Table1[[#This Row],[N]]/Table1[[#This Row],[estE2E]]</f>
        <v>1.5170562860674455</v>
      </c>
      <c r="AW129" s="5">
        <f>Table1[[#This Row],[PPS]]/Table1[[#This Row],[In-Tok]]</f>
        <v>2.46483125</v>
      </c>
      <c r="AX129" s="4">
        <f>Table1[[#This Row],[RPS]]/Table1[[#This Row],[RPS(IL)]]</f>
        <v>0.89255603197987698</v>
      </c>
      <c r="AY129" s="5">
        <f>Table1[[#This Row],[GPS]]/Table1[[#This Row],[Out-Tok]]</f>
        <v>2.289708333333333</v>
      </c>
      <c r="AZ129" s="89">
        <f>Table1[[#This Row],[RPS]]/Table1[[#This Row],[RPS(OL)]]</f>
        <v>0.96082106527396161</v>
      </c>
      <c r="BA129" s="135">
        <f>MaxTok/Table1[[#This Row],[tok/req]]</f>
        <v>64.117729254967813</v>
      </c>
      <c r="BB129" s="4">
        <f>Table1[[#This Row],[N]]/Table1[[#This Row],[N-max]]</f>
        <v>4.8693588525867679E-2</v>
      </c>
      <c r="BC129" s="44">
        <f>Table1[[#This Row],[RPS]]</f>
        <v>2.2000000000000002</v>
      </c>
      <c r="BD129" s="47">
        <f>Table1[[#This Row],[PPS]]/Table1[[#This Row],[RPS success]]</f>
        <v>6722.267045454545</v>
      </c>
      <c r="BE129" s="4">
        <f>ABS(Table1[[#This Row],[est-In-Tok3]]-Table1[[#This Row],[In-Tok]])/Table1[[#This Row],[In-Tok]]</f>
        <v>0.12037784090909084</v>
      </c>
      <c r="BF129" s="47">
        <f>Table1[[#This Row],[GPS]]/Table1[[#This Row],[RPS success]]</f>
        <v>104.07765151515149</v>
      </c>
      <c r="BG129" s="4">
        <f>ABS(Table1[[#This Row],[est-Out-Tok3]]-Table1[[#This Row],[Out-Tok]])/Table1[[#This Row],[Out-Tok]]</f>
        <v>4.0776515151514869E-2</v>
      </c>
      <c r="BH129" s="162">
        <f>Table1[[#This Row],[est-In-Tok3]]+AvgOutLoad*Table1[[#This Row],[est-Out-Tok3]]</f>
        <v>6774.305871212121</v>
      </c>
      <c r="BI129" s="4">
        <f>ABS(Table1[[#This Row],[est-Tok/Req3]]-Table1[[#This Row],[tok/req]])/Table1[[#This Row],[tok/req]]</f>
        <v>0.11971997871274728</v>
      </c>
      <c r="BJ129" s="162">
        <f>MaxTok/Table1[[#This Row],[est-Tok/Req3]]</f>
        <v>57.262289209735144</v>
      </c>
      <c r="BK129" s="4">
        <f>ABS(Table1[[#This Row],[est-N-max3]]-Table1[[#This Row],[N-max]])/Table1[[#This Row],[N-max]]</f>
        <v>0.10691957006106095</v>
      </c>
      <c r="BL129" s="44">
        <f>MaxTok*Table1[[#This Row],[Kvcache]]/Table1[[#This Row],[Run]]</f>
        <v>6065.8312884309116</v>
      </c>
      <c r="BM129" s="170">
        <f>ABS(Table1[[#This Row],[est-Tok/Req]]-Table1[[#This Row],[tok/req]])/Table1[[#This Row],[tok/req]]</f>
        <v>2.6167418894068803E-3</v>
      </c>
      <c r="BN129" s="44">
        <f>MaxTok/Table1[[#This Row],[est-Tok/Req]]</f>
        <v>63.950387596899205</v>
      </c>
      <c r="BO129" s="180">
        <f>Table1[[#This Row],[Run]]/Table1[[#This Row],[Kvcache]]</f>
        <v>63.950387596899205</v>
      </c>
      <c r="BP129" s="4" cm="1">
        <f t="array" aca="1" ref="BP129" ca="1">_xlfn.CEILING.MATH(INDIRECT("Table1"&amp;BP$3)/BP$2)*BP$2</f>
        <v>7000</v>
      </c>
      <c r="BQ129" s="4" cm="1">
        <f t="array" aca="1" ref="BQ129" ca="1">_xlfn.CEILING.MATH(INDIRECT("Table1"&amp;BQ$3)/BQ$2)*BQ$2</f>
        <v>1.4999999999999999E-2</v>
      </c>
      <c r="BR129" s="4" cm="1">
        <f t="array" aca="1" ref="BR129" ca="1">_xlfn.CEILING.MATH(INDIRECT("Table1"&amp;BR$3)/BR$2)*BR$2</f>
        <v>0.1</v>
      </c>
      <c r="BS129" s="4" cm="1">
        <f t="array" aca="1" ref="BS129" ca="1">_xlfn.CEILING.MATH(INDIRECT("Table1"&amp;BS$3)/BS$2)*BS$2</f>
        <v>0.05</v>
      </c>
      <c r="BT129" s="3" cm="1">
        <f t="array" aca="1" ref="BT129" ca="1">_xlfn.CEILING.MATH(INDIRECT("Table1"&amp;BT$3)/BT$2)*BT$2</f>
        <v>3</v>
      </c>
      <c r="BU129" s="135" cm="1">
        <f t="array" aca="1" ref="BU129" ca="1">_xlfn.CEILING.MATH(INDIRECT("Table1"&amp;BU$3)/BU$2)*BU$2</f>
        <v>60</v>
      </c>
      <c r="BV129" s="135" cm="1">
        <f t="array" aca="1" ref="BV129" ca="1">_xlfn.CEILING.MATH(INDIRECT("Table1"&amp;BV$3)/BV$2)*BV$2</f>
        <v>6000</v>
      </c>
      <c r="BW129" s="4"/>
      <c r="BX129" s="4"/>
      <c r="BY129" s="190">
        <v>0.12503232479958626</v>
      </c>
      <c r="BZ129" s="4"/>
      <c r="CA129" s="3"/>
      <c r="CF129" s="5"/>
      <c r="CH129" s="8"/>
      <c r="CI129" s="8"/>
      <c r="CJ129" s="14"/>
      <c r="CK129" s="8"/>
      <c r="CL129" s="8"/>
      <c r="CM129" s="8"/>
      <c r="CN129" s="8"/>
      <c r="CO129" s="8"/>
      <c r="CP129" s="8"/>
      <c r="CQ129" s="8">
        <f>Table1[[#This Row],[In-Tok]]+AvgOutLoad*Table1[[#This Row],[Out-Tok]]</f>
        <v>6050</v>
      </c>
      <c r="CR129" s="8"/>
      <c r="CS129" s="8"/>
      <c r="CT129" s="8"/>
      <c r="CU129" s="8"/>
      <c r="CV129" s="8"/>
      <c r="CW129" s="8"/>
      <c r="CX129" s="8"/>
      <c r="CY129" s="8"/>
      <c r="GJ129"/>
    </row>
    <row r="130" spans="1:192" x14ac:dyDescent="0.25">
      <c r="A130" s="3">
        <v>6000</v>
      </c>
      <c r="B130" s="3">
        <v>100</v>
      </c>
      <c r="C130">
        <v>2.4</v>
      </c>
      <c r="D130" s="199">
        <f>Table1[[#This Row],[Kvcache]]</f>
        <v>5.9106973536764078E-2</v>
      </c>
      <c r="E130" s="4" t="s">
        <v>144</v>
      </c>
      <c r="F130" s="219">
        <v>46092</v>
      </c>
      <c r="G130" s="10"/>
      <c r="H130" s="10">
        <v>0.23314669970428922</v>
      </c>
      <c r="I130" s="10">
        <v>0.19235890049024437</v>
      </c>
      <c r="J130" s="10">
        <v>0.82638623463940319</v>
      </c>
      <c r="K130" s="10">
        <v>1.1102161010106408</v>
      </c>
      <c r="L130" s="10">
        <v>1.2729561408360799</v>
      </c>
      <c r="M130" s="10">
        <v>1.3275207717987576E-2</v>
      </c>
      <c r="N130" s="10">
        <v>1.5411904694615002</v>
      </c>
      <c r="O130" s="47">
        <v>17185.579166666666</v>
      </c>
      <c r="P130" s="47">
        <v>266.09583333333336</v>
      </c>
      <c r="Q130" s="5">
        <v>3.7777777777777781</v>
      </c>
      <c r="R130" s="5">
        <v>11.333333333333334</v>
      </c>
      <c r="S130" s="170">
        <v>5.9106973536764078E-2</v>
      </c>
      <c r="T130" s="170">
        <v>0.17708818205327126</v>
      </c>
      <c r="U130" s="20">
        <f>(Table1[[#This Row],[In-Tok]]+Table1[[#This Row],[Out-Tok]])*Table1[[#This Row],[RPS]]</f>
        <v>14640</v>
      </c>
      <c r="V130" s="3">
        <f>Table1[[#This Row],[In-Tok]]+AvgOutLoad*Table1[[#This Row],[Out-Tok]]</f>
        <v>6050</v>
      </c>
      <c r="W130" s="3">
        <f>Table1[[#This Row],[In-Tok]]*Table1[[#This Row],[RPS]]</f>
        <v>14400</v>
      </c>
      <c r="X130" s="3">
        <f>Table1[[#This Row],[Out-Tok]]*Table1[[#This Row],[RPS]]</f>
        <v>240</v>
      </c>
      <c r="Y130" s="75">
        <f>Table1[[#This Row],[In-Tok]]/Table1[[#This Row],[Out-Tok]]</f>
        <v>60</v>
      </c>
      <c r="Z130" s="26">
        <f>Table1[[#This Row],[In-Tok]]*Table1[[#This Row],[N]]+AvgOutLoad*Table1[[#This Row],[Out-Tok]]*Table1[[#This Row],[Ndecode]]</f>
        <v>24677.287748153616</v>
      </c>
      <c r="AA130" s="3">
        <f>Table1[[#This Row],[tok(N)]]/Table1[[#This Row],[Kvcache]]</f>
        <v>417502.13674541353</v>
      </c>
      <c r="AB130" s="3">
        <f>Table1[[#This Row],[tok/req]]*Table1[[#This Row],[Run]]</f>
        <v>22855.555555555558</v>
      </c>
      <c r="AC130" s="3">
        <f>Table1[[#This Row],[tok(Run)]]/Table1[[#This Row],[Kvcache]]</f>
        <v>386681.20169170189</v>
      </c>
      <c r="AD130" s="3">
        <f>Table1[[#This Row],[tok/req]]*Table1[[#This Row],[MaxRun]]</f>
        <v>68566.666666666672</v>
      </c>
      <c r="AE130" s="3">
        <f>Table1[[#This Row],[tok(MaxRun)]]/Table1[[#This Row],[MaxKvcache]]</f>
        <v>387189.39836448606</v>
      </c>
      <c r="AF130" s="75">
        <f>Table1[[#This Row],[PPS]]*Table1[[#This Row],[Prefill]]/Table1[[#This Row],[In-Tok]]</f>
        <v>0.55096651879800829</v>
      </c>
      <c r="AG130" s="5">
        <f>Table1[[#This Row],[GPS]]*Table1[[#This Row],[ITL]]</f>
        <v>3.5324774603910027</v>
      </c>
      <c r="AH130" s="5">
        <f>Table1[[#This Row],[Nprefill]]+Table1[[#This Row],[Ndecode]]</f>
        <v>4.0834439791890107</v>
      </c>
      <c r="AI130" s="4">
        <f>Table1[[#This Row],[Run]]/Table1[[#This Row],[ITL]]/Table1[[#This Row],[GPS]]</f>
        <v>1.0694414388024498</v>
      </c>
      <c r="AJ130" s="10">
        <f>Table1[[#This Row],[Prefill]]+Table1[[#This Row],[ITL]]</f>
        <v>0.20563410820823194</v>
      </c>
      <c r="AK130" s="4">
        <f>Table1[[#This Row],[TTFT]]/Table1[[#This Row],[estTTFT]]</f>
        <v>1.1337939106298316</v>
      </c>
      <c r="AL130" s="5">
        <f>Table1[[#This Row],[In-Tok]]*Table1[[#This Row],[RPS]]/Table1[[#This Row],[PPS]]</f>
        <v>0.83791182481242144</v>
      </c>
      <c r="AM130" s="4">
        <f>Table1[[#This Row],[Prefill]]/Table1[[#This Row],[estPrefill]]</f>
        <v>0.2295693828325035</v>
      </c>
      <c r="AN130" s="4">
        <f>Table1[[#This Row],[Prefill]]/Table1[[#This Row],[TTFT]]</f>
        <v>0.82505521516805558</v>
      </c>
      <c r="AO130" s="10">
        <f>Table1[[#This Row],[Run]]/(Table1[[#This Row],[Out-Tok]]*Table1[[#This Row],[RPS]])</f>
        <v>1.5740740740740743E-2</v>
      </c>
      <c r="AP130" s="4">
        <f>Table1[[#This Row],[ITL]]/Table1[[#This Row],[estITL]]</f>
        <v>0.84336613737803412</v>
      </c>
      <c r="AQ130" s="44">
        <f>Table1[[#This Row],[E2E]]-Table1[[#This Row],[TTFT]]+Table1[[#This Row],[ITL]]</f>
        <v>1.3213189774751986</v>
      </c>
      <c r="AR130" s="4">
        <f>Table1[[#This Row],[estDecode]]/Table1[[#This Row],[Run]]</f>
        <v>0.34976090580225838</v>
      </c>
      <c r="AS130" s="44">
        <f>Table1[[#This Row],[Prefill]]+Table1[[#This Row],[Out-Tok]]*Table1[[#This Row],[ITL]]</f>
        <v>1.519879672289002</v>
      </c>
      <c r="AT130" s="5">
        <f>Table1[[#This Row],[estPrefill]]+Table1[[#This Row],[Out-Tok]]*Table1[[#This Row],[ITL]]</f>
        <v>2.1654325966111792</v>
      </c>
      <c r="AU130" s="4">
        <f>Table1[[#This Row],[E2E]]/Table1[[#This Row],[estE2E]]</f>
        <v>0.71172405544896922</v>
      </c>
      <c r="AV130" s="5">
        <f>Table1[[#This Row],[N]]/Table1[[#This Row],[estE2E]]</f>
        <v>1.8857405146571855</v>
      </c>
      <c r="AW130" s="5">
        <f>Table1[[#This Row],[PPS]]/Table1[[#This Row],[In-Tok]]</f>
        <v>2.8642631944444443</v>
      </c>
      <c r="AX130" s="4">
        <f>Table1[[#This Row],[RPS]]/Table1[[#This Row],[RPS(IL)]]</f>
        <v>0.83791182481242144</v>
      </c>
      <c r="AY130" s="5">
        <f>Table1[[#This Row],[GPS]]/Table1[[#This Row],[Out-Tok]]</f>
        <v>2.6609583333333338</v>
      </c>
      <c r="AZ130" s="89">
        <f>Table1[[#This Row],[RPS]]/Table1[[#This Row],[RPS(OL)]]</f>
        <v>0.9019306953948294</v>
      </c>
      <c r="BA130" s="135">
        <f>MaxTok/Table1[[#This Row],[tok/req]]</f>
        <v>64.117729254967813</v>
      </c>
      <c r="BB130" s="4">
        <f>Table1[[#This Row],[N]]/Table1[[#This Row],[N-max]]</f>
        <v>6.3686659316192606E-2</v>
      </c>
      <c r="BC130" s="44">
        <f>Table1[[#This Row],[RPS]]</f>
        <v>2.4</v>
      </c>
      <c r="BD130" s="47">
        <f>Table1[[#This Row],[PPS]]/Table1[[#This Row],[RPS success]]</f>
        <v>7160.6579861111113</v>
      </c>
      <c r="BE130" s="4">
        <f>ABS(Table1[[#This Row],[est-In-Tok3]]-Table1[[#This Row],[In-Tok]])/Table1[[#This Row],[In-Tok]]</f>
        <v>0.19344299768518522</v>
      </c>
      <c r="BF130" s="47">
        <f>Table1[[#This Row],[GPS]]/Table1[[#This Row],[RPS success]]</f>
        <v>110.8732638888889</v>
      </c>
      <c r="BG130" s="4">
        <f>ABS(Table1[[#This Row],[est-Out-Tok3]]-Table1[[#This Row],[Out-Tok]])/Table1[[#This Row],[Out-Tok]]</f>
        <v>0.108732638888889</v>
      </c>
      <c r="BH130" s="162">
        <f>Table1[[#This Row],[est-In-Tok3]]+AvgOutLoad*Table1[[#This Row],[est-Out-Tok3]]</f>
        <v>7216.0946180555557</v>
      </c>
      <c r="BI130" s="4">
        <f>ABS(Table1[[#This Row],[est-Tok/Req3]]-Table1[[#This Row],[tok/req]])/Table1[[#This Row],[tok/req]]</f>
        <v>0.19274291207529845</v>
      </c>
      <c r="BJ130" s="162">
        <f>MaxTok/Table1[[#This Row],[est-Tok/Req3]]</f>
        <v>53.756537645993603</v>
      </c>
      <c r="BK130" s="4">
        <f>ABS(Table1[[#This Row],[est-N-max3]]-Table1[[#This Row],[N-max]])/Table1[[#This Row],[N-max]]</f>
        <v>0.16159635921871685</v>
      </c>
      <c r="BL130" s="44">
        <f>MaxTok*Table1[[#This Row],[Kvcache]]/Table1[[#This Row],[Run]]</f>
        <v>6069.2611246359511</v>
      </c>
      <c r="BM130" s="170">
        <f>ABS(Table1[[#This Row],[est-Tok/Req]]-Table1[[#This Row],[tok/req]])/Table1[[#This Row],[tok/req]]</f>
        <v>3.1836569646200149E-3</v>
      </c>
      <c r="BN130" s="44">
        <f>MaxTok/Table1[[#This Row],[est-Tok/Req]]</f>
        <v>63.914248213504443</v>
      </c>
      <c r="BO130" s="180">
        <f>Table1[[#This Row],[Run]]/Table1[[#This Row],[Kvcache]]</f>
        <v>63.91424821350445</v>
      </c>
      <c r="BP130" s="4" cm="1">
        <f t="array" aca="1" ref="BP130" ca="1">_xlfn.CEILING.MATH(INDIRECT("Table1"&amp;BP$3)/BP$2)*BP$2</f>
        <v>7000</v>
      </c>
      <c r="BQ130" s="4" cm="1">
        <f t="array" aca="1" ref="BQ130" ca="1">_xlfn.CEILING.MATH(INDIRECT("Table1"&amp;BQ$3)/BQ$2)*BQ$2</f>
        <v>1.4999999999999999E-2</v>
      </c>
      <c r="BR130" s="4" cm="1">
        <f t="array" aca="1" ref="BR130" ca="1">_xlfn.CEILING.MATH(INDIRECT("Table1"&amp;BR$3)/BR$2)*BR$2</f>
        <v>0.1</v>
      </c>
      <c r="BS130" s="4" cm="1">
        <f t="array" aca="1" ref="BS130" ca="1">_xlfn.CEILING.MATH(INDIRECT("Table1"&amp;BS$3)/BS$2)*BS$2</f>
        <v>0.06</v>
      </c>
      <c r="BT130" s="3" cm="1">
        <f t="array" aca="1" ref="BT130" ca="1">_xlfn.CEILING.MATH(INDIRECT("Table1"&amp;BT$3)/BT$2)*BT$2</f>
        <v>4</v>
      </c>
      <c r="BU130" s="135" cm="1">
        <f t="array" aca="1" ref="BU130" ca="1">_xlfn.CEILING.MATH(INDIRECT("Table1"&amp;BU$3)/BU$2)*BU$2</f>
        <v>60</v>
      </c>
      <c r="BV130" s="135" cm="1">
        <f t="array" aca="1" ref="BV130" ca="1">_xlfn.CEILING.MATH(INDIRECT("Table1"&amp;BV$3)/BV$2)*BV$2</f>
        <v>6000</v>
      </c>
      <c r="BW130" s="4"/>
      <c r="BX130" s="4"/>
      <c r="BY130" s="190">
        <v>0.17708818205327126</v>
      </c>
      <c r="BZ130" s="4"/>
      <c r="CA130" s="3"/>
      <c r="CF130" s="5"/>
      <c r="CH130" s="8"/>
      <c r="CI130" s="8"/>
      <c r="CJ130" s="14"/>
      <c r="CK130" s="8"/>
      <c r="CL130" s="8"/>
      <c r="CM130" s="8"/>
      <c r="CN130" s="8"/>
      <c r="CO130" s="8"/>
      <c r="CP130" s="8"/>
      <c r="CQ130" s="8">
        <f>Table1[[#This Row],[In-Tok]]+AvgOutLoad*Table1[[#This Row],[Out-Tok]]</f>
        <v>6050</v>
      </c>
      <c r="CR130" s="8"/>
      <c r="CS130" s="8"/>
      <c r="CT130" s="8"/>
      <c r="CU130" s="8"/>
      <c r="CV130" s="8"/>
      <c r="CW130" s="8"/>
      <c r="CX130" s="8"/>
      <c r="CY130" s="8"/>
      <c r="GJ130"/>
    </row>
    <row r="131" spans="1:192" x14ac:dyDescent="0.25">
      <c r="A131" s="3">
        <v>6000</v>
      </c>
      <c r="B131" s="3">
        <v>100</v>
      </c>
      <c r="C131">
        <v>2.6</v>
      </c>
      <c r="D131" s="199">
        <f>Table1[[#This Row],[Kvcache]]</f>
        <v>8.0536160675803811E-2</v>
      </c>
      <c r="E131" s="4" t="s">
        <v>144</v>
      </c>
      <c r="F131" s="219">
        <v>46092</v>
      </c>
      <c r="G131" s="10"/>
      <c r="H131" s="10">
        <v>0.24523011470325082</v>
      </c>
      <c r="I131" s="10">
        <v>0.20026413565238368</v>
      </c>
      <c r="J131" s="10">
        <v>0.82163083173955542</v>
      </c>
      <c r="K131" s="10">
        <v>1.1550458431243893</v>
      </c>
      <c r="L131" s="10">
        <v>1.2966849120457968</v>
      </c>
      <c r="M131" s="10">
        <v>1.5086350243453263E-2</v>
      </c>
      <c r="N131" s="10">
        <v>1.7423123699902998</v>
      </c>
      <c r="O131" s="47">
        <v>18996.45</v>
      </c>
      <c r="P131" s="47">
        <v>294.98750000000001</v>
      </c>
      <c r="Q131" s="5">
        <v>5.1481481481481488</v>
      </c>
      <c r="R131" s="5">
        <v>13.666666666666666</v>
      </c>
      <c r="S131" s="170">
        <v>8.0536160675803811E-2</v>
      </c>
      <c r="T131" s="170">
        <v>0.2139643134212568</v>
      </c>
      <c r="U131" s="20">
        <f>(Table1[[#This Row],[In-Tok]]+Table1[[#This Row],[Out-Tok]])*Table1[[#This Row],[RPS]]</f>
        <v>15860</v>
      </c>
      <c r="V131" s="3">
        <f>Table1[[#This Row],[In-Tok]]+AvgOutLoad*Table1[[#This Row],[Out-Tok]]</f>
        <v>6050</v>
      </c>
      <c r="W131" s="3">
        <f>Table1[[#This Row],[In-Tok]]*Table1[[#This Row],[RPS]]</f>
        <v>15600</v>
      </c>
      <c r="X131" s="3">
        <f>Table1[[#This Row],[Out-Tok]]*Table1[[#This Row],[RPS]]</f>
        <v>260</v>
      </c>
      <c r="Y131" s="75">
        <f>Table1[[#This Row],[In-Tok]]/Table1[[#This Row],[Out-Tok]]</f>
        <v>60</v>
      </c>
      <c r="Z131" s="26">
        <f>Table1[[#This Row],[In-Tok]]*Table1[[#This Row],[N]]+AvgOutLoad*Table1[[#This Row],[Out-Tok]]*Table1[[#This Row],[Ndecode]]</f>
        <v>30728.530331479771</v>
      </c>
      <c r="AA131" s="3">
        <f>Table1[[#This Row],[tok(N)]]/Table1[[#This Row],[Kvcache]]</f>
        <v>381549.48129668931</v>
      </c>
      <c r="AB131" s="3">
        <f>Table1[[#This Row],[tok/req]]*Table1[[#This Row],[Run]]</f>
        <v>31146.296296296299</v>
      </c>
      <c r="AC131" s="3">
        <f>Table1[[#This Row],[tok(Run)]]/Table1[[#This Row],[Kvcache]]</f>
        <v>386736.79046701634</v>
      </c>
      <c r="AD131" s="3">
        <f>Table1[[#This Row],[tok/req]]*Table1[[#This Row],[MaxRun]]</f>
        <v>82683.333333333328</v>
      </c>
      <c r="AE131" s="3">
        <f>Table1[[#This Row],[tok(MaxRun)]]/Table1[[#This Row],[MaxKvcache]]</f>
        <v>386435.15832729026</v>
      </c>
      <c r="AF131" s="75">
        <f>Table1[[#This Row],[PPS]]*Table1[[#This Row],[Prefill]]/Table1[[#This Row],[In-Tok]]</f>
        <v>0.63405127328562072</v>
      </c>
      <c r="AG131" s="5">
        <f>Table1[[#This Row],[GPS]]*Table1[[#This Row],[ITL]]</f>
        <v>4.4502847424406697</v>
      </c>
      <c r="AH131" s="5">
        <f>Table1[[#This Row],[Nprefill]]+Table1[[#This Row],[Ndecode]]</f>
        <v>5.08433601572629</v>
      </c>
      <c r="AI131" s="4">
        <f>Table1[[#This Row],[Run]]/Table1[[#This Row],[ITL]]/Table1[[#This Row],[GPS]]</f>
        <v>1.1568132032209584</v>
      </c>
      <c r="AJ131" s="10">
        <f>Table1[[#This Row],[Prefill]]+Table1[[#This Row],[ITL]]</f>
        <v>0.21535048589583694</v>
      </c>
      <c r="AK131" s="4">
        <f>Table1[[#This Row],[TTFT]]/Table1[[#This Row],[estTTFT]]</f>
        <v>1.1387488339444305</v>
      </c>
      <c r="AL131" s="5">
        <f>Table1[[#This Row],[In-Tok]]*Table1[[#This Row],[RPS]]/Table1[[#This Row],[PPS]]</f>
        <v>0.82120606744944447</v>
      </c>
      <c r="AM131" s="4">
        <f>Table1[[#This Row],[Prefill]]/Table1[[#This Row],[estPrefill]]</f>
        <v>0.24386587434062335</v>
      </c>
      <c r="AN131" s="4">
        <f>Table1[[#This Row],[Prefill]]/Table1[[#This Row],[TTFT]]</f>
        <v>0.81663761359293185</v>
      </c>
      <c r="AO131" s="10">
        <f>Table1[[#This Row],[Run]]/(Table1[[#This Row],[Out-Tok]]*Table1[[#This Row],[RPS]])</f>
        <v>1.9800569800569802E-2</v>
      </c>
      <c r="AP131" s="4">
        <f>Table1[[#This Row],[ITL]]/Table1[[#This Row],[estITL]]</f>
        <v>0.76191495474130866</v>
      </c>
      <c r="AQ131" s="44">
        <f>Table1[[#This Row],[E2E]]-Table1[[#This Row],[TTFT]]+Table1[[#This Row],[ITL]]</f>
        <v>1.5121686055305024</v>
      </c>
      <c r="AR131" s="4">
        <f>Table1[[#This Row],[estDecode]]/Table1[[#This Row],[Run]]</f>
        <v>0.29373059244117666</v>
      </c>
      <c r="AS131" s="44">
        <f>Table1[[#This Row],[Prefill]]+Table1[[#This Row],[Out-Tok]]*Table1[[#This Row],[ITL]]</f>
        <v>1.7088991599977101</v>
      </c>
      <c r="AT131" s="5">
        <f>Table1[[#This Row],[estPrefill]]+Table1[[#This Row],[Out-Tok]]*Table1[[#This Row],[ITL]]</f>
        <v>2.3298410917947709</v>
      </c>
      <c r="AU131" s="4">
        <f>Table1[[#This Row],[E2E]]/Table1[[#This Row],[estE2E]]</f>
        <v>0.74782455169426432</v>
      </c>
      <c r="AV131" s="5">
        <f>Table1[[#This Row],[N]]/Table1[[#This Row],[estE2E]]</f>
        <v>2.182267294379987</v>
      </c>
      <c r="AW131" s="5">
        <f>Table1[[#This Row],[PPS]]/Table1[[#This Row],[In-Tok]]</f>
        <v>3.1660750000000002</v>
      </c>
      <c r="AX131" s="4">
        <f>Table1[[#This Row],[RPS]]/Table1[[#This Row],[RPS(IL)]]</f>
        <v>0.82120606744944447</v>
      </c>
      <c r="AY131" s="5">
        <f>Table1[[#This Row],[GPS]]/Table1[[#This Row],[Out-Tok]]</f>
        <v>2.949875</v>
      </c>
      <c r="AZ131" s="89">
        <f>Table1[[#This Row],[RPS]]/Table1[[#This Row],[RPS(OL)]]</f>
        <v>0.88139327937624479</v>
      </c>
      <c r="BA131" s="135">
        <f>MaxTok/Table1[[#This Row],[tok/req]]</f>
        <v>64.117729254967813</v>
      </c>
      <c r="BB131" s="4">
        <f>Table1[[#This Row],[N]]/Table1[[#This Row],[N-max]]</f>
        <v>7.9296882076221653E-2</v>
      </c>
      <c r="BC131" s="44">
        <f>Table1[[#This Row],[RPS]]</f>
        <v>2.6</v>
      </c>
      <c r="BD131" s="47">
        <f>Table1[[#This Row],[PPS]]/Table1[[#This Row],[RPS success]]</f>
        <v>7306.3269230769229</v>
      </c>
      <c r="BE131" s="4">
        <f>ABS(Table1[[#This Row],[est-In-Tok3]]-Table1[[#This Row],[In-Tok]])/Table1[[#This Row],[In-Tok]]</f>
        <v>0.21772115384615381</v>
      </c>
      <c r="BF131" s="47">
        <f>Table1[[#This Row],[GPS]]/Table1[[#This Row],[RPS success]]</f>
        <v>113.45673076923077</v>
      </c>
      <c r="BG131" s="4">
        <f>ABS(Table1[[#This Row],[est-Out-Tok3]]-Table1[[#This Row],[Out-Tok]])/Table1[[#This Row],[Out-Tok]]</f>
        <v>0.13456730769230774</v>
      </c>
      <c r="BH131" s="162">
        <f>Table1[[#This Row],[est-In-Tok3]]+AvgOutLoad*Table1[[#This Row],[est-Out-Tok3]]</f>
        <v>7363.0552884615381</v>
      </c>
      <c r="BI131" s="4">
        <f>ABS(Table1[[#This Row],[est-Tok/Req3]]-Table1[[#This Row],[tok/req]])/Table1[[#This Row],[tok/req]]</f>
        <v>0.21703393197711374</v>
      </c>
      <c r="BJ131" s="162">
        <f>MaxTok/Table1[[#This Row],[est-Tok/Req3]]</f>
        <v>52.68360032559351</v>
      </c>
      <c r="BK131" s="4">
        <f>ABS(Table1[[#This Row],[est-N-max3]]-Table1[[#This Row],[N-max]])/Table1[[#This Row],[N-max]]</f>
        <v>0.17833022258018272</v>
      </c>
      <c r="BL131" s="44">
        <f>MaxTok*Table1[[#This Row],[Kvcache]]/Table1[[#This Row],[Run]]</f>
        <v>6068.3887411407713</v>
      </c>
      <c r="BM131" s="170">
        <f>ABS(Table1[[#This Row],[est-Tok/Req]]-Table1[[#This Row],[tok/req]])/Table1[[#This Row],[tok/req]]</f>
        <v>3.0394613455820402E-3</v>
      </c>
      <c r="BN131" s="44">
        <f>MaxTok/Table1[[#This Row],[est-Tok/Req]]</f>
        <v>63.923436440829143</v>
      </c>
      <c r="BO131" s="180">
        <f>Table1[[#This Row],[Run]]/Table1[[#This Row],[Kvcache]]</f>
        <v>63.92343644082915</v>
      </c>
      <c r="BP131" s="4" cm="1">
        <f t="array" aca="1" ref="BP131" ca="1">_xlfn.CEILING.MATH(INDIRECT("Table1"&amp;BP$3)/BP$2)*BP$2</f>
        <v>7000</v>
      </c>
      <c r="BQ131" s="4" cm="1">
        <f t="array" aca="1" ref="BQ131" ca="1">_xlfn.CEILING.MATH(INDIRECT("Table1"&amp;BQ$3)/BQ$2)*BQ$2</f>
        <v>0.02</v>
      </c>
      <c r="BR131" s="4" cm="1">
        <f t="array" aca="1" ref="BR131" ca="1">_xlfn.CEILING.MATH(INDIRECT("Table1"&amp;BR$3)/BR$2)*BR$2</f>
        <v>0.1</v>
      </c>
      <c r="BS131" s="4" cm="1">
        <f t="array" aca="1" ref="BS131" ca="1">_xlfn.CEILING.MATH(INDIRECT("Table1"&amp;BS$3)/BS$2)*BS$2</f>
        <v>0.09</v>
      </c>
      <c r="BT131" s="3" cm="1">
        <f t="array" aca="1" ref="BT131" ca="1">_xlfn.CEILING.MATH(INDIRECT("Table1"&amp;BT$3)/BT$2)*BT$2</f>
        <v>6</v>
      </c>
      <c r="BU131" s="135" cm="1">
        <f t="array" aca="1" ref="BU131" ca="1">_xlfn.CEILING.MATH(INDIRECT("Table1"&amp;BU$3)/BU$2)*BU$2</f>
        <v>60</v>
      </c>
      <c r="BV131" s="135" cm="1">
        <f t="array" aca="1" ref="BV131" ca="1">_xlfn.CEILING.MATH(INDIRECT("Table1"&amp;BV$3)/BV$2)*BV$2</f>
        <v>6000</v>
      </c>
      <c r="BW131" s="4"/>
      <c r="BX131" s="4"/>
      <c r="BY131" s="190">
        <v>0.2139643134212568</v>
      </c>
      <c r="BZ131" s="4"/>
      <c r="CA131" s="3"/>
      <c r="CF131" s="5"/>
      <c r="CH131" s="8"/>
      <c r="CI131" s="8"/>
      <c r="CJ131" s="14"/>
      <c r="CK131" s="8"/>
      <c r="CL131" s="8"/>
      <c r="CM131" s="8"/>
      <c r="CN131" s="8"/>
      <c r="CO131" s="8"/>
      <c r="CP131" s="8"/>
      <c r="CQ131" s="8">
        <f>Table1[[#This Row],[In-Tok]]+AvgOutLoad*Table1[[#This Row],[Out-Tok]]</f>
        <v>6050</v>
      </c>
      <c r="CR131" s="8"/>
      <c r="CS131" s="8"/>
      <c r="CT131" s="8"/>
      <c r="CU131" s="8"/>
      <c r="CV131" s="8"/>
      <c r="CW131" s="8"/>
      <c r="CX131" s="8"/>
      <c r="CY131" s="8"/>
      <c r="GJ131"/>
    </row>
    <row r="132" spans="1:192" x14ac:dyDescent="0.25">
      <c r="A132" s="3">
        <v>6000</v>
      </c>
      <c r="B132" s="3">
        <v>100</v>
      </c>
      <c r="C132">
        <v>2.7999999999999994</v>
      </c>
      <c r="D132" s="199">
        <f>Table1[[#This Row],[Kvcache]]</f>
        <v>6.8267103410625515E-2</v>
      </c>
      <c r="E132" s="4" t="s">
        <v>144</v>
      </c>
      <c r="F132" s="219">
        <v>46092</v>
      </c>
      <c r="G132" s="10"/>
      <c r="H132" s="10">
        <v>0.24909473342863278</v>
      </c>
      <c r="I132" s="10">
        <v>0.20094196874183576</v>
      </c>
      <c r="J132" s="10">
        <v>0.83027633199092765</v>
      </c>
      <c r="K132" s="10">
        <v>1.1549267530441283</v>
      </c>
      <c r="L132" s="10">
        <v>1.228891956011454</v>
      </c>
      <c r="M132" s="10">
        <v>1.4768636010278974E-2</v>
      </c>
      <c r="N132" s="10">
        <v>1.6957312367428665</v>
      </c>
      <c r="O132" s="47">
        <v>19715.070833333335</v>
      </c>
      <c r="P132" s="47">
        <v>302.02083333333337</v>
      </c>
      <c r="Q132" s="5">
        <v>4.3703703703703702</v>
      </c>
      <c r="R132" s="5">
        <v>13.666666666666666</v>
      </c>
      <c r="S132" s="170">
        <v>6.8267103410625515E-2</v>
      </c>
      <c r="T132" s="170">
        <v>0.21334367726920087</v>
      </c>
      <c r="U132" s="20">
        <f>(Table1[[#This Row],[In-Tok]]+Table1[[#This Row],[Out-Tok]])*Table1[[#This Row],[RPS]]</f>
        <v>17079.999999999996</v>
      </c>
      <c r="V132" s="3">
        <f>Table1[[#This Row],[In-Tok]]+AvgOutLoad*Table1[[#This Row],[Out-Tok]]</f>
        <v>6050</v>
      </c>
      <c r="W132" s="3">
        <f>Table1[[#This Row],[In-Tok]]*Table1[[#This Row],[RPS]]</f>
        <v>16799.999999999996</v>
      </c>
      <c r="X132" s="3">
        <f>Table1[[#This Row],[Out-Tok]]*Table1[[#This Row],[RPS]]</f>
        <v>279.99999999999994</v>
      </c>
      <c r="Y132" s="75">
        <f>Table1[[#This Row],[In-Tok]]/Table1[[#This Row],[Out-Tok]]</f>
        <v>60</v>
      </c>
      <c r="Z132" s="26">
        <f>Table1[[#This Row],[In-Tok]]*Table1[[#This Row],[N]]+AvgOutLoad*Table1[[#This Row],[Out-Tok]]*Table1[[#This Row],[Ndecode]]</f>
        <v>30947.221465012586</v>
      </c>
      <c r="AA132" s="3">
        <f>Table1[[#This Row],[tok(N)]]/Table1[[#This Row],[Kvcache]]</f>
        <v>453325.5392259073</v>
      </c>
      <c r="AB132" s="3">
        <f>Table1[[#This Row],[tok/req]]*Table1[[#This Row],[Run]]</f>
        <v>26440.740740740741</v>
      </c>
      <c r="AC132" s="3">
        <f>Table1[[#This Row],[tok(Run)]]/Table1[[#This Row],[Kvcache]]</f>
        <v>387313.06031398632</v>
      </c>
      <c r="AD132" s="3">
        <f>Table1[[#This Row],[tok/req]]*Table1[[#This Row],[MaxRun]]</f>
        <v>82683.333333333328</v>
      </c>
      <c r="AE132" s="3">
        <f>Table1[[#This Row],[tok(MaxRun)]]/Table1[[#This Row],[MaxKvcache]]</f>
        <v>387559.33333333343</v>
      </c>
      <c r="AF132" s="75">
        <f>Table1[[#This Row],[PPS]]*Table1[[#This Row],[Prefill]]/Table1[[#This Row],[In-Tok]]</f>
        <v>0.66026419118912416</v>
      </c>
      <c r="AG132" s="5">
        <f>Table1[[#This Row],[GPS]]*Table1[[#This Row],[ITL]]</f>
        <v>4.4604357550211313</v>
      </c>
      <c r="AH132" s="5">
        <f>Table1[[#This Row],[Nprefill]]+Table1[[#This Row],[Ndecode]]</f>
        <v>5.1206999462102551</v>
      </c>
      <c r="AI132" s="4">
        <f>Table1[[#This Row],[Run]]/Table1[[#This Row],[ITL]]/Table1[[#This Row],[GPS]]</f>
        <v>0.97980794039026919</v>
      </c>
      <c r="AJ132" s="10">
        <f>Table1[[#This Row],[Prefill]]+Table1[[#This Row],[ITL]]</f>
        <v>0.21571060475211473</v>
      </c>
      <c r="AK132" s="4">
        <f>Table1[[#This Row],[TTFT]]/Table1[[#This Row],[estTTFT]]</f>
        <v>1.1547635023084823</v>
      </c>
      <c r="AL132" s="5">
        <f>Table1[[#This Row],[In-Tok]]*Table1[[#This Row],[RPS]]/Table1[[#This Row],[PPS]]</f>
        <v>0.85213997667182251</v>
      </c>
      <c r="AM132" s="4">
        <f>Table1[[#This Row],[Prefill]]/Table1[[#This Row],[estPrefill]]</f>
        <v>0.23580863971040153</v>
      </c>
      <c r="AN132" s="4">
        <f>Table1[[#This Row],[Prefill]]/Table1[[#This Row],[TTFT]]</f>
        <v>0.80668894912387579</v>
      </c>
      <c r="AO132" s="10">
        <f>Table1[[#This Row],[Run]]/(Table1[[#This Row],[Out-Tok]]*Table1[[#This Row],[RPS]])</f>
        <v>1.5608465608465611E-2</v>
      </c>
      <c r="AP132" s="4">
        <f>Table1[[#This Row],[ITL]]/Table1[[#This Row],[estITL]]</f>
        <v>0.94619396811617817</v>
      </c>
      <c r="AQ132" s="44">
        <f>Table1[[#This Row],[E2E]]-Table1[[#This Row],[TTFT]]+Table1[[#This Row],[ITL]]</f>
        <v>1.4614051393245127</v>
      </c>
      <c r="AR132" s="4">
        <f>Table1[[#This Row],[estDecode]]/Table1[[#This Row],[Run]]</f>
        <v>0.33438931154035462</v>
      </c>
      <c r="AS132" s="44">
        <f>Table1[[#This Row],[Prefill]]+Table1[[#This Row],[Out-Tok]]*Table1[[#This Row],[ITL]]</f>
        <v>1.6778055697697332</v>
      </c>
      <c r="AT132" s="5">
        <f>Table1[[#This Row],[estPrefill]]+Table1[[#This Row],[Out-Tok]]*Table1[[#This Row],[ITL]]</f>
        <v>2.3290035776997202</v>
      </c>
      <c r="AU132" s="4">
        <f>Table1[[#This Row],[E2E]]/Table1[[#This Row],[estE2E]]</f>
        <v>0.72809301496122392</v>
      </c>
      <c r="AV132" s="5">
        <f>Table1[[#This Row],[N]]/Table1[[#This Row],[estE2E]]</f>
        <v>2.198665556052001</v>
      </c>
      <c r="AW132" s="5">
        <f>Table1[[#This Row],[PPS]]/Table1[[#This Row],[In-Tok]]</f>
        <v>3.285845138888889</v>
      </c>
      <c r="AX132" s="4">
        <f>Table1[[#This Row],[RPS]]/Table1[[#This Row],[RPS(IL)]]</f>
        <v>0.85213997667182251</v>
      </c>
      <c r="AY132" s="5">
        <f>Table1[[#This Row],[GPS]]/Table1[[#This Row],[Out-Tok]]</f>
        <v>3.0202083333333336</v>
      </c>
      <c r="AZ132" s="89">
        <f>Table1[[#This Row],[RPS]]/Table1[[#This Row],[RPS(OL)]]</f>
        <v>0.92708836310960863</v>
      </c>
      <c r="BA132" s="135">
        <f>MaxTok/Table1[[#This Row],[tok/req]]</f>
        <v>64.117729254967813</v>
      </c>
      <c r="BB132" s="4">
        <f>Table1[[#This Row],[N]]/Table1[[#This Row],[N-max]]</f>
        <v>7.9864025219101242E-2</v>
      </c>
      <c r="BC132" s="44">
        <f>Table1[[#This Row],[RPS]]</f>
        <v>2.7999999999999994</v>
      </c>
      <c r="BD132" s="47">
        <f>Table1[[#This Row],[PPS]]/Table1[[#This Row],[RPS success]]</f>
        <v>7041.096726190478</v>
      </c>
      <c r="BE132" s="4">
        <f>ABS(Table1[[#This Row],[est-In-Tok3]]-Table1[[#This Row],[In-Tok]])/Table1[[#This Row],[In-Tok]]</f>
        <v>0.17351612103174632</v>
      </c>
      <c r="BF132" s="47">
        <f>Table1[[#This Row],[GPS]]/Table1[[#This Row],[RPS success]]</f>
        <v>107.86458333333337</v>
      </c>
      <c r="BG132" s="4">
        <f>ABS(Table1[[#This Row],[est-Out-Tok3]]-Table1[[#This Row],[Out-Tok]])/Table1[[#This Row],[Out-Tok]]</f>
        <v>7.8645833333333706E-2</v>
      </c>
      <c r="BH132" s="162">
        <f>Table1[[#This Row],[est-In-Tok3]]+AvgOutLoad*Table1[[#This Row],[est-Out-Tok3]]</f>
        <v>7095.0290178571449</v>
      </c>
      <c r="BI132" s="4">
        <f>ABS(Table1[[#This Row],[est-Tok/Req3]]-Table1[[#This Row],[tok/req]])/Table1[[#This Row],[tok/req]]</f>
        <v>0.17273206906729668</v>
      </c>
      <c r="BJ132" s="162">
        <f>MaxTok/Table1[[#This Row],[est-Tok/Req3]]</f>
        <v>54.673809087494519</v>
      </c>
      <c r="BK132" s="4">
        <f>ABS(Table1[[#This Row],[est-N-max3]]-Table1[[#This Row],[N-max]])/Table1[[#This Row],[N-max]]</f>
        <v>0.14729030920479116</v>
      </c>
      <c r="BL132" s="44">
        <f>MaxTok*Table1[[#This Row],[Kvcache]]/Table1[[#This Row],[Run]]</f>
        <v>6059.3597932184457</v>
      </c>
      <c r="BM132" s="170">
        <f>ABS(Table1[[#This Row],[est-Tok/Req]]-Table1[[#This Row],[tok/req]])/Table1[[#This Row],[tok/req]]</f>
        <v>1.5470732592472235E-3</v>
      </c>
      <c r="BN132" s="44">
        <f>MaxTok/Table1[[#This Row],[est-Tok/Req]]</f>
        <v>64.018687655204346</v>
      </c>
      <c r="BO132" s="180">
        <f>Table1[[#This Row],[Run]]/Table1[[#This Row],[Kvcache]]</f>
        <v>64.018687655204346</v>
      </c>
      <c r="BP132" s="4" cm="1">
        <f t="array" aca="1" ref="BP132" ca="1">_xlfn.CEILING.MATH(INDIRECT("Table1"&amp;BP$3)/BP$2)*BP$2</f>
        <v>7000</v>
      </c>
      <c r="BQ132" s="4" cm="1">
        <f t="array" aca="1" ref="BQ132" ca="1">_xlfn.CEILING.MATH(INDIRECT("Table1"&amp;BQ$3)/BQ$2)*BQ$2</f>
        <v>1.4999999999999999E-2</v>
      </c>
      <c r="BR132" s="4" cm="1">
        <f t="array" aca="1" ref="BR132" ca="1">_xlfn.CEILING.MATH(INDIRECT("Table1"&amp;BR$3)/BR$2)*BR$2</f>
        <v>0.1</v>
      </c>
      <c r="BS132" s="4" cm="1">
        <f t="array" aca="1" ref="BS132" ca="1">_xlfn.CEILING.MATH(INDIRECT("Table1"&amp;BS$3)/BS$2)*BS$2</f>
        <v>7.0000000000000007E-2</v>
      </c>
      <c r="BT132" s="3" cm="1">
        <f t="array" aca="1" ref="BT132" ca="1">_xlfn.CEILING.MATH(INDIRECT("Table1"&amp;BT$3)/BT$2)*BT$2</f>
        <v>5</v>
      </c>
      <c r="BU132" s="135" cm="1">
        <f t="array" aca="1" ref="BU132" ca="1">_xlfn.CEILING.MATH(INDIRECT("Table1"&amp;BU$3)/BU$2)*BU$2</f>
        <v>60</v>
      </c>
      <c r="BV132" s="135" cm="1">
        <f t="array" aca="1" ref="BV132" ca="1">_xlfn.CEILING.MATH(INDIRECT("Table1"&amp;BV$3)/BV$2)*BV$2</f>
        <v>6000</v>
      </c>
      <c r="BW132" s="4"/>
      <c r="BX132" s="4"/>
      <c r="BY132" s="190">
        <v>0.21334367726920087</v>
      </c>
      <c r="BZ132" s="4"/>
      <c r="CA132" s="3"/>
      <c r="CF132" s="5"/>
      <c r="CH132" s="8"/>
      <c r="CI132" s="8"/>
      <c r="CJ132" s="14"/>
      <c r="CK132" s="8"/>
      <c r="CL132" s="8"/>
      <c r="CM132" s="8"/>
      <c r="CN132" s="8"/>
      <c r="CO132" s="8"/>
      <c r="CP132" s="8"/>
      <c r="CQ132" s="8">
        <f>Table1[[#This Row],[In-Tok]]+AvgOutLoad*Table1[[#This Row],[Out-Tok]]</f>
        <v>6050</v>
      </c>
      <c r="CR132" s="8"/>
      <c r="CS132" s="8"/>
      <c r="CT132" s="8"/>
      <c r="CU132" s="8"/>
      <c r="CV132" s="8"/>
      <c r="CW132" s="8"/>
      <c r="CX132" s="8"/>
      <c r="CY132" s="8"/>
      <c r="GJ132"/>
    </row>
    <row r="133" spans="1:192" x14ac:dyDescent="0.25">
      <c r="A133" s="3">
        <v>6000</v>
      </c>
      <c r="B133" s="3">
        <v>100</v>
      </c>
      <c r="C133">
        <v>3</v>
      </c>
      <c r="D133" s="199">
        <f>Table1[[#This Row],[Kvcache]]</f>
        <v>7.9329368157917426E-2</v>
      </c>
      <c r="E133" s="4" t="s">
        <v>144</v>
      </c>
      <c r="F133" s="219">
        <v>46092</v>
      </c>
      <c r="G133" s="10"/>
      <c r="H133" s="10">
        <v>0.2647654223543669</v>
      </c>
      <c r="I133" s="10">
        <v>0.21283558649133549</v>
      </c>
      <c r="J133" s="10">
        <v>0.85179240884166652</v>
      </c>
      <c r="K133" s="10">
        <v>1.3023287057876585</v>
      </c>
      <c r="L133" s="10">
        <v>1.5408209005991615</v>
      </c>
      <c r="M133" s="10">
        <v>1.5918493463828256E-2</v>
      </c>
      <c r="N133" s="10">
        <v>1.8523591274736011</v>
      </c>
      <c r="O133" s="47">
        <v>20089.174999999999</v>
      </c>
      <c r="P133" s="47">
        <v>310.07083333333327</v>
      </c>
      <c r="Q133" s="5">
        <v>5.0740740740740735</v>
      </c>
      <c r="R133" s="5">
        <v>11.666666666666666</v>
      </c>
      <c r="S133" s="170">
        <v>7.9329368157917426E-2</v>
      </c>
      <c r="T133" s="170">
        <v>0.18233772950607707</v>
      </c>
      <c r="U133" s="20">
        <f>(Table1[[#This Row],[In-Tok]]+Table1[[#This Row],[Out-Tok]])*Table1[[#This Row],[RPS]]</f>
        <v>18300</v>
      </c>
      <c r="V133" s="3">
        <f>Table1[[#This Row],[In-Tok]]+AvgOutLoad*Table1[[#This Row],[Out-Tok]]</f>
        <v>6050</v>
      </c>
      <c r="W133" s="3">
        <f>Table1[[#This Row],[In-Tok]]*Table1[[#This Row],[RPS]]</f>
        <v>18000</v>
      </c>
      <c r="X133" s="3">
        <f>Table1[[#This Row],[Out-Tok]]*Table1[[#This Row],[RPS]]</f>
        <v>300</v>
      </c>
      <c r="Y133" s="75">
        <f>Table1[[#This Row],[In-Tok]]/Table1[[#This Row],[Out-Tok]]</f>
        <v>60</v>
      </c>
      <c r="Z133" s="26">
        <f>Table1[[#This Row],[In-Tok]]*Table1[[#This Row],[N]]+AvgOutLoad*Table1[[#This Row],[Out-Tok]]*Table1[[#This Row],[Ndecode]]</f>
        <v>34137.647572381778</v>
      </c>
      <c r="AA133" s="3">
        <f>Table1[[#This Row],[tok(N)]]/Table1[[#This Row],[Kvcache]]</f>
        <v>430327.99031533301</v>
      </c>
      <c r="AB133" s="3">
        <f>Table1[[#This Row],[tok/req]]*Table1[[#This Row],[Run]]</f>
        <v>30698.148148148146</v>
      </c>
      <c r="AC133" s="3">
        <f>Table1[[#This Row],[tok(Run)]]/Table1[[#This Row],[Kvcache]]</f>
        <v>386970.78851099272</v>
      </c>
      <c r="AD133" s="3">
        <f>Table1[[#This Row],[tok/req]]*Table1[[#This Row],[MaxRun]]</f>
        <v>70583.333333333328</v>
      </c>
      <c r="AE133" s="3">
        <f>Table1[[#This Row],[tok(MaxRun)]]/Table1[[#This Row],[MaxKvcache]]</f>
        <v>387102.18408736342</v>
      </c>
      <c r="AF133" s="75">
        <f>Table1[[#This Row],[PPS]]*Table1[[#This Row],[Prefill]]/Table1[[#This Row],[In-Tok]]</f>
        <v>0.7126152238753457</v>
      </c>
      <c r="AG133" s="5">
        <f>Table1[[#This Row],[GPS]]*Table1[[#This Row],[ITL]]</f>
        <v>4.9358605337404464</v>
      </c>
      <c r="AH133" s="5">
        <f>Table1[[#This Row],[Nprefill]]+Table1[[#This Row],[Ndecode]]</f>
        <v>5.6484757576157918</v>
      </c>
      <c r="AI133" s="4">
        <f>Table1[[#This Row],[Run]]/Table1[[#This Row],[ITL]]/Table1[[#This Row],[GPS]]</f>
        <v>1.0280019136255636</v>
      </c>
      <c r="AJ133" s="10">
        <f>Table1[[#This Row],[Prefill]]+Table1[[#This Row],[ITL]]</f>
        <v>0.22875407995516375</v>
      </c>
      <c r="AK133" s="4">
        <f>Table1[[#This Row],[TTFT]]/Table1[[#This Row],[estTTFT]]</f>
        <v>1.1574238256483182</v>
      </c>
      <c r="AL133" s="5">
        <f>Table1[[#This Row],[In-Tok]]*Table1[[#This Row],[RPS]]/Table1[[#This Row],[PPS]]</f>
        <v>0.89600493798276937</v>
      </c>
      <c r="AM133" s="4">
        <f>Table1[[#This Row],[Prefill]]/Table1[[#This Row],[estPrefill]]</f>
        <v>0.23753840795844858</v>
      </c>
      <c r="AN133" s="4">
        <f>Table1[[#This Row],[Prefill]]/Table1[[#This Row],[TTFT]]</f>
        <v>0.80386473656092616</v>
      </c>
      <c r="AO133" s="10">
        <f>Table1[[#This Row],[Run]]/(Table1[[#This Row],[Out-Tok]]*Table1[[#This Row],[RPS]])</f>
        <v>1.6913580246913577E-2</v>
      </c>
      <c r="AP133" s="4">
        <f>Table1[[#This Row],[ITL]]/Table1[[#This Row],[estITL]]</f>
        <v>0.94116640187597733</v>
      </c>
      <c r="AQ133" s="44">
        <f>Table1[[#This Row],[E2E]]-Table1[[#This Row],[TTFT]]+Table1[[#This Row],[ITL]]</f>
        <v>1.6035121985830625</v>
      </c>
      <c r="AR133" s="4">
        <f>Table1[[#This Row],[estDecode]]/Table1[[#This Row],[Run]]</f>
        <v>0.31602065227549408</v>
      </c>
      <c r="AS133" s="44">
        <f>Table1[[#This Row],[Prefill]]+Table1[[#This Row],[Out-Tok]]*Table1[[#This Row],[ITL]]</f>
        <v>1.804684932874161</v>
      </c>
      <c r="AT133" s="5">
        <f>Table1[[#This Row],[estPrefill]]+Table1[[#This Row],[Out-Tok]]*Table1[[#This Row],[ITL]]</f>
        <v>2.4878542843655951</v>
      </c>
      <c r="AU133" s="4">
        <f>Table1[[#This Row],[E2E]]/Table1[[#This Row],[estE2E]]</f>
        <v>0.74456094117503924</v>
      </c>
      <c r="AV133" s="5">
        <f>Table1[[#This Row],[N]]/Table1[[#This Row],[estE2E]]</f>
        <v>2.2704206565121066</v>
      </c>
      <c r="AW133" s="5">
        <f>Table1[[#This Row],[PPS]]/Table1[[#This Row],[In-Tok]]</f>
        <v>3.348195833333333</v>
      </c>
      <c r="AX133" s="4">
        <f>Table1[[#This Row],[RPS]]/Table1[[#This Row],[RPS(IL)]]</f>
        <v>0.89600493798276937</v>
      </c>
      <c r="AY133" s="5">
        <f>Table1[[#This Row],[GPS]]/Table1[[#This Row],[Out-Tok]]</f>
        <v>3.1007083333333325</v>
      </c>
      <c r="AZ133" s="89">
        <f>Table1[[#This Row],[RPS]]/Table1[[#This Row],[RPS(OL)]]</f>
        <v>0.96752086216859079</v>
      </c>
      <c r="BA133" s="135">
        <f>MaxTok/Table1[[#This Row],[tok/req]]</f>
        <v>64.117729254967813</v>
      </c>
      <c r="BB133" s="4">
        <f>Table1[[#This Row],[N]]/Table1[[#This Row],[N-max]]</f>
        <v>8.8095380532805606E-2</v>
      </c>
      <c r="BC133" s="44">
        <f>Table1[[#This Row],[RPS]]</f>
        <v>3</v>
      </c>
      <c r="BD133" s="47">
        <f>Table1[[#This Row],[PPS]]/Table1[[#This Row],[RPS success]]</f>
        <v>6696.3916666666664</v>
      </c>
      <c r="BE133" s="4">
        <f>ABS(Table1[[#This Row],[est-In-Tok3]]-Table1[[#This Row],[In-Tok]])/Table1[[#This Row],[In-Tok]]</f>
        <v>0.11606527777777774</v>
      </c>
      <c r="BF133" s="47">
        <f>Table1[[#This Row],[GPS]]/Table1[[#This Row],[RPS success]]</f>
        <v>103.35694444444442</v>
      </c>
      <c r="BG133" s="4">
        <f>ABS(Table1[[#This Row],[est-Out-Tok3]]-Table1[[#This Row],[Out-Tok]])/Table1[[#This Row],[Out-Tok]]</f>
        <v>3.3569444444444228E-2</v>
      </c>
      <c r="BH133" s="162">
        <f>Table1[[#This Row],[est-In-Tok3]]+AvgOutLoad*Table1[[#This Row],[est-Out-Tok3]]</f>
        <v>6748.0701388888883</v>
      </c>
      <c r="BI133" s="4">
        <f>ABS(Table1[[#This Row],[est-Tok/Req3]]-Table1[[#This Row],[tok/req]])/Table1[[#This Row],[tok/req]]</f>
        <v>0.11538349403122121</v>
      </c>
      <c r="BJ133" s="162">
        <f>MaxTok/Table1[[#This Row],[est-Tok/Req3]]</f>
        <v>57.484918503889091</v>
      </c>
      <c r="BK133" s="4">
        <f>ABS(Table1[[#This Row],[est-N-max3]]-Table1[[#This Row],[N-max]])/Table1[[#This Row],[N-max]]</f>
        <v>0.10344737451170442</v>
      </c>
      <c r="BL133" s="44">
        <f>MaxTok*Table1[[#This Row],[Kvcache]]/Table1[[#This Row],[Run]]</f>
        <v>6064.7192365226601</v>
      </c>
      <c r="BM133" s="170">
        <f>ABS(Table1[[#This Row],[est-Tok/Req]]-Table1[[#This Row],[tok/req]])/Table1[[#This Row],[tok/req]]</f>
        <v>2.4329316566380397E-3</v>
      </c>
      <c r="BN133" s="44">
        <f>MaxTok/Table1[[#This Row],[est-Tok/Req]]</f>
        <v>63.962113803469869</v>
      </c>
      <c r="BO133" s="180">
        <f>Table1[[#This Row],[Run]]/Table1[[#This Row],[Kvcache]]</f>
        <v>63.962113803469869</v>
      </c>
      <c r="BP133" s="4" cm="1">
        <f t="array" aca="1" ref="BP133" ca="1">_xlfn.CEILING.MATH(INDIRECT("Table1"&amp;BP$3)/BP$2)*BP$2</f>
        <v>7000</v>
      </c>
      <c r="BQ133" s="4" cm="1">
        <f t="array" aca="1" ref="BQ133" ca="1">_xlfn.CEILING.MATH(INDIRECT("Table1"&amp;BQ$3)/BQ$2)*BQ$2</f>
        <v>0.02</v>
      </c>
      <c r="BR133" s="4" cm="1">
        <f t="array" aca="1" ref="BR133" ca="1">_xlfn.CEILING.MATH(INDIRECT("Table1"&amp;BR$3)/BR$2)*BR$2</f>
        <v>0.1</v>
      </c>
      <c r="BS133" s="4" cm="1">
        <f t="array" aca="1" ref="BS133" ca="1">_xlfn.CEILING.MATH(INDIRECT("Table1"&amp;BS$3)/BS$2)*BS$2</f>
        <v>0.08</v>
      </c>
      <c r="BT133" s="3" cm="1">
        <f t="array" aca="1" ref="BT133" ca="1">_xlfn.CEILING.MATH(INDIRECT("Table1"&amp;BT$3)/BT$2)*BT$2</f>
        <v>6</v>
      </c>
      <c r="BU133" s="135" cm="1">
        <f t="array" aca="1" ref="BU133" ca="1">_xlfn.CEILING.MATH(INDIRECT("Table1"&amp;BU$3)/BU$2)*BU$2</f>
        <v>60</v>
      </c>
      <c r="BV133" s="135" cm="1">
        <f t="array" aca="1" ref="BV133" ca="1">_xlfn.CEILING.MATH(INDIRECT("Table1"&amp;BV$3)/BV$2)*BV$2</f>
        <v>6000</v>
      </c>
      <c r="BW133" s="4"/>
      <c r="BX133" s="4"/>
      <c r="BY133" s="190">
        <v>0.18233772950607707</v>
      </c>
      <c r="BZ133" s="4"/>
      <c r="CA133" s="3"/>
      <c r="CF133" s="5"/>
      <c r="CH133" s="8"/>
      <c r="CI133" s="8"/>
      <c r="CJ133" s="14"/>
      <c r="CK133" s="8"/>
      <c r="CL133" s="8"/>
      <c r="CM133" s="8"/>
      <c r="CN133" s="8"/>
      <c r="CO133" s="8"/>
      <c r="CP133" s="8"/>
      <c r="CQ133" s="8">
        <f>Table1[[#This Row],[In-Tok]]+AvgOutLoad*Table1[[#This Row],[Out-Tok]]</f>
        <v>6050</v>
      </c>
      <c r="CR133" s="8"/>
      <c r="CS133" s="8"/>
      <c r="CT133" s="8"/>
      <c r="CU133" s="8"/>
      <c r="CV133" s="8"/>
      <c r="CW133" s="8"/>
      <c r="CX133" s="8"/>
      <c r="CY133" s="8"/>
      <c r="GJ133"/>
    </row>
    <row r="134" spans="1:192" x14ac:dyDescent="0.25">
      <c r="A134" s="3">
        <v>6000</v>
      </c>
      <c r="B134" s="3">
        <v>100</v>
      </c>
      <c r="C134">
        <v>3.2000000000000006</v>
      </c>
      <c r="D134" s="199">
        <f>Table1[[#This Row],[Kvcache]]</f>
        <v>5.5009625606987904E-2</v>
      </c>
      <c r="E134" s="4" t="s">
        <v>144</v>
      </c>
      <c r="F134" s="219">
        <v>46092</v>
      </c>
      <c r="G134" s="10"/>
      <c r="H134" s="10">
        <v>0.27853915419619951</v>
      </c>
      <c r="I134" s="10">
        <v>0.22444158374208048</v>
      </c>
      <c r="J134" s="10">
        <v>0.85072288001848229</v>
      </c>
      <c r="K134" s="10">
        <v>1.234657347202301</v>
      </c>
      <c r="L134" s="10">
        <v>1.4402343018849686</v>
      </c>
      <c r="M134" s="10">
        <v>1.8346191558481693E-2</v>
      </c>
      <c r="N134" s="10">
        <v>2.087659331689494</v>
      </c>
      <c r="O134" s="47">
        <v>21742.775000000001</v>
      </c>
      <c r="P134" s="47">
        <v>334.39583333333331</v>
      </c>
      <c r="Q134" s="5">
        <v>3.5185185185185186</v>
      </c>
      <c r="R134" s="5">
        <v>10</v>
      </c>
      <c r="S134" s="170">
        <v>5.5009625606987904E-2</v>
      </c>
      <c r="T134" s="170">
        <v>0.156477889837083</v>
      </c>
      <c r="U134" s="20">
        <f>(Table1[[#This Row],[In-Tok]]+Table1[[#This Row],[Out-Tok]])*Table1[[#This Row],[RPS]]</f>
        <v>19520.000000000004</v>
      </c>
      <c r="V134" s="3">
        <f>Table1[[#This Row],[In-Tok]]+AvgOutLoad*Table1[[#This Row],[Out-Tok]]</f>
        <v>6050</v>
      </c>
      <c r="W134" s="3">
        <f>Table1[[#This Row],[In-Tok]]*Table1[[#This Row],[RPS]]</f>
        <v>19200.000000000004</v>
      </c>
      <c r="X134" s="3">
        <f>Table1[[#This Row],[Out-Tok]]*Table1[[#This Row],[RPS]]</f>
        <v>320.00000000000006</v>
      </c>
      <c r="Y134" s="75">
        <f>Table1[[#This Row],[In-Tok]]/Table1[[#This Row],[Out-Tok]]</f>
        <v>60</v>
      </c>
      <c r="Z134" s="26">
        <f>Table1[[#This Row],[In-Tok]]*Table1[[#This Row],[N]]+AvgOutLoad*Table1[[#This Row],[Out-Tok]]*Table1[[#This Row],[Ndecode]]</f>
        <v>41996.067444830995</v>
      </c>
      <c r="AA134" s="3">
        <f>Table1[[#This Row],[tok(N)]]/Table1[[#This Row],[Kvcache]]</f>
        <v>763431.25373854954</v>
      </c>
      <c r="AB134" s="3">
        <f>Table1[[#This Row],[tok/req]]*Table1[[#This Row],[Run]]</f>
        <v>21287.037037037036</v>
      </c>
      <c r="AC134" s="3">
        <f>Table1[[#This Row],[tok(Run)]]/Table1[[#This Row],[Kvcache]]</f>
        <v>386969.31313658919</v>
      </c>
      <c r="AD134" s="3">
        <f>Table1[[#This Row],[tok/req]]*Table1[[#This Row],[MaxRun]]</f>
        <v>60500</v>
      </c>
      <c r="AE134" s="3">
        <f>Table1[[#This Row],[tok(MaxRun)]]/Table1[[#This Row],[MaxKvcache]]</f>
        <v>386636.09320773429</v>
      </c>
      <c r="AF134" s="75">
        <f>Table1[[#This Row],[PPS]]*Table1[[#This Row],[Prefill]]/Table1[[#This Row],[In-Tok]]</f>
        <v>0.81333047599128572</v>
      </c>
      <c r="AG134" s="5">
        <f>Table1[[#This Row],[GPS]]*Table1[[#This Row],[ITL]]</f>
        <v>6.1348900146914511</v>
      </c>
      <c r="AH134" s="5">
        <f>Table1[[#This Row],[Nprefill]]+Table1[[#This Row],[Ndecode]]</f>
        <v>6.9482204906827372</v>
      </c>
      <c r="AI134" s="4">
        <f>Table1[[#This Row],[Run]]/Table1[[#This Row],[ITL]]/Table1[[#This Row],[GPS]]</f>
        <v>0.57352593283540387</v>
      </c>
      <c r="AJ134" s="10">
        <f>Table1[[#This Row],[Prefill]]+Table1[[#This Row],[ITL]]</f>
        <v>0.24278777530056217</v>
      </c>
      <c r="AK134" s="4">
        <f>Table1[[#This Row],[TTFT]]/Table1[[#This Row],[estTTFT]]</f>
        <v>1.1472536203743309</v>
      </c>
      <c r="AL134" s="5">
        <f>Table1[[#This Row],[In-Tok]]*Table1[[#This Row],[RPS]]/Table1[[#This Row],[PPS]]</f>
        <v>0.88305195633951983</v>
      </c>
      <c r="AM134" s="4">
        <f>Table1[[#This Row],[Prefill]]/Table1[[#This Row],[estPrefill]]</f>
        <v>0.25416577374727672</v>
      </c>
      <c r="AN134" s="4">
        <f>Table1[[#This Row],[Prefill]]/Table1[[#This Row],[TTFT]]</f>
        <v>0.80578109167369205</v>
      </c>
      <c r="AO134" s="10">
        <f>Table1[[#This Row],[Run]]/(Table1[[#This Row],[Out-Tok]]*Table1[[#This Row],[RPS]])</f>
        <v>1.0995370370370369E-2</v>
      </c>
      <c r="AP134" s="4">
        <f>Table1[[#This Row],[ITL]]/Table1[[#This Row],[estITL]]</f>
        <v>1.6685378427924404</v>
      </c>
      <c r="AQ134" s="44">
        <f>Table1[[#This Row],[E2E]]-Table1[[#This Row],[TTFT]]+Table1[[#This Row],[ITL]]</f>
        <v>1.8274663690517763</v>
      </c>
      <c r="AR134" s="4">
        <f>Table1[[#This Row],[estDecode]]/Table1[[#This Row],[Run]]</f>
        <v>0.51938517857261013</v>
      </c>
      <c r="AS134" s="44">
        <f>Table1[[#This Row],[Prefill]]+Table1[[#This Row],[Out-Tok]]*Table1[[#This Row],[ITL]]</f>
        <v>2.0590607395902496</v>
      </c>
      <c r="AT134" s="5">
        <f>Table1[[#This Row],[estPrefill]]+Table1[[#This Row],[Out-Tok]]*Table1[[#This Row],[ITL]]</f>
        <v>2.7176711121876891</v>
      </c>
      <c r="AU134" s="4">
        <f>Table1[[#This Row],[E2E]]/Table1[[#This Row],[estE2E]]</f>
        <v>0.76817953516419291</v>
      </c>
      <c r="AV134" s="5">
        <f>Table1[[#This Row],[N]]/Table1[[#This Row],[estE2E]]</f>
        <v>2.556681880865824</v>
      </c>
      <c r="AW134" s="5">
        <f>Table1[[#This Row],[PPS]]/Table1[[#This Row],[In-Tok]]</f>
        <v>3.6237958333333338</v>
      </c>
      <c r="AX134" s="4">
        <f>Table1[[#This Row],[RPS]]/Table1[[#This Row],[RPS(IL)]]</f>
        <v>0.88305195633951972</v>
      </c>
      <c r="AY134" s="5">
        <f>Table1[[#This Row],[GPS]]/Table1[[#This Row],[Out-Tok]]</f>
        <v>3.3439583333333331</v>
      </c>
      <c r="AZ134" s="89">
        <f>Table1[[#This Row],[RPS]]/Table1[[#This Row],[RPS(OL)]]</f>
        <v>0.95694972275870682</v>
      </c>
      <c r="BA134" s="135">
        <f>MaxTok/Table1[[#This Row],[tok/req]]</f>
        <v>64.117729254967813</v>
      </c>
      <c r="BB134" s="4">
        <f>Table1[[#This Row],[N]]/Table1[[#This Row],[N-max]]</f>
        <v>0.10836660267634778</v>
      </c>
      <c r="BC134" s="44">
        <f>Table1[[#This Row],[RPS]]</f>
        <v>3.2000000000000006</v>
      </c>
      <c r="BD134" s="47">
        <f>Table1[[#This Row],[PPS]]/Table1[[#This Row],[RPS success]]</f>
        <v>6794.6171874999991</v>
      </c>
      <c r="BE134" s="4">
        <f>ABS(Table1[[#This Row],[est-In-Tok3]]-Table1[[#This Row],[In-Tok]])/Table1[[#This Row],[In-Tok]]</f>
        <v>0.13243619791666653</v>
      </c>
      <c r="BF134" s="47">
        <f>Table1[[#This Row],[GPS]]/Table1[[#This Row],[RPS success]]</f>
        <v>104.49869791666664</v>
      </c>
      <c r="BG134" s="4">
        <f>ABS(Table1[[#This Row],[est-Out-Tok3]]-Table1[[#This Row],[Out-Tok]])/Table1[[#This Row],[Out-Tok]]</f>
        <v>4.4986979166666427E-2</v>
      </c>
      <c r="BH134" s="162">
        <f>Table1[[#This Row],[est-In-Tok3]]+AvgOutLoad*Table1[[#This Row],[est-Out-Tok3]]</f>
        <v>6846.8665364583321</v>
      </c>
      <c r="BI134" s="4">
        <f>ABS(Table1[[#This Row],[est-Tok/Req3]]-Table1[[#This Row],[tok/req]])/Table1[[#This Row],[tok/req]]</f>
        <v>0.13171347710055076</v>
      </c>
      <c r="BJ134" s="162">
        <f>MaxTok/Table1[[#This Row],[est-Tok/Req3]]</f>
        <v>56.655443760586294</v>
      </c>
      <c r="BK134" s="4">
        <f>ABS(Table1[[#This Row],[est-N-max3]]-Table1[[#This Row],[N-max]])/Table1[[#This Row],[N-max]]</f>
        <v>0.11638411997884882</v>
      </c>
      <c r="BL134" s="44">
        <f>MaxTok*Table1[[#This Row],[Kvcache]]/Table1[[#This Row],[Run]]</f>
        <v>6064.7423591094448</v>
      </c>
      <c r="BM134" s="170">
        <f>ABS(Table1[[#This Row],[est-Tok/Req]]-Table1[[#This Row],[tok/req]])/Table1[[#This Row],[tok/req]]</f>
        <v>2.4367535718090587E-3</v>
      </c>
      <c r="BN134" s="44">
        <f>MaxTok/Table1[[#This Row],[est-Tok/Req]]</f>
        <v>63.9618699399321</v>
      </c>
      <c r="BO134" s="180">
        <f>Table1[[#This Row],[Run]]/Table1[[#This Row],[Kvcache]]</f>
        <v>63.9618699399321</v>
      </c>
      <c r="BP134" s="4" cm="1">
        <f t="array" aca="1" ref="BP134" ca="1">_xlfn.CEILING.MATH(INDIRECT("Table1"&amp;BP$3)/BP$2)*BP$2</f>
        <v>7000</v>
      </c>
      <c r="BQ134" s="4" cm="1">
        <f t="array" aca="1" ref="BQ134" ca="1">_xlfn.CEILING.MATH(INDIRECT("Table1"&amp;BQ$3)/BQ$2)*BQ$2</f>
        <v>0.02</v>
      </c>
      <c r="BR134" s="4" cm="1">
        <f t="array" aca="1" ref="BR134" ca="1">_xlfn.CEILING.MATH(INDIRECT("Table1"&amp;BR$3)/BR$2)*BR$2</f>
        <v>0.1</v>
      </c>
      <c r="BS134" s="4" cm="1">
        <f t="array" aca="1" ref="BS134" ca="1">_xlfn.CEILING.MATH(INDIRECT("Table1"&amp;BS$3)/BS$2)*BS$2</f>
        <v>0.06</v>
      </c>
      <c r="BT134" s="3" cm="1">
        <f t="array" aca="1" ref="BT134" ca="1">_xlfn.CEILING.MATH(INDIRECT("Table1"&amp;BT$3)/BT$2)*BT$2</f>
        <v>4</v>
      </c>
      <c r="BU134" s="135" cm="1">
        <f t="array" aca="1" ref="BU134" ca="1">_xlfn.CEILING.MATH(INDIRECT("Table1"&amp;BU$3)/BU$2)*BU$2</f>
        <v>60</v>
      </c>
      <c r="BV134" s="135" cm="1">
        <f t="array" aca="1" ref="BV134" ca="1">_xlfn.CEILING.MATH(INDIRECT("Table1"&amp;BV$3)/BV$2)*BV$2</f>
        <v>6000</v>
      </c>
      <c r="BW134" s="4"/>
      <c r="BX134" s="4"/>
      <c r="BY134" s="190">
        <v>0.156477889837083</v>
      </c>
      <c r="BZ134" s="4"/>
      <c r="CA134" s="3"/>
      <c r="CF134" s="5"/>
      <c r="CH134" s="8"/>
      <c r="CI134" s="8"/>
      <c r="CJ134" s="14"/>
      <c r="CK134" s="8"/>
      <c r="CL134" s="8"/>
      <c r="CM134" s="8"/>
      <c r="CN134" s="8"/>
      <c r="CO134" s="8"/>
      <c r="CP134" s="8"/>
      <c r="CQ134" s="8">
        <f>Table1[[#This Row],[In-Tok]]+AvgOutLoad*Table1[[#This Row],[Out-Tok]]</f>
        <v>6050</v>
      </c>
      <c r="CR134" s="8"/>
      <c r="CS134" s="8"/>
      <c r="CT134" s="8"/>
      <c r="CU134" s="8"/>
      <c r="CV134" s="8"/>
      <c r="CW134" s="8"/>
      <c r="CX134" s="8"/>
      <c r="CY134" s="8"/>
      <c r="GJ134"/>
    </row>
    <row r="135" spans="1:192" x14ac:dyDescent="0.25">
      <c r="A135" s="3">
        <v>6000</v>
      </c>
      <c r="B135" s="3">
        <v>100</v>
      </c>
      <c r="C135">
        <v>3.4</v>
      </c>
      <c r="D135" s="199">
        <f>Table1[[#This Row],[Kvcache]]</f>
        <v>0.13848806137401951</v>
      </c>
      <c r="E135" s="4" t="s">
        <v>144</v>
      </c>
      <c r="F135" s="219">
        <v>46092</v>
      </c>
      <c r="G135" s="10"/>
      <c r="H135" s="10">
        <v>0.31697018139158972</v>
      </c>
      <c r="I135" s="10">
        <v>0.24826633152047695</v>
      </c>
      <c r="J135" s="10">
        <v>0.93876672174961506</v>
      </c>
      <c r="K135" s="10">
        <v>1.4726770718892412</v>
      </c>
      <c r="L135" s="10">
        <v>1.6587575372060142</v>
      </c>
      <c r="M135" s="10">
        <v>2.2143876234593563E-2</v>
      </c>
      <c r="N135" s="10">
        <v>2.5006197050784693</v>
      </c>
      <c r="O135" s="47">
        <v>24268.654166666664</v>
      </c>
      <c r="P135" s="47">
        <v>372.51249999999999</v>
      </c>
      <c r="Q135" s="5">
        <v>8.851851851851853</v>
      </c>
      <c r="R135" s="5">
        <v>22</v>
      </c>
      <c r="S135" s="170">
        <v>0.13848806137401951</v>
      </c>
      <c r="T135" s="170">
        <v>0.34403930695629686</v>
      </c>
      <c r="U135" s="20">
        <f>(Table1[[#This Row],[In-Tok]]+Table1[[#This Row],[Out-Tok]])*Table1[[#This Row],[RPS]]</f>
        <v>20740</v>
      </c>
      <c r="V135" s="3">
        <f>Table1[[#This Row],[In-Tok]]+AvgOutLoad*Table1[[#This Row],[Out-Tok]]</f>
        <v>6050</v>
      </c>
      <c r="W135" s="3">
        <f>Table1[[#This Row],[In-Tok]]*Table1[[#This Row],[RPS]]</f>
        <v>20400</v>
      </c>
      <c r="X135" s="3">
        <f>Table1[[#This Row],[Out-Tok]]*Table1[[#This Row],[RPS]]</f>
        <v>340</v>
      </c>
      <c r="Y135" s="75">
        <f>Table1[[#This Row],[In-Tok]]/Table1[[#This Row],[Out-Tok]]</f>
        <v>60</v>
      </c>
      <c r="Z135" s="26">
        <f>Table1[[#This Row],[In-Tok]]*Table1[[#This Row],[N]]+AvgOutLoad*Table1[[#This Row],[Out-Tok]]*Table1[[#This Row],[Ndecode]]</f>
        <v>55930.75745072362</v>
      </c>
      <c r="AA135" s="3">
        <f>Table1[[#This Row],[tok(N)]]/Table1[[#This Row],[Kvcache]]</f>
        <v>403866.99687902688</v>
      </c>
      <c r="AB135" s="3">
        <f>Table1[[#This Row],[tok/req]]*Table1[[#This Row],[Run]]</f>
        <v>53553.703703703708</v>
      </c>
      <c r="AC135" s="3">
        <f>Table1[[#This Row],[tok(Run)]]/Table1[[#This Row],[Kvcache]]</f>
        <v>386702.67438482918</v>
      </c>
      <c r="AD135" s="3">
        <f>Table1[[#This Row],[tok/req]]*Table1[[#This Row],[MaxRun]]</f>
        <v>133100</v>
      </c>
      <c r="AE135" s="3">
        <f>Table1[[#This Row],[tok(MaxRun)]]/Table1[[#This Row],[MaxKvcache]]</f>
        <v>386874.3986770896</v>
      </c>
      <c r="AF135" s="75">
        <f>Table1[[#This Row],[PPS]]*Table1[[#This Row],[Prefill]]/Table1[[#This Row],[In-Tok]]</f>
        <v>1.0041816234829115</v>
      </c>
      <c r="AG135" s="5">
        <f>Table1[[#This Row],[GPS]]*Table1[[#This Row],[ITL]]</f>
        <v>8.2488706958390345</v>
      </c>
      <c r="AH135" s="5">
        <f>Table1[[#This Row],[Nprefill]]+Table1[[#This Row],[Ndecode]]</f>
        <v>9.2530523193219452</v>
      </c>
      <c r="AI135" s="4">
        <f>Table1[[#This Row],[Run]]/Table1[[#This Row],[ITL]]/Table1[[#This Row],[GPS]]</f>
        <v>1.0730986311031616</v>
      </c>
      <c r="AJ135" s="10">
        <f>Table1[[#This Row],[Prefill]]+Table1[[#This Row],[ITL]]</f>
        <v>0.27041020775507052</v>
      </c>
      <c r="AK135" s="4">
        <f>Table1[[#This Row],[TTFT]]/Table1[[#This Row],[estTTFT]]</f>
        <v>1.1721827516167282</v>
      </c>
      <c r="AL135" s="5">
        <f>Table1[[#This Row],[In-Tok]]*Table1[[#This Row],[RPS]]/Table1[[#This Row],[PPS]]</f>
        <v>0.84059049421948107</v>
      </c>
      <c r="AM135" s="4">
        <f>Table1[[#This Row],[Prefill]]/Table1[[#This Row],[estPrefill]]</f>
        <v>0.29534753631850347</v>
      </c>
      <c r="AN135" s="4">
        <f>Table1[[#This Row],[Prefill]]/Table1[[#This Row],[TTFT]]</f>
        <v>0.7832482236357905</v>
      </c>
      <c r="AO135" s="10">
        <f>Table1[[#This Row],[Run]]/(Table1[[#This Row],[Out-Tok]]*Table1[[#This Row],[RPS]])</f>
        <v>2.6034858387799568E-2</v>
      </c>
      <c r="AP135" s="4">
        <f>Table1[[#This Row],[ITL]]/Table1[[#This Row],[estITL]]</f>
        <v>0.85054721269275679</v>
      </c>
      <c r="AQ135" s="44">
        <f>Table1[[#This Row],[E2E]]-Table1[[#This Row],[TTFT]]+Table1[[#This Row],[ITL]]</f>
        <v>2.2057933999214732</v>
      </c>
      <c r="AR135" s="4">
        <f>Table1[[#This Row],[estDecode]]/Table1[[#This Row],[Run]]</f>
        <v>0.24919004936351366</v>
      </c>
      <c r="AS135" s="44">
        <f>Table1[[#This Row],[Prefill]]+Table1[[#This Row],[Out-Tok]]*Table1[[#This Row],[ITL]]</f>
        <v>2.4626539549798334</v>
      </c>
      <c r="AT135" s="5">
        <f>Table1[[#This Row],[estPrefill]]+Table1[[#This Row],[Out-Tok]]*Table1[[#This Row],[ITL]]</f>
        <v>3.0549781176788375</v>
      </c>
      <c r="AU135" s="4">
        <f>Table1[[#This Row],[E2E]]/Table1[[#This Row],[estE2E]]</f>
        <v>0.8185393180421312</v>
      </c>
      <c r="AV135" s="5">
        <f>Table1[[#This Row],[N]]/Table1[[#This Row],[estE2E]]</f>
        <v>3.0288440580885028</v>
      </c>
      <c r="AW135" s="5">
        <f>Table1[[#This Row],[PPS]]/Table1[[#This Row],[In-Tok]]</f>
        <v>4.0447756944444437</v>
      </c>
      <c r="AX135" s="4">
        <f>Table1[[#This Row],[RPS]]/Table1[[#This Row],[RPS(IL)]]</f>
        <v>0.84059049421948107</v>
      </c>
      <c r="AY135" s="5">
        <f>Table1[[#This Row],[GPS]]/Table1[[#This Row],[Out-Tok]]</f>
        <v>3.7251249999999998</v>
      </c>
      <c r="AZ135" s="89">
        <f>Table1[[#This Row],[RPS]]/Table1[[#This Row],[RPS(OL)]]</f>
        <v>0.91272104962920708</v>
      </c>
      <c r="BA135" s="135">
        <f>MaxTok/Table1[[#This Row],[tok/req]]</f>
        <v>64.117729254967813</v>
      </c>
      <c r="BB135" s="4">
        <f>Table1[[#This Row],[N]]/Table1[[#This Row],[N-max]]</f>
        <v>0.14431347502227745</v>
      </c>
      <c r="BC135" s="44">
        <f>Table1[[#This Row],[RPS]]</f>
        <v>3.4</v>
      </c>
      <c r="BD135" s="47">
        <f>Table1[[#This Row],[PPS]]/Table1[[#This Row],[RPS success]]</f>
        <v>7137.8394607843129</v>
      </c>
      <c r="BE135" s="4">
        <f>ABS(Table1[[#This Row],[est-In-Tok3]]-Table1[[#This Row],[In-Tok]])/Table1[[#This Row],[In-Tok]]</f>
        <v>0.18963991013071882</v>
      </c>
      <c r="BF135" s="47">
        <f>Table1[[#This Row],[GPS]]/Table1[[#This Row],[RPS success]]</f>
        <v>109.5625</v>
      </c>
      <c r="BG135" s="4">
        <f>ABS(Table1[[#This Row],[est-Out-Tok3]]-Table1[[#This Row],[Out-Tok]])/Table1[[#This Row],[Out-Tok]]</f>
        <v>9.5625000000000002E-2</v>
      </c>
      <c r="BH135" s="162">
        <f>Table1[[#This Row],[est-In-Tok3]]+AvgOutLoad*Table1[[#This Row],[est-Out-Tok3]]</f>
        <v>7192.6207107843129</v>
      </c>
      <c r="BI135" s="4">
        <f>ABS(Table1[[#This Row],[est-Tok/Req3]]-Table1[[#This Row],[tok/req]])/Table1[[#This Row],[tok/req]]</f>
        <v>0.18886292740236577</v>
      </c>
      <c r="BJ135" s="162">
        <f>MaxTok/Table1[[#This Row],[est-Tok/Req3]]</f>
        <v>53.931978007812361</v>
      </c>
      <c r="BK135" s="4">
        <f>ABS(Table1[[#This Row],[est-N-max3]]-Table1[[#This Row],[N-max]])/Table1[[#This Row],[N-max]]</f>
        <v>0.15886013689990844</v>
      </c>
      <c r="BL135" s="44">
        <f>MaxTok*Table1[[#This Row],[Kvcache]]/Table1[[#This Row],[Run]]</f>
        <v>6068.9241127912655</v>
      </c>
      <c r="BM135" s="170">
        <f>ABS(Table1[[#This Row],[est-Tok/Req]]-Table1[[#This Row],[tok/req]])/Table1[[#This Row],[tok/req]]</f>
        <v>3.1279525274819078E-3</v>
      </c>
      <c r="BN135" s="44">
        <f>MaxTok/Table1[[#This Row],[est-Tok/Req]]</f>
        <v>63.917797418980044</v>
      </c>
      <c r="BO135" s="180">
        <f>Table1[[#This Row],[Run]]/Table1[[#This Row],[Kvcache]]</f>
        <v>63.917797418980037</v>
      </c>
      <c r="BP135" s="4" cm="1">
        <f t="array" aca="1" ref="BP135" ca="1">_xlfn.CEILING.MATH(INDIRECT("Table1"&amp;BP$3)/BP$2)*BP$2</f>
        <v>7000</v>
      </c>
      <c r="BQ135" s="4" cm="1">
        <f t="array" aca="1" ref="BQ135" ca="1">_xlfn.CEILING.MATH(INDIRECT("Table1"&amp;BQ$3)/BQ$2)*BQ$2</f>
        <v>2.5000000000000001E-2</v>
      </c>
      <c r="BR135" s="4" cm="1">
        <f t="array" aca="1" ref="BR135" ca="1">_xlfn.CEILING.MATH(INDIRECT("Table1"&amp;BR$3)/BR$2)*BR$2</f>
        <v>0.2</v>
      </c>
      <c r="BS135" s="4" cm="1">
        <f t="array" aca="1" ref="BS135" ca="1">_xlfn.CEILING.MATH(INDIRECT("Table1"&amp;BS$3)/BS$2)*BS$2</f>
        <v>0.14000000000000001</v>
      </c>
      <c r="BT135" s="3" cm="1">
        <f t="array" aca="1" ref="BT135" ca="1">_xlfn.CEILING.MATH(INDIRECT("Table1"&amp;BT$3)/BT$2)*BT$2</f>
        <v>9</v>
      </c>
      <c r="BU135" s="135" cm="1">
        <f t="array" aca="1" ref="BU135" ca="1">_xlfn.CEILING.MATH(INDIRECT("Table1"&amp;BU$3)/BU$2)*BU$2</f>
        <v>60</v>
      </c>
      <c r="BV135" s="135" cm="1">
        <f t="array" aca="1" ref="BV135" ca="1">_xlfn.CEILING.MATH(INDIRECT("Table1"&amp;BV$3)/BV$2)*BV$2</f>
        <v>6000</v>
      </c>
      <c r="BW135" s="4"/>
      <c r="BX135" s="4"/>
      <c r="BY135" s="190">
        <v>0.34403930695629686</v>
      </c>
      <c r="BZ135" s="4"/>
      <c r="CA135" s="3"/>
      <c r="CF135" s="5"/>
      <c r="CH135" s="8"/>
      <c r="CI135" s="8"/>
      <c r="CJ135" s="14"/>
      <c r="CK135" s="8"/>
      <c r="CL135" s="8"/>
      <c r="CM135" s="8"/>
      <c r="CN135" s="8"/>
      <c r="CO135" s="8"/>
      <c r="CP135" s="8"/>
      <c r="CQ135" s="8">
        <f>Table1[[#This Row],[In-Tok]]+AvgOutLoad*Table1[[#This Row],[Out-Tok]]</f>
        <v>6050</v>
      </c>
      <c r="CR135" s="8"/>
      <c r="CS135" s="8"/>
      <c r="CT135" s="8"/>
      <c r="CU135" s="8"/>
      <c r="CV135" s="8"/>
      <c r="CW135" s="8"/>
      <c r="CX135" s="8"/>
      <c r="CY135" s="8"/>
      <c r="GJ135"/>
    </row>
    <row r="136" spans="1:192" x14ac:dyDescent="0.25">
      <c r="A136" s="3">
        <v>6000</v>
      </c>
      <c r="B136" s="3">
        <v>100</v>
      </c>
      <c r="C136">
        <v>3.7999999999999994</v>
      </c>
      <c r="D136" s="199">
        <f>Table1[[#This Row],[Kvcache]]</f>
        <v>0.15521075769330225</v>
      </c>
      <c r="E136" s="4" t="s">
        <v>144</v>
      </c>
      <c r="F136" s="219">
        <v>46092</v>
      </c>
      <c r="G136" s="10"/>
      <c r="H136" s="10">
        <v>0.33946513884285467</v>
      </c>
      <c r="I136" s="10">
        <v>0.26500080159138367</v>
      </c>
      <c r="J136" s="10">
        <v>0.93748992106740536</v>
      </c>
      <c r="K136" s="10">
        <v>1.3775530536969505</v>
      </c>
      <c r="L136" s="10">
        <v>1.5793193260828655</v>
      </c>
      <c r="M136" s="10">
        <v>2.4129971595228988E-2</v>
      </c>
      <c r="N136" s="10">
        <v>2.7421115722317473</v>
      </c>
      <c r="O136" s="47">
        <v>26484.625</v>
      </c>
      <c r="P136" s="47">
        <v>409.63333333333338</v>
      </c>
      <c r="Q136" s="5">
        <v>9.9259259259259238</v>
      </c>
      <c r="R136" s="5">
        <v>21.333333333333332</v>
      </c>
      <c r="S136" s="170">
        <v>0.15521075769330225</v>
      </c>
      <c r="T136" s="170">
        <v>0.33361779156969229</v>
      </c>
      <c r="U136" s="20">
        <f>(Table1[[#This Row],[In-Tok]]+Table1[[#This Row],[Out-Tok]])*Table1[[#This Row],[RPS]]</f>
        <v>23179.999999999996</v>
      </c>
      <c r="V136" s="3">
        <f>Table1[[#This Row],[In-Tok]]+AvgOutLoad*Table1[[#This Row],[Out-Tok]]</f>
        <v>6050</v>
      </c>
      <c r="W136" s="3">
        <f>Table1[[#This Row],[In-Tok]]*Table1[[#This Row],[RPS]]</f>
        <v>22799.999999999996</v>
      </c>
      <c r="X136" s="3">
        <f>Table1[[#This Row],[Out-Tok]]*Table1[[#This Row],[RPS]]</f>
        <v>379.99999999999994</v>
      </c>
      <c r="Y136" s="75">
        <f>Table1[[#This Row],[In-Tok]]/Table1[[#This Row],[Out-Tok]]</f>
        <v>60</v>
      </c>
      <c r="Z136" s="26">
        <f>Table1[[#This Row],[In-Tok]]*Table1[[#This Row],[N]]+AvgOutLoad*Table1[[#This Row],[Out-Tok]]*Table1[[#This Row],[Ndecode]]</f>
        <v>66819.313076490624</v>
      </c>
      <c r="AA136" s="3">
        <f>Table1[[#This Row],[tok(N)]]/Table1[[#This Row],[Kvcache]]</f>
        <v>430506.97045449738</v>
      </c>
      <c r="AB136" s="3">
        <f>Table1[[#This Row],[tok/req]]*Table1[[#This Row],[Run]]</f>
        <v>60051.851851851839</v>
      </c>
      <c r="AC136" s="3">
        <f>Table1[[#This Row],[tok(Run)]]/Table1[[#This Row],[Kvcache]]</f>
        <v>386905.21677959204</v>
      </c>
      <c r="AD136" s="3">
        <f>Table1[[#This Row],[tok/req]]*Table1[[#This Row],[MaxRun]]</f>
        <v>129066.66666666666</v>
      </c>
      <c r="AE136" s="3">
        <f>Table1[[#This Row],[tok(MaxRun)]]/Table1[[#This Row],[MaxKvcache]]</f>
        <v>386869.85504999605</v>
      </c>
      <c r="AF136" s="75">
        <f>Table1[[#This Row],[PPS]]*Table1[[#This Row],[Prefill]]/Table1[[#This Row],[In-Tok]]</f>
        <v>1.1697411424745332</v>
      </c>
      <c r="AG136" s="5">
        <f>Table1[[#This Row],[GPS]]*Table1[[#This Row],[ITL]]</f>
        <v>9.8844406977923018</v>
      </c>
      <c r="AH136" s="5">
        <f>Table1[[#This Row],[Nprefill]]+Table1[[#This Row],[Ndecode]]</f>
        <v>11.054181840266835</v>
      </c>
      <c r="AI136" s="4">
        <f>Table1[[#This Row],[Run]]/Table1[[#This Row],[ITL]]/Table1[[#This Row],[GPS]]</f>
        <v>1.0041970233220063</v>
      </c>
      <c r="AJ136" s="10">
        <f>Table1[[#This Row],[Prefill]]+Table1[[#This Row],[ITL]]</f>
        <v>0.28913077318661268</v>
      </c>
      <c r="AK136" s="4">
        <f>Table1[[#This Row],[TTFT]]/Table1[[#This Row],[estTTFT]]</f>
        <v>1.174088579715985</v>
      </c>
      <c r="AL136" s="5">
        <f>Table1[[#This Row],[In-Tok]]*Table1[[#This Row],[RPS]]/Table1[[#This Row],[PPS]]</f>
        <v>0.86087682948125555</v>
      </c>
      <c r="AM136" s="4">
        <f>Table1[[#This Row],[Prefill]]/Table1[[#This Row],[estPrefill]]</f>
        <v>0.30782661644066667</v>
      </c>
      <c r="AN136" s="4">
        <f>Table1[[#This Row],[Prefill]]/Table1[[#This Row],[TTFT]]</f>
        <v>0.78064216695328448</v>
      </c>
      <c r="AO136" s="10">
        <f>Table1[[#This Row],[Run]]/(Table1[[#This Row],[Out-Tok]]*Table1[[#This Row],[RPS]])</f>
        <v>2.6120857699805065E-2</v>
      </c>
      <c r="AP136" s="4">
        <f>Table1[[#This Row],[ITL]]/Table1[[#This Row],[estITL]]</f>
        <v>0.92378174838451288</v>
      </c>
      <c r="AQ136" s="44">
        <f>Table1[[#This Row],[E2E]]-Table1[[#This Row],[TTFT]]+Table1[[#This Row],[ITL]]</f>
        <v>2.4267764049841216</v>
      </c>
      <c r="AR136" s="4">
        <f>Table1[[#This Row],[estDecode]]/Table1[[#This Row],[Run]]</f>
        <v>0.2444886676663108</v>
      </c>
      <c r="AS136" s="44">
        <f>Table1[[#This Row],[Prefill]]+Table1[[#This Row],[Out-Tok]]*Table1[[#This Row],[ITL]]</f>
        <v>2.6779979611142823</v>
      </c>
      <c r="AT136" s="5">
        <f>Table1[[#This Row],[estPrefill]]+Table1[[#This Row],[Out-Tok]]*Table1[[#This Row],[ITL]]</f>
        <v>3.2738739890041542</v>
      </c>
      <c r="AU136" s="4">
        <f>Table1[[#This Row],[E2E]]/Table1[[#This Row],[estE2E]]</f>
        <v>0.83757395105663235</v>
      </c>
      <c r="AV136" s="5">
        <f>Table1[[#This Row],[N]]/Table1[[#This Row],[estE2E]]</f>
        <v>3.376483602421513</v>
      </c>
      <c r="AW136" s="5">
        <f>Table1[[#This Row],[PPS]]/Table1[[#This Row],[In-Tok]]</f>
        <v>4.4141041666666663</v>
      </c>
      <c r="AX136" s="4">
        <f>Table1[[#This Row],[RPS]]/Table1[[#This Row],[RPS(IL)]]</f>
        <v>0.86087682948125555</v>
      </c>
      <c r="AY136" s="5">
        <f>Table1[[#This Row],[GPS]]/Table1[[#This Row],[Out-Tok]]</f>
        <v>4.0963333333333338</v>
      </c>
      <c r="AZ136" s="89">
        <f>Table1[[#This Row],[RPS]]/Table1[[#This Row],[RPS(OL)]]</f>
        <v>0.92765888192692625</v>
      </c>
      <c r="BA136" s="135">
        <f>MaxTok/Table1[[#This Row],[tok/req]]</f>
        <v>64.117729254967813</v>
      </c>
      <c r="BB136" s="4">
        <f>Table1[[#This Row],[N]]/Table1[[#This Row],[N-max]]</f>
        <v>0.17240444988794362</v>
      </c>
      <c r="BC136" s="44">
        <f>Table1[[#This Row],[RPS]]</f>
        <v>3.7999999999999994</v>
      </c>
      <c r="BD136" s="47">
        <f>Table1[[#This Row],[PPS]]/Table1[[#This Row],[RPS success]]</f>
        <v>6969.6381578947376</v>
      </c>
      <c r="BE136" s="4">
        <f>ABS(Table1[[#This Row],[est-In-Tok3]]-Table1[[#This Row],[In-Tok]])/Table1[[#This Row],[In-Tok]]</f>
        <v>0.16160635964912293</v>
      </c>
      <c r="BF136" s="47">
        <f>Table1[[#This Row],[GPS]]/Table1[[#This Row],[RPS success]]</f>
        <v>107.79824561403512</v>
      </c>
      <c r="BG136" s="4">
        <f>ABS(Table1[[#This Row],[est-Out-Tok3]]-Table1[[#This Row],[Out-Tok]])/Table1[[#This Row],[Out-Tok]]</f>
        <v>7.798245614035125E-2</v>
      </c>
      <c r="BH136" s="162">
        <f>Table1[[#This Row],[est-In-Tok3]]+AvgOutLoad*Table1[[#This Row],[est-Out-Tok3]]</f>
        <v>7023.5372807017548</v>
      </c>
      <c r="BI136" s="4">
        <f>ABS(Table1[[#This Row],[est-Tok/Req3]]-Table1[[#This Row],[tok/req]])/Table1[[#This Row],[tok/req]]</f>
        <v>0.1609152530085545</v>
      </c>
      <c r="BJ136" s="162">
        <f>MaxTok/Table1[[#This Row],[est-Tok/Req3]]</f>
        <v>55.230327182629708</v>
      </c>
      <c r="BK136" s="4">
        <f>ABS(Table1[[#This Row],[est-N-max3]]-Table1[[#This Row],[N-max]])/Table1[[#This Row],[N-max]]</f>
        <v>0.13861068031584281</v>
      </c>
      <c r="BL136" s="44">
        <f>MaxTok*Table1[[#This Row],[Kvcache]]/Table1[[#This Row],[Run]]</f>
        <v>6065.7470700166305</v>
      </c>
      <c r="BM136" s="170">
        <f>ABS(Table1[[#This Row],[est-Tok/Req]]-Table1[[#This Row],[tok/req]])/Table1[[#This Row],[tok/req]]</f>
        <v>2.6028214903521421E-3</v>
      </c>
      <c r="BN136" s="44">
        <f>MaxTok/Table1[[#This Row],[est-Tok/Req]]</f>
        <v>63.95127550075901</v>
      </c>
      <c r="BO136" s="180">
        <f>Table1[[#This Row],[Run]]/Table1[[#This Row],[Kvcache]]</f>
        <v>63.95127550075901</v>
      </c>
      <c r="BP136" s="4" cm="1">
        <f t="array" aca="1" ref="BP136" ca="1">_xlfn.CEILING.MATH(INDIRECT("Table1"&amp;BP$3)/BP$2)*BP$2</f>
        <v>7000</v>
      </c>
      <c r="BQ136" s="4" cm="1">
        <f t="array" aca="1" ref="BQ136" ca="1">_xlfn.CEILING.MATH(INDIRECT("Table1"&amp;BQ$3)/BQ$2)*BQ$2</f>
        <v>2.5000000000000001E-2</v>
      </c>
      <c r="BR136" s="4" cm="1">
        <f t="array" aca="1" ref="BR136" ca="1">_xlfn.CEILING.MATH(INDIRECT("Table1"&amp;BR$3)/BR$2)*BR$2</f>
        <v>0.2</v>
      </c>
      <c r="BS136" s="4" cm="1">
        <f t="array" aca="1" ref="BS136" ca="1">_xlfn.CEILING.MATH(INDIRECT("Table1"&amp;BS$3)/BS$2)*BS$2</f>
        <v>0.16</v>
      </c>
      <c r="BT136" s="3" cm="1">
        <f t="array" aca="1" ref="BT136" ca="1">_xlfn.CEILING.MATH(INDIRECT("Table1"&amp;BT$3)/BT$2)*BT$2</f>
        <v>10</v>
      </c>
      <c r="BU136" s="135" cm="1">
        <f t="array" aca="1" ref="BU136" ca="1">_xlfn.CEILING.MATH(INDIRECT("Table1"&amp;BU$3)/BU$2)*BU$2</f>
        <v>60</v>
      </c>
      <c r="BV136" s="135" cm="1">
        <f t="array" aca="1" ref="BV136" ca="1">_xlfn.CEILING.MATH(INDIRECT("Table1"&amp;BV$3)/BV$2)*BV$2</f>
        <v>6000</v>
      </c>
      <c r="BW136" s="4"/>
      <c r="BX136" s="4"/>
      <c r="BY136" s="190">
        <v>0.33361779156969229</v>
      </c>
      <c r="BZ136" s="4"/>
      <c r="CA136" s="3"/>
      <c r="CF136" s="5"/>
      <c r="CH136" s="8"/>
      <c r="CI136" s="8"/>
      <c r="CJ136" s="14"/>
      <c r="CK136" s="8"/>
      <c r="CL136" s="8"/>
      <c r="CM136" s="8"/>
      <c r="CN136" s="8"/>
      <c r="CO136" s="8"/>
      <c r="CP136" s="8"/>
      <c r="CQ136" s="8">
        <f>Table1[[#This Row],[In-Tok]]+AvgOutLoad*Table1[[#This Row],[Out-Tok]]</f>
        <v>6050</v>
      </c>
      <c r="CR136" s="8"/>
      <c r="CS136" s="8"/>
      <c r="CT136" s="8"/>
      <c r="CU136" s="8"/>
      <c r="CV136" s="8"/>
      <c r="CW136" s="8"/>
      <c r="CX136" s="8"/>
      <c r="CY136" s="8"/>
      <c r="GJ136"/>
    </row>
    <row r="137" spans="1:192" x14ac:dyDescent="0.25">
      <c r="A137" s="3">
        <v>6000</v>
      </c>
      <c r="B137" s="3">
        <v>100</v>
      </c>
      <c r="C137">
        <v>4</v>
      </c>
      <c r="D137" s="199">
        <f>Table1[[#This Row],[Kvcache]]</f>
        <v>0.2027382696893946</v>
      </c>
      <c r="E137" s="4" t="s">
        <v>144</v>
      </c>
      <c r="F137" s="219">
        <v>46092</v>
      </c>
      <c r="G137" s="10"/>
      <c r="H137" s="10">
        <v>0.44506980535367413</v>
      </c>
      <c r="I137" s="10">
        <v>0.34435389896390012</v>
      </c>
      <c r="J137" s="10">
        <v>1.089453201804327</v>
      </c>
      <c r="K137" s="10">
        <v>1.9410173575083409</v>
      </c>
      <c r="L137" s="10">
        <v>2.2711013031005858</v>
      </c>
      <c r="M137" s="10">
        <v>3.164305115443973E-2</v>
      </c>
      <c r="N137" s="10">
        <v>3.5511032145484691</v>
      </c>
      <c r="O137" s="47">
        <v>28824.745833333334</v>
      </c>
      <c r="P137" s="47">
        <v>440.46249999999992</v>
      </c>
      <c r="Q137" s="5">
        <v>12.962962962962962</v>
      </c>
      <c r="R137" s="5">
        <v>31.333333333333332</v>
      </c>
      <c r="S137" s="170">
        <v>0.2027382696893946</v>
      </c>
      <c r="T137" s="170">
        <v>0.4917765709852599</v>
      </c>
      <c r="U137" s="20">
        <f>(Table1[[#This Row],[In-Tok]]+Table1[[#This Row],[Out-Tok]])*Table1[[#This Row],[RPS]]</f>
        <v>24400</v>
      </c>
      <c r="V137" s="3">
        <f>Table1[[#This Row],[In-Tok]]+AvgOutLoad*Table1[[#This Row],[Out-Tok]]</f>
        <v>6050</v>
      </c>
      <c r="W137" s="3">
        <f>Table1[[#This Row],[In-Tok]]*Table1[[#This Row],[RPS]]</f>
        <v>24000</v>
      </c>
      <c r="X137" s="3">
        <f>Table1[[#This Row],[Out-Tok]]*Table1[[#This Row],[RPS]]</f>
        <v>400</v>
      </c>
      <c r="Y137" s="75">
        <f>Table1[[#This Row],[In-Tok]]/Table1[[#This Row],[Out-Tok]]</f>
        <v>60</v>
      </c>
      <c r="Z137" s="26">
        <f>Table1[[#This Row],[In-Tok]]*Table1[[#This Row],[N]]+AvgOutLoad*Table1[[#This Row],[Out-Tok]]*Table1[[#This Row],[Ndecode]]</f>
        <v>94248.256999981837</v>
      </c>
      <c r="AA137" s="3">
        <f>Table1[[#This Row],[tok(N)]]/Table1[[#This Row],[Kvcache]]</f>
        <v>464876.49886908371</v>
      </c>
      <c r="AB137" s="3">
        <f>Table1[[#This Row],[tok/req]]*Table1[[#This Row],[Run]]</f>
        <v>78425.925925925912</v>
      </c>
      <c r="AC137" s="3">
        <f>Table1[[#This Row],[tok(Run)]]/Table1[[#This Row],[Kvcache]]</f>
        <v>386833.35931631678</v>
      </c>
      <c r="AD137" s="3">
        <f>Table1[[#This Row],[tok/req]]*Table1[[#This Row],[MaxRun]]</f>
        <v>189566.66666666666</v>
      </c>
      <c r="AE137" s="3">
        <f>Table1[[#This Row],[tok(MaxRun)]]/Table1[[#This Row],[MaxKvcache]]</f>
        <v>385473.15559762315</v>
      </c>
      <c r="AF137" s="75">
        <f>Table1[[#This Row],[PPS]]*Table1[[#This Row],[Prefill]]/Table1[[#This Row],[In-Tok]]</f>
        <v>1.6543189357252948</v>
      </c>
      <c r="AG137" s="5">
        <f>Table1[[#This Row],[GPS]]*Table1[[#This Row],[ITL]]</f>
        <v>13.937577419112408</v>
      </c>
      <c r="AH137" s="5">
        <f>Table1[[#This Row],[Nprefill]]+Table1[[#This Row],[Ndecode]]</f>
        <v>15.591896354837703</v>
      </c>
      <c r="AI137" s="4">
        <f>Table1[[#This Row],[Run]]/Table1[[#This Row],[ITL]]/Table1[[#This Row],[GPS]]</f>
        <v>0.93007289381489144</v>
      </c>
      <c r="AJ137" s="10">
        <f>Table1[[#This Row],[Prefill]]+Table1[[#This Row],[ITL]]</f>
        <v>0.37599695011833983</v>
      </c>
      <c r="AK137" s="4">
        <f>Table1[[#This Row],[TTFT]]/Table1[[#This Row],[estTTFT]]</f>
        <v>1.1837058923312931</v>
      </c>
      <c r="AL137" s="5">
        <f>Table1[[#This Row],[In-Tok]]*Table1[[#This Row],[RPS]]/Table1[[#This Row],[PPS]]</f>
        <v>0.83261792276572544</v>
      </c>
      <c r="AM137" s="4">
        <f>Table1[[#This Row],[Prefill]]/Table1[[#This Row],[estPrefill]]</f>
        <v>0.41357973393132363</v>
      </c>
      <c r="AN137" s="4">
        <f>Table1[[#This Row],[Prefill]]/Table1[[#This Row],[TTFT]]</f>
        <v>0.77370761804490362</v>
      </c>
      <c r="AO137" s="10">
        <f>Table1[[#This Row],[Run]]/(Table1[[#This Row],[Out-Tok]]*Table1[[#This Row],[RPS]])</f>
        <v>3.2407407407407406E-2</v>
      </c>
      <c r="AP137" s="4">
        <f>Table1[[#This Row],[ITL]]/Table1[[#This Row],[estITL]]</f>
        <v>0.97641414990842601</v>
      </c>
      <c r="AQ137" s="44">
        <f>Table1[[#This Row],[E2E]]-Table1[[#This Row],[TTFT]]+Table1[[#This Row],[ITL]]</f>
        <v>3.1376764603492346</v>
      </c>
      <c r="AR137" s="4">
        <f>Table1[[#This Row],[estDecode]]/Table1[[#This Row],[Run]]</f>
        <v>0.24204932694122669</v>
      </c>
      <c r="AS137" s="44">
        <f>Table1[[#This Row],[Prefill]]+Table1[[#This Row],[Out-Tok]]*Table1[[#This Row],[ITL]]</f>
        <v>3.5086590144078733</v>
      </c>
      <c r="AT137" s="5">
        <f>Table1[[#This Row],[estPrefill]]+Table1[[#This Row],[Out-Tok]]*Table1[[#This Row],[ITL]]</f>
        <v>3.9969230382096987</v>
      </c>
      <c r="AU137" s="4">
        <f>Table1[[#This Row],[E2E]]/Table1[[#This Row],[estE2E]]</f>
        <v>0.8884592424224107</v>
      </c>
      <c r="AV137" s="5">
        <f>Table1[[#This Row],[N]]/Table1[[#This Row],[estE2E]]</f>
        <v>3.900974876369304</v>
      </c>
      <c r="AW137" s="5">
        <f>Table1[[#This Row],[PPS]]/Table1[[#This Row],[In-Tok]]</f>
        <v>4.8041243055555558</v>
      </c>
      <c r="AX137" s="4">
        <f>Table1[[#This Row],[RPS]]/Table1[[#This Row],[RPS(IL)]]</f>
        <v>0.83261792276572544</v>
      </c>
      <c r="AY137" s="5">
        <f>Table1[[#This Row],[GPS]]/Table1[[#This Row],[Out-Tok]]</f>
        <v>4.4046249999999993</v>
      </c>
      <c r="AZ137" s="89">
        <f>Table1[[#This Row],[RPS]]/Table1[[#This Row],[RPS(OL)]]</f>
        <v>0.908136333967137</v>
      </c>
      <c r="BA137" s="135">
        <f>MaxTok/Table1[[#This Row],[tok/req]]</f>
        <v>64.117729254967813</v>
      </c>
      <c r="BB137" s="4">
        <f>Table1[[#This Row],[N]]/Table1[[#This Row],[N-max]]</f>
        <v>0.24317605342565449</v>
      </c>
      <c r="BC137" s="44">
        <f>Table1[[#This Row],[RPS]]</f>
        <v>4</v>
      </c>
      <c r="BD137" s="47">
        <f>Table1[[#This Row],[PPS]]/Table1[[#This Row],[RPS success]]</f>
        <v>7206.1864583333336</v>
      </c>
      <c r="BE137" s="4">
        <f>ABS(Table1[[#This Row],[est-In-Tok3]]-Table1[[#This Row],[In-Tok]])/Table1[[#This Row],[In-Tok]]</f>
        <v>0.20103107638888892</v>
      </c>
      <c r="BF137" s="47">
        <f>Table1[[#This Row],[GPS]]/Table1[[#This Row],[RPS success]]</f>
        <v>110.11562499999998</v>
      </c>
      <c r="BG137" s="4">
        <f>ABS(Table1[[#This Row],[est-Out-Tok3]]-Table1[[#This Row],[Out-Tok]])/Table1[[#This Row],[Out-Tok]]</f>
        <v>0.10115624999999979</v>
      </c>
      <c r="BH137" s="162">
        <f>Table1[[#This Row],[est-In-Tok3]]+AvgOutLoad*Table1[[#This Row],[est-Out-Tok3]]</f>
        <v>7261.2442708333338</v>
      </c>
      <c r="BI137" s="4">
        <f>ABS(Table1[[#This Row],[est-Tok/Req3]]-Table1[[#This Row],[tok/req]])/Table1[[#This Row],[tok/req]]</f>
        <v>0.20020566460055103</v>
      </c>
      <c r="BJ137" s="162">
        <f>MaxTok/Table1[[#This Row],[est-Tok/Req3]]</f>
        <v>53.422285151692975</v>
      </c>
      <c r="BK137" s="4">
        <f>ABS(Table1[[#This Row],[est-N-max3]]-Table1[[#This Row],[N-max]])/Table1[[#This Row],[N-max]]</f>
        <v>0.16680946483216511</v>
      </c>
      <c r="BL137" s="44">
        <f>MaxTok*Table1[[#This Row],[Kvcache]]/Table1[[#This Row],[Run]]</f>
        <v>6066.873832191668</v>
      </c>
      <c r="BM137" s="170">
        <f>ABS(Table1[[#This Row],[est-Tok/Req]]-Table1[[#This Row],[tok/req]])/Table1[[#This Row],[tok/req]]</f>
        <v>2.7890631721765361E-3</v>
      </c>
      <c r="BN137" s="44">
        <f>MaxTok/Table1[[#This Row],[est-Tok/Req]]</f>
        <v>63.939398234101951</v>
      </c>
      <c r="BO137" s="180">
        <f>Table1[[#This Row],[Run]]/Table1[[#This Row],[Kvcache]]</f>
        <v>63.939398234101951</v>
      </c>
      <c r="BP137" s="4" cm="1">
        <f t="array" aca="1" ref="BP137" ca="1">_xlfn.CEILING.MATH(INDIRECT("Table1"&amp;BP$3)/BP$2)*BP$2</f>
        <v>7000</v>
      </c>
      <c r="BQ137" s="4" cm="1">
        <f t="array" aca="1" ref="BQ137" ca="1">_xlfn.CEILING.MATH(INDIRECT("Table1"&amp;BQ$3)/BQ$2)*BQ$2</f>
        <v>3.5000000000000003E-2</v>
      </c>
      <c r="BR137" s="4" cm="1">
        <f t="array" aca="1" ref="BR137" ca="1">_xlfn.CEILING.MATH(INDIRECT("Table1"&amp;BR$3)/BR$2)*BR$2</f>
        <v>0.30000000000000004</v>
      </c>
      <c r="BS137" s="4" cm="1">
        <f t="array" aca="1" ref="BS137" ca="1">_xlfn.CEILING.MATH(INDIRECT("Table1"&amp;BS$3)/BS$2)*BS$2</f>
        <v>0.21</v>
      </c>
      <c r="BT137" s="3" cm="1">
        <f t="array" aca="1" ref="BT137" ca="1">_xlfn.CEILING.MATH(INDIRECT("Table1"&amp;BT$3)/BT$2)*BT$2</f>
        <v>13</v>
      </c>
      <c r="BU137" s="135" cm="1">
        <f t="array" aca="1" ref="BU137" ca="1">_xlfn.CEILING.MATH(INDIRECT("Table1"&amp;BU$3)/BU$2)*BU$2</f>
        <v>60</v>
      </c>
      <c r="BV137" s="135" cm="1">
        <f t="array" aca="1" ref="BV137" ca="1">_xlfn.CEILING.MATH(INDIRECT("Table1"&amp;BV$3)/BV$2)*BV$2</f>
        <v>6000</v>
      </c>
      <c r="BW137" s="4"/>
      <c r="BX137" s="4"/>
      <c r="BY137" s="190">
        <v>0.4917765709852599</v>
      </c>
      <c r="BZ137" s="4"/>
      <c r="CA137" s="3"/>
      <c r="CF137" s="5"/>
      <c r="CH137" s="8"/>
      <c r="CI137" s="8"/>
      <c r="CJ137" s="14"/>
      <c r="CK137" s="8"/>
      <c r="CL137" s="8"/>
      <c r="CM137" s="8"/>
      <c r="CN137" s="8"/>
      <c r="CO137" s="8"/>
      <c r="CP137" s="8"/>
      <c r="CQ137" s="8">
        <f>Table1[[#This Row],[In-Tok]]+AvgOutLoad*Table1[[#This Row],[Out-Tok]]</f>
        <v>6050</v>
      </c>
      <c r="CR137" s="8"/>
      <c r="CS137" s="8"/>
      <c r="CT137" s="8"/>
      <c r="CU137" s="8"/>
      <c r="CV137" s="8"/>
      <c r="CW137" s="8"/>
      <c r="CX137" s="8"/>
      <c r="CY137" s="8"/>
      <c r="GJ137"/>
    </row>
    <row r="138" spans="1:192" x14ac:dyDescent="0.25">
      <c r="A138" s="3">
        <v>6000</v>
      </c>
      <c r="B138" s="3">
        <v>100</v>
      </c>
      <c r="C138">
        <v>4.2</v>
      </c>
      <c r="D138" s="199">
        <f>Table1[[#This Row],[Kvcache]]</f>
        <v>0.21213113812027698</v>
      </c>
      <c r="E138" s="4" t="s">
        <v>144</v>
      </c>
      <c r="F138" s="219">
        <v>46092</v>
      </c>
      <c r="G138" s="10"/>
      <c r="H138" s="10">
        <v>0.43071882204681411</v>
      </c>
      <c r="I138" s="10">
        <v>0.3306238962355677</v>
      </c>
      <c r="J138" s="10">
        <v>1.0237459001392446</v>
      </c>
      <c r="K138" s="10">
        <v>1.7616113026936844</v>
      </c>
      <c r="L138" s="10">
        <v>2.0138722642262779</v>
      </c>
      <c r="M138" s="10">
        <v>3.5378277627620171E-2</v>
      </c>
      <c r="N138" s="10">
        <v>3.9367493761522288</v>
      </c>
      <c r="O138" s="47">
        <v>29226.3125</v>
      </c>
      <c r="P138" s="47">
        <v>448.87916666666661</v>
      </c>
      <c r="Q138" s="5">
        <v>13.555555555555557</v>
      </c>
      <c r="R138" s="5">
        <v>29.666666666666668</v>
      </c>
      <c r="S138" s="170">
        <v>0.21213113812027698</v>
      </c>
      <c r="T138" s="170">
        <v>0.46444272045513318</v>
      </c>
      <c r="U138" s="20">
        <f>(Table1[[#This Row],[In-Tok]]+Table1[[#This Row],[Out-Tok]])*Table1[[#This Row],[RPS]]</f>
        <v>25620</v>
      </c>
      <c r="V138" s="3">
        <f>Table1[[#This Row],[In-Tok]]+AvgOutLoad*Table1[[#This Row],[Out-Tok]]</f>
        <v>6050</v>
      </c>
      <c r="W138" s="3">
        <f>Table1[[#This Row],[In-Tok]]*Table1[[#This Row],[RPS]]</f>
        <v>25200</v>
      </c>
      <c r="X138" s="3">
        <f>Table1[[#This Row],[Out-Tok]]*Table1[[#This Row],[RPS]]</f>
        <v>420</v>
      </c>
      <c r="Y138" s="75">
        <f>Table1[[#This Row],[In-Tok]]/Table1[[#This Row],[Out-Tok]]</f>
        <v>60</v>
      </c>
      <c r="Z138" s="26">
        <f>Table1[[#This Row],[In-Tok]]*Table1[[#This Row],[N]]+AvgOutLoad*Table1[[#This Row],[Out-Tok]]*Table1[[#This Row],[Ndecode]]</f>
        <v>105740.37657785637</v>
      </c>
      <c r="AA138" s="3">
        <f>Table1[[#This Row],[tok(N)]]/Table1[[#This Row],[Kvcache]]</f>
        <v>498467.02146057528</v>
      </c>
      <c r="AB138" s="3">
        <f>Table1[[#This Row],[tok/req]]*Table1[[#This Row],[Run]]</f>
        <v>82011.111111111124</v>
      </c>
      <c r="AC138" s="3">
        <f>Table1[[#This Row],[tok(Run)]]/Table1[[#This Row],[Kvcache]]</f>
        <v>386605.71869751322</v>
      </c>
      <c r="AD138" s="3">
        <f>Table1[[#This Row],[tok/req]]*Table1[[#This Row],[MaxRun]]</f>
        <v>179483.33333333334</v>
      </c>
      <c r="AE138" s="3">
        <f>Table1[[#This Row],[tok(MaxRun)]]/Table1[[#This Row],[MaxKvcache]]</f>
        <v>386448.80289532297</v>
      </c>
      <c r="AF138" s="75">
        <f>Table1[[#This Row],[PPS]]*Table1[[#This Row],[Prefill]]/Table1[[#This Row],[In-Tok]]</f>
        <v>1.610486218558046</v>
      </c>
      <c r="AG138" s="5">
        <f>Table1[[#This Row],[GPS]]*Table1[[#This Row],[ITL]]</f>
        <v>15.880571779588116</v>
      </c>
      <c r="AH138" s="5">
        <f>Table1[[#This Row],[Nprefill]]+Table1[[#This Row],[Ndecode]]</f>
        <v>17.491057998146161</v>
      </c>
      <c r="AI138" s="4">
        <f>Table1[[#This Row],[Run]]/Table1[[#This Row],[ITL]]/Table1[[#This Row],[GPS]]</f>
        <v>0.85359367053641055</v>
      </c>
      <c r="AJ138" s="10">
        <f>Table1[[#This Row],[Prefill]]+Table1[[#This Row],[ITL]]</f>
        <v>0.3660021738631879</v>
      </c>
      <c r="AK138" s="4">
        <f>Table1[[#This Row],[TTFT]]/Table1[[#This Row],[estTTFT]]</f>
        <v>1.1768203928969487</v>
      </c>
      <c r="AL138" s="5">
        <f>Table1[[#This Row],[In-Tok]]*Table1[[#This Row],[RPS]]/Table1[[#This Row],[PPS]]</f>
        <v>0.86223672589554357</v>
      </c>
      <c r="AM138" s="4">
        <f>Table1[[#This Row],[Prefill]]/Table1[[#This Row],[estPrefill]]</f>
        <v>0.38344909965667762</v>
      </c>
      <c r="AN138" s="4">
        <f>Table1[[#This Row],[Prefill]]/Table1[[#This Row],[TTFT]]</f>
        <v>0.76760958498264265</v>
      </c>
      <c r="AO138" s="10">
        <f>Table1[[#This Row],[Run]]/(Table1[[#This Row],[Out-Tok]]*Table1[[#This Row],[RPS]])</f>
        <v>3.2275132275132276E-2</v>
      </c>
      <c r="AP138" s="4">
        <f>Table1[[#This Row],[ITL]]/Table1[[#This Row],[estITL]]</f>
        <v>1.096146634691838</v>
      </c>
      <c r="AQ138" s="44">
        <f>Table1[[#This Row],[E2E]]-Table1[[#This Row],[TTFT]]+Table1[[#This Row],[ITL]]</f>
        <v>3.541408831733035</v>
      </c>
      <c r="AR138" s="4">
        <f>Table1[[#This Row],[estDecode]]/Table1[[#This Row],[Run]]</f>
        <v>0.26125147119342057</v>
      </c>
      <c r="AS138" s="44">
        <f>Table1[[#This Row],[Prefill]]+Table1[[#This Row],[Out-Tok]]*Table1[[#This Row],[ITL]]</f>
        <v>3.8684516589975848</v>
      </c>
      <c r="AT138" s="5">
        <f>Table1[[#This Row],[estPrefill]]+Table1[[#This Row],[Out-Tok]]*Table1[[#This Row],[ITL]]</f>
        <v>4.4000644886575611</v>
      </c>
      <c r="AU138" s="4">
        <f>Table1[[#This Row],[E2E]]/Table1[[#This Row],[estE2E]]</f>
        <v>0.89470265408617056</v>
      </c>
      <c r="AV138" s="5">
        <f>Table1[[#This Row],[N]]/Table1[[#This Row],[estE2E]]</f>
        <v>3.9751821918143295</v>
      </c>
      <c r="AW138" s="5">
        <f>Table1[[#This Row],[PPS]]/Table1[[#This Row],[In-Tok]]</f>
        <v>4.8710520833333337</v>
      </c>
      <c r="AX138" s="4">
        <f>Table1[[#This Row],[RPS]]/Table1[[#This Row],[RPS(IL)]]</f>
        <v>0.86223672589554357</v>
      </c>
      <c r="AY138" s="5">
        <f>Table1[[#This Row],[GPS]]/Table1[[#This Row],[Out-Tok]]</f>
        <v>4.4887916666666658</v>
      </c>
      <c r="AZ138" s="89">
        <f>Table1[[#This Row],[RPS]]/Table1[[#This Row],[RPS(OL)]]</f>
        <v>0.93566382935273995</v>
      </c>
      <c r="BA138" s="135">
        <f>MaxTok/Table1[[#This Row],[tok/req]]</f>
        <v>64.117729254967813</v>
      </c>
      <c r="BB138" s="4">
        <f>Table1[[#This Row],[N]]/Table1[[#This Row],[N-max]]</f>
        <v>0.27279596768924819</v>
      </c>
      <c r="BC138" s="44">
        <f>Table1[[#This Row],[RPS]]</f>
        <v>4.2</v>
      </c>
      <c r="BD138" s="47">
        <f>Table1[[#This Row],[PPS]]/Table1[[#This Row],[RPS success]]</f>
        <v>6958.645833333333</v>
      </c>
      <c r="BE138" s="4">
        <f>ABS(Table1[[#This Row],[est-In-Tok3]]-Table1[[#This Row],[In-Tok]])/Table1[[#This Row],[In-Tok]]</f>
        <v>0.1597743055555555</v>
      </c>
      <c r="BF138" s="47">
        <f>Table1[[#This Row],[GPS]]/Table1[[#This Row],[RPS success]]</f>
        <v>106.87599206349205</v>
      </c>
      <c r="BG138" s="4">
        <f>ABS(Table1[[#This Row],[est-Out-Tok3]]-Table1[[#This Row],[Out-Tok]])/Table1[[#This Row],[Out-Tok]]</f>
        <v>6.8759920634920493E-2</v>
      </c>
      <c r="BH138" s="162">
        <f>Table1[[#This Row],[est-In-Tok3]]+AvgOutLoad*Table1[[#This Row],[est-Out-Tok3]]</f>
        <v>7012.0838293650795</v>
      </c>
      <c r="BI138" s="4">
        <f>ABS(Table1[[#This Row],[est-Tok/Req3]]-Table1[[#This Row],[tok/req]])/Table1[[#This Row],[tok/req]]</f>
        <v>0.15902212055621148</v>
      </c>
      <c r="BJ138" s="162">
        <f>MaxTok/Table1[[#This Row],[est-Tok/Req3]]</f>
        <v>55.320539718601658</v>
      </c>
      <c r="BK138" s="4">
        <f>ABS(Table1[[#This Row],[est-N-max3]]-Table1[[#This Row],[N-max]])/Table1[[#This Row],[N-max]]</f>
        <v>0.13720369761355128</v>
      </c>
      <c r="BL138" s="44">
        <f>MaxTok*Table1[[#This Row],[Kvcache]]/Table1[[#This Row],[Run]]</f>
        <v>6070.4461200461164</v>
      </c>
      <c r="BM138" s="170">
        <f>ABS(Table1[[#This Row],[est-Tok/Req]]-Table1[[#This Row],[tok/req]])/Table1[[#This Row],[tok/req]]</f>
        <v>3.3795239745647021E-3</v>
      </c>
      <c r="BN138" s="44">
        <f>MaxTok/Table1[[#This Row],[est-Tok/Req]]</f>
        <v>63.901771685539373</v>
      </c>
      <c r="BO138" s="180">
        <f>Table1[[#This Row],[Run]]/Table1[[#This Row],[Kvcache]]</f>
        <v>63.901771685539373</v>
      </c>
      <c r="BP138" s="4" cm="1">
        <f t="array" aca="1" ref="BP138" ca="1">_xlfn.CEILING.MATH(INDIRECT("Table1"&amp;BP$3)/BP$2)*BP$2</f>
        <v>7000</v>
      </c>
      <c r="BQ138" s="4" cm="1">
        <f t="array" aca="1" ref="BQ138" ca="1">_xlfn.CEILING.MATH(INDIRECT("Table1"&amp;BQ$3)/BQ$2)*BQ$2</f>
        <v>0.04</v>
      </c>
      <c r="BR138" s="4" cm="1">
        <f t="array" aca="1" ref="BR138" ca="1">_xlfn.CEILING.MATH(INDIRECT("Table1"&amp;BR$3)/BR$2)*BR$2</f>
        <v>0.30000000000000004</v>
      </c>
      <c r="BS138" s="4" cm="1">
        <f t="array" aca="1" ref="BS138" ca="1">_xlfn.CEILING.MATH(INDIRECT("Table1"&amp;BS$3)/BS$2)*BS$2</f>
        <v>0.22</v>
      </c>
      <c r="BT138" s="3" cm="1">
        <f t="array" aca="1" ref="BT138" ca="1">_xlfn.CEILING.MATH(INDIRECT("Table1"&amp;BT$3)/BT$2)*BT$2</f>
        <v>14</v>
      </c>
      <c r="BU138" s="135" cm="1">
        <f t="array" aca="1" ref="BU138" ca="1">_xlfn.CEILING.MATH(INDIRECT("Table1"&amp;BU$3)/BU$2)*BU$2</f>
        <v>60</v>
      </c>
      <c r="BV138" s="135" cm="1">
        <f t="array" aca="1" ref="BV138" ca="1">_xlfn.CEILING.MATH(INDIRECT("Table1"&amp;BV$3)/BV$2)*BV$2</f>
        <v>6000</v>
      </c>
      <c r="BW138" s="4"/>
      <c r="BX138" s="4"/>
      <c r="BY138" s="190">
        <v>0.46444272045513318</v>
      </c>
      <c r="BZ138" s="4"/>
      <c r="CA138" s="3"/>
      <c r="CF138" s="5"/>
      <c r="CH138" s="8"/>
      <c r="CI138" s="8"/>
      <c r="CJ138" s="14"/>
      <c r="CK138" s="8"/>
      <c r="CL138" s="8"/>
      <c r="CM138" s="8"/>
      <c r="CN138" s="8"/>
      <c r="CO138" s="8"/>
      <c r="CP138" s="8"/>
      <c r="CQ138" s="8">
        <f>Table1[[#This Row],[In-Tok]]+AvgOutLoad*Table1[[#This Row],[Out-Tok]]</f>
        <v>6050</v>
      </c>
      <c r="CR138" s="8"/>
      <c r="CS138" s="8"/>
      <c r="CT138" s="8"/>
      <c r="CU138" s="8"/>
      <c r="CV138" s="8"/>
      <c r="CW138" s="8"/>
      <c r="CX138" s="8"/>
      <c r="CY138" s="8"/>
      <c r="GJ138"/>
    </row>
    <row r="139" spans="1:192" x14ac:dyDescent="0.25">
      <c r="A139" s="3">
        <v>6000</v>
      </c>
      <c r="B139" s="3">
        <v>100</v>
      </c>
      <c r="C139">
        <v>4.4000000000000004</v>
      </c>
      <c r="D139" s="199">
        <f>Table1[[#This Row],[Kvcache]]</f>
        <v>0.23186219578771949</v>
      </c>
      <c r="E139" s="4" t="s">
        <v>144</v>
      </c>
      <c r="F139" s="219">
        <v>46092</v>
      </c>
      <c r="G139" s="10"/>
      <c r="H139" s="10">
        <v>0.65032245420202872</v>
      </c>
      <c r="I139" s="10">
        <v>0.49033358348481709</v>
      </c>
      <c r="J139" s="10">
        <v>1.3849129057987657</v>
      </c>
      <c r="K139" s="10">
        <v>2.6112248778343203</v>
      </c>
      <c r="L139" s="10">
        <v>2.9196690893173218</v>
      </c>
      <c r="M139" s="10">
        <v>3.8194114817827314E-2</v>
      </c>
      <c r="N139" s="10">
        <v>4.4071741953902315</v>
      </c>
      <c r="O139" s="47">
        <v>30109.675000000003</v>
      </c>
      <c r="P139" s="47">
        <v>458.8458333333333</v>
      </c>
      <c r="Q139" s="5">
        <v>14.888888888888886</v>
      </c>
      <c r="R139" s="5">
        <v>30.666666666666668</v>
      </c>
      <c r="S139" s="170">
        <v>0.23186219578771949</v>
      </c>
      <c r="T139" s="170">
        <v>0.48088957848461344</v>
      </c>
      <c r="U139" s="20">
        <f>(Table1[[#This Row],[In-Tok]]+Table1[[#This Row],[Out-Tok]])*Table1[[#This Row],[RPS]]</f>
        <v>26840.000000000004</v>
      </c>
      <c r="V139" s="3">
        <f>Table1[[#This Row],[In-Tok]]+AvgOutLoad*Table1[[#This Row],[Out-Tok]]</f>
        <v>6050</v>
      </c>
      <c r="W139" s="3">
        <f>Table1[[#This Row],[In-Tok]]*Table1[[#This Row],[RPS]]</f>
        <v>26400.000000000004</v>
      </c>
      <c r="X139" s="3">
        <f>Table1[[#This Row],[Out-Tok]]*Table1[[#This Row],[RPS]]</f>
        <v>440.00000000000006</v>
      </c>
      <c r="Y139" s="75">
        <f>Table1[[#This Row],[In-Tok]]/Table1[[#This Row],[Out-Tok]]</f>
        <v>60</v>
      </c>
      <c r="Z139" s="26">
        <f>Table1[[#This Row],[In-Tok]]*Table1[[#This Row],[N]]+AvgOutLoad*Table1[[#This Row],[Out-Tok]]*Table1[[#This Row],[Ndecode]]</f>
        <v>120791.30801450388</v>
      </c>
      <c r="AA139" s="3">
        <f>Table1[[#This Row],[tok(N)]]/Table1[[#This Row],[Kvcache]]</f>
        <v>520961.63242193172</v>
      </c>
      <c r="AB139" s="3">
        <f>Table1[[#This Row],[tok/req]]*Table1[[#This Row],[Run]]</f>
        <v>90077.777777777752</v>
      </c>
      <c r="AC139" s="3">
        <f>Table1[[#This Row],[tok(Run)]]/Table1[[#This Row],[Kvcache]]</f>
        <v>388497.04442654422</v>
      </c>
      <c r="AD139" s="3">
        <f>Table1[[#This Row],[tok/req]]*Table1[[#This Row],[MaxRun]]</f>
        <v>185533.33333333334</v>
      </c>
      <c r="AE139" s="3">
        <f>Table1[[#This Row],[tok(MaxRun)]]/Table1[[#This Row],[MaxKvcache]]</f>
        <v>385812.75543127552</v>
      </c>
      <c r="AF139" s="75">
        <f>Table1[[#This Row],[PPS]]*Table1[[#This Row],[Prefill]]/Table1[[#This Row],[In-Tok]]</f>
        <v>2.4606308067188687</v>
      </c>
      <c r="AG139" s="5">
        <f>Table1[[#This Row],[GPS]]*Table1[[#This Row],[ITL]]</f>
        <v>17.525210442014988</v>
      </c>
      <c r="AH139" s="5">
        <f>Table1[[#This Row],[Nprefill]]+Table1[[#This Row],[Ndecode]]</f>
        <v>19.985841248733855</v>
      </c>
      <c r="AI139" s="4">
        <f>Table1[[#This Row],[Run]]/Table1[[#This Row],[ITL]]/Table1[[#This Row],[GPS]]</f>
        <v>0.84956976340747514</v>
      </c>
      <c r="AJ139" s="10">
        <f>Table1[[#This Row],[Prefill]]+Table1[[#This Row],[ITL]]</f>
        <v>0.52852769830264446</v>
      </c>
      <c r="AK139" s="4">
        <f>Table1[[#This Row],[TTFT]]/Table1[[#This Row],[estTTFT]]</f>
        <v>1.2304415762703176</v>
      </c>
      <c r="AL139" s="5">
        <f>Table1[[#This Row],[In-Tok]]*Table1[[#This Row],[RPS]]/Table1[[#This Row],[PPS]]</f>
        <v>0.8767945851291985</v>
      </c>
      <c r="AM139" s="4">
        <f>Table1[[#This Row],[Prefill]]/Table1[[#This Row],[estPrefill]]</f>
        <v>0.55923427425428829</v>
      </c>
      <c r="AN139" s="4">
        <f>Table1[[#This Row],[Prefill]]/Table1[[#This Row],[TTFT]]</f>
        <v>0.75398531961575233</v>
      </c>
      <c r="AO139" s="10">
        <f>Table1[[#This Row],[Run]]/(Table1[[#This Row],[Out-Tok]]*Table1[[#This Row],[RPS]])</f>
        <v>3.3838383838383827E-2</v>
      </c>
      <c r="AP139" s="4">
        <f>Table1[[#This Row],[ITL]]/Table1[[#This Row],[estITL]]</f>
        <v>1.1287216020790762</v>
      </c>
      <c r="AQ139" s="44">
        <f>Table1[[#This Row],[E2E]]-Table1[[#This Row],[TTFT]]+Table1[[#This Row],[ITL]]</f>
        <v>3.7950458560060301</v>
      </c>
      <c r="AR139" s="4">
        <f>Table1[[#This Row],[estDecode]]/Table1[[#This Row],[Run]]</f>
        <v>0.2548911395824946</v>
      </c>
      <c r="AS139" s="44">
        <f>Table1[[#This Row],[Prefill]]+Table1[[#This Row],[Out-Tok]]*Table1[[#This Row],[ITL]]</f>
        <v>4.3097450652675491</v>
      </c>
      <c r="AT139" s="5">
        <f>Table1[[#This Row],[estPrefill]]+Table1[[#This Row],[Out-Tok]]*Table1[[#This Row],[ITL]]</f>
        <v>4.6962060669119303</v>
      </c>
      <c r="AU139" s="4">
        <f>Table1[[#This Row],[E2E]]/Table1[[#This Row],[estE2E]]</f>
        <v>0.93845417611502802</v>
      </c>
      <c r="AV139" s="5">
        <f>Table1[[#This Row],[N]]/Table1[[#This Row],[estE2E]]</f>
        <v>4.2557419678723516</v>
      </c>
      <c r="AW139" s="5">
        <f>Table1[[#This Row],[PPS]]/Table1[[#This Row],[In-Tok]]</f>
        <v>5.0182791666666668</v>
      </c>
      <c r="AX139" s="4">
        <f>Table1[[#This Row],[RPS]]/Table1[[#This Row],[RPS(IL)]]</f>
        <v>0.8767945851291985</v>
      </c>
      <c r="AY139" s="5">
        <f>Table1[[#This Row],[GPS]]/Table1[[#This Row],[Out-Tok]]</f>
        <v>4.5884583333333326</v>
      </c>
      <c r="AZ139" s="89">
        <f>Table1[[#This Row],[RPS]]/Table1[[#This Row],[RPS(OL)]]</f>
        <v>0.95892774443122708</v>
      </c>
      <c r="BA139" s="135">
        <f>MaxTok/Table1[[#This Row],[tok/req]]</f>
        <v>64.117729254967813</v>
      </c>
      <c r="BB139" s="4">
        <f>Table1[[#This Row],[N]]/Table1[[#This Row],[N-max]]</f>
        <v>0.3117053813502817</v>
      </c>
      <c r="BC139" s="44">
        <f>Table1[[#This Row],[RPS]]</f>
        <v>4.4000000000000004</v>
      </c>
      <c r="BD139" s="47">
        <f>Table1[[#This Row],[PPS]]/Table1[[#This Row],[RPS success]]</f>
        <v>6843.107954545455</v>
      </c>
      <c r="BE139" s="4">
        <f>ABS(Table1[[#This Row],[est-In-Tok3]]-Table1[[#This Row],[In-Tok]])/Table1[[#This Row],[In-Tok]]</f>
        <v>0.14051799242424248</v>
      </c>
      <c r="BF139" s="47">
        <f>Table1[[#This Row],[GPS]]/Table1[[#This Row],[RPS success]]</f>
        <v>104.28314393939392</v>
      </c>
      <c r="BG139" s="4">
        <f>ABS(Table1[[#This Row],[est-Out-Tok3]]-Table1[[#This Row],[Out-Tok]])/Table1[[#This Row],[Out-Tok]]</f>
        <v>4.2831439393939234E-2</v>
      </c>
      <c r="BH139" s="162">
        <f>Table1[[#This Row],[est-In-Tok3]]+AvgOutLoad*Table1[[#This Row],[est-Out-Tok3]]</f>
        <v>6895.249526515152</v>
      </c>
      <c r="BI139" s="4">
        <f>ABS(Table1[[#This Row],[est-Tok/Req3]]-Table1[[#This Row],[tok/req]])/Table1[[#This Row],[tok/req]]</f>
        <v>0.13971066553969455</v>
      </c>
      <c r="BJ139" s="162">
        <f>MaxTok/Table1[[#This Row],[est-Tok/Req3]]</f>
        <v>56.257900530048765</v>
      </c>
      <c r="BK139" s="4">
        <f>ABS(Table1[[#This Row],[est-N-max3]]-Table1[[#This Row],[N-max]])/Table1[[#This Row],[N-max]]</f>
        <v>0.12258432755258673</v>
      </c>
      <c r="BL139" s="44">
        <f>MaxTok*Table1[[#This Row],[Kvcache]]/Table1[[#This Row],[Run]]</f>
        <v>6040.8932802027994</v>
      </c>
      <c r="BM139" s="170">
        <f>ABS(Table1[[#This Row],[est-Tok/Req]]-Table1[[#This Row],[tok/req]])/Table1[[#This Row],[tok/req]]</f>
        <v>1.5052429416860561E-3</v>
      </c>
      <c r="BN139" s="44">
        <f>MaxTok/Table1[[#This Row],[est-Tok/Req]]</f>
        <v>64.214387508519707</v>
      </c>
      <c r="BO139" s="180">
        <f>Table1[[#This Row],[Run]]/Table1[[#This Row],[Kvcache]]</f>
        <v>64.214387508519707</v>
      </c>
      <c r="BP139" s="4" cm="1">
        <f t="array" aca="1" ref="BP139" ca="1">_xlfn.CEILING.MATH(INDIRECT("Table1"&amp;BP$3)/BP$2)*BP$2</f>
        <v>7000</v>
      </c>
      <c r="BQ139" s="4" cm="1">
        <f t="array" aca="1" ref="BQ139" ca="1">_xlfn.CEILING.MATH(INDIRECT("Table1"&amp;BQ$3)/BQ$2)*BQ$2</f>
        <v>0.04</v>
      </c>
      <c r="BR139" s="4" cm="1">
        <f t="array" aca="1" ref="BR139" ca="1">_xlfn.CEILING.MATH(INDIRECT("Table1"&amp;BR$3)/BR$2)*BR$2</f>
        <v>0.30000000000000004</v>
      </c>
      <c r="BS139" s="4" cm="1">
        <f t="array" aca="1" ref="BS139" ca="1">_xlfn.CEILING.MATH(INDIRECT("Table1"&amp;BS$3)/BS$2)*BS$2</f>
        <v>0.24</v>
      </c>
      <c r="BT139" s="3" cm="1">
        <f t="array" aca="1" ref="BT139" ca="1">_xlfn.CEILING.MATH(INDIRECT("Table1"&amp;BT$3)/BT$2)*BT$2</f>
        <v>15</v>
      </c>
      <c r="BU139" s="135" cm="1">
        <f t="array" aca="1" ref="BU139" ca="1">_xlfn.CEILING.MATH(INDIRECT("Table1"&amp;BU$3)/BU$2)*BU$2</f>
        <v>60</v>
      </c>
      <c r="BV139" s="135" cm="1">
        <f t="array" aca="1" ref="BV139" ca="1">_xlfn.CEILING.MATH(INDIRECT("Table1"&amp;BV$3)/BV$2)*BV$2</f>
        <v>6000</v>
      </c>
      <c r="BW139" s="4"/>
      <c r="BX139" s="4"/>
      <c r="BY139" s="190">
        <v>0.48088957848461344</v>
      </c>
      <c r="BZ139" s="4"/>
      <c r="CA139" s="3"/>
      <c r="CF139" s="5"/>
      <c r="CH139" s="8"/>
      <c r="CI139" s="8"/>
      <c r="CJ139" s="14"/>
      <c r="CK139" s="8"/>
      <c r="CL139" s="8"/>
      <c r="CM139" s="8"/>
      <c r="CN139" s="8"/>
      <c r="CO139" s="8"/>
      <c r="CP139" s="8"/>
      <c r="CQ139" s="8">
        <f>Table1[[#This Row],[In-Tok]]+AvgOutLoad*Table1[[#This Row],[Out-Tok]]</f>
        <v>6050</v>
      </c>
      <c r="CR139" s="8"/>
      <c r="CS139" s="8"/>
      <c r="CT139" s="8"/>
      <c r="CU139" s="8"/>
      <c r="CV139" s="8"/>
      <c r="CW139" s="8"/>
      <c r="CX139" s="8"/>
      <c r="CY139" s="8"/>
      <c r="GJ139"/>
    </row>
    <row r="140" spans="1:192" x14ac:dyDescent="0.25">
      <c r="A140" s="3">
        <v>6000</v>
      </c>
      <c r="B140" s="3">
        <v>100</v>
      </c>
      <c r="C140">
        <v>4.5999999999999996</v>
      </c>
      <c r="D140" s="199">
        <f>Table1[[#This Row],[Kvcache]]</f>
        <v>0.32849179668419387</v>
      </c>
      <c r="E140" s="4" t="s">
        <v>144</v>
      </c>
      <c r="F140" s="219">
        <v>46092</v>
      </c>
      <c r="G140" s="10"/>
      <c r="H140" s="10">
        <v>0.52589768124548075</v>
      </c>
      <c r="I140" s="10">
        <v>0.3821734862349872</v>
      </c>
      <c r="J140" s="10">
        <v>1.1477708492757888</v>
      </c>
      <c r="K140" s="10">
        <v>1.9405119260152179</v>
      </c>
      <c r="L140" s="10">
        <v>2.1956372165679934</v>
      </c>
      <c r="M140" s="10">
        <v>4.5377523930434899E-2</v>
      </c>
      <c r="N140" s="10">
        <v>4.9330024461026154</v>
      </c>
      <c r="O140" s="47">
        <v>31678.066666666666</v>
      </c>
      <c r="P140" s="47">
        <v>477.67916666666662</v>
      </c>
      <c r="Q140" s="5">
        <v>21</v>
      </c>
      <c r="R140" s="5">
        <v>47.333333333333336</v>
      </c>
      <c r="S140" s="170">
        <v>0.32849179668419387</v>
      </c>
      <c r="T140" s="170">
        <v>0.74000517196793381</v>
      </c>
      <c r="U140" s="20">
        <f>(Table1[[#This Row],[In-Tok]]+Table1[[#This Row],[Out-Tok]])*Table1[[#This Row],[RPS]]</f>
        <v>28059.999999999996</v>
      </c>
      <c r="V140" s="3">
        <f>Table1[[#This Row],[In-Tok]]+AvgOutLoad*Table1[[#This Row],[Out-Tok]]</f>
        <v>6050</v>
      </c>
      <c r="W140" s="3">
        <f>Table1[[#This Row],[In-Tok]]*Table1[[#This Row],[RPS]]</f>
        <v>27599.999999999996</v>
      </c>
      <c r="X140" s="3">
        <f>Table1[[#This Row],[Out-Tok]]*Table1[[#This Row],[RPS]]</f>
        <v>459.99999999999994</v>
      </c>
      <c r="Y140" s="75">
        <f>Table1[[#This Row],[In-Tok]]/Table1[[#This Row],[Out-Tok]]</f>
        <v>60</v>
      </c>
      <c r="Z140" s="26">
        <f>Table1[[#This Row],[In-Tok]]*Table1[[#This Row],[N]]+AvgOutLoad*Table1[[#This Row],[Out-Tok]]*Table1[[#This Row],[Ndecode]]</f>
        <v>143245.69896492991</v>
      </c>
      <c r="AA140" s="3">
        <f>Table1[[#This Row],[tok(N)]]/Table1[[#This Row],[Kvcache]]</f>
        <v>436070.85598744423</v>
      </c>
      <c r="AB140" s="3">
        <f>Table1[[#This Row],[tok/req]]*Table1[[#This Row],[Run]]</f>
        <v>127050</v>
      </c>
      <c r="AC140" s="3">
        <f>Table1[[#This Row],[tok(Run)]]/Table1[[#This Row],[Kvcache]]</f>
        <v>386767.64924557187</v>
      </c>
      <c r="AD140" s="3">
        <f>Table1[[#This Row],[tok/req]]*Table1[[#This Row],[MaxRun]]</f>
        <v>286366.66666666669</v>
      </c>
      <c r="AE140" s="3">
        <f>Table1[[#This Row],[tok(MaxRun)]]/Table1[[#This Row],[MaxKvcache]]</f>
        <v>386979.27732736932</v>
      </c>
      <c r="AF140" s="75">
        <f>Table1[[#This Row],[PPS]]*Table1[[#This Row],[Prefill]]/Table1[[#This Row],[In-Tok]]</f>
        <v>2.0177528625307231</v>
      </c>
      <c r="AG140" s="5">
        <f>Table1[[#This Row],[GPS]]*Table1[[#This Row],[ITL]]</f>
        <v>21.675897816486867</v>
      </c>
      <c r="AH140" s="5">
        <f>Table1[[#This Row],[Nprefill]]+Table1[[#This Row],[Ndecode]]</f>
        <v>23.69365067901759</v>
      </c>
      <c r="AI140" s="4">
        <f>Table1[[#This Row],[Run]]/Table1[[#This Row],[ITL]]/Table1[[#This Row],[GPS]]</f>
        <v>0.96881800134835605</v>
      </c>
      <c r="AJ140" s="10">
        <f>Table1[[#This Row],[Prefill]]+Table1[[#This Row],[ITL]]</f>
        <v>0.42755101016542207</v>
      </c>
      <c r="AK140" s="4">
        <f>Table1[[#This Row],[TTFT]]/Table1[[#This Row],[estTTFT]]</f>
        <v>1.230023245745596</v>
      </c>
      <c r="AL140" s="5">
        <f>Table1[[#This Row],[In-Tok]]*Table1[[#This Row],[RPS]]/Table1[[#This Row],[PPS]]</f>
        <v>0.87126529186335011</v>
      </c>
      <c r="AM140" s="4">
        <f>Table1[[#This Row],[Prefill]]/Table1[[#This Row],[estPrefill]]</f>
        <v>0.43864192663711382</v>
      </c>
      <c r="AN140" s="4">
        <f>Table1[[#This Row],[Prefill]]/Table1[[#This Row],[TTFT]]</f>
        <v>0.72670692392080471</v>
      </c>
      <c r="AO140" s="10">
        <f>Table1[[#This Row],[Run]]/(Table1[[#This Row],[Out-Tok]]*Table1[[#This Row],[RPS]])</f>
        <v>4.5652173913043485E-2</v>
      </c>
      <c r="AP140" s="4">
        <f>Table1[[#This Row],[ITL]]/Table1[[#This Row],[estITL]]</f>
        <v>0.99398385752381191</v>
      </c>
      <c r="AQ140" s="44">
        <f>Table1[[#This Row],[E2E]]-Table1[[#This Row],[TTFT]]+Table1[[#This Row],[ITL]]</f>
        <v>4.4524822887875697</v>
      </c>
      <c r="AR140" s="4">
        <f>Table1[[#This Row],[estDecode]]/Table1[[#This Row],[Run]]</f>
        <v>0.21202296613274141</v>
      </c>
      <c r="AS140" s="44">
        <f>Table1[[#This Row],[Prefill]]+Table1[[#This Row],[Out-Tok]]*Table1[[#This Row],[ITL]]</f>
        <v>4.9199258792784768</v>
      </c>
      <c r="AT140" s="5">
        <f>Table1[[#This Row],[estPrefill]]+Table1[[#This Row],[Out-Tok]]*Table1[[#This Row],[ITL]]</f>
        <v>5.4090176849068392</v>
      </c>
      <c r="AU140" s="4">
        <f>Table1[[#This Row],[E2E]]/Table1[[#This Row],[estE2E]]</f>
        <v>0.91199599141032905</v>
      </c>
      <c r="AV140" s="5">
        <f>Table1[[#This Row],[N]]/Table1[[#This Row],[estE2E]]</f>
        <v>4.3803980795129664</v>
      </c>
      <c r="AW140" s="5">
        <f>Table1[[#This Row],[PPS]]/Table1[[#This Row],[In-Tok]]</f>
        <v>5.2796777777777777</v>
      </c>
      <c r="AX140" s="4">
        <f>Table1[[#This Row],[RPS]]/Table1[[#This Row],[RPS(IL)]]</f>
        <v>0.87126529186335022</v>
      </c>
      <c r="AY140" s="5">
        <f>Table1[[#This Row],[GPS]]/Table1[[#This Row],[Out-Tok]]</f>
        <v>4.7767916666666661</v>
      </c>
      <c r="AZ140" s="89">
        <f>Table1[[#This Row],[RPS]]/Table1[[#This Row],[RPS(OL)]]</f>
        <v>0.96298945421874871</v>
      </c>
      <c r="BA140" s="135">
        <f>MaxTok/Table1[[#This Row],[tok/req]]</f>
        <v>64.117729254967813</v>
      </c>
      <c r="BB140" s="4">
        <f>Table1[[#This Row],[N]]/Table1[[#This Row],[N-max]]</f>
        <v>0.36953352768932968</v>
      </c>
      <c r="BC140" s="44">
        <f>Table1[[#This Row],[RPS]]</f>
        <v>4.5999999999999996</v>
      </c>
      <c r="BD140" s="47">
        <f>Table1[[#This Row],[PPS]]/Table1[[#This Row],[RPS success]]</f>
        <v>6886.536231884058</v>
      </c>
      <c r="BE140" s="4">
        <f>ABS(Table1[[#This Row],[est-In-Tok3]]-Table1[[#This Row],[In-Tok]])/Table1[[#This Row],[In-Tok]]</f>
        <v>0.14775603864734299</v>
      </c>
      <c r="BF140" s="47">
        <f>Table1[[#This Row],[GPS]]/Table1[[#This Row],[RPS success]]</f>
        <v>103.84329710144927</v>
      </c>
      <c r="BG140" s="4">
        <f>ABS(Table1[[#This Row],[est-Out-Tok3]]-Table1[[#This Row],[Out-Tok]])/Table1[[#This Row],[Out-Tok]]</f>
        <v>3.8432971014492667E-2</v>
      </c>
      <c r="BH140" s="162">
        <f>Table1[[#This Row],[est-In-Tok3]]+AvgOutLoad*Table1[[#This Row],[est-Out-Tok3]]</f>
        <v>6938.457880434783</v>
      </c>
      <c r="BI140" s="4">
        <f>ABS(Table1[[#This Row],[est-Tok/Req3]]-Table1[[#This Row],[tok/req]])/Table1[[#This Row],[tok/req]]</f>
        <v>0.14685254222062527</v>
      </c>
      <c r="BJ140" s="162">
        <f>MaxTok/Table1[[#This Row],[est-Tok/Req3]]</f>
        <v>55.907561691251146</v>
      </c>
      <c r="BK140" s="4">
        <f>ABS(Table1[[#This Row],[est-N-max3]]-Table1[[#This Row],[N-max]])/Table1[[#This Row],[N-max]]</f>
        <v>0.12804832078610373</v>
      </c>
      <c r="BL140" s="44">
        <f>MaxTok*Table1[[#This Row],[Kvcache]]/Table1[[#This Row],[Run]]</f>
        <v>6067.9045665602007</v>
      </c>
      <c r="BM140" s="170">
        <f>ABS(Table1[[#This Row],[est-Tok/Req]]-Table1[[#This Row],[tok/req]])/Table1[[#This Row],[tok/req]]</f>
        <v>2.9594324892893704E-3</v>
      </c>
      <c r="BN140" s="44">
        <f>MaxTok/Table1[[#This Row],[est-Tok/Req]]</f>
        <v>63.928537065383779</v>
      </c>
      <c r="BO140" s="180">
        <f>Table1[[#This Row],[Run]]/Table1[[#This Row],[Kvcache]]</f>
        <v>63.928537065383779</v>
      </c>
      <c r="BP140" s="4" cm="1">
        <f t="array" aca="1" ref="BP140" ca="1">_xlfn.CEILING.MATH(INDIRECT("Table1"&amp;BP$3)/BP$2)*BP$2</f>
        <v>7000</v>
      </c>
      <c r="BQ140" s="4" cm="1">
        <f t="array" aca="1" ref="BQ140" ca="1">_xlfn.CEILING.MATH(INDIRECT("Table1"&amp;BQ$3)/BQ$2)*BQ$2</f>
        <v>0.05</v>
      </c>
      <c r="BR140" s="4" cm="1">
        <f t="array" aca="1" ref="BR140" ca="1">_xlfn.CEILING.MATH(INDIRECT("Table1"&amp;BR$3)/BR$2)*BR$2</f>
        <v>0.4</v>
      </c>
      <c r="BS140" s="4" cm="1">
        <f t="array" aca="1" ref="BS140" ca="1">_xlfn.CEILING.MATH(INDIRECT("Table1"&amp;BS$3)/BS$2)*BS$2</f>
        <v>0.33</v>
      </c>
      <c r="BT140" s="3" cm="1">
        <f t="array" aca="1" ref="BT140" ca="1">_xlfn.CEILING.MATH(INDIRECT("Table1"&amp;BT$3)/BT$2)*BT$2</f>
        <v>21</v>
      </c>
      <c r="BU140" s="135" cm="1">
        <f t="array" aca="1" ref="BU140" ca="1">_xlfn.CEILING.MATH(INDIRECT("Table1"&amp;BU$3)/BU$2)*BU$2</f>
        <v>60</v>
      </c>
      <c r="BV140" s="135" cm="1">
        <f t="array" aca="1" ref="BV140" ca="1">_xlfn.CEILING.MATH(INDIRECT("Table1"&amp;BV$3)/BV$2)*BV$2</f>
        <v>6000</v>
      </c>
      <c r="BW140" s="4"/>
      <c r="BX140" s="4"/>
      <c r="BY140" s="190">
        <v>0.74000517196793381</v>
      </c>
      <c r="BZ140" s="4"/>
      <c r="CA140" s="3"/>
      <c r="CF140" s="5"/>
      <c r="CH140" s="8"/>
      <c r="CI140" s="8"/>
      <c r="CJ140" s="14"/>
      <c r="CK140" s="8"/>
      <c r="CL140" s="8"/>
      <c r="CM140" s="8"/>
      <c r="CN140" s="8"/>
      <c r="CO140" s="8"/>
      <c r="CP140" s="8"/>
      <c r="CQ140" s="8">
        <f>Table1[[#This Row],[In-Tok]]+AvgOutLoad*Table1[[#This Row],[Out-Tok]]</f>
        <v>6050</v>
      </c>
      <c r="CR140" s="8"/>
      <c r="CS140" s="8"/>
      <c r="CT140" s="8"/>
      <c r="CU140" s="8"/>
      <c r="CV140" s="8"/>
      <c r="CW140" s="8"/>
      <c r="CX140" s="8"/>
      <c r="CY140" s="8"/>
      <c r="GJ140"/>
    </row>
    <row r="141" spans="1:192" x14ac:dyDescent="0.25">
      <c r="A141" s="3">
        <v>6000</v>
      </c>
      <c r="B141" s="3">
        <v>100</v>
      </c>
      <c r="C141">
        <v>4.8</v>
      </c>
      <c r="D141" s="199">
        <f>Table1[[#This Row],[Kvcache]]</f>
        <v>0.39190299686808611</v>
      </c>
      <c r="E141" s="4" t="s">
        <v>144</v>
      </c>
      <c r="F141" s="219">
        <v>46092</v>
      </c>
      <c r="G141" s="10"/>
      <c r="H141" s="10">
        <v>0.81898924844690424</v>
      </c>
      <c r="I141" s="10">
        <v>0.58959784170468954</v>
      </c>
      <c r="J141" s="10">
        <v>1.5143748462449012</v>
      </c>
      <c r="K141" s="10">
        <v>2.8537968556086217</v>
      </c>
      <c r="L141" s="10">
        <v>3.3870527474085486</v>
      </c>
      <c r="M141" s="10">
        <v>5.6983425120598952E-2</v>
      </c>
      <c r="N141" s="10">
        <v>6.3950987561372896</v>
      </c>
      <c r="O141" s="47">
        <v>33652.995833333334</v>
      </c>
      <c r="P141" s="47">
        <v>500.74166666666662</v>
      </c>
      <c r="Q141" s="5">
        <v>25.074074074074073</v>
      </c>
      <c r="R141" s="5">
        <v>49.333333333333336</v>
      </c>
      <c r="S141" s="170">
        <v>0.39190299686808611</v>
      </c>
      <c r="T141" s="170">
        <v>0.76935608999224214</v>
      </c>
      <c r="U141" s="20">
        <f>(Table1[[#This Row],[In-Tok]]+Table1[[#This Row],[Out-Tok]])*Table1[[#This Row],[RPS]]</f>
        <v>29280</v>
      </c>
      <c r="V141" s="3">
        <f>Table1[[#This Row],[In-Tok]]+AvgOutLoad*Table1[[#This Row],[Out-Tok]]</f>
        <v>6050</v>
      </c>
      <c r="W141" s="3">
        <f>Table1[[#This Row],[In-Tok]]*Table1[[#This Row],[RPS]]</f>
        <v>28800</v>
      </c>
      <c r="X141" s="3">
        <f>Table1[[#This Row],[Out-Tok]]*Table1[[#This Row],[RPS]]</f>
        <v>480</v>
      </c>
      <c r="Y141" s="75">
        <f>Table1[[#This Row],[In-Tok]]/Table1[[#This Row],[Out-Tok]]</f>
        <v>60</v>
      </c>
      <c r="Z141" s="26">
        <f>Table1[[#This Row],[In-Tok]]*Table1[[#This Row],[N]]+AvgOutLoad*Table1[[#This Row],[Out-Tok]]*Table1[[#This Row],[Ndecode]]</f>
        <v>192472.28407717694</v>
      </c>
      <c r="AA141" s="3">
        <f>Table1[[#This Row],[tok(N)]]/Table1[[#This Row],[Kvcache]]</f>
        <v>491122.25631171378</v>
      </c>
      <c r="AB141" s="3">
        <f>Table1[[#This Row],[tok/req]]*Table1[[#This Row],[Run]]</f>
        <v>151698.14814814815</v>
      </c>
      <c r="AC141" s="3">
        <f>Table1[[#This Row],[tok(Run)]]/Table1[[#This Row],[Kvcache]]</f>
        <v>387080.85766236047</v>
      </c>
      <c r="AD141" s="3">
        <f>Table1[[#This Row],[tok/req]]*Table1[[#This Row],[MaxRun]]</f>
        <v>298466.66666666669</v>
      </c>
      <c r="AE141" s="3">
        <f>Table1[[#This Row],[tok(MaxRun)]]/Table1[[#This Row],[MaxKvcache]]</f>
        <v>387943.46408524079</v>
      </c>
      <c r="AF141" s="75">
        <f>Table1[[#This Row],[PPS]]*Table1[[#This Row],[Prefill]]/Table1[[#This Row],[In-Tok]]</f>
        <v>3.3069556183717075</v>
      </c>
      <c r="AG141" s="5">
        <f>Table1[[#This Row],[GPS]]*Table1[[#This Row],[ITL]]</f>
        <v>28.533975267263916</v>
      </c>
      <c r="AH141" s="5">
        <f>Table1[[#This Row],[Nprefill]]+Table1[[#This Row],[Ndecode]]</f>
        <v>31.840930885635622</v>
      </c>
      <c r="AI141" s="4">
        <f>Table1[[#This Row],[Run]]/Table1[[#This Row],[ITL]]/Table1[[#This Row],[GPS]]</f>
        <v>0.87874450858029329</v>
      </c>
      <c r="AJ141" s="10">
        <f>Table1[[#This Row],[Prefill]]+Table1[[#This Row],[ITL]]</f>
        <v>0.64658126682528849</v>
      </c>
      <c r="AK141" s="4">
        <f>Table1[[#This Row],[TTFT]]/Table1[[#This Row],[estTTFT]]</f>
        <v>1.2666454944915715</v>
      </c>
      <c r="AL141" s="5">
        <f>Table1[[#This Row],[In-Tok]]*Table1[[#This Row],[RPS]]/Table1[[#This Row],[PPS]]</f>
        <v>0.85579305160919916</v>
      </c>
      <c r="AM141" s="4">
        <f>Table1[[#This Row],[Prefill]]/Table1[[#This Row],[estPrefill]]</f>
        <v>0.68894908716077241</v>
      </c>
      <c r="AN141" s="4">
        <f>Table1[[#This Row],[Prefill]]/Table1[[#This Row],[TTFT]]</f>
        <v>0.71990913534307976</v>
      </c>
      <c r="AO141" s="10">
        <f>Table1[[#This Row],[Run]]/(Table1[[#This Row],[Out-Tok]]*Table1[[#This Row],[RPS]])</f>
        <v>5.2237654320987655E-2</v>
      </c>
      <c r="AP141" s="4">
        <f>Table1[[#This Row],[ITL]]/Table1[[#This Row],[estITL]]</f>
        <v>1.0908496153071823</v>
      </c>
      <c r="AQ141" s="44">
        <f>Table1[[#This Row],[E2E]]-Table1[[#This Row],[TTFT]]+Table1[[#This Row],[ITL]]</f>
        <v>5.6330929328109844</v>
      </c>
      <c r="AR141" s="4">
        <f>Table1[[#This Row],[estDecode]]/Table1[[#This Row],[Run]]</f>
        <v>0.22465806379009837</v>
      </c>
      <c r="AS141" s="44">
        <f>Table1[[#This Row],[Prefill]]+Table1[[#This Row],[Out-Tok]]*Table1[[#This Row],[ITL]]</f>
        <v>6.2879403537645846</v>
      </c>
      <c r="AT141" s="5">
        <f>Table1[[#This Row],[estPrefill]]+Table1[[#This Row],[Out-Tok]]*Table1[[#This Row],[ITL]]</f>
        <v>6.5541355636690941</v>
      </c>
      <c r="AU141" s="4">
        <f>Table1[[#This Row],[E2E]]/Table1[[#This Row],[estE2E]]</f>
        <v>0.9757348919644907</v>
      </c>
      <c r="AV141" s="5">
        <f>Table1[[#This Row],[N]]/Table1[[#This Row],[estE2E]]</f>
        <v>4.858143469313692</v>
      </c>
      <c r="AW141" s="5">
        <f>Table1[[#This Row],[PPS]]/Table1[[#This Row],[In-Tok]]</f>
        <v>5.6088326388888889</v>
      </c>
      <c r="AX141" s="4">
        <f>Table1[[#This Row],[RPS]]/Table1[[#This Row],[RPS(IL)]]</f>
        <v>0.85579305160919916</v>
      </c>
      <c r="AY141" s="5">
        <f>Table1[[#This Row],[GPS]]/Table1[[#This Row],[Out-Tok]]</f>
        <v>5.007416666666666</v>
      </c>
      <c r="AZ141" s="89">
        <f>Table1[[#This Row],[RPS]]/Table1[[#This Row],[RPS(OL)]]</f>
        <v>0.95857810913811192</v>
      </c>
      <c r="BA141" s="135">
        <f>MaxTok/Table1[[#This Row],[tok/req]]</f>
        <v>64.117729254967813</v>
      </c>
      <c r="BB141" s="4">
        <f>Table1[[#This Row],[N]]/Table1[[#This Row],[N-max]]</f>
        <v>0.49660103774134517</v>
      </c>
      <c r="BC141" s="44">
        <f>Table1[[#This Row],[RPS]]</f>
        <v>4.8</v>
      </c>
      <c r="BD141" s="47">
        <f>Table1[[#This Row],[PPS]]/Table1[[#This Row],[RPS success]]</f>
        <v>7011.0407986111113</v>
      </c>
      <c r="BE141" s="4">
        <f>ABS(Table1[[#This Row],[est-In-Tok3]]-Table1[[#This Row],[In-Tok]])/Table1[[#This Row],[In-Tok]]</f>
        <v>0.16850679976851854</v>
      </c>
      <c r="BF141" s="47">
        <f>Table1[[#This Row],[GPS]]/Table1[[#This Row],[RPS success]]</f>
        <v>104.32118055555554</v>
      </c>
      <c r="BG141" s="4">
        <f>ABS(Table1[[#This Row],[est-Out-Tok3]]-Table1[[#This Row],[Out-Tok]])/Table1[[#This Row],[Out-Tok]]</f>
        <v>4.3211805555555427E-2</v>
      </c>
      <c r="BH141" s="162">
        <f>Table1[[#This Row],[est-In-Tok3]]+AvgOutLoad*Table1[[#This Row],[est-Out-Tok3]]</f>
        <v>7063.2013888888887</v>
      </c>
      <c r="BI141" s="4">
        <f>ABS(Table1[[#This Row],[est-Tok/Req3]]-Table1[[#This Row],[tok/req]])/Table1[[#This Row],[tok/req]]</f>
        <v>0.16747130394857665</v>
      </c>
      <c r="BJ141" s="162">
        <f>MaxTok/Table1[[#This Row],[est-Tok/Req3]]</f>
        <v>54.920175800562539</v>
      </c>
      <c r="BK141" s="4">
        <f>ABS(Table1[[#This Row],[est-N-max3]]-Table1[[#This Row],[N-max]])/Table1[[#This Row],[N-max]]</f>
        <v>0.14344789750477091</v>
      </c>
      <c r="BL141" s="44">
        <f>MaxTok*Table1[[#This Row],[Kvcache]]/Table1[[#This Row],[Run]]</f>
        <v>6062.9946911558882</v>
      </c>
      <c r="BM141" s="170">
        <f>ABS(Table1[[#This Row],[est-Tok/Req]]-Table1[[#This Row],[tok/req]])/Table1[[#This Row],[tok/req]]</f>
        <v>2.1478828356839962E-3</v>
      </c>
      <c r="BN141" s="44">
        <f>MaxTok/Table1[[#This Row],[est-Tok/Req]]</f>
        <v>63.980307051629829</v>
      </c>
      <c r="BO141" s="180">
        <f>Table1[[#This Row],[Run]]/Table1[[#This Row],[Kvcache]]</f>
        <v>63.980307051629829</v>
      </c>
      <c r="BP141" s="4" cm="1">
        <f t="array" aca="1" ref="BP141" ca="1">_xlfn.CEILING.MATH(INDIRECT("Table1"&amp;BP$3)/BP$2)*BP$2</f>
        <v>7000</v>
      </c>
      <c r="BQ141" s="4" cm="1">
        <f t="array" aca="1" ref="BQ141" ca="1">_xlfn.CEILING.MATH(INDIRECT("Table1"&amp;BQ$3)/BQ$2)*BQ$2</f>
        <v>0.06</v>
      </c>
      <c r="BR141" s="4" cm="1">
        <f t="array" aca="1" ref="BR141" ca="1">_xlfn.CEILING.MATH(INDIRECT("Table1"&amp;BR$3)/BR$2)*BR$2</f>
        <v>0.4</v>
      </c>
      <c r="BS141" s="4" cm="1">
        <f t="array" aca="1" ref="BS141" ca="1">_xlfn.CEILING.MATH(INDIRECT("Table1"&amp;BS$3)/BS$2)*BS$2</f>
        <v>0.4</v>
      </c>
      <c r="BT141" s="3" cm="1">
        <f t="array" aca="1" ref="BT141" ca="1">_xlfn.CEILING.MATH(INDIRECT("Table1"&amp;BT$3)/BT$2)*BT$2</f>
        <v>26</v>
      </c>
      <c r="BU141" s="135" cm="1">
        <f t="array" aca="1" ref="BU141" ca="1">_xlfn.CEILING.MATH(INDIRECT("Table1"&amp;BU$3)/BU$2)*BU$2</f>
        <v>60</v>
      </c>
      <c r="BV141" s="135" cm="1">
        <f t="array" aca="1" ref="BV141" ca="1">_xlfn.CEILING.MATH(INDIRECT("Table1"&amp;BV$3)/BV$2)*BV$2</f>
        <v>6000</v>
      </c>
      <c r="BW141" s="4"/>
      <c r="BX141" s="4"/>
      <c r="BY141" s="190">
        <v>0.76935608999224214</v>
      </c>
      <c r="BZ141" s="4"/>
      <c r="CA141" s="3"/>
      <c r="CF141" s="5"/>
      <c r="CH141" s="8"/>
      <c r="CI141" s="8"/>
      <c r="CJ141" s="14"/>
      <c r="CK141" s="8"/>
      <c r="CL141" s="8"/>
      <c r="CM141" s="8"/>
      <c r="CN141" s="8"/>
      <c r="CO141" s="8"/>
      <c r="CP141" s="8"/>
      <c r="CQ141" s="8">
        <f>Table1[[#This Row],[In-Tok]]+AvgOutLoad*Table1[[#This Row],[Out-Tok]]</f>
        <v>6050</v>
      </c>
      <c r="CR141" s="8"/>
      <c r="CS141" s="8"/>
      <c r="CT141" s="8"/>
      <c r="CU141" s="8"/>
      <c r="CV141" s="8"/>
      <c r="CW141" s="8"/>
      <c r="CX141" s="8"/>
      <c r="CY141" s="8"/>
      <c r="GJ141"/>
    </row>
    <row r="142" spans="1:192" x14ac:dyDescent="0.25">
      <c r="A142" s="3">
        <v>6000</v>
      </c>
      <c r="B142" s="3">
        <v>100</v>
      </c>
      <c r="C142">
        <v>5</v>
      </c>
      <c r="D142" s="199">
        <f>Table1[[#This Row],[Kvcache]]</f>
        <v>0.40995029164152513</v>
      </c>
      <c r="E142" s="4" t="s">
        <v>144</v>
      </c>
      <c r="F142" s="219">
        <v>46092</v>
      </c>
      <c r="G142" s="10"/>
      <c r="H142" s="10">
        <v>0.65627406597952154</v>
      </c>
      <c r="I142" s="10">
        <v>0.50133485819597334</v>
      </c>
      <c r="J142" s="10">
        <v>1.3134894057534456</v>
      </c>
      <c r="K142" s="10">
        <v>2.3419449885686223</v>
      </c>
      <c r="L142" s="10">
        <v>2.6325037304560337</v>
      </c>
      <c r="M142" s="10">
        <v>5.5761778610436331E-2</v>
      </c>
      <c r="N142" s="10">
        <v>6.1699968623894934</v>
      </c>
      <c r="O142" s="47">
        <v>32936.787499999999</v>
      </c>
      <c r="P142" s="47">
        <v>486.94583333333338</v>
      </c>
      <c r="Q142" s="5">
        <v>26.222222222222218</v>
      </c>
      <c r="R142" s="5">
        <v>55</v>
      </c>
      <c r="S142" s="170">
        <v>0.40995029164152513</v>
      </c>
      <c r="T142" s="170">
        <v>0.85932247220067237</v>
      </c>
      <c r="U142" s="20">
        <f>(Table1[[#This Row],[In-Tok]]+Table1[[#This Row],[Out-Tok]])*Table1[[#This Row],[RPS]]</f>
        <v>30500</v>
      </c>
      <c r="V142" s="3">
        <f>Table1[[#This Row],[In-Tok]]+AvgOutLoad*Table1[[#This Row],[Out-Tok]]</f>
        <v>6050</v>
      </c>
      <c r="W142" s="3">
        <f>Table1[[#This Row],[In-Tok]]*Table1[[#This Row],[RPS]]</f>
        <v>30000</v>
      </c>
      <c r="X142" s="3">
        <f>Table1[[#This Row],[Out-Tok]]*Table1[[#This Row],[RPS]]</f>
        <v>500</v>
      </c>
      <c r="Y142" s="75">
        <f>Table1[[#This Row],[In-Tok]]/Table1[[#This Row],[Out-Tok]]</f>
        <v>60</v>
      </c>
      <c r="Z142" s="26">
        <f>Table1[[#This Row],[In-Tok]]*Table1[[#This Row],[N]]+AvgOutLoad*Table1[[#This Row],[Out-Tok]]*Table1[[#This Row],[Ndecode]]</f>
        <v>180787.80250007036</v>
      </c>
      <c r="AA142" s="3">
        <f>Table1[[#This Row],[tok(N)]]/Table1[[#This Row],[Kvcache]]</f>
        <v>440999.3264699456</v>
      </c>
      <c r="AB142" s="3">
        <f>Table1[[#This Row],[tok/req]]*Table1[[#This Row],[Run]]</f>
        <v>158644.44444444441</v>
      </c>
      <c r="AC142" s="3">
        <f>Table1[[#This Row],[tok(Run)]]/Table1[[#This Row],[Kvcache]]</f>
        <v>386984.58734886977</v>
      </c>
      <c r="AD142" s="3">
        <f>Table1[[#This Row],[tok/req]]*Table1[[#This Row],[MaxRun]]</f>
        <v>332750</v>
      </c>
      <c r="AE142" s="3">
        <f>Table1[[#This Row],[tok(MaxRun)]]/Table1[[#This Row],[MaxKvcache]]</f>
        <v>387223.66837195307</v>
      </c>
      <c r="AF142" s="75">
        <f>Table1[[#This Row],[PPS]]*Table1[[#This Row],[Prefill]]/Table1[[#This Row],[In-Tok]]</f>
        <v>2.7520599484572346</v>
      </c>
      <c r="AG142" s="5">
        <f>Table1[[#This Row],[GPS]]*Table1[[#This Row],[ITL]]</f>
        <v>27.152965753607763</v>
      </c>
      <c r="AH142" s="5">
        <f>Table1[[#This Row],[Nprefill]]+Table1[[#This Row],[Ndecode]]</f>
        <v>29.905025702064997</v>
      </c>
      <c r="AI142" s="4">
        <f>Table1[[#This Row],[Run]]/Table1[[#This Row],[ITL]]/Table1[[#This Row],[GPS]]</f>
        <v>0.96572221466224628</v>
      </c>
      <c r="AJ142" s="10">
        <f>Table1[[#This Row],[Prefill]]+Table1[[#This Row],[ITL]]</f>
        <v>0.55709663680640964</v>
      </c>
      <c r="AK142" s="4">
        <f>Table1[[#This Row],[TTFT]]/Table1[[#This Row],[estTTFT]]</f>
        <v>1.1780255392343644</v>
      </c>
      <c r="AL142" s="5">
        <f>Table1[[#This Row],[In-Tok]]*Table1[[#This Row],[RPS]]/Table1[[#This Row],[PPS]]</f>
        <v>0.91083564236493919</v>
      </c>
      <c r="AM142" s="4">
        <f>Table1[[#This Row],[Prefill]]/Table1[[#This Row],[estPrefill]]</f>
        <v>0.55041198969144689</v>
      </c>
      <c r="AN142" s="4">
        <f>Table1[[#This Row],[Prefill]]/Table1[[#This Row],[TTFT]]</f>
        <v>0.76391081742306277</v>
      </c>
      <c r="AO142" s="10">
        <f>Table1[[#This Row],[Run]]/(Table1[[#This Row],[Out-Tok]]*Table1[[#This Row],[RPS]])</f>
        <v>5.2444444444444432E-2</v>
      </c>
      <c r="AP142" s="4">
        <f>Table1[[#This Row],[ITL]]/Table1[[#This Row],[estITL]]</f>
        <v>1.0632542531650997</v>
      </c>
      <c r="AQ142" s="44">
        <f>Table1[[#This Row],[E2E]]-Table1[[#This Row],[TTFT]]+Table1[[#This Row],[ITL]]</f>
        <v>5.5694845750204083</v>
      </c>
      <c r="AR142" s="4">
        <f>Table1[[#This Row],[estDecode]]/Table1[[#This Row],[Run]]</f>
        <v>0.21239559819993087</v>
      </c>
      <c r="AS142" s="44">
        <f>Table1[[#This Row],[Prefill]]+Table1[[#This Row],[Out-Tok]]*Table1[[#This Row],[ITL]]</f>
        <v>6.077512719239607</v>
      </c>
      <c r="AT142" s="5">
        <f>Table1[[#This Row],[estPrefill]]+Table1[[#This Row],[Out-Tok]]*Table1[[#This Row],[ITL]]</f>
        <v>6.4870135034085727</v>
      </c>
      <c r="AU142" s="4">
        <f>Table1[[#This Row],[E2E]]/Table1[[#This Row],[estE2E]]</f>
        <v>0.95113057174114035</v>
      </c>
      <c r="AV142" s="5">
        <f>Table1[[#This Row],[N]]/Table1[[#This Row],[estE2E]]</f>
        <v>4.6099835750845184</v>
      </c>
      <c r="AW142" s="5">
        <f>Table1[[#This Row],[PPS]]/Table1[[#This Row],[In-Tok]]</f>
        <v>5.4894645833333326</v>
      </c>
      <c r="AX142" s="4">
        <f>Table1[[#This Row],[RPS]]/Table1[[#This Row],[RPS(IL)]]</f>
        <v>0.9108356423649393</v>
      </c>
      <c r="AY142" s="5">
        <f>Table1[[#This Row],[GPS]]/Table1[[#This Row],[Out-Tok]]</f>
        <v>4.8694583333333341</v>
      </c>
      <c r="AZ142" s="89">
        <f>Table1[[#This Row],[RPS]]/Table1[[#This Row],[RPS(OL)]]</f>
        <v>1.0268082521156527</v>
      </c>
      <c r="BA142" s="135">
        <f>MaxTok/Table1[[#This Row],[tok/req]]</f>
        <v>64.117729254967813</v>
      </c>
      <c r="BB142" s="4">
        <f>Table1[[#This Row],[N]]/Table1[[#This Row],[N-max]]</f>
        <v>0.46640805982298522</v>
      </c>
      <c r="BC142" s="44">
        <f>Table1[[#This Row],[RPS]]</f>
        <v>5</v>
      </c>
      <c r="BD142" s="47">
        <f>Table1[[#This Row],[PPS]]/Table1[[#This Row],[RPS success]]</f>
        <v>6587.3575000000001</v>
      </c>
      <c r="BE142" s="4">
        <f>ABS(Table1[[#This Row],[est-In-Tok3]]-Table1[[#This Row],[In-Tok]])/Table1[[#This Row],[In-Tok]]</f>
        <v>9.7892916666666677E-2</v>
      </c>
      <c r="BF142" s="47">
        <f>Table1[[#This Row],[GPS]]/Table1[[#This Row],[RPS success]]</f>
        <v>97.389166666666682</v>
      </c>
      <c r="BG142" s="4">
        <f>ABS(Table1[[#This Row],[est-Out-Tok3]]-Table1[[#This Row],[Out-Tok]])/Table1[[#This Row],[Out-Tok]]</f>
        <v>2.6108333333333178E-2</v>
      </c>
      <c r="BH142" s="162">
        <f>Table1[[#This Row],[est-In-Tok3]]+AvgOutLoad*Table1[[#This Row],[est-Out-Tok3]]</f>
        <v>6636.052083333333</v>
      </c>
      <c r="BI142" s="4">
        <f>ABS(Table1[[#This Row],[est-Tok/Req3]]-Table1[[#This Row],[tok/req]])/Table1[[#This Row],[tok/req]]</f>
        <v>9.6868112947658347E-2</v>
      </c>
      <c r="BJ142" s="162">
        <f>MaxTok/Table1[[#This Row],[est-Tok/Req3]]</f>
        <v>58.455276890729948</v>
      </c>
      <c r="BK142" s="4">
        <f>ABS(Table1[[#This Row],[est-N-max3]]-Table1[[#This Row],[N-max]])/Table1[[#This Row],[N-max]]</f>
        <v>8.831336402636468E-2</v>
      </c>
      <c r="BL142" s="44">
        <f>MaxTok*Table1[[#This Row],[Kvcache]]/Table1[[#This Row],[Run]]</f>
        <v>6064.502984815872</v>
      </c>
      <c r="BM142" s="170">
        <f>ABS(Table1[[#This Row],[est-Tok/Req]]-Table1[[#This Row],[tok/req]])/Table1[[#This Row],[tok/req]]</f>
        <v>2.3971875728713999E-3</v>
      </c>
      <c r="BN142" s="44">
        <f>MaxTok/Table1[[#This Row],[est-Tok/Req]]</f>
        <v>63.964394603118976</v>
      </c>
      <c r="BO142" s="180">
        <f>Table1[[#This Row],[Run]]/Table1[[#This Row],[Kvcache]]</f>
        <v>63.964394603118969</v>
      </c>
      <c r="BP142" s="4" cm="1">
        <f t="array" aca="1" ref="BP142" ca="1">_xlfn.CEILING.MATH(INDIRECT("Table1"&amp;BP$3)/BP$2)*BP$2</f>
        <v>7000</v>
      </c>
      <c r="BQ142" s="4" cm="1">
        <f t="array" aca="1" ref="BQ142" ca="1">_xlfn.CEILING.MATH(INDIRECT("Table1"&amp;BQ$3)/BQ$2)*BQ$2</f>
        <v>0.06</v>
      </c>
      <c r="BR142" s="4" cm="1">
        <f t="array" aca="1" ref="BR142" ca="1">_xlfn.CEILING.MATH(INDIRECT("Table1"&amp;BR$3)/BR$2)*BR$2</f>
        <v>0.5</v>
      </c>
      <c r="BS142" s="4" cm="1">
        <f t="array" aca="1" ref="BS142" ca="1">_xlfn.CEILING.MATH(INDIRECT("Table1"&amp;BS$3)/BS$2)*BS$2</f>
        <v>0.41000000000000003</v>
      </c>
      <c r="BT142" s="3" cm="1">
        <f t="array" aca="1" ref="BT142" ca="1">_xlfn.CEILING.MATH(INDIRECT("Table1"&amp;BT$3)/BT$2)*BT$2</f>
        <v>27</v>
      </c>
      <c r="BU142" s="135" cm="1">
        <f t="array" aca="1" ref="BU142" ca="1">_xlfn.CEILING.MATH(INDIRECT("Table1"&amp;BU$3)/BU$2)*BU$2</f>
        <v>60</v>
      </c>
      <c r="BV142" s="135" cm="1">
        <f t="array" aca="1" ref="BV142" ca="1">_xlfn.CEILING.MATH(INDIRECT("Table1"&amp;BV$3)/BV$2)*BV$2</f>
        <v>6000</v>
      </c>
      <c r="BW142" s="4"/>
      <c r="BX142" s="4"/>
      <c r="BY142" s="190">
        <v>0.85932247220067237</v>
      </c>
      <c r="BZ142" s="4"/>
      <c r="CA142" s="3"/>
      <c r="CF142" s="5"/>
      <c r="CH142" s="8"/>
      <c r="CI142" s="8"/>
      <c r="CJ142" s="14"/>
      <c r="CK142" s="8"/>
      <c r="CL142" s="8"/>
      <c r="CM142" s="8"/>
      <c r="CN142" s="8"/>
      <c r="CO142" s="8"/>
      <c r="CP142" s="8"/>
      <c r="CQ142" s="8">
        <f>Table1[[#This Row],[In-Tok]]+AvgOutLoad*Table1[[#This Row],[Out-Tok]]</f>
        <v>6050</v>
      </c>
      <c r="CR142" s="8"/>
      <c r="CS142" s="8"/>
      <c r="CT142" s="8"/>
      <c r="CU142" s="8"/>
      <c r="CV142" s="8"/>
      <c r="CW142" s="8"/>
      <c r="CX142" s="8"/>
      <c r="CY142" s="8"/>
      <c r="GJ142"/>
    </row>
    <row r="143" spans="1:192" x14ac:dyDescent="0.25">
      <c r="A143" s="3">
        <v>6000</v>
      </c>
      <c r="B143" s="3">
        <v>100</v>
      </c>
      <c r="C143">
        <v>5.2</v>
      </c>
      <c r="D143" s="199">
        <f>Table1[[#This Row],[Kvcache]]</f>
        <v>0.53462057868574553</v>
      </c>
      <c r="E143" s="4" t="s">
        <v>144</v>
      </c>
      <c r="F143" s="219">
        <v>46092</v>
      </c>
      <c r="G143" s="10"/>
      <c r="H143" s="10">
        <v>1.1605770143365433</v>
      </c>
      <c r="I143" s="10">
        <v>0.74375447320014987</v>
      </c>
      <c r="J143" s="10">
        <v>2.0436184726584883</v>
      </c>
      <c r="K143" s="10">
        <v>4.0180083235104851</v>
      </c>
      <c r="L143" s="10">
        <v>4.302049371401468</v>
      </c>
      <c r="M143" s="10">
        <v>7.0172334482096241E-2</v>
      </c>
      <c r="N143" s="10">
        <v>8.1932611764087202</v>
      </c>
      <c r="O143" s="47">
        <v>33728.558333333327</v>
      </c>
      <c r="P143" s="47">
        <v>518.05833333333339</v>
      </c>
      <c r="Q143" s="5">
        <v>34.296296296296291</v>
      </c>
      <c r="R143" s="5">
        <v>56</v>
      </c>
      <c r="S143" s="170">
        <v>0.53462057868574553</v>
      </c>
      <c r="T143" s="170">
        <v>0.87362296353762614</v>
      </c>
      <c r="U143" s="20">
        <f>(Table1[[#This Row],[In-Tok]]+Table1[[#This Row],[Out-Tok]])*Table1[[#This Row],[RPS]]</f>
        <v>31720</v>
      </c>
      <c r="V143" s="3">
        <f>Table1[[#This Row],[In-Tok]]+AvgOutLoad*Table1[[#This Row],[Out-Tok]]</f>
        <v>6050</v>
      </c>
      <c r="W143" s="3">
        <f>Table1[[#This Row],[In-Tok]]*Table1[[#This Row],[RPS]]</f>
        <v>31200</v>
      </c>
      <c r="X143" s="3">
        <f>Table1[[#This Row],[Out-Tok]]*Table1[[#This Row],[RPS]]</f>
        <v>520</v>
      </c>
      <c r="Y143" s="75">
        <f>Table1[[#This Row],[In-Tok]]/Table1[[#This Row],[Out-Tok]]</f>
        <v>60</v>
      </c>
      <c r="Z143" s="26">
        <f>Table1[[#This Row],[In-Tok]]*Table1[[#This Row],[N]]+AvgOutLoad*Table1[[#This Row],[Out-Tok]]*Table1[[#This Row],[Ndecode]]</f>
        <v>245023.61015482794</v>
      </c>
      <c r="AA143" s="3">
        <f>Table1[[#This Row],[tok(N)]]/Table1[[#This Row],[Kvcache]]</f>
        <v>458313.0914211495</v>
      </c>
      <c r="AB143" s="3">
        <f>Table1[[#This Row],[tok/req]]*Table1[[#This Row],[Run]]</f>
        <v>207492.59259259255</v>
      </c>
      <c r="AC143" s="3">
        <f>Table1[[#This Row],[tok(Run)]]/Table1[[#This Row],[Kvcache]]</f>
        <v>388111.87010920962</v>
      </c>
      <c r="AD143" s="3">
        <f>Table1[[#This Row],[tok/req]]*Table1[[#This Row],[MaxRun]]</f>
        <v>338800</v>
      </c>
      <c r="AE143" s="3">
        <f>Table1[[#This Row],[tok(MaxRun)]]/Table1[[#This Row],[MaxKvcache]]</f>
        <v>387810.3187993961</v>
      </c>
      <c r="AF143" s="75">
        <f>Table1[[#This Row],[PPS]]*Table1[[#This Row],[Prefill]]/Table1[[#This Row],[In-Tok]]</f>
        <v>4.1809610225014753</v>
      </c>
      <c r="AG143" s="5">
        <f>Table1[[#This Row],[GPS]]*Table1[[#This Row],[ITL]]</f>
        <v>36.353362647903978</v>
      </c>
      <c r="AH143" s="5">
        <f>Table1[[#This Row],[Nprefill]]+Table1[[#This Row],[Ndecode]]</f>
        <v>40.534323670405456</v>
      </c>
      <c r="AI143" s="4">
        <f>Table1[[#This Row],[Run]]/Table1[[#This Row],[ITL]]/Table1[[#This Row],[GPS]]</f>
        <v>0.94341468844213527</v>
      </c>
      <c r="AJ143" s="10">
        <f>Table1[[#This Row],[Prefill]]+Table1[[#This Row],[ITL]]</f>
        <v>0.81392680768224612</v>
      </c>
      <c r="AK143" s="4">
        <f>Table1[[#This Row],[TTFT]]/Table1[[#This Row],[estTTFT]]</f>
        <v>1.4258985001875353</v>
      </c>
      <c r="AL143" s="5">
        <f>Table1[[#This Row],[In-Tok]]*Table1[[#This Row],[RPS]]/Table1[[#This Row],[PPS]]</f>
        <v>0.9250321253477829</v>
      </c>
      <c r="AM143" s="4">
        <f>Table1[[#This Row],[Prefill]]/Table1[[#This Row],[estPrefill]]</f>
        <v>0.80403096586566836</v>
      </c>
      <c r="AN143" s="4">
        <f>Table1[[#This Row],[Prefill]]/Table1[[#This Row],[TTFT]]</f>
        <v>0.64084887432078375</v>
      </c>
      <c r="AO143" s="10">
        <f>Table1[[#This Row],[Run]]/(Table1[[#This Row],[Out-Tok]]*Table1[[#This Row],[RPS]])</f>
        <v>6.5954415954415938E-2</v>
      </c>
      <c r="AP143" s="4">
        <f>Table1[[#This Row],[ITL]]/Table1[[#This Row],[estITL]]</f>
        <v>1.0639520260568374</v>
      </c>
      <c r="AQ143" s="44">
        <f>Table1[[#This Row],[E2E]]-Table1[[#This Row],[TTFT]]+Table1[[#This Row],[ITL]]</f>
        <v>7.1028564965542733</v>
      </c>
      <c r="AR143" s="4">
        <f>Table1[[#This Row],[estDecode]]/Table1[[#This Row],[Run]]</f>
        <v>0.20710272722134493</v>
      </c>
      <c r="AS143" s="44">
        <f>Table1[[#This Row],[Prefill]]+Table1[[#This Row],[Out-Tok]]*Table1[[#This Row],[ITL]]</f>
        <v>7.7609879214097743</v>
      </c>
      <c r="AT143" s="5">
        <f>Table1[[#This Row],[estPrefill]]+Table1[[#This Row],[Out-Tok]]*Table1[[#This Row],[ITL]]</f>
        <v>7.9422655735574068</v>
      </c>
      <c r="AU143" s="4">
        <f>Table1[[#This Row],[E2E]]/Table1[[#This Row],[estE2E]]</f>
        <v>1.0316025195237699</v>
      </c>
      <c r="AV143" s="5">
        <f>Table1[[#This Row],[N]]/Table1[[#This Row],[estE2E]]</f>
        <v>5.1036222970632545</v>
      </c>
      <c r="AW143" s="5">
        <f>Table1[[#This Row],[PPS]]/Table1[[#This Row],[In-Tok]]</f>
        <v>5.6214263888888878</v>
      </c>
      <c r="AX143" s="4">
        <f>Table1[[#This Row],[RPS]]/Table1[[#This Row],[RPS(IL)]]</f>
        <v>0.9250321253477829</v>
      </c>
      <c r="AY143" s="5">
        <f>Table1[[#This Row],[GPS]]/Table1[[#This Row],[Out-Tok]]</f>
        <v>5.1805833333333338</v>
      </c>
      <c r="AZ143" s="89">
        <f>Table1[[#This Row],[RPS]]/Table1[[#This Row],[RPS(OL)]]</f>
        <v>1.0037479691797899</v>
      </c>
      <c r="BA143" s="135">
        <f>MaxTok/Table1[[#This Row],[tok/req]]</f>
        <v>64.117729254967813</v>
      </c>
      <c r="BB143" s="4">
        <f>Table1[[#This Row],[N]]/Table1[[#This Row],[N-max]]</f>
        <v>0.63218588901079764</v>
      </c>
      <c r="BC143" s="44">
        <f>Table1[[#This Row],[RPS]]</f>
        <v>5.2</v>
      </c>
      <c r="BD143" s="47">
        <f>Table1[[#This Row],[PPS]]/Table1[[#This Row],[RPS success]]</f>
        <v>6486.2612179487169</v>
      </c>
      <c r="BE143" s="4">
        <f>ABS(Table1[[#This Row],[est-In-Tok3]]-Table1[[#This Row],[In-Tok]])/Table1[[#This Row],[In-Tok]]</f>
        <v>8.1043536324786142E-2</v>
      </c>
      <c r="BF143" s="47">
        <f>Table1[[#This Row],[GPS]]/Table1[[#This Row],[RPS success]]</f>
        <v>99.626602564102569</v>
      </c>
      <c r="BG143" s="4">
        <f>ABS(Table1[[#This Row],[est-Out-Tok3]]-Table1[[#This Row],[Out-Tok]])/Table1[[#This Row],[Out-Tok]]</f>
        <v>3.7339743589743079E-3</v>
      </c>
      <c r="BH143" s="162">
        <f>Table1[[#This Row],[est-In-Tok3]]+AvgOutLoad*Table1[[#This Row],[est-Out-Tok3]]</f>
        <v>6536.0745192307686</v>
      </c>
      <c r="BI143" s="4">
        <f>ABS(Table1[[#This Row],[est-Tok/Req3]]-Table1[[#This Row],[tok/req]])/Table1[[#This Row],[tok/req]]</f>
        <v>8.0342895740622908E-2</v>
      </c>
      <c r="BJ143" s="162">
        <f>MaxTok/Table1[[#This Row],[est-Tok/Req3]]</f>
        <v>59.3494246204232</v>
      </c>
      <c r="BK143" s="4">
        <f>ABS(Table1[[#This Row],[est-N-max3]]-Table1[[#This Row],[N-max]])/Table1[[#This Row],[N-max]]</f>
        <v>7.4367958596649256E-2</v>
      </c>
      <c r="BL143" s="44">
        <f>MaxTok*Table1[[#This Row],[Kvcache]]/Table1[[#This Row],[Run]]</f>
        <v>6046.8884509885793</v>
      </c>
      <c r="BM143" s="170">
        <f>ABS(Table1[[#This Row],[est-Tok/Req]]-Table1[[#This Row],[tok/req]])/Table1[[#This Row],[tok/req]]</f>
        <v>5.1430562172243314E-4</v>
      </c>
      <c r="BN143" s="44">
        <f>MaxTok/Table1[[#This Row],[est-Tok/Req]]</f>
        <v>64.15072233210077</v>
      </c>
      <c r="BO143" s="180">
        <f>Table1[[#This Row],[Run]]/Table1[[#This Row],[Kvcache]]</f>
        <v>64.15072233210077</v>
      </c>
      <c r="BP143" s="4" cm="1">
        <f t="array" aca="1" ref="BP143" ca="1">_xlfn.CEILING.MATH(INDIRECT("Table1"&amp;BP$3)/BP$2)*BP$2</f>
        <v>7000</v>
      </c>
      <c r="BQ143" s="4" cm="1">
        <f t="array" aca="1" ref="BQ143" ca="1">_xlfn.CEILING.MATH(INDIRECT("Table1"&amp;BQ$3)/BQ$2)*BQ$2</f>
        <v>7.4999999999999997E-2</v>
      </c>
      <c r="BR143" s="4" cm="1">
        <f t="array" aca="1" ref="BR143" ca="1">_xlfn.CEILING.MATH(INDIRECT("Table1"&amp;BR$3)/BR$2)*BR$2</f>
        <v>0.60000000000000009</v>
      </c>
      <c r="BS143" s="4" cm="1">
        <f t="array" aca="1" ref="BS143" ca="1">_xlfn.CEILING.MATH(INDIRECT("Table1"&amp;BS$3)/BS$2)*BS$2</f>
        <v>0.54</v>
      </c>
      <c r="BT143" s="3" cm="1">
        <f t="array" aca="1" ref="BT143" ca="1">_xlfn.CEILING.MATH(INDIRECT("Table1"&amp;BT$3)/BT$2)*BT$2</f>
        <v>35</v>
      </c>
      <c r="BU143" s="135" cm="1">
        <f t="array" aca="1" ref="BU143" ca="1">_xlfn.CEILING.MATH(INDIRECT("Table1"&amp;BU$3)/BU$2)*BU$2</f>
        <v>60</v>
      </c>
      <c r="BV143" s="135" cm="1">
        <f t="array" aca="1" ref="BV143" ca="1">_xlfn.CEILING.MATH(INDIRECT("Table1"&amp;BV$3)/BV$2)*BV$2</f>
        <v>6000</v>
      </c>
      <c r="BW143" s="4"/>
      <c r="BX143" s="4"/>
      <c r="BY143" s="190">
        <v>0.87362296353762614</v>
      </c>
      <c r="BZ143" s="4"/>
      <c r="CA143" s="3"/>
      <c r="CF143" s="5"/>
      <c r="CH143" s="8"/>
      <c r="CI143" s="8"/>
      <c r="CJ143" s="14"/>
      <c r="CK143" s="8"/>
      <c r="CL143" s="8"/>
      <c r="CM143" s="8"/>
      <c r="CN143" s="8"/>
      <c r="CO143" s="8"/>
      <c r="CP143" s="8"/>
      <c r="CQ143" s="8">
        <f>Table1[[#This Row],[In-Tok]]+AvgOutLoad*Table1[[#This Row],[Out-Tok]]</f>
        <v>6050</v>
      </c>
      <c r="CR143" s="8"/>
      <c r="CS143" s="8"/>
      <c r="CT143" s="8"/>
      <c r="CU143" s="8"/>
      <c r="CV143" s="8"/>
      <c r="CW143" s="8"/>
      <c r="CX143" s="8"/>
      <c r="CY143" s="8"/>
      <c r="GJ143"/>
    </row>
    <row r="144" spans="1:192" x14ac:dyDescent="0.25">
      <c r="A144" s="3">
        <v>6000</v>
      </c>
      <c r="B144" s="3">
        <v>100</v>
      </c>
      <c r="C144">
        <v>5.4000000000000012</v>
      </c>
      <c r="D144" s="199">
        <f>Table1[[#This Row],[Kvcache]]</f>
        <v>0.71633479872424777</v>
      </c>
      <c r="E144" s="4" t="s">
        <v>144</v>
      </c>
      <c r="F144" s="219">
        <v>46092</v>
      </c>
      <c r="G144" s="10"/>
      <c r="H144" s="10">
        <v>1.435064111913392</v>
      </c>
      <c r="I144" s="10">
        <v>0.61902965535370225</v>
      </c>
      <c r="J144" s="10">
        <v>2.2936428410349152</v>
      </c>
      <c r="K144" s="10">
        <v>4.2085972944895422</v>
      </c>
      <c r="L144" s="10">
        <v>4.6697428464889521</v>
      </c>
      <c r="M144" s="10">
        <v>9.0844476588396894E-2</v>
      </c>
      <c r="N144" s="10">
        <v>10.363465631575954</v>
      </c>
      <c r="O144" s="47">
        <v>35490.23333333333</v>
      </c>
      <c r="P144" s="47">
        <v>532.35833333333335</v>
      </c>
      <c r="Q144" s="5">
        <v>45.74074074074074</v>
      </c>
      <c r="R144" s="5">
        <v>61</v>
      </c>
      <c r="S144" s="170">
        <v>0.71633479872424777</v>
      </c>
      <c r="T144" s="170">
        <v>0.95730540470649084</v>
      </c>
      <c r="U144" s="20">
        <f>(Table1[[#This Row],[In-Tok]]+Table1[[#This Row],[Out-Tok]])*Table1[[#This Row],[RPS]]</f>
        <v>32940.000000000007</v>
      </c>
      <c r="V144" s="3">
        <f>Table1[[#This Row],[In-Tok]]+AvgOutLoad*Table1[[#This Row],[Out-Tok]]</f>
        <v>6050</v>
      </c>
      <c r="W144" s="3">
        <f>Table1[[#This Row],[In-Tok]]*Table1[[#This Row],[RPS]]</f>
        <v>32400.000000000007</v>
      </c>
      <c r="X144" s="3">
        <f>Table1[[#This Row],[Out-Tok]]*Table1[[#This Row],[RPS]]</f>
        <v>540.00000000000011</v>
      </c>
      <c r="Y144" s="75">
        <f>Table1[[#This Row],[In-Tok]]/Table1[[#This Row],[Out-Tok]]</f>
        <v>60</v>
      </c>
      <c r="Z144" s="26">
        <f>Table1[[#This Row],[In-Tok]]*Table1[[#This Row],[N]]+AvgOutLoad*Table1[[#This Row],[Out-Tok]]*Table1[[#This Row],[Ndecode]]</f>
        <v>314558.4825110407</v>
      </c>
      <c r="AA144" s="3">
        <f>Table1[[#This Row],[tok(N)]]/Table1[[#This Row],[Kvcache]]</f>
        <v>439122.15778327646</v>
      </c>
      <c r="AB144" s="3">
        <f>Table1[[#This Row],[tok/req]]*Table1[[#This Row],[Run]]</f>
        <v>276731.48148148146</v>
      </c>
      <c r="AC144" s="3">
        <f>Table1[[#This Row],[tok(Run)]]/Table1[[#This Row],[Kvcache]]</f>
        <v>386315.84277955611</v>
      </c>
      <c r="AD144" s="3">
        <f>Table1[[#This Row],[tok/req]]*Table1[[#This Row],[MaxRun]]</f>
        <v>369050</v>
      </c>
      <c r="AE144" s="3">
        <f>Table1[[#This Row],[tok(MaxRun)]]/Table1[[#This Row],[MaxKvcache]]</f>
        <v>385509.15745968284</v>
      </c>
      <c r="AF144" s="75">
        <f>Table1[[#This Row],[PPS]]*Table1[[#This Row],[Prefill]]/Table1[[#This Row],[In-Tok]]</f>
        <v>3.6615844847926344</v>
      </c>
      <c r="AG144" s="5">
        <f>Table1[[#This Row],[GPS]]*Table1[[#This Row],[ITL]]</f>
        <v>48.361814149137992</v>
      </c>
      <c r="AH144" s="5">
        <f>Table1[[#This Row],[Nprefill]]+Table1[[#This Row],[Ndecode]]</f>
        <v>52.023398633930626</v>
      </c>
      <c r="AI144" s="4">
        <f>Table1[[#This Row],[Run]]/Table1[[#This Row],[ITL]]/Table1[[#This Row],[GPS]]</f>
        <v>0.94580283112799701</v>
      </c>
      <c r="AJ144" s="10">
        <f>Table1[[#This Row],[Prefill]]+Table1[[#This Row],[ITL]]</f>
        <v>0.70987413194209914</v>
      </c>
      <c r="AK144" s="4">
        <f>Table1[[#This Row],[TTFT]]/Table1[[#This Row],[estTTFT]]</f>
        <v>2.0215754418143002</v>
      </c>
      <c r="AL144" s="5">
        <f>Table1[[#This Row],[In-Tok]]*Table1[[#This Row],[RPS]]/Table1[[#This Row],[PPS]]</f>
        <v>0.91292721847419089</v>
      </c>
      <c r="AM144" s="4">
        <f>Table1[[#This Row],[Prefill]]/Table1[[#This Row],[estPrefill]]</f>
        <v>0.67807120088752471</v>
      </c>
      <c r="AN144" s="4">
        <f>Table1[[#This Row],[Prefill]]/Table1[[#This Row],[TTFT]]</f>
        <v>0.4313602787601879</v>
      </c>
      <c r="AO144" s="10">
        <f>Table1[[#This Row],[Run]]/(Table1[[#This Row],[Out-Tok]]*Table1[[#This Row],[RPS]])</f>
        <v>8.4705075445816166E-2</v>
      </c>
      <c r="AP144" s="4">
        <f>Table1[[#This Row],[ITL]]/Table1[[#This Row],[estITL]]</f>
        <v>1.0724797317075523</v>
      </c>
      <c r="AQ144" s="44">
        <f>Table1[[#This Row],[E2E]]-Table1[[#This Row],[TTFT]]+Table1[[#This Row],[ITL]]</f>
        <v>9.0192459962509588</v>
      </c>
      <c r="AR144" s="4">
        <f>Table1[[#This Row],[estDecode]]/Table1[[#This Row],[Run]]</f>
        <v>0.19718189627431246</v>
      </c>
      <c r="AS144" s="44">
        <f>Table1[[#This Row],[Prefill]]+Table1[[#This Row],[Out-Tok]]*Table1[[#This Row],[ITL]]</f>
        <v>9.7034773141933925</v>
      </c>
      <c r="AT144" s="5">
        <f>Table1[[#This Row],[estPrefill]]+Table1[[#This Row],[Out-Tok]]*Table1[[#This Row],[ITL]]</f>
        <v>9.9973748773138809</v>
      </c>
      <c r="AU144" s="4">
        <f>Table1[[#This Row],[E2E]]/Table1[[#This Row],[estE2E]]</f>
        <v>1.0366186882811417</v>
      </c>
      <c r="AV144" s="5">
        <f>Table1[[#This Row],[N]]/Table1[[#This Row],[estE2E]]</f>
        <v>5.2037059000340697</v>
      </c>
      <c r="AW144" s="5">
        <f>Table1[[#This Row],[PPS]]/Table1[[#This Row],[In-Tok]]</f>
        <v>5.9150388888888887</v>
      </c>
      <c r="AX144" s="4">
        <f>Table1[[#This Row],[RPS]]/Table1[[#This Row],[RPS(IL)]]</f>
        <v>0.91292721847419078</v>
      </c>
      <c r="AY144" s="5">
        <f>Table1[[#This Row],[GPS]]/Table1[[#This Row],[Out-Tok]]</f>
        <v>5.3235833333333336</v>
      </c>
      <c r="AZ144" s="89">
        <f>Table1[[#This Row],[RPS]]/Table1[[#This Row],[RPS(OL)]]</f>
        <v>1.0143543665763977</v>
      </c>
      <c r="BA144" s="135">
        <f>MaxTok/Table1[[#This Row],[tok/req]]</f>
        <v>64.117729254967813</v>
      </c>
      <c r="BB144" s="4">
        <f>Table1[[#This Row],[N]]/Table1[[#This Row],[N-max]]</f>
        <v>0.81137306698833034</v>
      </c>
      <c r="BC144" s="44">
        <f>Table1[[#This Row],[RPS]]</f>
        <v>5.4000000000000012</v>
      </c>
      <c r="BD144" s="47">
        <f>Table1[[#This Row],[PPS]]/Table1[[#This Row],[RPS success]]</f>
        <v>6572.2654320987631</v>
      </c>
      <c r="BE144" s="4">
        <f>ABS(Table1[[#This Row],[est-In-Tok3]]-Table1[[#This Row],[In-Tok]])/Table1[[#This Row],[In-Tok]]</f>
        <v>9.5377572016460507E-2</v>
      </c>
      <c r="BF144" s="47">
        <f>Table1[[#This Row],[GPS]]/Table1[[#This Row],[RPS success]]</f>
        <v>98.584876543209859</v>
      </c>
      <c r="BG144" s="4">
        <f>ABS(Table1[[#This Row],[est-Out-Tok3]]-Table1[[#This Row],[Out-Tok]])/Table1[[#This Row],[Out-Tok]]</f>
        <v>1.4151234567901412E-2</v>
      </c>
      <c r="BH144" s="162">
        <f>Table1[[#This Row],[est-In-Tok3]]+AvgOutLoad*Table1[[#This Row],[est-Out-Tok3]]</f>
        <v>6621.5578703703677</v>
      </c>
      <c r="BI144" s="4">
        <f>ABS(Table1[[#This Row],[est-Tok/Req3]]-Table1[[#This Row],[tok/req]])/Table1[[#This Row],[tok/req]]</f>
        <v>9.4472375267829367E-2</v>
      </c>
      <c r="BJ144" s="162">
        <f>MaxTok/Table1[[#This Row],[est-Tok/Req3]]</f>
        <v>58.583232161777957</v>
      </c>
      <c r="BK144" s="4">
        <f>ABS(Table1[[#This Row],[est-N-max3]]-Table1[[#This Row],[N-max]])/Table1[[#This Row],[N-max]]</f>
        <v>8.6317733916957851E-2</v>
      </c>
      <c r="BL144" s="44">
        <f>MaxTok*Table1[[#This Row],[Kvcache]]/Table1[[#This Row],[Run]]</f>
        <v>6075.0011394022904</v>
      </c>
      <c r="BM144" s="170">
        <f>ABS(Table1[[#This Row],[est-Tok/Req]]-Table1[[#This Row],[tok/req]])/Table1[[#This Row],[tok/req]]</f>
        <v>4.1324197359157676E-3</v>
      </c>
      <c r="BN144" s="44">
        <f>MaxTok/Table1[[#This Row],[est-Tok/Req]]</f>
        <v>63.853858310670432</v>
      </c>
      <c r="BO144" s="180">
        <f>Table1[[#This Row],[Run]]/Table1[[#This Row],[Kvcache]]</f>
        <v>63.853858310670432</v>
      </c>
      <c r="BP144" s="4" cm="1">
        <f t="array" aca="1" ref="BP144" ca="1">_xlfn.CEILING.MATH(INDIRECT("Table1"&amp;BP$3)/BP$2)*BP$2</f>
        <v>7000</v>
      </c>
      <c r="BQ144" s="4" cm="1">
        <f t="array" aca="1" ref="BQ144" ca="1">_xlfn.CEILING.MATH(INDIRECT("Table1"&amp;BQ$3)/BQ$2)*BQ$2</f>
        <v>9.5000000000000001E-2</v>
      </c>
      <c r="BR144" s="4" cm="1">
        <f t="array" aca="1" ref="BR144" ca="1">_xlfn.CEILING.MATH(INDIRECT("Table1"&amp;BR$3)/BR$2)*BR$2</f>
        <v>0.8</v>
      </c>
      <c r="BS144" s="4" cm="1">
        <f t="array" aca="1" ref="BS144" ca="1">_xlfn.CEILING.MATH(INDIRECT("Table1"&amp;BS$3)/BS$2)*BS$2</f>
        <v>0.72</v>
      </c>
      <c r="BT144" s="3" cm="1">
        <f t="array" aca="1" ref="BT144" ca="1">_xlfn.CEILING.MATH(INDIRECT("Table1"&amp;BT$3)/BT$2)*BT$2</f>
        <v>46</v>
      </c>
      <c r="BU144" s="135" cm="1">
        <f t="array" aca="1" ref="BU144" ca="1">_xlfn.CEILING.MATH(INDIRECT("Table1"&amp;BU$3)/BU$2)*BU$2</f>
        <v>60</v>
      </c>
      <c r="BV144" s="135" cm="1">
        <f t="array" aca="1" ref="BV144" ca="1">_xlfn.CEILING.MATH(INDIRECT("Table1"&amp;BV$3)/BV$2)*BV$2</f>
        <v>6000</v>
      </c>
      <c r="BW144" s="4"/>
      <c r="BX144" s="4"/>
      <c r="BY144" s="190">
        <v>0.95730540470649084</v>
      </c>
      <c r="BZ144" s="4"/>
      <c r="CA144" s="3"/>
      <c r="CF144" s="5"/>
      <c r="CH144" s="8"/>
      <c r="CI144" s="8"/>
      <c r="CJ144" s="14"/>
      <c r="CK144" s="8"/>
      <c r="CL144" s="8"/>
      <c r="CM144" s="8"/>
      <c r="CN144" s="8"/>
      <c r="CO144" s="8"/>
      <c r="CP144" s="8"/>
      <c r="CQ144" s="8">
        <f>Table1[[#This Row],[In-Tok]]+AvgOutLoad*Table1[[#This Row],[Out-Tok]]</f>
        <v>6050</v>
      </c>
      <c r="CR144" s="8"/>
      <c r="CS144" s="8"/>
      <c r="CT144" s="8"/>
      <c r="CU144" s="8"/>
      <c r="CV144" s="8"/>
      <c r="CW144" s="8"/>
      <c r="CX144" s="8"/>
      <c r="CY144" s="8"/>
      <c r="GJ144"/>
    </row>
    <row r="145" spans="1:192" x14ac:dyDescent="0.25">
      <c r="A145" s="3">
        <v>6000</v>
      </c>
      <c r="B145" s="3">
        <v>100</v>
      </c>
      <c r="C145">
        <v>5.8</v>
      </c>
      <c r="D145" s="199">
        <f>Table1[[#This Row],[Kvcache]]</f>
        <v>0.78210499094905606</v>
      </c>
      <c r="E145" s="4" t="s">
        <v>144</v>
      </c>
      <c r="F145" s="219">
        <v>46092</v>
      </c>
      <c r="G145" s="10"/>
      <c r="H145" s="10">
        <v>3.5289551875927123</v>
      </c>
      <c r="I145" s="10">
        <v>1.3774511413063049</v>
      </c>
      <c r="J145" s="10">
        <v>4.9888406751636927</v>
      </c>
      <c r="K145" s="10">
        <v>9.005064344406124</v>
      </c>
      <c r="L145" s="10">
        <v>9.3004104820887239</v>
      </c>
      <c r="M145" s="10">
        <v>9.6583568567583281E-2</v>
      </c>
      <c r="N145" s="10">
        <v>12.277739819959905</v>
      </c>
      <c r="O145" s="47">
        <v>35706.416666666664</v>
      </c>
      <c r="P145" s="47">
        <v>509.20416666666665</v>
      </c>
      <c r="Q145" s="5">
        <v>50.25925925925926</v>
      </c>
      <c r="R145" s="5">
        <v>64</v>
      </c>
      <c r="S145" s="170">
        <v>0.78210499094905606</v>
      </c>
      <c r="T145" s="170">
        <v>0.99775019394879749</v>
      </c>
      <c r="U145" s="20">
        <f>(Table1[[#This Row],[In-Tok]]+Table1[[#This Row],[Out-Tok]])*Table1[[#This Row],[RPS]]</f>
        <v>35380</v>
      </c>
      <c r="V145" s="3">
        <f>Table1[[#This Row],[In-Tok]]+AvgOutLoad*Table1[[#This Row],[Out-Tok]]</f>
        <v>6050</v>
      </c>
      <c r="W145" s="3">
        <f>Table1[[#This Row],[In-Tok]]*Table1[[#This Row],[RPS]]</f>
        <v>34800</v>
      </c>
      <c r="X145" s="3">
        <f>Table1[[#This Row],[Out-Tok]]*Table1[[#This Row],[RPS]]</f>
        <v>580</v>
      </c>
      <c r="Y145" s="75">
        <f>Table1[[#This Row],[In-Tok]]/Table1[[#This Row],[Out-Tok]]</f>
        <v>60</v>
      </c>
      <c r="Z145" s="26">
        <f>Table1[[#This Row],[In-Tok]]*Table1[[#This Row],[N]]+AvgOutLoad*Table1[[#This Row],[Out-Tok]]*Table1[[#This Row],[Ndecode]]</f>
        <v>346727.41544366052</v>
      </c>
      <c r="AA145" s="3">
        <f>Table1[[#This Row],[tok(N)]]/Table1[[#This Row],[Kvcache]]</f>
        <v>443325.9210159487</v>
      </c>
      <c r="AB145" s="3">
        <f>Table1[[#This Row],[tok/req]]*Table1[[#This Row],[Run]]</f>
        <v>304068.51851851854</v>
      </c>
      <c r="AC145" s="3">
        <f>Table1[[#This Row],[tok(Run)]]/Table1[[#This Row],[Kvcache]]</f>
        <v>388782.22494085151</v>
      </c>
      <c r="AD145" s="3">
        <f>Table1[[#This Row],[tok/req]]*Table1[[#This Row],[MaxRun]]</f>
        <v>387200</v>
      </c>
      <c r="AE145" s="3">
        <f>Table1[[#This Row],[tok(MaxRun)]]/Table1[[#This Row],[MaxKvcache]]</f>
        <v>388073.08918435581</v>
      </c>
      <c r="AF145" s="75">
        <f>Table1[[#This Row],[PPS]]*Table1[[#This Row],[Prefill]]/Table1[[#This Row],[In-Tok]]</f>
        <v>8.197307398243078</v>
      </c>
      <c r="AG145" s="5">
        <f>Table1[[#This Row],[GPS]]*Table1[[#This Row],[ITL]]</f>
        <v>49.180755546149101</v>
      </c>
      <c r="AH145" s="5">
        <f>Table1[[#This Row],[Nprefill]]+Table1[[#This Row],[Ndecode]]</f>
        <v>57.378062944392177</v>
      </c>
      <c r="AI145" s="4">
        <f>Table1[[#This Row],[Run]]/Table1[[#This Row],[ITL]]/Table1[[#This Row],[GPS]]</f>
        <v>1.0219293847996731</v>
      </c>
      <c r="AJ145" s="10">
        <f>Table1[[#This Row],[Prefill]]+Table1[[#This Row],[ITL]]</f>
        <v>1.4740347098738882</v>
      </c>
      <c r="AK145" s="4">
        <f>Table1[[#This Row],[TTFT]]/Table1[[#This Row],[estTTFT]]</f>
        <v>2.3940787580874767</v>
      </c>
      <c r="AL145" s="5">
        <f>Table1[[#This Row],[In-Tok]]*Table1[[#This Row],[RPS]]/Table1[[#This Row],[PPS]]</f>
        <v>0.9746147401144053</v>
      </c>
      <c r="AM145" s="4">
        <f>Table1[[#This Row],[Prefill]]/Table1[[#This Row],[estPrefill]]</f>
        <v>1.4133288617660478</v>
      </c>
      <c r="AN145" s="4">
        <f>Table1[[#This Row],[Prefill]]/Table1[[#This Row],[TTFT]]</f>
        <v>0.39032831761344566</v>
      </c>
      <c r="AO145" s="10">
        <f>Table1[[#This Row],[Run]]/(Table1[[#This Row],[Out-Tok]]*Table1[[#This Row],[RPS]])</f>
        <v>8.6653895274584933E-2</v>
      </c>
      <c r="AP145" s="4">
        <f>Table1[[#This Row],[ITL]]/Table1[[#This Row],[estITL]]</f>
        <v>1.114590039622958</v>
      </c>
      <c r="AQ145" s="44">
        <f>Table1[[#This Row],[E2E]]-Table1[[#This Row],[TTFT]]+Table1[[#This Row],[ITL]]</f>
        <v>8.8453682009347752</v>
      </c>
      <c r="AR145" s="4">
        <f>Table1[[#This Row],[estDecode]]/Table1[[#This Row],[Run]]</f>
        <v>0.17599479839737578</v>
      </c>
      <c r="AS145" s="44">
        <f>Table1[[#This Row],[Prefill]]+Table1[[#This Row],[Out-Tok]]*Table1[[#This Row],[ITL]]</f>
        <v>11.035807998064632</v>
      </c>
      <c r="AT145" s="5">
        <f>Table1[[#This Row],[estPrefill]]+Table1[[#This Row],[Out-Tok]]*Table1[[#This Row],[ITL]]</f>
        <v>10.632971596872734</v>
      </c>
      <c r="AU145" s="4">
        <f>Table1[[#This Row],[E2E]]/Table1[[#This Row],[estE2E]]</f>
        <v>1.1546856594228949</v>
      </c>
      <c r="AV145" s="5">
        <f>Table1[[#This Row],[N]]/Table1[[#This Row],[estE2E]]</f>
        <v>5.3962396515069839</v>
      </c>
      <c r="AW145" s="5">
        <f>Table1[[#This Row],[PPS]]/Table1[[#This Row],[In-Tok]]</f>
        <v>5.9510694444444443</v>
      </c>
      <c r="AX145" s="4">
        <f>Table1[[#This Row],[RPS]]/Table1[[#This Row],[RPS(IL)]]</f>
        <v>0.97461474011440519</v>
      </c>
      <c r="AY145" s="5">
        <f>Table1[[#This Row],[GPS]]/Table1[[#This Row],[Out-Tok]]</f>
        <v>5.0920416666666668</v>
      </c>
      <c r="AZ145" s="89">
        <f>Table1[[#This Row],[RPS]]/Table1[[#This Row],[RPS(OL)]]</f>
        <v>1.1390323134957328</v>
      </c>
      <c r="BA145" s="135">
        <f>MaxTok/Table1[[#This Row],[tok/req]]</f>
        <v>64.117729254967813</v>
      </c>
      <c r="BB145" s="4">
        <f>Table1[[#This Row],[N]]/Table1[[#This Row],[N-max]]</f>
        <v>0.89488607302708789</v>
      </c>
      <c r="BC145" s="44">
        <f>Table1[[#This Row],[RPS]]</f>
        <v>5.8</v>
      </c>
      <c r="BD145" s="47">
        <f>Table1[[#This Row],[PPS]]/Table1[[#This Row],[RPS success]]</f>
        <v>6156.2787356321833</v>
      </c>
      <c r="BE145" s="4">
        <f>ABS(Table1[[#This Row],[est-In-Tok3]]-Table1[[#This Row],[In-Tok]])/Table1[[#This Row],[In-Tok]]</f>
        <v>2.6046455938697213E-2</v>
      </c>
      <c r="BF145" s="47">
        <f>Table1[[#This Row],[GPS]]/Table1[[#This Row],[RPS success]]</f>
        <v>87.793821839080465</v>
      </c>
      <c r="BG145" s="4">
        <f>ABS(Table1[[#This Row],[est-Out-Tok3]]-Table1[[#This Row],[Out-Tok]])/Table1[[#This Row],[Out-Tok]]</f>
        <v>0.12206178160919536</v>
      </c>
      <c r="BH145" s="162">
        <f>Table1[[#This Row],[est-In-Tok3]]+AvgOutLoad*Table1[[#This Row],[est-Out-Tok3]]</f>
        <v>6200.1756465517237</v>
      </c>
      <c r="BI145" s="4">
        <f>ABS(Table1[[#This Row],[est-Tok/Req3]]-Table1[[#This Row],[tok/req]])/Table1[[#This Row],[tok/req]]</f>
        <v>2.4822420917640284E-2</v>
      </c>
      <c r="BJ145" s="162">
        <f>MaxTok/Table1[[#This Row],[est-Tok/Req3]]</f>
        <v>62.564721405642068</v>
      </c>
      <c r="BK145" s="4">
        <f>ABS(Table1[[#This Row],[est-N-max3]]-Table1[[#This Row],[N-max]])/Table1[[#This Row],[N-max]]</f>
        <v>2.4221192287551551E-2</v>
      </c>
      <c r="BL145" s="44">
        <f>MaxTok*Table1[[#This Row],[Kvcache]]/Table1[[#This Row],[Run]]</f>
        <v>6036.4621489884403</v>
      </c>
      <c r="BM145" s="170">
        <f>ABS(Table1[[#This Row],[est-Tok/Req]]-Table1[[#This Row],[tok/req]])/Table1[[#This Row],[tok/req]]</f>
        <v>2.2376613242247479E-3</v>
      </c>
      <c r="BN145" s="44">
        <f>MaxTok/Table1[[#This Row],[est-Tok/Req]]</f>
        <v>64.261524783611819</v>
      </c>
      <c r="BO145" s="180">
        <f>Table1[[#This Row],[Run]]/Table1[[#This Row],[Kvcache]]</f>
        <v>64.261524783611819</v>
      </c>
      <c r="BP145" s="4" cm="1">
        <f t="array" aca="1" ref="BP145" ca="1">_xlfn.CEILING.MATH(INDIRECT("Table1"&amp;BP$3)/BP$2)*BP$2</f>
        <v>7000</v>
      </c>
      <c r="BQ145" s="4" cm="1">
        <f t="array" aca="1" ref="BQ145" ca="1">_xlfn.CEILING.MATH(INDIRECT("Table1"&amp;BQ$3)/BQ$2)*BQ$2</f>
        <v>0.1</v>
      </c>
      <c r="BR145" s="4" cm="1">
        <f t="array" aca="1" ref="BR145" ca="1">_xlfn.CEILING.MATH(INDIRECT("Table1"&amp;BR$3)/BR$2)*BR$2</f>
        <v>0.8</v>
      </c>
      <c r="BS145" s="4" cm="1">
        <f t="array" aca="1" ref="BS145" ca="1">_xlfn.CEILING.MATH(INDIRECT("Table1"&amp;BS$3)/BS$2)*BS$2</f>
        <v>0.79</v>
      </c>
      <c r="BT145" s="3" cm="1">
        <f t="array" aca="1" ref="BT145" ca="1">_xlfn.CEILING.MATH(INDIRECT("Table1"&amp;BT$3)/BT$2)*BT$2</f>
        <v>51</v>
      </c>
      <c r="BU145" s="135" cm="1">
        <f t="array" aca="1" ref="BU145" ca="1">_xlfn.CEILING.MATH(INDIRECT("Table1"&amp;BU$3)/BU$2)*BU$2</f>
        <v>60</v>
      </c>
      <c r="BV145" s="135" cm="1">
        <f t="array" aca="1" ref="BV145" ca="1">_xlfn.CEILING.MATH(INDIRECT("Table1"&amp;BV$3)/BV$2)*BV$2</f>
        <v>6000</v>
      </c>
      <c r="BW145" s="4"/>
      <c r="BX145" s="4"/>
      <c r="BY145" s="190">
        <v>0.99775019394879749</v>
      </c>
      <c r="BZ145" s="4"/>
      <c r="CA145" s="3"/>
      <c r="CF145" s="5"/>
      <c r="CH145" s="8"/>
      <c r="CI145" s="8"/>
      <c r="CJ145" s="14"/>
      <c r="CK145" s="8"/>
      <c r="CL145" s="8"/>
      <c r="CM145" s="8"/>
      <c r="CN145" s="8"/>
      <c r="CO145" s="8"/>
      <c r="CP145" s="8"/>
      <c r="CQ145" s="8">
        <f>Table1[[#This Row],[In-Tok]]+AvgOutLoad*Table1[[#This Row],[Out-Tok]]</f>
        <v>6050</v>
      </c>
      <c r="CR145" s="8"/>
      <c r="CS145" s="8"/>
      <c r="CT145" s="8"/>
      <c r="CU145" s="8"/>
      <c r="CV145" s="8"/>
      <c r="CW145" s="8"/>
      <c r="CX145" s="8"/>
      <c r="CY145" s="8"/>
      <c r="GJ145"/>
    </row>
    <row r="146" spans="1:192" x14ac:dyDescent="0.25">
      <c r="A146" s="3">
        <v>6000</v>
      </c>
      <c r="B146" s="3">
        <v>100</v>
      </c>
      <c r="C146">
        <v>6</v>
      </c>
      <c r="D146" s="199">
        <f>Table1[[#This Row],[Kvcache]]</f>
        <v>0.69932189753756857</v>
      </c>
      <c r="E146" s="4" t="s">
        <v>144</v>
      </c>
      <c r="F146" s="219">
        <v>46092</v>
      </c>
      <c r="G146" s="10"/>
      <c r="H146" s="10">
        <v>2.7787750410736831</v>
      </c>
      <c r="I146" s="10">
        <v>1.2817617600254509</v>
      </c>
      <c r="J146" s="10">
        <v>3.997555226543712</v>
      </c>
      <c r="K146" s="10">
        <v>12.724696377913155</v>
      </c>
      <c r="L146" s="10">
        <v>13.233069755236306</v>
      </c>
      <c r="M146" s="10">
        <v>8.4682442355198839E-2</v>
      </c>
      <c r="N146" s="10">
        <v>11.696284017271052</v>
      </c>
      <c r="O146" s="47">
        <v>35089.066666666658</v>
      </c>
      <c r="P146" s="47">
        <v>531.5916666666667</v>
      </c>
      <c r="Q146" s="5">
        <v>44.925925925925924</v>
      </c>
      <c r="R146" s="5">
        <v>62.666666666666664</v>
      </c>
      <c r="S146" s="170">
        <v>0.69932189753756857</v>
      </c>
      <c r="T146" s="170">
        <v>0.97659684509956035</v>
      </c>
      <c r="U146" s="20">
        <f>(Table1[[#This Row],[In-Tok]]+Table1[[#This Row],[Out-Tok]])*Table1[[#This Row],[RPS]]</f>
        <v>36600</v>
      </c>
      <c r="V146" s="3">
        <f>Table1[[#This Row],[In-Tok]]+AvgOutLoad*Table1[[#This Row],[Out-Tok]]</f>
        <v>6050</v>
      </c>
      <c r="W146" s="3">
        <f>Table1[[#This Row],[In-Tok]]*Table1[[#This Row],[RPS]]</f>
        <v>36000</v>
      </c>
      <c r="X146" s="3">
        <f>Table1[[#This Row],[Out-Tok]]*Table1[[#This Row],[RPS]]</f>
        <v>600</v>
      </c>
      <c r="Y146" s="75">
        <f>Table1[[#This Row],[In-Tok]]/Table1[[#This Row],[Out-Tok]]</f>
        <v>60</v>
      </c>
      <c r="Z146" s="26">
        <f>Table1[[#This Row],[In-Tok]]*Table1[[#This Row],[N]]+AvgOutLoad*Table1[[#This Row],[Out-Tok]]*Table1[[#This Row],[Ndecode]]</f>
        <v>317325.53189579176</v>
      </c>
      <c r="AA146" s="3">
        <f>Table1[[#This Row],[tok(N)]]/Table1[[#This Row],[Kvcache]]</f>
        <v>453761.75551366113</v>
      </c>
      <c r="AB146" s="3">
        <f>Table1[[#This Row],[tok/req]]*Table1[[#This Row],[Run]]</f>
        <v>271801.85185185185</v>
      </c>
      <c r="AC146" s="3">
        <f>Table1[[#This Row],[tok(Run)]]/Table1[[#This Row],[Kvcache]]</f>
        <v>388664.86636399123</v>
      </c>
      <c r="AD146" s="3">
        <f>Table1[[#This Row],[tok/req]]*Table1[[#This Row],[MaxRun]]</f>
        <v>379133.33333333331</v>
      </c>
      <c r="AE146" s="3">
        <f>Table1[[#This Row],[tok(MaxRun)]]/Table1[[#This Row],[MaxKvcache]]</f>
        <v>388218.87991526542</v>
      </c>
      <c r="AF146" s="75">
        <f>Table1[[#This Row],[PPS]]*Table1[[#This Row],[Prefill]]/Table1[[#This Row],[In-Tok]]</f>
        <v>7.4959706413861742</v>
      </c>
      <c r="AG146" s="5">
        <f>Table1[[#This Row],[GPS]]*Table1[[#This Row],[ITL]]</f>
        <v>45.016480669004082</v>
      </c>
      <c r="AH146" s="5">
        <f>Table1[[#This Row],[Nprefill]]+Table1[[#This Row],[Ndecode]]</f>
        <v>52.512451310390254</v>
      </c>
      <c r="AI146" s="4">
        <f>Table1[[#This Row],[Run]]/Table1[[#This Row],[ITL]]/Table1[[#This Row],[GPS]]</f>
        <v>0.99798840909523823</v>
      </c>
      <c r="AJ146" s="10">
        <f>Table1[[#This Row],[Prefill]]+Table1[[#This Row],[ITL]]</f>
        <v>1.3664442023806498</v>
      </c>
      <c r="AK146" s="4">
        <f>Table1[[#This Row],[TTFT]]/Table1[[#This Row],[estTTFT]]</f>
        <v>2.0335810538274735</v>
      </c>
      <c r="AL146" s="5">
        <f>Table1[[#This Row],[In-Tok]]*Table1[[#This Row],[RPS]]/Table1[[#This Row],[PPS]]</f>
        <v>1.0259606031128408</v>
      </c>
      <c r="AM146" s="4">
        <f>Table1[[#This Row],[Prefill]]/Table1[[#This Row],[estPrefill]]</f>
        <v>1.2493284402310287</v>
      </c>
      <c r="AN146" s="4">
        <f>Table1[[#This Row],[Prefill]]/Table1[[#This Row],[TTFT]]</f>
        <v>0.46126863134994711</v>
      </c>
      <c r="AO146" s="10">
        <f>Table1[[#This Row],[Run]]/(Table1[[#This Row],[Out-Tok]]*Table1[[#This Row],[RPS]])</f>
        <v>7.4876543209876537E-2</v>
      </c>
      <c r="AP146" s="4">
        <f>Table1[[#This Row],[ITL]]/Table1[[#This Row],[estITL]]</f>
        <v>1.1309608954280472</v>
      </c>
      <c r="AQ146" s="44">
        <f>Table1[[#This Row],[E2E]]-Table1[[#This Row],[TTFT]]+Table1[[#This Row],[ITL]]</f>
        <v>9.0021914185525684</v>
      </c>
      <c r="AR146" s="4">
        <f>Table1[[#This Row],[estDecode]]/Table1[[#This Row],[Run]]</f>
        <v>0.20037853940718825</v>
      </c>
      <c r="AS146" s="44">
        <f>Table1[[#This Row],[Prefill]]+Table1[[#This Row],[Out-Tok]]*Table1[[#This Row],[ITL]]</f>
        <v>9.7500059955453331</v>
      </c>
      <c r="AT146" s="5">
        <f>Table1[[#This Row],[estPrefill]]+Table1[[#This Row],[Out-Tok]]*Table1[[#This Row],[ITL]]</f>
        <v>9.494204838632724</v>
      </c>
      <c r="AU146" s="4">
        <f>Table1[[#This Row],[E2E]]/Table1[[#This Row],[estE2E]]</f>
        <v>1.2319392951875108</v>
      </c>
      <c r="AV146" s="5">
        <f>Table1[[#This Row],[N]]/Table1[[#This Row],[estE2E]]</f>
        <v>5.5310004579543763</v>
      </c>
      <c r="AW146" s="5">
        <f>Table1[[#This Row],[PPS]]/Table1[[#This Row],[In-Tok]]</f>
        <v>5.8481777777777761</v>
      </c>
      <c r="AX146" s="4">
        <f>Table1[[#This Row],[RPS]]/Table1[[#This Row],[RPS(IL)]]</f>
        <v>1.0259606031128408</v>
      </c>
      <c r="AY146" s="5">
        <f>Table1[[#This Row],[GPS]]/Table1[[#This Row],[Out-Tok]]</f>
        <v>5.3159166666666673</v>
      </c>
      <c r="AZ146" s="89">
        <f>Table1[[#This Row],[RPS]]/Table1[[#This Row],[RPS(OL)]]</f>
        <v>1.1286858647771627</v>
      </c>
      <c r="BA146" s="135">
        <f>MaxTok/Table1[[#This Row],[tok/req]]</f>
        <v>64.117729254967813</v>
      </c>
      <c r="BB146" s="4">
        <f>Table1[[#This Row],[N]]/Table1[[#This Row],[N-max]]</f>
        <v>0.81900048427434935</v>
      </c>
      <c r="BC146" s="44">
        <f>Table1[[#This Row],[RPS]]</f>
        <v>6</v>
      </c>
      <c r="BD146" s="47">
        <f>Table1[[#This Row],[PPS]]/Table1[[#This Row],[RPS success]]</f>
        <v>5848.1777777777761</v>
      </c>
      <c r="BE146" s="4">
        <f>ABS(Table1[[#This Row],[est-In-Tok3]]-Table1[[#This Row],[In-Tok]])/Table1[[#This Row],[In-Tok]]</f>
        <v>2.5303703703703984E-2</v>
      </c>
      <c r="BF146" s="47">
        <f>Table1[[#This Row],[GPS]]/Table1[[#This Row],[RPS success]]</f>
        <v>88.598611111111111</v>
      </c>
      <c r="BG146" s="4">
        <f>ABS(Table1[[#This Row],[est-Out-Tok3]]-Table1[[#This Row],[Out-Tok]])/Table1[[#This Row],[Out-Tok]]</f>
        <v>0.11401388888888889</v>
      </c>
      <c r="BH146" s="162">
        <f>Table1[[#This Row],[est-In-Tok3]]+AvgOutLoad*Table1[[#This Row],[est-Out-Tok3]]</f>
        <v>5892.4770833333314</v>
      </c>
      <c r="BI146" s="4">
        <f>ABS(Table1[[#This Row],[est-Tok/Req3]]-Table1[[#This Row],[tok/req]])/Table1[[#This Row],[tok/req]]</f>
        <v>2.6036845730027867E-2</v>
      </c>
      <c r="BJ146" s="162">
        <f>MaxTok/Table1[[#This Row],[est-Tok/Req3]]</f>
        <v>65.831781185836391</v>
      </c>
      <c r="BK146" s="4">
        <f>ABS(Table1[[#This Row],[est-N-max3]]-Table1[[#This Row],[N-max]])/Table1[[#This Row],[N-max]]</f>
        <v>2.673288575227848E-2</v>
      </c>
      <c r="BL146" s="44">
        <f>MaxTok*Table1[[#This Row],[Kvcache]]/Table1[[#This Row],[Run]]</f>
        <v>6038.2848776896562</v>
      </c>
      <c r="BM146" s="170">
        <f>ABS(Table1[[#This Row],[est-Tok/Req]]-Table1[[#This Row],[tok/req]])/Table1[[#This Row],[tok/req]]</f>
        <v>1.9363838529493816E-3</v>
      </c>
      <c r="BN146" s="44">
        <f>MaxTok/Table1[[#This Row],[est-Tok/Req]]</f>
        <v>64.242126671734084</v>
      </c>
      <c r="BO146" s="180">
        <f>Table1[[#This Row],[Run]]/Table1[[#This Row],[Kvcache]]</f>
        <v>64.242126671734084</v>
      </c>
      <c r="BP146" s="4" cm="1">
        <f t="array" aca="1" ref="BP146" ca="1">_xlfn.CEILING.MATH(INDIRECT("Table1"&amp;BP$3)/BP$2)*BP$2</f>
        <v>7000</v>
      </c>
      <c r="BQ146" s="4" cm="1">
        <f t="array" aca="1" ref="BQ146" ca="1">_xlfn.CEILING.MATH(INDIRECT("Table1"&amp;BQ$3)/BQ$2)*BQ$2</f>
        <v>8.5000000000000006E-2</v>
      </c>
      <c r="BR146" s="4" cm="1">
        <f t="array" aca="1" ref="BR146" ca="1">_xlfn.CEILING.MATH(INDIRECT("Table1"&amp;BR$3)/BR$2)*BR$2</f>
        <v>0.70000000000000007</v>
      </c>
      <c r="BS146" s="4" cm="1">
        <f t="array" aca="1" ref="BS146" ca="1">_xlfn.CEILING.MATH(INDIRECT("Table1"&amp;BS$3)/BS$2)*BS$2</f>
        <v>0.70000000000000007</v>
      </c>
      <c r="BT146" s="3" cm="1">
        <f t="array" aca="1" ref="BT146" ca="1">_xlfn.CEILING.MATH(INDIRECT("Table1"&amp;BT$3)/BT$2)*BT$2</f>
        <v>45</v>
      </c>
      <c r="BU146" s="135" cm="1">
        <f t="array" aca="1" ref="BU146" ca="1">_xlfn.CEILING.MATH(INDIRECT("Table1"&amp;BU$3)/BU$2)*BU$2</f>
        <v>60</v>
      </c>
      <c r="BV146" s="135" cm="1">
        <f t="array" aca="1" ref="BV146" ca="1">_xlfn.CEILING.MATH(INDIRECT("Table1"&amp;BV$3)/BV$2)*BV$2</f>
        <v>6000</v>
      </c>
      <c r="BW146" s="4"/>
      <c r="BX146" s="4"/>
      <c r="BY146" s="190">
        <v>0.97659684509956035</v>
      </c>
      <c r="BZ146" s="4"/>
      <c r="CA146" s="3"/>
      <c r="CF146" s="5"/>
      <c r="CH146" s="8"/>
      <c r="CI146" s="8"/>
      <c r="CJ146" s="14"/>
      <c r="CK146" s="8"/>
      <c r="CL146" s="8"/>
      <c r="CM146" s="8"/>
      <c r="CN146" s="8"/>
      <c r="CO146" s="8"/>
      <c r="CP146" s="8"/>
      <c r="CQ146" s="8">
        <f>Table1[[#This Row],[In-Tok]]+AvgOutLoad*Table1[[#This Row],[Out-Tok]]</f>
        <v>6050</v>
      </c>
      <c r="CR146" s="8"/>
      <c r="CS146" s="8"/>
      <c r="CT146" s="8"/>
      <c r="CU146" s="8"/>
      <c r="CV146" s="8"/>
      <c r="CW146" s="8"/>
      <c r="CX146" s="8"/>
      <c r="CY146" s="8"/>
      <c r="GJ146"/>
    </row>
    <row r="147" spans="1:192" x14ac:dyDescent="0.25">
      <c r="A147" s="3">
        <v>6000</v>
      </c>
      <c r="B147" s="3">
        <v>100</v>
      </c>
      <c r="C147">
        <v>6.2</v>
      </c>
      <c r="D147" s="199">
        <f>Table1[[#This Row],[Kvcache]]</f>
        <v>0.73818061661351031</v>
      </c>
      <c r="E147" s="4" t="s">
        <v>144</v>
      </c>
      <c r="F147" s="219">
        <v>46092</v>
      </c>
      <c r="G147" s="10"/>
      <c r="H147" s="10">
        <v>2.9788035527552004</v>
      </c>
      <c r="I147" s="10">
        <v>1.227755021093192</v>
      </c>
      <c r="J147" s="10">
        <v>3.9927787936789039</v>
      </c>
      <c r="K147" s="10">
        <v>7.4239736080169676</v>
      </c>
      <c r="L147" s="10">
        <v>7.9053410498301178</v>
      </c>
      <c r="M147" s="10">
        <v>9.7520763342730118E-2</v>
      </c>
      <c r="N147" s="10">
        <v>12.31737369905828</v>
      </c>
      <c r="O147" s="47">
        <v>35939.995833333327</v>
      </c>
      <c r="P147" s="47">
        <v>523.57499999999993</v>
      </c>
      <c r="Q147" s="5">
        <v>47.407407407407412</v>
      </c>
      <c r="R147" s="5">
        <v>63.333333333333336</v>
      </c>
      <c r="S147" s="170">
        <v>0.73818061661351031</v>
      </c>
      <c r="T147" s="170">
        <v>0.99056115852081728</v>
      </c>
      <c r="U147" s="20">
        <f>(Table1[[#This Row],[In-Tok]]+Table1[[#This Row],[Out-Tok]])*Table1[[#This Row],[RPS]]</f>
        <v>37820</v>
      </c>
      <c r="V147" s="3">
        <f>Table1[[#This Row],[In-Tok]]+AvgOutLoad*Table1[[#This Row],[Out-Tok]]</f>
        <v>6050</v>
      </c>
      <c r="W147" s="3">
        <f>Table1[[#This Row],[In-Tok]]*Table1[[#This Row],[RPS]]</f>
        <v>37200</v>
      </c>
      <c r="X147" s="3">
        <f>Table1[[#This Row],[Out-Tok]]*Table1[[#This Row],[RPS]]</f>
        <v>620</v>
      </c>
      <c r="Y147" s="75">
        <f>Table1[[#This Row],[In-Tok]]/Table1[[#This Row],[Out-Tok]]</f>
        <v>60</v>
      </c>
      <c r="Z147" s="26">
        <f>Table1[[#This Row],[In-Tok]]*Table1[[#This Row],[N]]+AvgOutLoad*Table1[[#This Row],[Out-Tok]]*Table1[[#This Row],[Ndecode]]</f>
        <v>353035.08402882138</v>
      </c>
      <c r="AA147" s="3">
        <f>Table1[[#This Row],[tok(N)]]/Table1[[#This Row],[Kvcache]]</f>
        <v>478250.27653585788</v>
      </c>
      <c r="AB147" s="3">
        <f>Table1[[#This Row],[tok/req]]*Table1[[#This Row],[Run]]</f>
        <v>286814.81481481483</v>
      </c>
      <c r="AC147" s="3">
        <f>Table1[[#This Row],[tok(Run)]]/Table1[[#This Row],[Kvcache]]</f>
        <v>388542.86926499271</v>
      </c>
      <c r="AD147" s="3">
        <f>Table1[[#This Row],[tok/req]]*Table1[[#This Row],[MaxRun]]</f>
        <v>383166.66666666669</v>
      </c>
      <c r="AE147" s="3">
        <f>Table1[[#This Row],[tok(MaxRun)]]/Table1[[#This Row],[MaxKvcache]]</f>
        <v>386817.77835791669</v>
      </c>
      <c r="AF147" s="75">
        <f>Table1[[#This Row],[PPS]]*Table1[[#This Row],[Prefill]]/Table1[[#This Row],[In-Tok]]</f>
        <v>7.3542517237405649</v>
      </c>
      <c r="AG147" s="5">
        <f>Table1[[#This Row],[GPS]]*Table1[[#This Row],[ITL]]</f>
        <v>51.059433667169912</v>
      </c>
      <c r="AH147" s="5">
        <f>Table1[[#This Row],[Nprefill]]+Table1[[#This Row],[Ndecode]]</f>
        <v>58.41368539091048</v>
      </c>
      <c r="AI147" s="4">
        <f>Table1[[#This Row],[Run]]/Table1[[#This Row],[ITL]]/Table1[[#This Row],[GPS]]</f>
        <v>0.92847499477631945</v>
      </c>
      <c r="AJ147" s="10">
        <f>Table1[[#This Row],[Prefill]]+Table1[[#This Row],[ITL]]</f>
        <v>1.3252757844359222</v>
      </c>
      <c r="AK147" s="4">
        <f>Table1[[#This Row],[TTFT]]/Table1[[#This Row],[estTTFT]]</f>
        <v>2.2476857932049743</v>
      </c>
      <c r="AL147" s="5">
        <f>Table1[[#This Row],[In-Tok]]*Table1[[#This Row],[RPS]]/Table1[[#This Row],[PPS]]</f>
        <v>1.0350585507163041</v>
      </c>
      <c r="AM147" s="4">
        <f>Table1[[#This Row],[Prefill]]/Table1[[#This Row],[estPrefill]]</f>
        <v>1.1861696328613813</v>
      </c>
      <c r="AN147" s="4">
        <f>Table1[[#This Row],[Prefill]]/Table1[[#This Row],[TTFT]]</f>
        <v>0.4121638098482856</v>
      </c>
      <c r="AO147" s="10">
        <f>Table1[[#This Row],[Run]]/(Table1[[#This Row],[Out-Tok]]*Table1[[#This Row],[RPS]])</f>
        <v>7.6463560334528086E-2</v>
      </c>
      <c r="AP147" s="4">
        <f>Table1[[#This Row],[ITL]]/Table1[[#This Row],[estITL]]</f>
        <v>1.2753887330916422</v>
      </c>
      <c r="AQ147" s="44">
        <f>Table1[[#This Row],[E2E]]-Table1[[#This Row],[TTFT]]+Table1[[#This Row],[ITL]]</f>
        <v>9.4360909096458094</v>
      </c>
      <c r="AR147" s="4">
        <f>Table1[[#This Row],[estDecode]]/Table1[[#This Row],[Run]]</f>
        <v>0.19904254262534127</v>
      </c>
      <c r="AS147" s="44">
        <f>Table1[[#This Row],[Prefill]]+Table1[[#This Row],[Out-Tok]]*Table1[[#This Row],[ITL]]</f>
        <v>10.979831355366203</v>
      </c>
      <c r="AT147" s="5">
        <f>Table1[[#This Row],[estPrefill]]+Table1[[#This Row],[Out-Tok]]*Table1[[#This Row],[ITL]]</f>
        <v>10.787134884989316</v>
      </c>
      <c r="AU147" s="4">
        <f>Table1[[#This Row],[E2E]]/Table1[[#This Row],[estE2E]]</f>
        <v>1.1418577620827144</v>
      </c>
      <c r="AV147" s="5">
        <f>Table1[[#This Row],[N]]/Table1[[#This Row],[estE2E]]</f>
        <v>5.4151251480312173</v>
      </c>
      <c r="AW147" s="5">
        <f>Table1[[#This Row],[PPS]]/Table1[[#This Row],[In-Tok]]</f>
        <v>5.9899993055555543</v>
      </c>
      <c r="AX147" s="4">
        <f>Table1[[#This Row],[RPS]]/Table1[[#This Row],[RPS(IL)]]</f>
        <v>1.0350585507163041</v>
      </c>
      <c r="AY147" s="5">
        <f>Table1[[#This Row],[GPS]]/Table1[[#This Row],[Out-Tok]]</f>
        <v>5.2357499999999995</v>
      </c>
      <c r="AZ147" s="89">
        <f>Table1[[#This Row],[RPS]]/Table1[[#This Row],[RPS(OL)]]</f>
        <v>1.1841665472950391</v>
      </c>
      <c r="BA147" s="135">
        <f>MaxTok/Table1[[#This Row],[tok/req]]</f>
        <v>64.117729254967813</v>
      </c>
      <c r="BB147" s="4">
        <f>Table1[[#This Row],[N]]/Table1[[#This Row],[N-max]]</f>
        <v>0.91103796203738163</v>
      </c>
      <c r="BC147" s="44">
        <f>Table1[[#This Row],[RPS]]</f>
        <v>6.2</v>
      </c>
      <c r="BD147" s="47">
        <f>Table1[[#This Row],[PPS]]/Table1[[#This Row],[RPS success]]</f>
        <v>5796.7735215053754</v>
      </c>
      <c r="BE147" s="4">
        <f>ABS(Table1[[#This Row],[est-In-Tok3]]-Table1[[#This Row],[In-Tok]])/Table1[[#This Row],[In-Tok]]</f>
        <v>3.387107974910411E-2</v>
      </c>
      <c r="BF147" s="47">
        <f>Table1[[#This Row],[GPS]]/Table1[[#This Row],[RPS success]]</f>
        <v>84.447580645161281</v>
      </c>
      <c r="BG147" s="4">
        <f>ABS(Table1[[#This Row],[est-Out-Tok3]]-Table1[[#This Row],[Out-Tok]])/Table1[[#This Row],[Out-Tok]]</f>
        <v>0.1555241935483872</v>
      </c>
      <c r="BH147" s="162">
        <f>Table1[[#This Row],[est-In-Tok3]]+AvgOutLoad*Table1[[#This Row],[est-Out-Tok3]]</f>
        <v>5838.9973118279559</v>
      </c>
      <c r="BI147" s="4">
        <f>ABS(Table1[[#This Row],[est-Tok/Req3]]-Table1[[#This Row],[tok/req]])/Table1[[#This Row],[tok/req]]</f>
        <v>3.4876477383808953E-2</v>
      </c>
      <c r="BJ147" s="162">
        <f>MaxTok/Table1[[#This Row],[est-Tok/Req3]]</f>
        <v>66.434738924569828</v>
      </c>
      <c r="BK147" s="4">
        <f>ABS(Table1[[#This Row],[est-N-max3]]-Table1[[#This Row],[N-max]])/Table1[[#This Row],[N-max]]</f>
        <v>3.6136801732143287E-2</v>
      </c>
      <c r="BL147" s="44">
        <f>MaxTok*Table1[[#This Row],[Kvcache]]/Table1[[#This Row],[Run]]</f>
        <v>6040.180815812002</v>
      </c>
      <c r="BM147" s="170">
        <f>ABS(Table1[[#This Row],[est-Tok/Req]]-Table1[[#This Row],[tok/req]])/Table1[[#This Row],[tok/req]]</f>
        <v>1.623005650908754E-3</v>
      </c>
      <c r="BN147" s="44">
        <f>MaxTok/Table1[[#This Row],[est-Tok/Req]]</f>
        <v>64.221961861982265</v>
      </c>
      <c r="BO147" s="180">
        <f>Table1[[#This Row],[Run]]/Table1[[#This Row],[Kvcache]]</f>
        <v>64.221961861982265</v>
      </c>
      <c r="BP147" s="4" cm="1">
        <f t="array" aca="1" ref="BP147" ca="1">_xlfn.CEILING.MATH(INDIRECT("Table1"&amp;BP$3)/BP$2)*BP$2</f>
        <v>7000</v>
      </c>
      <c r="BQ147" s="4" cm="1">
        <f t="array" aca="1" ref="BQ147" ca="1">_xlfn.CEILING.MATH(INDIRECT("Table1"&amp;BQ$3)/BQ$2)*BQ$2</f>
        <v>0.1</v>
      </c>
      <c r="BR147" s="4" cm="1">
        <f t="array" aca="1" ref="BR147" ca="1">_xlfn.CEILING.MATH(INDIRECT("Table1"&amp;BR$3)/BR$2)*BR$2</f>
        <v>0.8</v>
      </c>
      <c r="BS147" s="4" cm="1">
        <f t="array" aca="1" ref="BS147" ca="1">_xlfn.CEILING.MATH(INDIRECT("Table1"&amp;BS$3)/BS$2)*BS$2</f>
        <v>0.74</v>
      </c>
      <c r="BT147" s="3" cm="1">
        <f t="array" aca="1" ref="BT147" ca="1">_xlfn.CEILING.MATH(INDIRECT("Table1"&amp;BT$3)/BT$2)*BT$2</f>
        <v>48</v>
      </c>
      <c r="BU147" s="135" cm="1">
        <f t="array" aca="1" ref="BU147" ca="1">_xlfn.CEILING.MATH(INDIRECT("Table1"&amp;BU$3)/BU$2)*BU$2</f>
        <v>60</v>
      </c>
      <c r="BV147" s="135" cm="1">
        <f t="array" aca="1" ref="BV147" ca="1">_xlfn.CEILING.MATH(INDIRECT("Table1"&amp;BV$3)/BV$2)*BV$2</f>
        <v>6000</v>
      </c>
      <c r="BW147" s="4"/>
      <c r="BX147" s="4"/>
      <c r="BY147" s="190">
        <v>0.99056115852081728</v>
      </c>
      <c r="BZ147" s="4"/>
      <c r="CA147" s="3"/>
      <c r="CF147" s="5"/>
      <c r="CH147" s="8"/>
      <c r="CI147" s="8"/>
      <c r="CJ147" s="14"/>
      <c r="CK147" s="8"/>
      <c r="CL147" s="8"/>
      <c r="CM147" s="8"/>
      <c r="CN147" s="8"/>
      <c r="CO147" s="8"/>
      <c r="CP147" s="8"/>
      <c r="CQ147" s="8">
        <f>Table1[[#This Row],[In-Tok]]+AvgOutLoad*Table1[[#This Row],[Out-Tok]]</f>
        <v>6050</v>
      </c>
      <c r="CR147" s="8"/>
      <c r="CS147" s="8"/>
      <c r="CT147" s="8"/>
      <c r="CU147" s="8"/>
      <c r="CV147" s="8"/>
      <c r="CW147" s="8"/>
      <c r="CX147" s="8"/>
      <c r="CY147" s="8"/>
      <c r="GJ147"/>
    </row>
    <row r="148" spans="1:192" x14ac:dyDescent="0.25">
      <c r="A148" s="3">
        <v>6000</v>
      </c>
      <c r="B148" s="3">
        <v>100</v>
      </c>
      <c r="C148">
        <v>6.4000000000000012</v>
      </c>
      <c r="D148" s="199">
        <f>Table1[[#This Row],[Kvcache]]</f>
        <v>0.76341579748872235</v>
      </c>
      <c r="E148" s="4" t="s">
        <v>144</v>
      </c>
      <c r="F148" s="219">
        <v>46092</v>
      </c>
      <c r="G148" s="10"/>
      <c r="H148" s="10">
        <v>4.6107999336990897</v>
      </c>
      <c r="I148" s="10">
        <v>1.1255584311320885</v>
      </c>
      <c r="J148" s="10">
        <v>5.3410633471729767</v>
      </c>
      <c r="K148" s="10">
        <v>9.5125555833180737</v>
      </c>
      <c r="L148" s="10">
        <v>9.9086410649617509</v>
      </c>
      <c r="M148" s="10">
        <v>0.10106962356492293</v>
      </c>
      <c r="N148" s="10">
        <v>14.806080040330464</v>
      </c>
      <c r="O148" s="47">
        <v>35547.347222222219</v>
      </c>
      <c r="P148" s="47">
        <v>552.27083333333337</v>
      </c>
      <c r="Q148" s="5">
        <v>48.918518518518518</v>
      </c>
      <c r="R148" s="5">
        <v>63</v>
      </c>
      <c r="S148" s="170">
        <v>0.76341579748872235</v>
      </c>
      <c r="T148" s="170">
        <v>0.98766485647788971</v>
      </c>
      <c r="U148" s="20">
        <f>(Table1[[#This Row],[In-Tok]]+Table1[[#This Row],[Out-Tok]])*Table1[[#This Row],[RPS]]</f>
        <v>39040.000000000007</v>
      </c>
      <c r="V148" s="3">
        <f>Table1[[#This Row],[In-Tok]]+AvgOutLoad*Table1[[#This Row],[Out-Tok]]</f>
        <v>6050</v>
      </c>
      <c r="W148" s="3">
        <f>Table1[[#This Row],[In-Tok]]*Table1[[#This Row],[RPS]]</f>
        <v>38400.000000000007</v>
      </c>
      <c r="X148" s="3">
        <f>Table1[[#This Row],[Out-Tok]]*Table1[[#This Row],[RPS]]</f>
        <v>640.00000000000011</v>
      </c>
      <c r="Y148" s="75">
        <f>Table1[[#This Row],[In-Tok]]/Table1[[#This Row],[Out-Tok]]</f>
        <v>60</v>
      </c>
      <c r="Z148" s="26">
        <f>Table1[[#This Row],[In-Tok]]*Table1[[#This Row],[N]]+AvgOutLoad*Table1[[#This Row],[Out-Tok]]*Table1[[#This Row],[Ndecode]]</f>
        <v>377708.33801721409</v>
      </c>
      <c r="AA148" s="3">
        <f>Table1[[#This Row],[tok(N)]]/Table1[[#This Row],[Kvcache]]</f>
        <v>494760.96677550586</v>
      </c>
      <c r="AB148" s="3">
        <f>Table1[[#This Row],[tok/req]]*Table1[[#This Row],[Run]]</f>
        <v>295957.03703703702</v>
      </c>
      <c r="AC148" s="3">
        <f>Table1[[#This Row],[tok(Run)]]/Table1[[#This Row],[Kvcache]]</f>
        <v>387674.76126456383</v>
      </c>
      <c r="AD148" s="3">
        <f>Table1[[#This Row],[tok/req]]*Table1[[#This Row],[MaxRun]]</f>
        <v>381150</v>
      </c>
      <c r="AE148" s="3">
        <f>Table1[[#This Row],[tok(MaxRun)]]/Table1[[#This Row],[MaxKvcache]]</f>
        <v>385910.25842431863</v>
      </c>
      <c r="AF148" s="75">
        <f>Table1[[#This Row],[PPS]]*Table1[[#This Row],[Prefill]]/Table1[[#This Row],[In-Tok]]</f>
        <v>6.6684360617253402</v>
      </c>
      <c r="AG148" s="5">
        <f>Table1[[#This Row],[GPS]]*Table1[[#This Row],[ITL]]</f>
        <v>55.817805230886293</v>
      </c>
      <c r="AH148" s="5">
        <f>Table1[[#This Row],[Nprefill]]+Table1[[#This Row],[Ndecode]]</f>
        <v>62.486241292611631</v>
      </c>
      <c r="AI148" s="4">
        <f>Table1[[#This Row],[Run]]/Table1[[#This Row],[ITL]]/Table1[[#This Row],[GPS]]</f>
        <v>0.87639630967521243</v>
      </c>
      <c r="AJ148" s="10">
        <f>Table1[[#This Row],[Prefill]]+Table1[[#This Row],[ITL]]</f>
        <v>1.2266280546970114</v>
      </c>
      <c r="AK148" s="4">
        <f>Table1[[#This Row],[TTFT]]/Table1[[#This Row],[estTTFT]]</f>
        <v>3.7589226139442902</v>
      </c>
      <c r="AL148" s="5">
        <f>Table1[[#This Row],[In-Tok]]*Table1[[#This Row],[RPS]]/Table1[[#This Row],[PPS]]</f>
        <v>1.0802493856980266</v>
      </c>
      <c r="AM148" s="4">
        <f>Table1[[#This Row],[Prefill]]/Table1[[#This Row],[estPrefill]]</f>
        <v>1.0419431346445844</v>
      </c>
      <c r="AN148" s="4">
        <f>Table1[[#This Row],[Prefill]]/Table1[[#This Row],[TTFT]]</f>
        <v>0.24411348297844943</v>
      </c>
      <c r="AO148" s="10">
        <f>Table1[[#This Row],[Run]]/(Table1[[#This Row],[Out-Tok]]*Table1[[#This Row],[RPS]])</f>
        <v>7.6435185185185175E-2</v>
      </c>
      <c r="AP148" s="4">
        <f>Table1[[#This Row],[ITL]]/Table1[[#This Row],[estITL]]</f>
        <v>1.3222918649317599</v>
      </c>
      <c r="AQ148" s="44">
        <f>Table1[[#This Row],[E2E]]-Table1[[#This Row],[TTFT]]+Table1[[#This Row],[ITL]]</f>
        <v>10.296349730196297</v>
      </c>
      <c r="AR148" s="4">
        <f>Table1[[#This Row],[estDecode]]/Table1[[#This Row],[Run]]</f>
        <v>0.21047959018420656</v>
      </c>
      <c r="AS148" s="44">
        <f>Table1[[#This Row],[Prefill]]+Table1[[#This Row],[Out-Tok]]*Table1[[#This Row],[ITL]]</f>
        <v>11.232520787624381</v>
      </c>
      <c r="AT148" s="5">
        <f>Table1[[#This Row],[estPrefill]]+Table1[[#This Row],[Out-Tok]]*Table1[[#This Row],[ITL]]</f>
        <v>11.187211742190319</v>
      </c>
      <c r="AU148" s="4">
        <f>Table1[[#This Row],[E2E]]/Table1[[#This Row],[estE2E]]</f>
        <v>1.3234825961586398</v>
      </c>
      <c r="AV148" s="5">
        <f>Table1[[#This Row],[N]]/Table1[[#This Row],[estE2E]]</f>
        <v>5.5855062666738791</v>
      </c>
      <c r="AW148" s="5">
        <f>Table1[[#This Row],[PPS]]/Table1[[#This Row],[In-Tok]]</f>
        <v>5.9245578703703696</v>
      </c>
      <c r="AX148" s="4">
        <f>Table1[[#This Row],[RPS]]/Table1[[#This Row],[RPS(IL)]]</f>
        <v>1.0802493856980266</v>
      </c>
      <c r="AY148" s="5">
        <f>Table1[[#This Row],[GPS]]/Table1[[#This Row],[Out-Tok]]</f>
        <v>5.522708333333334</v>
      </c>
      <c r="AZ148" s="89">
        <f>Table1[[#This Row],[RPS]]/Table1[[#This Row],[RPS(OL)]]</f>
        <v>1.1588517107397489</v>
      </c>
      <c r="BA148" s="135">
        <f>MaxTok/Table1[[#This Row],[tok/req]]</f>
        <v>64.117729254967813</v>
      </c>
      <c r="BB148" s="4">
        <f>Table1[[#This Row],[N]]/Table1[[#This Row],[N-max]]</f>
        <v>0.97455480751870549</v>
      </c>
      <c r="BC148" s="44">
        <f>Table1[[#This Row],[RPS]]</f>
        <v>6.4000000000000012</v>
      </c>
      <c r="BD148" s="47">
        <f>Table1[[#This Row],[PPS]]/Table1[[#This Row],[RPS success]]</f>
        <v>5554.2730034722208</v>
      </c>
      <c r="BE148" s="4">
        <f>ABS(Table1[[#This Row],[est-In-Tok3]]-Table1[[#This Row],[In-Tok]])/Table1[[#This Row],[In-Tok]]</f>
        <v>7.4287832754629871E-2</v>
      </c>
      <c r="BF148" s="47">
        <f>Table1[[#This Row],[GPS]]/Table1[[#This Row],[RPS success]]</f>
        <v>86.292317708333329</v>
      </c>
      <c r="BG148" s="4">
        <f>ABS(Table1[[#This Row],[est-Out-Tok3]]-Table1[[#This Row],[Out-Tok]])/Table1[[#This Row],[Out-Tok]]</f>
        <v>0.1370768229166667</v>
      </c>
      <c r="BH148" s="162">
        <f>Table1[[#This Row],[est-In-Tok3]]+AvgOutLoad*Table1[[#This Row],[est-Out-Tok3]]</f>
        <v>5597.4191623263878</v>
      </c>
      <c r="BI148" s="4">
        <f>ABS(Table1[[#This Row],[est-Tok/Req3]]-Table1[[#This Row],[tok/req]])/Table1[[#This Row],[tok/req]]</f>
        <v>7.4806750028696231E-2</v>
      </c>
      <c r="BJ148" s="162">
        <f>MaxTok/Table1[[#This Row],[est-Tok/Req3]]</f>
        <v>69.301985565671302</v>
      </c>
      <c r="BK148" s="4">
        <f>ABS(Table1[[#This Row],[est-N-max3]]-Table1[[#This Row],[N-max]])/Table1[[#This Row],[N-max]]</f>
        <v>8.0855270000096194E-2</v>
      </c>
      <c r="BL148" s="44">
        <f>MaxTok*Table1[[#This Row],[Kvcache]]/Table1[[#This Row],[Run]]</f>
        <v>6053.7064043056644</v>
      </c>
      <c r="BM148" s="170">
        <f>ABS(Table1[[#This Row],[est-Tok/Req]]-Table1[[#This Row],[tok/req]])/Table1[[#This Row],[tok/req]]</f>
        <v>6.126288108536139E-4</v>
      </c>
      <c r="BN148" s="44">
        <f>MaxTok/Table1[[#This Row],[est-Tok/Req]]</f>
        <v>64.078472936291547</v>
      </c>
      <c r="BO148" s="180">
        <f>Table1[[#This Row],[Run]]/Table1[[#This Row],[Kvcache]]</f>
        <v>64.078472936291533</v>
      </c>
      <c r="BP148" s="4" cm="1">
        <f t="array" aca="1" ref="BP148" ca="1">_xlfn.CEILING.MATH(INDIRECT("Table1"&amp;BP$3)/BP$2)*BP$2</f>
        <v>7000</v>
      </c>
      <c r="BQ148" s="4" cm="1">
        <f t="array" aca="1" ref="BQ148" ca="1">_xlfn.CEILING.MATH(INDIRECT("Table1"&amp;BQ$3)/BQ$2)*BQ$2</f>
        <v>0.105</v>
      </c>
      <c r="BR148" s="4" cm="1">
        <f t="array" aca="1" ref="BR148" ca="1">_xlfn.CEILING.MATH(INDIRECT("Table1"&amp;BR$3)/BR$2)*BR$2</f>
        <v>0.8</v>
      </c>
      <c r="BS148" s="4" cm="1">
        <f t="array" aca="1" ref="BS148" ca="1">_xlfn.CEILING.MATH(INDIRECT("Table1"&amp;BS$3)/BS$2)*BS$2</f>
        <v>0.77</v>
      </c>
      <c r="BT148" s="3" cm="1">
        <f t="array" aca="1" ref="BT148" ca="1">_xlfn.CEILING.MATH(INDIRECT("Table1"&amp;BT$3)/BT$2)*BT$2</f>
        <v>49</v>
      </c>
      <c r="BU148" s="135" cm="1">
        <f t="array" aca="1" ref="BU148" ca="1">_xlfn.CEILING.MATH(INDIRECT("Table1"&amp;BU$3)/BU$2)*BU$2</f>
        <v>60</v>
      </c>
      <c r="BV148" s="135" cm="1">
        <f t="array" aca="1" ref="BV148" ca="1">_xlfn.CEILING.MATH(INDIRECT("Table1"&amp;BV$3)/BV$2)*BV$2</f>
        <v>6000</v>
      </c>
      <c r="BW148" s="4"/>
      <c r="BX148" s="4"/>
      <c r="BY148" s="190">
        <v>0.98766485647788971</v>
      </c>
      <c r="BZ148" s="4"/>
      <c r="CA148" s="3"/>
      <c r="CF148" s="5"/>
      <c r="CH148" s="8"/>
      <c r="CI148" s="8"/>
      <c r="CJ148" s="14"/>
      <c r="CK148" s="8"/>
      <c r="CL148" s="8"/>
      <c r="CM148" s="8"/>
      <c r="CN148" s="8"/>
      <c r="CO148" s="8"/>
      <c r="CP148" s="8"/>
      <c r="CQ148" s="8">
        <f>Table1[[#This Row],[In-Tok]]+AvgOutLoad*Table1[[#This Row],[Out-Tok]]</f>
        <v>6050</v>
      </c>
      <c r="CR148" s="8"/>
      <c r="CS148" s="8"/>
      <c r="CT148" s="8"/>
      <c r="CU148" s="8"/>
      <c r="CV148" s="8"/>
      <c r="CW148" s="8"/>
      <c r="CX148" s="8"/>
      <c r="CY148" s="8"/>
      <c r="GJ148"/>
    </row>
    <row r="149" spans="1:192" x14ac:dyDescent="0.25">
      <c r="A149" s="3">
        <v>6000</v>
      </c>
      <c r="B149" s="3">
        <v>100</v>
      </c>
      <c r="C149">
        <v>6.5999999999999988</v>
      </c>
      <c r="D149" s="199">
        <f>Table1[[#This Row],[Kvcache]]</f>
        <v>0.84485906387380394</v>
      </c>
      <c r="E149" s="4" t="s">
        <v>144</v>
      </c>
      <c r="F149" s="219">
        <v>46092</v>
      </c>
      <c r="G149" s="10"/>
      <c r="H149" s="10">
        <v>5.9770145541377246</v>
      </c>
      <c r="I149" s="10">
        <v>1.0074532958660602</v>
      </c>
      <c r="J149" s="10">
        <v>6.9000731865115412</v>
      </c>
      <c r="K149" s="10">
        <v>12.674003088474274</v>
      </c>
      <c r="L149" s="10">
        <v>13.061408584912618</v>
      </c>
      <c r="M149" s="10">
        <v>0.11063943531066119</v>
      </c>
      <c r="N149" s="10">
        <v>16.543247516104838</v>
      </c>
      <c r="O149" s="47">
        <v>36130.188888888886</v>
      </c>
      <c r="P149" s="47">
        <v>554.60740740740732</v>
      </c>
      <c r="Q149" s="5">
        <v>53.966666666666669</v>
      </c>
      <c r="R149" s="5">
        <v>64</v>
      </c>
      <c r="S149" s="170">
        <v>0.84485906387380394</v>
      </c>
      <c r="T149" s="170">
        <v>0.99862942849754333</v>
      </c>
      <c r="U149" s="20">
        <f>(Table1[[#This Row],[In-Tok]]+Table1[[#This Row],[Out-Tok]])*Table1[[#This Row],[RPS]]</f>
        <v>40259.999999999993</v>
      </c>
      <c r="V149" s="3">
        <f>Table1[[#This Row],[In-Tok]]+AvgOutLoad*Table1[[#This Row],[Out-Tok]]</f>
        <v>6050</v>
      </c>
      <c r="W149" s="3">
        <f>Table1[[#This Row],[In-Tok]]*Table1[[#This Row],[RPS]]</f>
        <v>39599.999999999993</v>
      </c>
      <c r="X149" s="3">
        <f>Table1[[#This Row],[Out-Tok]]*Table1[[#This Row],[RPS]]</f>
        <v>659.99999999999989</v>
      </c>
      <c r="Y149" s="75">
        <f>Table1[[#This Row],[In-Tok]]/Table1[[#This Row],[Out-Tok]]</f>
        <v>60</v>
      </c>
      <c r="Z149" s="26">
        <f>Table1[[#This Row],[In-Tok]]*Table1[[#This Row],[N]]+AvgOutLoad*Table1[[#This Row],[Out-Tok]]*Table1[[#This Row],[Ndecode]]</f>
        <v>407636.25264309981</v>
      </c>
      <c r="AA149" s="3">
        <f>Table1[[#This Row],[tok(N)]]/Table1[[#This Row],[Kvcache]]</f>
        <v>482490.24017571314</v>
      </c>
      <c r="AB149" s="3">
        <f>Table1[[#This Row],[tok/req]]*Table1[[#This Row],[Run]]</f>
        <v>326498.33333333337</v>
      </c>
      <c r="AC149" s="3">
        <f>Table1[[#This Row],[tok(Run)]]/Table1[[#This Row],[Kvcache]]</f>
        <v>386453.01600516675</v>
      </c>
      <c r="AD149" s="3">
        <f>Table1[[#This Row],[tok/req]]*Table1[[#This Row],[MaxRun]]</f>
        <v>387200</v>
      </c>
      <c r="AE149" s="3">
        <f>Table1[[#This Row],[tok(MaxRun)]]/Table1[[#This Row],[MaxKvcache]]</f>
        <v>387731.41362612322</v>
      </c>
      <c r="AF149" s="75">
        <f>Table1[[#This Row],[PPS]]*Table1[[#This Row],[Prefill]]/Table1[[#This Row],[In-Tok]]</f>
        <v>6.0665796460624026</v>
      </c>
      <c r="AG149" s="5">
        <f>Table1[[#This Row],[GPS]]*Table1[[#This Row],[ITL]]</f>
        <v>61.361450374665353</v>
      </c>
      <c r="AH149" s="5">
        <f>Table1[[#This Row],[Nprefill]]+Table1[[#This Row],[Ndecode]]</f>
        <v>67.428030020727761</v>
      </c>
      <c r="AI149" s="4">
        <f>Table1[[#This Row],[Run]]/Table1[[#This Row],[ITL]]/Table1[[#This Row],[GPS]]</f>
        <v>0.87948812058960379</v>
      </c>
      <c r="AJ149" s="10">
        <f>Table1[[#This Row],[Prefill]]+Table1[[#This Row],[ITL]]</f>
        <v>1.1180927311767215</v>
      </c>
      <c r="AK149" s="4">
        <f>Table1[[#This Row],[TTFT]]/Table1[[#This Row],[estTTFT]]</f>
        <v>5.3457234695080231</v>
      </c>
      <c r="AL149" s="5">
        <f>Table1[[#This Row],[In-Tok]]*Table1[[#This Row],[RPS]]/Table1[[#This Row],[PPS]]</f>
        <v>1.0960363401858155</v>
      </c>
      <c r="AM149" s="4">
        <f>Table1[[#This Row],[Prefill]]/Table1[[#This Row],[estPrefill]]</f>
        <v>0.91917873425187946</v>
      </c>
      <c r="AN149" s="4">
        <f>Table1[[#This Row],[Prefill]]/Table1[[#This Row],[TTFT]]</f>
        <v>0.16855459974890435</v>
      </c>
      <c r="AO149" s="10">
        <f>Table1[[#This Row],[Run]]/(Table1[[#This Row],[Out-Tok]]*Table1[[#This Row],[RPS]])</f>
        <v>8.1767676767676781E-2</v>
      </c>
      <c r="AP149" s="4">
        <f>Table1[[#This Row],[ITL]]/Table1[[#This Row],[estITL]]</f>
        <v>1.3530950087406368</v>
      </c>
      <c r="AQ149" s="44">
        <f>Table1[[#This Row],[E2E]]-Table1[[#This Row],[TTFT]]+Table1[[#This Row],[ITL]]</f>
        <v>10.676872397277775</v>
      </c>
      <c r="AR149" s="4">
        <f>Table1[[#This Row],[estDecode]]/Table1[[#This Row],[Run]]</f>
        <v>0.19784198389026142</v>
      </c>
      <c r="AS149" s="44">
        <f>Table1[[#This Row],[Prefill]]+Table1[[#This Row],[Out-Tok]]*Table1[[#This Row],[ITL]]</f>
        <v>12.07139682693218</v>
      </c>
      <c r="AT149" s="5">
        <f>Table1[[#This Row],[estPrefill]]+Table1[[#This Row],[Out-Tok]]*Table1[[#This Row],[ITL]]</f>
        <v>12.159979871251934</v>
      </c>
      <c r="AU149" s="4">
        <f>Table1[[#This Row],[E2E]]/Table1[[#This Row],[estE2E]]</f>
        <v>1.3604666859042771</v>
      </c>
      <c r="AV149" s="5">
        <f>Table1[[#This Row],[N]]/Table1[[#This Row],[estE2E]]</f>
        <v>5.5450774371870475</v>
      </c>
      <c r="AW149" s="5">
        <f>Table1[[#This Row],[PPS]]/Table1[[#This Row],[In-Tok]]</f>
        <v>6.0216981481481477</v>
      </c>
      <c r="AX149" s="4">
        <f>Table1[[#This Row],[RPS]]/Table1[[#This Row],[RPS(IL)]]</f>
        <v>1.0960363401858155</v>
      </c>
      <c r="AY149" s="5">
        <f>Table1[[#This Row],[GPS]]/Table1[[#This Row],[Out-Tok]]</f>
        <v>5.546074074074073</v>
      </c>
      <c r="AZ149" s="89">
        <f>Table1[[#This Row],[RPS]]/Table1[[#This Row],[RPS(OL)]]</f>
        <v>1.1900309862164762</v>
      </c>
      <c r="BA149" s="135">
        <f>MaxTok/Table1[[#This Row],[tok/req]]</f>
        <v>64.117729254967813</v>
      </c>
      <c r="BB149" s="4">
        <f>Table1[[#This Row],[N]]/Table1[[#This Row],[N-max]]</f>
        <v>1.0516284778675855</v>
      </c>
      <c r="BC149" s="44">
        <f>Table1[[#This Row],[RPS]]</f>
        <v>6.5999999999999988</v>
      </c>
      <c r="BD149" s="47">
        <f>Table1[[#This Row],[PPS]]/Table1[[#This Row],[RPS success]]</f>
        <v>5474.2710437710448</v>
      </c>
      <c r="BE149" s="4">
        <f>ABS(Table1[[#This Row],[est-In-Tok3]]-Table1[[#This Row],[In-Tok]])/Table1[[#This Row],[In-Tok]]</f>
        <v>8.7621492704825873E-2</v>
      </c>
      <c r="BF149" s="47">
        <f>Table1[[#This Row],[GPS]]/Table1[[#This Row],[RPS success]]</f>
        <v>84.031425364758704</v>
      </c>
      <c r="BG149" s="4">
        <f>ABS(Table1[[#This Row],[est-Out-Tok3]]-Table1[[#This Row],[Out-Tok]])/Table1[[#This Row],[Out-Tok]]</f>
        <v>0.15968574635241295</v>
      </c>
      <c r="BH149" s="162">
        <f>Table1[[#This Row],[est-In-Tok3]]+AvgOutLoad*Table1[[#This Row],[est-Out-Tok3]]</f>
        <v>5516.2867564534245</v>
      </c>
      <c r="BI149" s="4">
        <f>ABS(Table1[[#This Row],[est-Tok/Req3]]-Table1[[#This Row],[tok/req]])/Table1[[#This Row],[tok/req]]</f>
        <v>8.8217065049020757E-2</v>
      </c>
      <c r="BJ149" s="162">
        <f>MaxTok/Table1[[#This Row],[est-Tok/Req3]]</f>
        <v>70.3212648506248</v>
      </c>
      <c r="BK149" s="4">
        <f>ABS(Table1[[#This Row],[est-N-max3]]-Table1[[#This Row],[N-max]])/Table1[[#This Row],[N-max]]</f>
        <v>9.6752265991645992E-2</v>
      </c>
      <c r="BL149" s="44">
        <f>MaxTok*Table1[[#This Row],[Kvcache]]/Table1[[#This Row],[Run]]</f>
        <v>6072.8447905904886</v>
      </c>
      <c r="BM149" s="170">
        <f>ABS(Table1[[#This Row],[est-Tok/Req]]-Table1[[#This Row],[tok/req]])/Table1[[#This Row],[tok/req]]</f>
        <v>3.7759984447088644E-3</v>
      </c>
      <c r="BN149" s="44">
        <f>MaxTok/Table1[[#This Row],[est-Tok/Req]]</f>
        <v>63.876531571101935</v>
      </c>
      <c r="BO149" s="180">
        <f>Table1[[#This Row],[Run]]/Table1[[#This Row],[Kvcache]]</f>
        <v>63.876531571101943</v>
      </c>
      <c r="BP149" s="4" cm="1">
        <f t="array" aca="1" ref="BP149" ca="1">_xlfn.CEILING.MATH(INDIRECT("Table1"&amp;BP$3)/BP$2)*BP$2</f>
        <v>7000</v>
      </c>
      <c r="BQ149" s="4" cm="1">
        <f t="array" aca="1" ref="BQ149" ca="1">_xlfn.CEILING.MATH(INDIRECT("Table1"&amp;BQ$3)/BQ$2)*BQ$2</f>
        <v>0.115</v>
      </c>
      <c r="BR149" s="4" cm="1">
        <f t="array" aca="1" ref="BR149" ca="1">_xlfn.CEILING.MATH(INDIRECT("Table1"&amp;BR$3)/BR$2)*BR$2</f>
        <v>0.9</v>
      </c>
      <c r="BS149" s="4" cm="1">
        <f t="array" aca="1" ref="BS149" ca="1">_xlfn.CEILING.MATH(INDIRECT("Table1"&amp;BS$3)/BS$2)*BS$2</f>
        <v>0.85</v>
      </c>
      <c r="BT149" s="3" cm="1">
        <f t="array" aca="1" ref="BT149" ca="1">_xlfn.CEILING.MATH(INDIRECT("Table1"&amp;BT$3)/BT$2)*BT$2</f>
        <v>54</v>
      </c>
      <c r="BU149" s="135" cm="1">
        <f t="array" aca="1" ref="BU149" ca="1">_xlfn.CEILING.MATH(INDIRECT("Table1"&amp;BU$3)/BU$2)*BU$2</f>
        <v>60</v>
      </c>
      <c r="BV149" s="135" cm="1">
        <f t="array" aca="1" ref="BV149" ca="1">_xlfn.CEILING.MATH(INDIRECT("Table1"&amp;BV$3)/BV$2)*BV$2</f>
        <v>6000</v>
      </c>
      <c r="BW149" s="4"/>
      <c r="BX149" s="4"/>
      <c r="BY149" s="190">
        <v>0.99862942849754333</v>
      </c>
      <c r="BZ149" s="4"/>
      <c r="CA149" s="3"/>
      <c r="CF149" s="5"/>
      <c r="CH149" s="8"/>
      <c r="CI149" s="8"/>
      <c r="CJ149" s="14"/>
      <c r="CK149" s="8"/>
      <c r="CL149" s="8"/>
      <c r="CM149" s="8"/>
      <c r="CN149" s="8"/>
      <c r="CO149" s="8"/>
      <c r="CP149" s="8"/>
      <c r="CQ149" s="8">
        <f>Table1[[#This Row],[In-Tok]]+AvgOutLoad*Table1[[#This Row],[Out-Tok]]</f>
        <v>6050</v>
      </c>
      <c r="CR149" s="8"/>
      <c r="CS149" s="8"/>
      <c r="CT149" s="8"/>
      <c r="CU149" s="8"/>
      <c r="CV149" s="8"/>
      <c r="CW149" s="8"/>
      <c r="CX149" s="8"/>
      <c r="CY149" s="8"/>
      <c r="GJ149"/>
    </row>
    <row r="150" spans="1:192" x14ac:dyDescent="0.25">
      <c r="A150" s="3">
        <v>6000</v>
      </c>
      <c r="B150" s="3">
        <v>100</v>
      </c>
      <c r="C150">
        <v>6.8</v>
      </c>
      <c r="D150" s="199">
        <f>Table1[[#This Row],[Kvcache]]</f>
        <v>0.7583958279458668</v>
      </c>
      <c r="E150" s="4" t="s">
        <v>144</v>
      </c>
      <c r="F150" s="219">
        <v>46092</v>
      </c>
      <c r="G150" s="10"/>
      <c r="H150" s="10">
        <v>6.268921307044212</v>
      </c>
      <c r="I150" s="10">
        <v>1.3392629044221371</v>
      </c>
      <c r="J150" s="10">
        <v>7.8909833342756714</v>
      </c>
      <c r="K150" s="10">
        <v>13.987683173020679</v>
      </c>
      <c r="L150" s="10">
        <v>15.12877874215444</v>
      </c>
      <c r="M150" s="10">
        <v>0.10462679664851991</v>
      </c>
      <c r="N150" s="10">
        <v>16.853045636670505</v>
      </c>
      <c r="O150" s="47">
        <v>37708.883796296293</v>
      </c>
      <c r="P150" s="47">
        <v>583.04398148148141</v>
      </c>
      <c r="Q150" s="5">
        <v>48.603703703703701</v>
      </c>
      <c r="R150" s="5">
        <v>64</v>
      </c>
      <c r="S150" s="170">
        <v>0.7583958279458668</v>
      </c>
      <c r="T150" s="170">
        <v>0.99707783811740358</v>
      </c>
      <c r="U150" s="20">
        <f>(Table1[[#This Row],[In-Tok]]+Table1[[#This Row],[Out-Tok]])*Table1[[#This Row],[RPS]]</f>
        <v>41480</v>
      </c>
      <c r="V150" s="3">
        <f>Table1[[#This Row],[In-Tok]]+AvgOutLoad*Table1[[#This Row],[Out-Tok]]</f>
        <v>6050</v>
      </c>
      <c r="W150" s="3">
        <f>Table1[[#This Row],[In-Tok]]*Table1[[#This Row],[RPS]]</f>
        <v>40800</v>
      </c>
      <c r="X150" s="3">
        <f>Table1[[#This Row],[Out-Tok]]*Table1[[#This Row],[RPS]]</f>
        <v>680</v>
      </c>
      <c r="Y150" s="75">
        <f>Table1[[#This Row],[In-Tok]]/Table1[[#This Row],[Out-Tok]]</f>
        <v>60</v>
      </c>
      <c r="Z150" s="26">
        <f>Table1[[#This Row],[In-Tok]]*Table1[[#This Row],[N]]+AvgOutLoad*Table1[[#This Row],[Out-Tok]]*Table1[[#This Row],[Ndecode]]</f>
        <v>419564.35496556311</v>
      </c>
      <c r="AA150" s="3">
        <f>Table1[[#This Row],[tok(N)]]/Table1[[#This Row],[Kvcache]]</f>
        <v>553226.08525150141</v>
      </c>
      <c r="AB150" s="3">
        <f>Table1[[#This Row],[tok/req]]*Table1[[#This Row],[Run]]</f>
        <v>294052.40740740742</v>
      </c>
      <c r="AC150" s="3">
        <f>Table1[[#This Row],[tok(Run)]]/Table1[[#This Row],[Kvcache]]</f>
        <v>387729.463390978</v>
      </c>
      <c r="AD150" s="3">
        <f>Table1[[#This Row],[tok/req]]*Table1[[#This Row],[MaxRun]]</f>
        <v>387200</v>
      </c>
      <c r="AE150" s="3">
        <f>Table1[[#This Row],[tok(MaxRun)]]/Table1[[#This Row],[MaxKvcache]]</f>
        <v>388334.77708327933</v>
      </c>
      <c r="AF150" s="75">
        <f>Table1[[#This Row],[PPS]]*Table1[[#This Row],[Prefill]]/Table1[[#This Row],[In-Tok]]</f>
        <v>8.4170182059241068</v>
      </c>
      <c r="AG150" s="5">
        <f>Table1[[#This Row],[GPS]]*Table1[[#This Row],[ITL]]</f>
        <v>61.002024087606365</v>
      </c>
      <c r="AH150" s="5">
        <f>Table1[[#This Row],[Nprefill]]+Table1[[#This Row],[Ndecode]]</f>
        <v>69.419042293530467</v>
      </c>
      <c r="AI150" s="4">
        <f>Table1[[#This Row],[Run]]/Table1[[#This Row],[ITL]]/Table1[[#This Row],[GPS]]</f>
        <v>0.79675559017357922</v>
      </c>
      <c r="AJ150" s="10">
        <f>Table1[[#This Row],[Prefill]]+Table1[[#This Row],[ITL]]</f>
        <v>1.4438897010706571</v>
      </c>
      <c r="AK150" s="4">
        <f>Table1[[#This Row],[TTFT]]/Table1[[#This Row],[estTTFT]]</f>
        <v>4.3416898828184394</v>
      </c>
      <c r="AL150" s="5">
        <f>Table1[[#This Row],[In-Tok]]*Table1[[#This Row],[RPS]]/Table1[[#This Row],[PPS]]</f>
        <v>1.0819731557264316</v>
      </c>
      <c r="AM150" s="4">
        <f>Table1[[#This Row],[Prefill]]/Table1[[#This Row],[estPrefill]]</f>
        <v>1.2377967949888391</v>
      </c>
      <c r="AN150" s="4">
        <f>Table1[[#This Row],[Prefill]]/Table1[[#This Row],[TTFT]]</f>
        <v>0.213635303240646</v>
      </c>
      <c r="AO150" s="10">
        <f>Table1[[#This Row],[Run]]/(Table1[[#This Row],[Out-Tok]]*Table1[[#This Row],[RPS]])</f>
        <v>7.1476034858387799E-2</v>
      </c>
      <c r="AP150" s="4">
        <f>Table1[[#This Row],[ITL]]/Table1[[#This Row],[estITL]]</f>
        <v>1.4638024738755053</v>
      </c>
      <c r="AQ150" s="44">
        <f>Table1[[#This Row],[E2E]]-Table1[[#This Row],[TTFT]]+Table1[[#This Row],[ITL]]</f>
        <v>10.688751126274811</v>
      </c>
      <c r="AR150" s="4">
        <f>Table1[[#This Row],[estDecode]]/Table1[[#This Row],[Run]]</f>
        <v>0.21991639138110181</v>
      </c>
      <c r="AS150" s="44">
        <f>Table1[[#This Row],[Prefill]]+Table1[[#This Row],[Out-Tok]]*Table1[[#This Row],[ITL]]</f>
        <v>11.801942569274129</v>
      </c>
      <c r="AT150" s="5">
        <f>Table1[[#This Row],[estPrefill]]+Table1[[#This Row],[Out-Tok]]*Table1[[#This Row],[ITL]]</f>
        <v>11.544652820578424</v>
      </c>
      <c r="AU150" s="4">
        <f>Table1[[#This Row],[E2E]]/Table1[[#This Row],[estE2E]]</f>
        <v>1.4598139847592326</v>
      </c>
      <c r="AV150" s="5">
        <f>Table1[[#This Row],[N]]/Table1[[#This Row],[estE2E]]</f>
        <v>6.013090507996095</v>
      </c>
      <c r="AW150" s="5">
        <f>Table1[[#This Row],[PPS]]/Table1[[#This Row],[In-Tok]]</f>
        <v>6.2848139660493825</v>
      </c>
      <c r="AX150" s="4">
        <f>Table1[[#This Row],[RPS]]/Table1[[#This Row],[RPS(IL)]]</f>
        <v>1.0819731557264314</v>
      </c>
      <c r="AY150" s="5">
        <f>Table1[[#This Row],[GPS]]/Table1[[#This Row],[Out-Tok]]</f>
        <v>5.830439814814814</v>
      </c>
      <c r="AZ150" s="89">
        <f>Table1[[#This Row],[RPS]]/Table1[[#This Row],[RPS(OL)]]</f>
        <v>1.1662928039702234</v>
      </c>
      <c r="BA150" s="135">
        <f>MaxTok/Table1[[#This Row],[tok/req]]</f>
        <v>64.117729254967813</v>
      </c>
      <c r="BB150" s="4">
        <f>Table1[[#This Row],[N]]/Table1[[#This Row],[N-max]]</f>
        <v>1.0826809230483145</v>
      </c>
      <c r="BC150" s="44">
        <f>Table1[[#This Row],[RPS]]</f>
        <v>6.8</v>
      </c>
      <c r="BD150" s="47">
        <f>Table1[[#This Row],[PPS]]/Table1[[#This Row],[RPS success]]</f>
        <v>5545.4240876906315</v>
      </c>
      <c r="BE150" s="4">
        <f>ABS(Table1[[#This Row],[est-In-Tok3]]-Table1[[#This Row],[In-Tok]])/Table1[[#This Row],[In-Tok]]</f>
        <v>7.5762652051561422E-2</v>
      </c>
      <c r="BF150" s="47">
        <f>Table1[[#This Row],[GPS]]/Table1[[#This Row],[RPS success]]</f>
        <v>85.741761982570793</v>
      </c>
      <c r="BG150" s="4">
        <f>ABS(Table1[[#This Row],[est-Out-Tok3]]-Table1[[#This Row],[Out-Tok]])/Table1[[#This Row],[Out-Tok]]</f>
        <v>0.14258238017429206</v>
      </c>
      <c r="BH150" s="162">
        <f>Table1[[#This Row],[est-In-Tok3]]+AvgOutLoad*Table1[[#This Row],[est-Out-Tok3]]</f>
        <v>5588.2949686819165</v>
      </c>
      <c r="BI150" s="4">
        <f>ABS(Table1[[#This Row],[est-Tok/Req3]]-Table1[[#This Row],[tok/req]])/Table1[[#This Row],[tok/req]]</f>
        <v>7.6314881209600574E-2</v>
      </c>
      <c r="BJ150" s="162">
        <f>MaxTok/Table1[[#This Row],[est-Tok/Req3]]</f>
        <v>69.415137204908532</v>
      </c>
      <c r="BK150" s="4">
        <f>ABS(Table1[[#This Row],[est-N-max3]]-Table1[[#This Row],[N-max]])/Table1[[#This Row],[N-max]]</f>
        <v>8.2620018074490348E-2</v>
      </c>
      <c r="BL150" s="44">
        <f>MaxTok*Table1[[#This Row],[Kvcache]]/Table1[[#This Row],[Run]]</f>
        <v>6052.8523278315515</v>
      </c>
      <c r="BM150" s="170">
        <f>ABS(Table1[[#This Row],[est-Tok/Req]]-Table1[[#This Row],[tok/req]])/Table1[[#This Row],[tok/req]]</f>
        <v>4.7145914571099505E-4</v>
      </c>
      <c r="BN150" s="44">
        <f>MaxTok/Table1[[#This Row],[est-Tok/Req]]</f>
        <v>64.087514610079012</v>
      </c>
      <c r="BO150" s="180">
        <f>Table1[[#This Row],[Run]]/Table1[[#This Row],[Kvcache]]</f>
        <v>64.087514610078998</v>
      </c>
      <c r="BP150" s="4" cm="1">
        <f t="array" aca="1" ref="BP150" ca="1">_xlfn.CEILING.MATH(INDIRECT("Table1"&amp;BP$3)/BP$2)*BP$2</f>
        <v>7000</v>
      </c>
      <c r="BQ150" s="4" cm="1">
        <f t="array" aca="1" ref="BQ150" ca="1">_xlfn.CEILING.MATH(INDIRECT("Table1"&amp;BQ$3)/BQ$2)*BQ$2</f>
        <v>0.105</v>
      </c>
      <c r="BR150" s="4" cm="1">
        <f t="array" aca="1" ref="BR150" ca="1">_xlfn.CEILING.MATH(INDIRECT("Table1"&amp;BR$3)/BR$2)*BR$2</f>
        <v>0.8</v>
      </c>
      <c r="BS150" s="4" cm="1">
        <f t="array" aca="1" ref="BS150" ca="1">_xlfn.CEILING.MATH(INDIRECT("Table1"&amp;BS$3)/BS$2)*BS$2</f>
        <v>0.76</v>
      </c>
      <c r="BT150" s="3" cm="1">
        <f t="array" aca="1" ref="BT150" ca="1">_xlfn.CEILING.MATH(INDIRECT("Table1"&amp;BT$3)/BT$2)*BT$2</f>
        <v>49</v>
      </c>
      <c r="BU150" s="135" cm="1">
        <f t="array" aca="1" ref="BU150" ca="1">_xlfn.CEILING.MATH(INDIRECT("Table1"&amp;BU$3)/BU$2)*BU$2</f>
        <v>60</v>
      </c>
      <c r="BV150" s="135" cm="1">
        <f t="array" aca="1" ref="BV150" ca="1">_xlfn.CEILING.MATH(INDIRECT("Table1"&amp;BV$3)/BV$2)*BV$2</f>
        <v>6000</v>
      </c>
      <c r="BW150" s="4"/>
      <c r="BX150" s="4"/>
      <c r="BY150" s="190">
        <v>0.99707783811740358</v>
      </c>
      <c r="BZ150" s="4"/>
      <c r="CA150" s="3"/>
      <c r="CF150" s="5"/>
      <c r="CH150" s="8"/>
      <c r="CI150" s="8"/>
      <c r="CJ150" s="14"/>
      <c r="CK150" s="8"/>
      <c r="CL150" s="8"/>
      <c r="CM150" s="8"/>
      <c r="CN150" s="8"/>
      <c r="CO150" s="8"/>
      <c r="CP150" s="8"/>
      <c r="CQ150" s="8">
        <f>Table1[[#This Row],[In-Tok]]+AvgOutLoad*Table1[[#This Row],[Out-Tok]]</f>
        <v>6050</v>
      </c>
      <c r="CR150" s="8"/>
      <c r="CS150" s="8"/>
      <c r="CT150" s="8"/>
      <c r="CU150" s="8"/>
      <c r="CV150" s="8"/>
      <c r="CW150" s="8"/>
      <c r="CX150" s="8"/>
      <c r="CY150" s="8"/>
      <c r="GJ150"/>
    </row>
    <row r="151" spans="1:192" x14ac:dyDescent="0.25">
      <c r="A151" s="3">
        <v>6000</v>
      </c>
      <c r="B151" s="3">
        <v>100</v>
      </c>
      <c r="C151">
        <v>7</v>
      </c>
      <c r="D151" s="199">
        <f>Table1[[#This Row],[Kvcache]]</f>
        <v>0.79698991466252911</v>
      </c>
      <c r="E151" s="4" t="s">
        <v>144</v>
      </c>
      <c r="F151" s="219">
        <v>46092</v>
      </c>
      <c r="G151" s="10"/>
      <c r="H151" s="10">
        <v>8.0779408992271104</v>
      </c>
      <c r="I151" s="10">
        <v>1.3740283270689924</v>
      </c>
      <c r="J151" s="10">
        <v>9.3262275481629953</v>
      </c>
      <c r="K151" s="10">
        <v>14.841223613421127</v>
      </c>
      <c r="L151" s="10">
        <v>15.866198527018232</v>
      </c>
      <c r="M151" s="10">
        <v>0.10782964884424413</v>
      </c>
      <c r="N151" s="10">
        <v>18.168101412278698</v>
      </c>
      <c r="O151" s="47">
        <v>35971.4</v>
      </c>
      <c r="P151" s="47">
        <v>532.4666666666667</v>
      </c>
      <c r="Q151" s="5">
        <v>51.033333333333331</v>
      </c>
      <c r="R151" s="5">
        <v>64</v>
      </c>
      <c r="S151" s="170">
        <v>0.79698991466252911</v>
      </c>
      <c r="T151" s="170">
        <v>0.99904318593224717</v>
      </c>
      <c r="U151" s="20">
        <f>(Table1[[#This Row],[In-Tok]]+Table1[[#This Row],[Out-Tok]])*Table1[[#This Row],[RPS]]</f>
        <v>42700</v>
      </c>
      <c r="V151" s="3">
        <f>Table1[[#This Row],[In-Tok]]+AvgOutLoad*Table1[[#This Row],[Out-Tok]]</f>
        <v>6050</v>
      </c>
      <c r="W151" s="3">
        <f>Table1[[#This Row],[In-Tok]]*Table1[[#This Row],[RPS]]</f>
        <v>42000</v>
      </c>
      <c r="X151" s="3">
        <f>Table1[[#This Row],[Out-Tok]]*Table1[[#This Row],[RPS]]</f>
        <v>700</v>
      </c>
      <c r="Y151" s="75">
        <f>Table1[[#This Row],[In-Tok]]/Table1[[#This Row],[Out-Tok]]</f>
        <v>60</v>
      </c>
      <c r="Z151" s="26">
        <f>Table1[[#This Row],[In-Tok]]*Table1[[#This Row],[N]]+AvgOutLoad*Table1[[#This Row],[Out-Tok]]*Table1[[#This Row],[Ndecode]]</f>
        <v>396790.66937631735</v>
      </c>
      <c r="AA151" s="3">
        <f>Table1[[#This Row],[tok(N)]]/Table1[[#This Row],[Kvcache]]</f>
        <v>497861.59407591895</v>
      </c>
      <c r="AB151" s="3">
        <f>Table1[[#This Row],[tok/req]]*Table1[[#This Row],[Run]]</f>
        <v>308751.66666666663</v>
      </c>
      <c r="AC151" s="3">
        <f>Table1[[#This Row],[tok(Run)]]/Table1[[#This Row],[Kvcache]]</f>
        <v>387397.20664771763</v>
      </c>
      <c r="AD151" s="3">
        <f>Table1[[#This Row],[tok/req]]*Table1[[#This Row],[MaxRun]]</f>
        <v>387200</v>
      </c>
      <c r="AE151" s="3">
        <f>Table1[[#This Row],[tok(MaxRun)]]/Table1[[#This Row],[MaxKvcache]]</f>
        <v>387570.8332254808</v>
      </c>
      <c r="AF151" s="75">
        <f>Table1[[#This Row],[PPS]]*Table1[[#This Row],[Prefill]]/Table1[[#This Row],[In-Tok]]</f>
        <v>8.2376204273882596</v>
      </c>
      <c r="AG151" s="5">
        <f>Table1[[#This Row],[GPS]]*Table1[[#This Row],[ITL]]</f>
        <v>57.415693687931864</v>
      </c>
      <c r="AH151" s="5">
        <f>Table1[[#This Row],[Nprefill]]+Table1[[#This Row],[Ndecode]]</f>
        <v>65.653314115320129</v>
      </c>
      <c r="AI151" s="4">
        <f>Table1[[#This Row],[Run]]/Table1[[#This Row],[ITL]]/Table1[[#This Row],[GPS]]</f>
        <v>0.88883944537379977</v>
      </c>
      <c r="AJ151" s="10">
        <f>Table1[[#This Row],[Prefill]]+Table1[[#This Row],[ITL]]</f>
        <v>1.4818579759132364</v>
      </c>
      <c r="AK151" s="4">
        <f>Table1[[#This Row],[TTFT]]/Table1[[#This Row],[estTTFT]]</f>
        <v>5.4512247668329037</v>
      </c>
      <c r="AL151" s="5">
        <f>Table1[[#This Row],[In-Tok]]*Table1[[#This Row],[RPS]]/Table1[[#This Row],[PPS]]</f>
        <v>1.1675942554362633</v>
      </c>
      <c r="AM151" s="4">
        <f>Table1[[#This Row],[Prefill]]/Table1[[#This Row],[estPrefill]]</f>
        <v>1.1768029181983226</v>
      </c>
      <c r="AN151" s="4">
        <f>Table1[[#This Row],[Prefill]]/Table1[[#This Row],[TTFT]]</f>
        <v>0.17009635799643669</v>
      </c>
      <c r="AO151" s="10">
        <f>Table1[[#This Row],[Run]]/(Table1[[#This Row],[Out-Tok]]*Table1[[#This Row],[RPS]])</f>
        <v>7.2904761904761903E-2</v>
      </c>
      <c r="AP151" s="4">
        <f>Table1[[#This Row],[ITL]]/Table1[[#This Row],[estITL]]</f>
        <v>1.4790480899602396</v>
      </c>
      <c r="AQ151" s="44">
        <f>Table1[[#This Row],[E2E]]-Table1[[#This Row],[TTFT]]+Table1[[#This Row],[ITL]]</f>
        <v>10.197990161895833</v>
      </c>
      <c r="AR151" s="4">
        <f>Table1[[#This Row],[estDecode]]/Table1[[#This Row],[Run]]</f>
        <v>0.19982998357731874</v>
      </c>
      <c r="AS151" s="44">
        <f>Table1[[#This Row],[Prefill]]+Table1[[#This Row],[Out-Tok]]*Table1[[#This Row],[ITL]]</f>
        <v>12.156993211493404</v>
      </c>
      <c r="AT151" s="5">
        <f>Table1[[#This Row],[estPrefill]]+Table1[[#This Row],[Out-Tok]]*Table1[[#This Row],[ITL]]</f>
        <v>11.950559139860676</v>
      </c>
      <c r="AU151" s="4">
        <f>Table1[[#This Row],[E2E]]/Table1[[#This Row],[estE2E]]</f>
        <v>1.5202720809672934</v>
      </c>
      <c r="AV151" s="5">
        <f>Table1[[#This Row],[N]]/Table1[[#This Row],[estE2E]]</f>
        <v>5.4937441292044467</v>
      </c>
      <c r="AW151" s="5">
        <f>Table1[[#This Row],[PPS]]/Table1[[#This Row],[In-Tok]]</f>
        <v>5.9952333333333332</v>
      </c>
      <c r="AX151" s="4">
        <f>Table1[[#This Row],[RPS]]/Table1[[#This Row],[RPS(IL)]]</f>
        <v>1.1675942554362633</v>
      </c>
      <c r="AY151" s="5">
        <f>Table1[[#This Row],[GPS]]/Table1[[#This Row],[Out-Tok]]</f>
        <v>5.3246666666666673</v>
      </c>
      <c r="AZ151" s="89">
        <f>Table1[[#This Row],[RPS]]/Table1[[#This Row],[RPS(OL)]]</f>
        <v>1.3146362839614372</v>
      </c>
      <c r="BA151" s="135">
        <f>MaxTok/Table1[[#This Row],[tok/req]]</f>
        <v>64.117729254967813</v>
      </c>
      <c r="BB151" s="4">
        <f>Table1[[#This Row],[N]]/Table1[[#This Row],[N-max]]</f>
        <v>1.0239494579454924</v>
      </c>
      <c r="BC151" s="44">
        <f>Table1[[#This Row],[RPS]]</f>
        <v>7</v>
      </c>
      <c r="BD151" s="47">
        <f>Table1[[#This Row],[PPS]]/Table1[[#This Row],[RPS success]]</f>
        <v>5138.7714285714292</v>
      </c>
      <c r="BE151" s="4">
        <f>ABS(Table1[[#This Row],[est-In-Tok3]]-Table1[[#This Row],[In-Tok]])/Table1[[#This Row],[In-Tok]]</f>
        <v>0.14353809523809513</v>
      </c>
      <c r="BF151" s="47">
        <f>Table1[[#This Row],[GPS]]/Table1[[#This Row],[RPS success]]</f>
        <v>76.066666666666677</v>
      </c>
      <c r="BG151" s="4">
        <f>ABS(Table1[[#This Row],[est-Out-Tok3]]-Table1[[#This Row],[Out-Tok]])/Table1[[#This Row],[Out-Tok]]</f>
        <v>0.23933333333333323</v>
      </c>
      <c r="BH151" s="162">
        <f>Table1[[#This Row],[est-In-Tok3]]+AvgOutLoad*Table1[[#This Row],[est-Out-Tok3]]</f>
        <v>5176.8047619047629</v>
      </c>
      <c r="BI151" s="4">
        <f>ABS(Table1[[#This Row],[est-Tok/Req3]]-Table1[[#This Row],[tok/req]])/Table1[[#This Row],[tok/req]]</f>
        <v>0.14432979142070035</v>
      </c>
      <c r="BJ151" s="162">
        <f>MaxTok/Table1[[#This Row],[est-Tok/Req3]]</f>
        <v>74.932758686813244</v>
      </c>
      <c r="BK151" s="4">
        <f>ABS(Table1[[#This Row],[est-N-max3]]-Table1[[#This Row],[N-max]])/Table1[[#This Row],[N-max]]</f>
        <v>0.1686745547216566</v>
      </c>
      <c r="BL151" s="44">
        <f>MaxTok*Table1[[#This Row],[Kvcache]]/Table1[[#This Row],[Run]]</f>
        <v>6058.0436430175432</v>
      </c>
      <c r="BM151" s="170">
        <f>ABS(Table1[[#This Row],[est-Tok/Req]]-Table1[[#This Row],[tok/req]])/Table1[[#This Row],[tok/req]]</f>
        <v>1.3295277714947468E-3</v>
      </c>
      <c r="BN151" s="44">
        <f>MaxTok/Table1[[#This Row],[est-Tok/Req]]</f>
        <v>64.032596140118628</v>
      </c>
      <c r="BO151" s="180">
        <f>Table1[[#This Row],[Run]]/Table1[[#This Row],[Kvcache]]</f>
        <v>64.032596140118628</v>
      </c>
      <c r="BP151" s="4" cm="1">
        <f t="array" aca="1" ref="BP151" ca="1">_xlfn.CEILING.MATH(INDIRECT("Table1"&amp;BP$3)/BP$2)*BP$2</f>
        <v>7000</v>
      </c>
      <c r="BQ151" s="4" cm="1">
        <f t="array" aca="1" ref="BQ151" ca="1">_xlfn.CEILING.MATH(INDIRECT("Table1"&amp;BQ$3)/BQ$2)*BQ$2</f>
        <v>0.11</v>
      </c>
      <c r="BR151" s="4" cm="1">
        <f t="array" aca="1" ref="BR151" ca="1">_xlfn.CEILING.MATH(INDIRECT("Table1"&amp;BR$3)/BR$2)*BR$2</f>
        <v>0.8</v>
      </c>
      <c r="BS151" s="4" cm="1">
        <f t="array" aca="1" ref="BS151" ca="1">_xlfn.CEILING.MATH(INDIRECT("Table1"&amp;BS$3)/BS$2)*BS$2</f>
        <v>0.8</v>
      </c>
      <c r="BT151" s="3" cm="1">
        <f t="array" aca="1" ref="BT151" ca="1">_xlfn.CEILING.MATH(INDIRECT("Table1"&amp;BT$3)/BT$2)*BT$2</f>
        <v>52</v>
      </c>
      <c r="BU151" s="135" cm="1">
        <f t="array" aca="1" ref="BU151" ca="1">_xlfn.CEILING.MATH(INDIRECT("Table1"&amp;BU$3)/BU$2)*BU$2</f>
        <v>60</v>
      </c>
      <c r="BV151" s="135" cm="1">
        <f t="array" aca="1" ref="BV151" ca="1">_xlfn.CEILING.MATH(INDIRECT("Table1"&amp;BV$3)/BV$2)*BV$2</f>
        <v>6000</v>
      </c>
      <c r="BW151" s="4"/>
      <c r="BX151" s="4"/>
      <c r="BY151" s="190">
        <v>0.99904318593224717</v>
      </c>
      <c r="BZ151" s="4"/>
      <c r="CA151" s="3"/>
      <c r="CF151" s="5"/>
      <c r="CH151" s="8"/>
      <c r="CI151" s="8"/>
      <c r="CJ151" s="14"/>
      <c r="CK151" s="8"/>
      <c r="CL151" s="8"/>
      <c r="CM151" s="8"/>
      <c r="CN151" s="8"/>
      <c r="CO151" s="8"/>
      <c r="CP151" s="8"/>
      <c r="CQ151" s="8">
        <f>Table1[[#This Row],[In-Tok]]+AvgOutLoad*Table1[[#This Row],[Out-Tok]]</f>
        <v>6050</v>
      </c>
      <c r="CR151" s="8"/>
      <c r="CS151" s="8"/>
      <c r="CT151" s="8"/>
      <c r="CU151" s="8"/>
      <c r="CV151" s="8"/>
      <c r="CW151" s="8"/>
      <c r="CX151" s="8"/>
      <c r="CY151" s="8"/>
      <c r="GJ151"/>
    </row>
    <row r="152" spans="1:192" hidden="1" x14ac:dyDescent="0.25">
      <c r="A152" s="26">
        <v>1000</v>
      </c>
      <c r="B152" s="3">
        <v>300</v>
      </c>
      <c r="C152" s="123">
        <v>2</v>
      </c>
      <c r="D152" s="216">
        <f>Table1[[#This Row],[Kvcache]]</f>
        <v>1.1850271528316525E-2</v>
      </c>
      <c r="E152" s="170" t="s">
        <v>153</v>
      </c>
      <c r="F152" s="218">
        <v>46104</v>
      </c>
      <c r="G152" s="10">
        <v>0</v>
      </c>
      <c r="H152" s="10">
        <v>3.6813165959942801E-2</v>
      </c>
      <c r="I152" s="10">
        <v>3.1516070129098697E-2</v>
      </c>
      <c r="J152" s="10">
        <v>4.9095033114591867E-2</v>
      </c>
      <c r="K152" s="10">
        <v>6.3904261589050299E-2</v>
      </c>
      <c r="L152" s="10">
        <v>7.216400861740116E-2</v>
      </c>
      <c r="M152" s="10">
        <v>6.6212960266655973E-3</v>
      </c>
      <c r="N152" s="10">
        <v>2.0161699618311379</v>
      </c>
      <c r="O152" s="47">
        <v>2174.8166666666666</v>
      </c>
      <c r="P152" s="47">
        <v>603.84444444444443</v>
      </c>
      <c r="Q152" s="5">
        <v>4</v>
      </c>
      <c r="R152" s="5">
        <v>8.5</v>
      </c>
      <c r="S152" s="170">
        <v>1.1850271528316525E-2</v>
      </c>
      <c r="T152" s="170">
        <v>2.5019394879751741E-2</v>
      </c>
      <c r="U152" s="3">
        <f>(Table1[[#This Row],[In-Tok]]+Table1[[#This Row],[Out-Tok]])*Table1[[#This Row],[RPS]]</f>
        <v>2600</v>
      </c>
      <c r="V152" s="3">
        <f>Table1[[#This Row],[In-Tok]]+$V$2*Table1[[#This Row],[Out-Tok]]</f>
        <v>1150</v>
      </c>
      <c r="W152" s="3">
        <f>Table1[[#This Row],[In-Tok]]*Table1[[#This Row],[RPS]]</f>
        <v>2000</v>
      </c>
      <c r="X152" s="3">
        <f>Table1[[#This Row],[Out-Tok]]*Table1[[#This Row],[RPS]]</f>
        <v>600</v>
      </c>
      <c r="Y152" s="75">
        <f>Table1[[#This Row],[In-Tok]]/Table1[[#This Row],[Out-Tok]]</f>
        <v>3.3333333333333335</v>
      </c>
      <c r="Z152" s="26">
        <f>Table1[[#This Row],[In-Tok]]*Table1[[#This Row],[N]]+AvgOutLoad*Table1[[#This Row],[Out-Tok]]*Table1[[#This Row],[Ndecode]]</f>
        <v>4666.5094184173086</v>
      </c>
      <c r="AA152" s="3">
        <f>Table1[[#This Row],[tok(N)]]/Table1[[#This Row],[Kvcache]]</f>
        <v>393789.23995678627</v>
      </c>
      <c r="AB152" s="3">
        <f>Table1[[#This Row],[tok/req]]*Table1[[#This Row],[Run]]</f>
        <v>4600</v>
      </c>
      <c r="AC152" s="3">
        <f>Table1[[#This Row],[tok(Run)]]/Table1[[#This Row],[Kvcache]]</f>
        <v>388176.75941080193</v>
      </c>
      <c r="AD152" s="3">
        <f>Table1[[#This Row],[tok/req]]*Table1[[#This Row],[MaxRun]]</f>
        <v>9775</v>
      </c>
      <c r="AE152" s="3">
        <f>Table1[[#This Row],[tok(MaxRun)]]/Table1[[#This Row],[MaxKvcache]]</f>
        <v>390696.89922480629</v>
      </c>
      <c r="AF152" s="75">
        <f>Table1[[#This Row],[PPS]]*Table1[[#This Row],[Prefill]]/Table1[[#This Row],[In-Tok]]</f>
        <v>6.8541674584599338E-2</v>
      </c>
      <c r="AG152" s="5">
        <f>Table1[[#This Row],[GPS]]*Table1[[#This Row],[ITL]]</f>
        <v>3.9982328207240951</v>
      </c>
      <c r="AH152" s="5">
        <f>Table1[[#This Row],[Nprefill]]+Table1[[#This Row],[Ndecode]]</f>
        <v>4.0667744953086942</v>
      </c>
      <c r="AI152" s="4">
        <f>Table1[[#This Row],[Run]]/Table1[[#This Row],[ITL]]/Table1[[#This Row],[GPS]]</f>
        <v>1.0004419900879071</v>
      </c>
      <c r="AJ152" s="10">
        <f>Table1[[#This Row],[Prefill]]+Table1[[#This Row],[ITL]]</f>
        <v>3.8137366155764296E-2</v>
      </c>
      <c r="AK152" s="4">
        <f>Table1[[#This Row],[TTFT]]/Table1[[#This Row],[estTTFT]]</f>
        <v>0.96527814242826659</v>
      </c>
      <c r="AL152" s="5">
        <f>Table1[[#This Row],[In-Tok]]*Table1[[#This Row],[RPS]]/Table1[[#This Row],[PPS]]</f>
        <v>0.91961774555709674</v>
      </c>
      <c r="AM152" s="4">
        <f>Table1[[#This Row],[Prefill]]/Table1[[#This Row],[estPrefill]]</f>
        <v>3.4270837292299669E-2</v>
      </c>
      <c r="AN152" s="4">
        <f>Table1[[#This Row],[Prefill]]/Table1[[#This Row],[TTFT]]</f>
        <v>0.85610865860849927</v>
      </c>
      <c r="AO152" s="10">
        <f>Table1[[#This Row],[Run]]/(Table1[[#This Row],[Out-Tok]]*Table1[[#This Row],[RPS]])</f>
        <v>6.6666666666666671E-3</v>
      </c>
      <c r="AP152" s="4">
        <f>Table1[[#This Row],[ITL]]/Table1[[#This Row],[estITL]]</f>
        <v>0.99319440399983949</v>
      </c>
      <c r="AQ152" s="44">
        <f>Table1[[#This Row],[E2E]]-Table1[[#This Row],[TTFT]]+Table1[[#This Row],[ITL]]</f>
        <v>1.9859780918978607</v>
      </c>
      <c r="AR152" s="4">
        <f>Table1[[#This Row],[estDecode]]/Table1[[#This Row],[Run]]</f>
        <v>0.49649452297446517</v>
      </c>
      <c r="AS152" s="44">
        <f>Table1[[#This Row],[Prefill]]+Table1[[#This Row],[Out-Tok]]*Table1[[#This Row],[ITL]]</f>
        <v>2.0179048781287778</v>
      </c>
      <c r="AT152" s="5">
        <f>Table1[[#This Row],[estPrefill]]+Table1[[#This Row],[Out-Tok]]*Table1[[#This Row],[ITL]]</f>
        <v>2.9060065535567761</v>
      </c>
      <c r="AU152" s="4">
        <f>Table1[[#This Row],[E2E]]/Table1[[#This Row],[estE2E]]</f>
        <v>0.69379401755425085</v>
      </c>
      <c r="AV152" s="5">
        <f>Table1[[#This Row],[N]]/Table1[[#This Row],[estE2E]]</f>
        <v>1.3994374824555054</v>
      </c>
      <c r="AW152" s="5">
        <f>Table1[[#This Row],[PPS]]/Table1[[#This Row],[In-Tok]]</f>
        <v>2.1748166666666666</v>
      </c>
      <c r="AX152" s="4">
        <f>Table1[[#This Row],[RPS]]/Table1[[#This Row],[RPS(IL)]]</f>
        <v>0.91961774555709674</v>
      </c>
      <c r="AY152" s="5">
        <f>Table1[[#This Row],[GPS]]/Table1[[#This Row],[Out-Tok]]</f>
        <v>2.0128148148148148</v>
      </c>
      <c r="AZ152" s="89">
        <f>Table1[[#This Row],[RPS]]/Table1[[#This Row],[RPS(OL)]]</f>
        <v>0.99363338608177232</v>
      </c>
      <c r="BA152" s="135">
        <f>MaxTok/Table1[[#This Row],[tok/req]]</f>
        <v>337.31501042830894</v>
      </c>
      <c r="BB152" s="4">
        <f>Table1[[#This Row],[N]]/Table1[[#This Row],[N-max]]</f>
        <v>1.2056310480060964E-2</v>
      </c>
      <c r="BC152" s="44">
        <f>Table1[[#This Row],[RPS]]</f>
        <v>2</v>
      </c>
      <c r="BD152" s="47">
        <f>Table1[[#This Row],[PPS]]/Table1[[#This Row],[RPS success]]</f>
        <v>1087.4083333333333</v>
      </c>
      <c r="BE152" s="4">
        <f>ABS(Table1[[#This Row],[est-In-Tok3]]-Table1[[#This Row],[In-Tok]])/Table1[[#This Row],[In-Tok]]</f>
        <v>8.7408333333333296E-2</v>
      </c>
      <c r="BF152" s="47">
        <f>Table1[[#This Row],[GPS]]/Table1[[#This Row],[RPS success]]</f>
        <v>301.92222222222222</v>
      </c>
      <c r="BG152" s="4">
        <f>ABS(Table1[[#This Row],[est-Out-Tok3]]-Table1[[#This Row],[Out-Tok]])/Table1[[#This Row],[Out-Tok]]</f>
        <v>6.4074074074073903E-3</v>
      </c>
      <c r="BH152" s="162">
        <f>Table1[[#This Row],[est-In-Tok3]]+AvgOutLoad*Table1[[#This Row],[est-Out-Tok3]]</f>
        <v>1238.3694444444445</v>
      </c>
      <c r="BI152" s="4">
        <f>ABS(Table1[[#This Row],[est-Tok/Req3]]-Table1[[#This Row],[tok/req]])/Table1[[#This Row],[tok/req]]</f>
        <v>7.684299516908219E-2</v>
      </c>
      <c r="BJ152" s="162">
        <f>MaxTok/Table1[[#This Row],[est-Tok/Req3]]</f>
        <v>313.24437447387112</v>
      </c>
      <c r="BK152" s="4">
        <f>ABS(Table1[[#This Row],[est-N-max3]]-Table1[[#This Row],[N-max]])/Table1[[#This Row],[N-max]]</f>
        <v>7.1359516209711218E-2</v>
      </c>
      <c r="BL152" s="44">
        <f>MaxTok*Table1[[#This Row],[Kvcache]]/Table1[[#This Row],[Run]]</f>
        <v>1149.2164084438095</v>
      </c>
      <c r="BM152" s="170">
        <f>ABS(Table1[[#This Row],[est-Tok/Req]]-Table1[[#This Row],[tok/req]])/Table1[[#This Row],[tok/req]]</f>
        <v>6.8138396190474653E-4</v>
      </c>
      <c r="BN152" s="44">
        <f>MaxTok/Table1[[#This Row],[est-Tok/Req]]</f>
        <v>337.54500818330604</v>
      </c>
      <c r="BO152" s="180">
        <f>Table1[[#This Row],[Run]]/Table1[[#This Row],[Kvcache]]</f>
        <v>337.54500818330604</v>
      </c>
      <c r="BP152" s="4" cm="1">
        <f t="array" aca="1" ref="BP152" ca="1">_xlfn.CEILING.MATH(INDIRECT("Table1"&amp;BP$3)/BP$2)*BP$2</f>
        <v>2000</v>
      </c>
      <c r="BQ152" s="4" cm="1">
        <f t="array" aca="1" ref="BQ152" ca="1">_xlfn.CEILING.MATH(INDIRECT("Table1"&amp;BQ$3)/BQ$2)*BQ$2</f>
        <v>0.01</v>
      </c>
      <c r="BR152" s="4" cm="1">
        <f t="array" aca="1" ref="BR152" ca="1">_xlfn.CEILING.MATH(INDIRECT("Table1"&amp;BR$3)/BR$2)*BR$2</f>
        <v>0.1</v>
      </c>
      <c r="BS152" s="4" cm="1">
        <f t="array" aca="1" ref="BS152" ca="1">_xlfn.CEILING.MATH(INDIRECT("Table1"&amp;BS$3)/BS$2)*BS$2</f>
        <v>0.02</v>
      </c>
      <c r="BT152" s="3" cm="1">
        <f t="array" aca="1" ref="BT152" ca="1">_xlfn.CEILING.MATH(INDIRECT("Table1"&amp;BT$3)/BT$2)*BT$2</f>
        <v>4</v>
      </c>
      <c r="BU152" s="135" cm="1">
        <f t="array" aca="1" ref="BU152" ca="1">_xlfn.CEILING.MATH(INDIRECT("Table1"&amp;BU$3)/BU$2)*BU$2</f>
        <v>5</v>
      </c>
      <c r="BV152" s="135" cm="1">
        <f t="array" aca="1" ref="BV152" ca="1">_xlfn.CEILING.MATH(INDIRECT("Table1"&amp;BV$3)/BV$2)*BV$2</f>
        <v>1000</v>
      </c>
      <c r="BW152" s="4"/>
      <c r="BX152" s="4"/>
      <c r="BY152" s="217"/>
      <c r="BZ152" s="4"/>
      <c r="CA152" s="3"/>
      <c r="CF152" s="5"/>
      <c r="CH152" s="8"/>
      <c r="CI152" s="8"/>
      <c r="CJ152" s="14"/>
      <c r="CK152" s="8"/>
      <c r="CL152" s="8"/>
      <c r="CM152" s="8"/>
      <c r="CN152" s="8"/>
      <c r="CO152" s="8"/>
      <c r="CP152" s="8"/>
      <c r="CQ152" s="8">
        <f>Table1[[#This Row],[In-Tok]]+AvgOutLoad*Table1[[#This Row],[Out-Tok]]</f>
        <v>1150</v>
      </c>
      <c r="CR152" s="8"/>
      <c r="CS152" s="8"/>
      <c r="CT152" s="8"/>
      <c r="CU152" s="8"/>
      <c r="CV152" s="8"/>
      <c r="CW152" s="8"/>
      <c r="CX152" s="8"/>
      <c r="CY152" s="8"/>
    </row>
    <row r="153" spans="1:192" hidden="1" x14ac:dyDescent="0.25">
      <c r="A153" s="26">
        <v>2000</v>
      </c>
      <c r="B153" s="3">
        <v>300</v>
      </c>
      <c r="C153" s="123">
        <v>2</v>
      </c>
      <c r="D153" s="216">
        <f>Table1[[#This Row],[Kvcache]]</f>
        <v>2.5965865011636929E-2</v>
      </c>
      <c r="E153" s="170" t="s">
        <v>153</v>
      </c>
      <c r="F153" s="218">
        <v>46104</v>
      </c>
      <c r="G153" s="10">
        <v>0</v>
      </c>
      <c r="H153" s="10">
        <v>6.246258813404177E-2</v>
      </c>
      <c r="I153" s="10">
        <v>5.4630473282162834E-2</v>
      </c>
      <c r="J153" s="10">
        <v>7.6301067071120429E-2</v>
      </c>
      <c r="K153" s="10">
        <v>0.11124184131622314</v>
      </c>
      <c r="L153" s="10">
        <v>0.12285841464996336</v>
      </c>
      <c r="M153" s="10">
        <v>7.490851774883912E-3</v>
      </c>
      <c r="N153" s="10">
        <v>2.300878753301224</v>
      </c>
      <c r="O153" s="47">
        <v>4546.6166666666668</v>
      </c>
      <c r="P153" s="47">
        <v>634.69444444444446</v>
      </c>
      <c r="Q153" s="5">
        <v>4.6500000000000004</v>
      </c>
      <c r="R153" s="5">
        <v>11</v>
      </c>
      <c r="S153" s="170">
        <v>2.5965865011636929E-2</v>
      </c>
      <c r="T153" s="170">
        <v>6.0861132660977479E-2</v>
      </c>
      <c r="U153" s="3">
        <f>(Table1[[#This Row],[In-Tok]]+Table1[[#This Row],[Out-Tok]])*Table1[[#This Row],[RPS]]</f>
        <v>4600</v>
      </c>
      <c r="V153" s="3">
        <f>Table1[[#This Row],[In-Tok]]+$V$2*Table1[[#This Row],[Out-Tok]]</f>
        <v>2150</v>
      </c>
      <c r="W153" s="3">
        <f>Table1[[#This Row],[In-Tok]]*Table1[[#This Row],[RPS]]</f>
        <v>4000</v>
      </c>
      <c r="X153" s="3">
        <f>Table1[[#This Row],[Out-Tok]]*Table1[[#This Row],[RPS]]</f>
        <v>600</v>
      </c>
      <c r="Y153" s="75">
        <f>Table1[[#This Row],[In-Tok]]/Table1[[#This Row],[Out-Tok]]</f>
        <v>6.666666666666667</v>
      </c>
      <c r="Z153" s="26">
        <f>Table1[[#This Row],[In-Tok]]*Table1[[#This Row],[N]]+AvgOutLoad*Table1[[#This Row],[Out-Tok]]*Table1[[#This Row],[Ndecode]]</f>
        <v>10470.348132535164</v>
      </c>
      <c r="AA153" s="3">
        <f>Table1[[#This Row],[tok(N)]]/Table1[[#This Row],[Kvcache]]</f>
        <v>403235.09838176955</v>
      </c>
      <c r="AB153" s="3">
        <f>Table1[[#This Row],[tok/req]]*Table1[[#This Row],[Run]]</f>
        <v>9997.5</v>
      </c>
      <c r="AC153" s="3">
        <f>Table1[[#This Row],[tok(Run)]]/Table1[[#This Row],[Kvcache]]</f>
        <v>385024.72363310424</v>
      </c>
      <c r="AD153" s="3">
        <f>Table1[[#This Row],[tok/req]]*Table1[[#This Row],[MaxRun]]</f>
        <v>23650</v>
      </c>
      <c r="AE153" s="3">
        <f>Table1[[#This Row],[tok(MaxRun)]]/Table1[[#This Row],[MaxKvcache]]</f>
        <v>388589.54748247308</v>
      </c>
      <c r="AF153" s="75">
        <f>Table1[[#This Row],[PPS]]*Table1[[#This Row],[Prefill]]/Table1[[#This Row],[In-Tok]]</f>
        <v>0.12419191016628478</v>
      </c>
      <c r="AG153" s="5">
        <f>Table1[[#This Row],[GPS]]*Table1[[#This Row],[ITL]]</f>
        <v>4.7544020056756251</v>
      </c>
      <c r="AH153" s="5">
        <f>Table1[[#This Row],[Nprefill]]+Table1[[#This Row],[Ndecode]]</f>
        <v>4.8785939158419103</v>
      </c>
      <c r="AI153" s="4">
        <f>Table1[[#This Row],[Run]]/Table1[[#This Row],[ITL]]/Table1[[#This Row],[GPS]]</f>
        <v>0.97804098064257217</v>
      </c>
      <c r="AJ153" s="10">
        <f>Table1[[#This Row],[Prefill]]+Table1[[#This Row],[ITL]]</f>
        <v>6.2121325057046747E-2</v>
      </c>
      <c r="AK153" s="4">
        <f>Table1[[#This Row],[TTFT]]/Table1[[#This Row],[estTTFT]]</f>
        <v>1.0054934932035278</v>
      </c>
      <c r="AL153" s="5">
        <f>Table1[[#This Row],[In-Tok]]*Table1[[#This Row],[RPS]]/Table1[[#This Row],[PPS]]</f>
        <v>0.87977507084022177</v>
      </c>
      <c r="AM153" s="4">
        <f>Table1[[#This Row],[Prefill]]/Table1[[#This Row],[estPrefill]]</f>
        <v>6.2095955083142397E-2</v>
      </c>
      <c r="AN153" s="4">
        <f>Table1[[#This Row],[Prefill]]/Table1[[#This Row],[TTFT]]</f>
        <v>0.87461110584992752</v>
      </c>
      <c r="AO153" s="10">
        <f>Table1[[#This Row],[Run]]/(Table1[[#This Row],[Out-Tok]]*Table1[[#This Row],[RPS]])</f>
        <v>7.7500000000000008E-3</v>
      </c>
      <c r="AP153" s="4">
        <f>Table1[[#This Row],[ITL]]/Table1[[#This Row],[estITL]]</f>
        <v>0.96656151933985957</v>
      </c>
      <c r="AQ153" s="44">
        <f>Table1[[#This Row],[E2E]]-Table1[[#This Row],[TTFT]]+Table1[[#This Row],[ITL]]</f>
        <v>2.2459070169420658</v>
      </c>
      <c r="AR153" s="4">
        <f>Table1[[#This Row],[estDecode]]/Table1[[#This Row],[Run]]</f>
        <v>0.48299075633162702</v>
      </c>
      <c r="AS153" s="44">
        <f>Table1[[#This Row],[Prefill]]+Table1[[#This Row],[Out-Tok]]*Table1[[#This Row],[ITL]]</f>
        <v>2.3018860057473365</v>
      </c>
      <c r="AT153" s="5">
        <f>Table1[[#This Row],[estPrefill]]+Table1[[#This Row],[Out-Tok]]*Table1[[#This Row],[ITL]]</f>
        <v>3.1270306033053954</v>
      </c>
      <c r="AU153" s="4">
        <f>Table1[[#This Row],[E2E]]/Table1[[#This Row],[estE2E]]</f>
        <v>0.73580308132229466</v>
      </c>
      <c r="AV153" s="5">
        <f>Table1[[#This Row],[N]]/Table1[[#This Row],[estE2E]]</f>
        <v>1.56013628734079</v>
      </c>
      <c r="AW153" s="5">
        <f>Table1[[#This Row],[PPS]]/Table1[[#This Row],[In-Tok]]</f>
        <v>2.2733083333333335</v>
      </c>
      <c r="AX153" s="4">
        <f>Table1[[#This Row],[RPS]]/Table1[[#This Row],[RPS(IL)]]</f>
        <v>0.87977507084022177</v>
      </c>
      <c r="AY153" s="5">
        <f>Table1[[#This Row],[GPS]]/Table1[[#This Row],[Out-Tok]]</f>
        <v>2.1156481481481482</v>
      </c>
      <c r="AZ153" s="89">
        <f>Table1[[#This Row],[RPS]]/Table1[[#This Row],[RPS(OL)]]</f>
        <v>0.94533677622653067</v>
      </c>
      <c r="BA153" s="135">
        <f>MaxTok/Table1[[#This Row],[tok/req]]</f>
        <v>180.42430790351409</v>
      </c>
      <c r="BB153" s="4">
        <f>Table1[[#This Row],[N]]/Table1[[#This Row],[N-max]]</f>
        <v>2.7039560093259977E-2</v>
      </c>
      <c r="BC153" s="44">
        <f>Table1[[#This Row],[RPS]]</f>
        <v>2</v>
      </c>
      <c r="BD153" s="47">
        <f>Table1[[#This Row],[PPS]]/Table1[[#This Row],[RPS success]]</f>
        <v>2273.3083333333334</v>
      </c>
      <c r="BE153" s="4">
        <f>ABS(Table1[[#This Row],[est-In-Tok3]]-Table1[[#This Row],[In-Tok]])/Table1[[#This Row],[In-Tok]]</f>
        <v>0.13665416666666669</v>
      </c>
      <c r="BF153" s="47">
        <f>Table1[[#This Row],[GPS]]/Table1[[#This Row],[RPS success]]</f>
        <v>317.34722222222223</v>
      </c>
      <c r="BG153" s="4">
        <f>ABS(Table1[[#This Row],[est-Out-Tok3]]-Table1[[#This Row],[Out-Tok]])/Table1[[#This Row],[Out-Tok]]</f>
        <v>5.7824074074074097E-2</v>
      </c>
      <c r="BH153" s="162">
        <f>Table1[[#This Row],[est-In-Tok3]]+AvgOutLoad*Table1[[#This Row],[est-Out-Tok3]]</f>
        <v>2431.9819444444447</v>
      </c>
      <c r="BI153" s="4">
        <f>ABS(Table1[[#This Row],[est-Tok/Req3]]-Table1[[#This Row],[tok/req]])/Table1[[#This Row],[tok/req]]</f>
        <v>0.13115439276485799</v>
      </c>
      <c r="BJ153" s="162">
        <f>MaxTok/Table1[[#This Row],[est-Tok/Req3]]</f>
        <v>159.50458138831655</v>
      </c>
      <c r="BK153" s="4">
        <f>ABS(Table1[[#This Row],[est-N-max3]]-Table1[[#This Row],[N-max]])/Table1[[#This Row],[N-max]]</f>
        <v>0.11594738402092043</v>
      </c>
      <c r="BL153" s="44">
        <f>MaxTok*Table1[[#This Row],[Kvcache]]/Table1[[#This Row],[Run]]</f>
        <v>2166.1241787650383</v>
      </c>
      <c r="BM153" s="170">
        <f>ABS(Table1[[#This Row],[est-Tok/Req]]-Table1[[#This Row],[tok/req]])/Table1[[#This Row],[tok/req]]</f>
        <v>7.4996180302503825E-3</v>
      </c>
      <c r="BN153" s="44">
        <f>MaxTok/Table1[[#This Row],[est-Tok/Req]]</f>
        <v>179.08126680609502</v>
      </c>
      <c r="BO153" s="180">
        <f>Table1[[#This Row],[Run]]/Table1[[#This Row],[Kvcache]]</f>
        <v>179.08126680609502</v>
      </c>
      <c r="BP153" s="4" cm="1">
        <f t="array" aca="1" ref="BP153" ca="1">_xlfn.CEILING.MATH(INDIRECT("Table1"&amp;BP$3)/BP$2)*BP$2</f>
        <v>3000</v>
      </c>
      <c r="BQ153" s="4" cm="1">
        <f t="array" aca="1" ref="BQ153" ca="1">_xlfn.CEILING.MATH(INDIRECT("Table1"&amp;BQ$3)/BQ$2)*BQ$2</f>
        <v>0.01</v>
      </c>
      <c r="BR153" s="4" cm="1">
        <f t="array" aca="1" ref="BR153" ca="1">_xlfn.CEILING.MATH(INDIRECT("Table1"&amp;BR$3)/BR$2)*BR$2</f>
        <v>0.1</v>
      </c>
      <c r="BS153" s="4" cm="1">
        <f t="array" aca="1" ref="BS153" ca="1">_xlfn.CEILING.MATH(INDIRECT("Table1"&amp;BS$3)/BS$2)*BS$2</f>
        <v>0.03</v>
      </c>
      <c r="BT153" s="3" cm="1">
        <f t="array" aca="1" ref="BT153" ca="1">_xlfn.CEILING.MATH(INDIRECT("Table1"&amp;BT$3)/BT$2)*BT$2</f>
        <v>5</v>
      </c>
      <c r="BU153" s="135" cm="1">
        <f t="array" aca="1" ref="BU153" ca="1">_xlfn.CEILING.MATH(INDIRECT("Table1"&amp;BU$3)/BU$2)*BU$2</f>
        <v>10</v>
      </c>
      <c r="BV153" s="135" cm="1">
        <f t="array" aca="1" ref="BV153" ca="1">_xlfn.CEILING.MATH(INDIRECT("Table1"&amp;BV$3)/BV$2)*BV$2</f>
        <v>2000</v>
      </c>
      <c r="BW153" s="4"/>
      <c r="BX153" s="4"/>
      <c r="BY153" s="217"/>
      <c r="BZ153" s="4"/>
      <c r="CA153" s="3"/>
      <c r="CF153" s="5"/>
      <c r="CH153" s="8"/>
      <c r="CI153" s="8"/>
      <c r="CJ153" s="14"/>
      <c r="CK153" s="8"/>
      <c r="CL153" s="8"/>
      <c r="CM153" s="8"/>
      <c r="CN153" s="8"/>
      <c r="CO153" s="8"/>
      <c r="CP153" s="8"/>
      <c r="CQ153" s="8">
        <f>Table1[[#This Row],[In-Tok]]+AvgOutLoad*Table1[[#This Row],[Out-Tok]]</f>
        <v>2150</v>
      </c>
      <c r="CR153" s="8"/>
      <c r="CS153" s="8"/>
      <c r="CT153" s="8"/>
      <c r="CU153" s="8"/>
      <c r="CV153" s="8"/>
      <c r="CW153" s="8"/>
      <c r="CX153" s="8"/>
      <c r="CY153" s="8"/>
    </row>
    <row r="154" spans="1:192" hidden="1" x14ac:dyDescent="0.25">
      <c r="A154" s="26">
        <v>3000</v>
      </c>
      <c r="B154" s="3">
        <v>300</v>
      </c>
      <c r="C154" s="123">
        <v>2</v>
      </c>
      <c r="D154" s="216">
        <f>Table1[[#This Row],[Kvcache]]</f>
        <v>3.6869666408068269E-2</v>
      </c>
      <c r="E154" s="170" t="s">
        <v>153</v>
      </c>
      <c r="F154" s="218">
        <v>46104</v>
      </c>
      <c r="G154" s="10">
        <v>0</v>
      </c>
      <c r="H154" s="10">
        <v>9.0961071314662315E-2</v>
      </c>
      <c r="I154" s="10">
        <v>8.2817684456790747E-2</v>
      </c>
      <c r="J154" s="10">
        <v>0.10633152847603525</v>
      </c>
      <c r="K154" s="10">
        <v>0.15767917633056625</v>
      </c>
      <c r="L154" s="10">
        <v>0.19386476039886469</v>
      </c>
      <c r="M154" s="10">
        <v>8.1016796352175388E-3</v>
      </c>
      <c r="N154" s="10">
        <v>2.5020658499280328</v>
      </c>
      <c r="O154" s="47">
        <v>6074.7111111111108</v>
      </c>
      <c r="P154" s="47">
        <v>555.71111111111111</v>
      </c>
      <c r="Q154" s="5">
        <v>4.5500000000000007</v>
      </c>
      <c r="R154" s="5">
        <v>8.5</v>
      </c>
      <c r="S154" s="170">
        <v>3.6869666408068269E-2</v>
      </c>
      <c r="T154" s="170">
        <v>6.9743987587276957E-2</v>
      </c>
      <c r="U154" s="3">
        <f>(Table1[[#This Row],[In-Tok]]+Table1[[#This Row],[Out-Tok]])*Table1[[#This Row],[RPS]]</f>
        <v>6600</v>
      </c>
      <c r="V154" s="3">
        <f>Table1[[#This Row],[In-Tok]]+$V$2*Table1[[#This Row],[Out-Tok]]</f>
        <v>3150</v>
      </c>
      <c r="W154" s="3">
        <f>Table1[[#This Row],[In-Tok]]*Table1[[#This Row],[RPS]]</f>
        <v>6000</v>
      </c>
      <c r="X154" s="3">
        <f>Table1[[#This Row],[Out-Tok]]*Table1[[#This Row],[RPS]]</f>
        <v>600</v>
      </c>
      <c r="Y154" s="75">
        <f>Table1[[#This Row],[In-Tok]]/Table1[[#This Row],[Out-Tok]]</f>
        <v>10</v>
      </c>
      <c r="Z154" s="26">
        <f>Table1[[#This Row],[In-Tok]]*Table1[[#This Row],[N]]+AvgOutLoad*Table1[[#This Row],[Out-Tok]]*Table1[[#This Row],[Ndecode]]</f>
        <v>14685.002692618113</v>
      </c>
      <c r="AA154" s="3">
        <f>Table1[[#This Row],[tok(N)]]/Table1[[#This Row],[Kvcache]]</f>
        <v>398294.97045312461</v>
      </c>
      <c r="AB154" s="3">
        <f>Table1[[#This Row],[tok/req]]*Table1[[#This Row],[Run]]</f>
        <v>14332.500000000002</v>
      </c>
      <c r="AC154" s="3">
        <f>Table1[[#This Row],[tok(Run)]]/Table1[[#This Row],[Kvcache]]</f>
        <v>388734.19253024732</v>
      </c>
      <c r="AD154" s="3">
        <f>Table1[[#This Row],[tok/req]]*Table1[[#This Row],[MaxRun]]</f>
        <v>26775</v>
      </c>
      <c r="AE154" s="3">
        <f>Table1[[#This Row],[tok(MaxRun)]]/Table1[[#This Row],[MaxKvcache]]</f>
        <v>383904.06006674084</v>
      </c>
      <c r="AF154" s="75">
        <f>Table1[[#This Row],[PPS]]*Table1[[#This Row],[Prefill]]/Table1[[#This Row],[In-Tok]]</f>
        <v>0.16769783598872023</v>
      </c>
      <c r="AG154" s="5">
        <f>Table1[[#This Row],[GPS]]*Table1[[#This Row],[ITL]]</f>
        <v>4.5021933919529999</v>
      </c>
      <c r="AH154" s="5">
        <f>Table1[[#This Row],[Nprefill]]+Table1[[#This Row],[Ndecode]]</f>
        <v>4.6698912279417204</v>
      </c>
      <c r="AI154" s="4">
        <f>Table1[[#This Row],[Run]]/Table1[[#This Row],[ITL]]/Table1[[#This Row],[GPS]]</f>
        <v>1.0106185149959235</v>
      </c>
      <c r="AJ154" s="10">
        <f>Table1[[#This Row],[Prefill]]+Table1[[#This Row],[ITL]]</f>
        <v>9.0919364092008292E-2</v>
      </c>
      <c r="AK154" s="4">
        <f>Table1[[#This Row],[TTFT]]/Table1[[#This Row],[estTTFT]]</f>
        <v>1.0004587276106751</v>
      </c>
      <c r="AL154" s="5">
        <f>Table1[[#This Row],[In-Tok]]*Table1[[#This Row],[RPS]]/Table1[[#This Row],[PPS]]</f>
        <v>0.98770128986472161</v>
      </c>
      <c r="AM154" s="4">
        <f>Table1[[#This Row],[Prefill]]/Table1[[#This Row],[estPrefill]]</f>
        <v>8.3848917994360103E-2</v>
      </c>
      <c r="AN154" s="4">
        <f>Table1[[#This Row],[Prefill]]/Table1[[#This Row],[TTFT]]</f>
        <v>0.9104739341767305</v>
      </c>
      <c r="AO154" s="10">
        <f>Table1[[#This Row],[Run]]/(Table1[[#This Row],[Out-Tok]]*Table1[[#This Row],[RPS]])</f>
        <v>7.5833333333333343E-3</v>
      </c>
      <c r="AP154" s="4">
        <f>Table1[[#This Row],[ITL]]/Table1[[#This Row],[estITL]]</f>
        <v>1.0683533584902247</v>
      </c>
      <c r="AQ154" s="44">
        <f>Table1[[#This Row],[E2E]]-Table1[[#This Row],[TTFT]]+Table1[[#This Row],[ITL]]</f>
        <v>2.4192064582485879</v>
      </c>
      <c r="AR154" s="4">
        <f>Table1[[#This Row],[estDecode]]/Table1[[#This Row],[Run]]</f>
        <v>0.53169372708760165</v>
      </c>
      <c r="AS154" s="44">
        <f>Table1[[#This Row],[Prefill]]+Table1[[#This Row],[Out-Tok]]*Table1[[#This Row],[ITL]]</f>
        <v>2.5133215750220526</v>
      </c>
      <c r="AT154" s="5">
        <f>Table1[[#This Row],[estPrefill]]+Table1[[#This Row],[Out-Tok]]*Table1[[#This Row],[ITL]]</f>
        <v>3.4182051804299833</v>
      </c>
      <c r="AU154" s="4">
        <f>Table1[[#This Row],[E2E]]/Table1[[#This Row],[estE2E]]</f>
        <v>0.7319823468330513</v>
      </c>
      <c r="AV154" s="5">
        <f>Table1[[#This Row],[N]]/Table1[[#This Row],[estE2E]]</f>
        <v>1.3661822451963768</v>
      </c>
      <c r="AW154" s="5">
        <f>Table1[[#This Row],[PPS]]/Table1[[#This Row],[In-Tok]]</f>
        <v>2.0249037037037034</v>
      </c>
      <c r="AX154" s="4">
        <f>Table1[[#This Row],[RPS]]/Table1[[#This Row],[RPS(IL)]]</f>
        <v>0.98770128986472161</v>
      </c>
      <c r="AY154" s="5">
        <f>Table1[[#This Row],[GPS]]/Table1[[#This Row],[Out-Tok]]</f>
        <v>1.8523703703703704</v>
      </c>
      <c r="AZ154" s="89">
        <f>Table1[[#This Row],[RPS]]/Table1[[#This Row],[RPS(OL)]]</f>
        <v>1.0796976846482984</v>
      </c>
      <c r="BA154" s="135">
        <f>MaxTok/Table1[[#This Row],[tok/req]]</f>
        <v>123.14674983890644</v>
      </c>
      <c r="BB154" s="4">
        <f>Table1[[#This Row],[N]]/Table1[[#This Row],[N-max]]</f>
        <v>3.7921351834706199E-2</v>
      </c>
      <c r="BC154" s="44">
        <f>Table1[[#This Row],[RPS]]</f>
        <v>2</v>
      </c>
      <c r="BD154" s="47">
        <f>Table1[[#This Row],[PPS]]/Table1[[#This Row],[RPS success]]</f>
        <v>3037.3555555555554</v>
      </c>
      <c r="BE154" s="4">
        <f>ABS(Table1[[#This Row],[est-In-Tok3]]-Table1[[#This Row],[In-Tok]])/Table1[[#This Row],[In-Tok]]</f>
        <v>1.2451851851851794E-2</v>
      </c>
      <c r="BF154" s="47">
        <f>Table1[[#This Row],[GPS]]/Table1[[#This Row],[RPS success]]</f>
        <v>277.85555555555555</v>
      </c>
      <c r="BG154" s="4">
        <f>ABS(Table1[[#This Row],[est-Out-Tok3]]-Table1[[#This Row],[Out-Tok]])/Table1[[#This Row],[Out-Tok]]</f>
        <v>7.3814814814814819E-2</v>
      </c>
      <c r="BH154" s="162">
        <f>Table1[[#This Row],[est-In-Tok3]]+AvgOutLoad*Table1[[#This Row],[est-Out-Tok3]]</f>
        <v>3176.2833333333333</v>
      </c>
      <c r="BI154" s="4">
        <f>ABS(Table1[[#This Row],[est-Tok/Req3]]-Table1[[#This Row],[tok/req]])/Table1[[#This Row],[tok/req]]</f>
        <v>8.3439153439153341E-3</v>
      </c>
      <c r="BJ154" s="162">
        <f>MaxTok/Table1[[#This Row],[est-Tok/Req3]]</f>
        <v>122.12772642844266</v>
      </c>
      <c r="BK154" s="4">
        <f>ABS(Table1[[#This Row],[est-N-max3]]-Table1[[#This Row],[N-max]])/Table1[[#This Row],[N-max]]</f>
        <v>8.2748705247748435E-3</v>
      </c>
      <c r="BL154" s="44">
        <f>MaxTok*Table1[[#This Row],[Kvcache]]/Table1[[#This Row],[Run]]</f>
        <v>3143.3397132449868</v>
      </c>
      <c r="BM154" s="170">
        <f>ABS(Table1[[#This Row],[est-Tok/Req]]-Table1[[#This Row],[tok/req]])/Table1[[#This Row],[tok/req]]</f>
        <v>2.1143767476232392E-3</v>
      </c>
      <c r="BN154" s="44">
        <f>MaxTok/Table1[[#This Row],[est-Tok/Req]]</f>
        <v>123.40768016833249</v>
      </c>
      <c r="BO154" s="180">
        <f>Table1[[#This Row],[Run]]/Table1[[#This Row],[Kvcache]]</f>
        <v>123.40768016833248</v>
      </c>
      <c r="BP154" s="4" cm="1">
        <f t="array" aca="1" ref="BP154" ca="1">_xlfn.CEILING.MATH(INDIRECT("Table1"&amp;BP$3)/BP$2)*BP$2</f>
        <v>4000</v>
      </c>
      <c r="BQ154" s="4" cm="1">
        <f t="array" aca="1" ref="BQ154" ca="1">_xlfn.CEILING.MATH(INDIRECT("Table1"&amp;BQ$3)/BQ$2)*BQ$2</f>
        <v>0.01</v>
      </c>
      <c r="BR154" s="4" cm="1">
        <f t="array" aca="1" ref="BR154" ca="1">_xlfn.CEILING.MATH(INDIRECT("Table1"&amp;BR$3)/BR$2)*BR$2</f>
        <v>0.1</v>
      </c>
      <c r="BS154" s="4" cm="1">
        <f t="array" aca="1" ref="BS154" ca="1">_xlfn.CEILING.MATH(INDIRECT("Table1"&amp;BS$3)/BS$2)*BS$2</f>
        <v>0.04</v>
      </c>
      <c r="BT154" s="3" cm="1">
        <f t="array" aca="1" ref="BT154" ca="1">_xlfn.CEILING.MATH(INDIRECT("Table1"&amp;BT$3)/BT$2)*BT$2</f>
        <v>5</v>
      </c>
      <c r="BU154" s="135" cm="1">
        <f t="array" aca="1" ref="BU154" ca="1">_xlfn.CEILING.MATH(INDIRECT("Table1"&amp;BU$3)/BU$2)*BU$2</f>
        <v>10</v>
      </c>
      <c r="BV154" s="135" cm="1">
        <f t="array" aca="1" ref="BV154" ca="1">_xlfn.CEILING.MATH(INDIRECT("Table1"&amp;BV$3)/BV$2)*BV$2</f>
        <v>3000</v>
      </c>
      <c r="BW154" s="4"/>
      <c r="BX154" s="4"/>
      <c r="BY154" s="217"/>
      <c r="BZ154" s="4"/>
      <c r="CA154" s="3"/>
      <c r="CF154" s="5"/>
      <c r="CH154" s="8"/>
      <c r="CI154" s="8"/>
      <c r="CJ154" s="14"/>
      <c r="CK154" s="8"/>
      <c r="CL154" s="8"/>
      <c r="CM154" s="8"/>
      <c r="CN154" s="8"/>
      <c r="CO154" s="8"/>
      <c r="CP154" s="8"/>
      <c r="CQ154" s="8">
        <f>Table1[[#This Row],[In-Tok]]+AvgOutLoad*Table1[[#This Row],[Out-Tok]]</f>
        <v>3150</v>
      </c>
      <c r="CR154" s="8"/>
      <c r="CS154" s="8"/>
      <c r="CT154" s="8"/>
      <c r="CU154" s="8"/>
      <c r="CV154" s="8"/>
      <c r="CW154" s="8"/>
      <c r="CX154" s="8"/>
      <c r="CY154" s="8"/>
    </row>
    <row r="155" spans="1:192" hidden="1" x14ac:dyDescent="0.25">
      <c r="A155" s="26">
        <v>4000</v>
      </c>
      <c r="B155" s="3">
        <v>300</v>
      </c>
      <c r="C155" s="123">
        <v>2</v>
      </c>
      <c r="D155" s="216">
        <f>Table1[[#This Row],[Kvcache]]</f>
        <v>5.8219550038789744E-2</v>
      </c>
      <c r="E155" s="170" t="s">
        <v>153</v>
      </c>
      <c r="F155" s="218">
        <v>46104</v>
      </c>
      <c r="G155" s="10">
        <v>0</v>
      </c>
      <c r="H155" s="10">
        <v>0.12463708682076555</v>
      </c>
      <c r="I155" s="10">
        <v>0.1113570210150551</v>
      </c>
      <c r="J155" s="10">
        <v>0.14154943876929116</v>
      </c>
      <c r="K155" s="10">
        <v>0.22691340446472164</v>
      </c>
      <c r="L155" s="10">
        <v>0.24051264762878422</v>
      </c>
      <c r="M155" s="10">
        <v>9.0222427353906856E-3</v>
      </c>
      <c r="N155" s="10">
        <v>2.820925992623919</v>
      </c>
      <c r="O155" s="47">
        <v>7931.3</v>
      </c>
      <c r="P155" s="47">
        <v>549.54999999999995</v>
      </c>
      <c r="Q155" s="5">
        <v>5.45</v>
      </c>
      <c r="R155" s="5">
        <v>9.5</v>
      </c>
      <c r="S155" s="170">
        <v>5.8219550038789744E-2</v>
      </c>
      <c r="T155" s="170">
        <v>0.10174553917765707</v>
      </c>
      <c r="U155" s="3">
        <f>(Table1[[#This Row],[In-Tok]]+Table1[[#This Row],[Out-Tok]])*Table1[[#This Row],[RPS]]</f>
        <v>8600</v>
      </c>
      <c r="V155" s="3">
        <f>Table1[[#This Row],[In-Tok]]+$V$2*Table1[[#This Row],[Out-Tok]]</f>
        <v>4150</v>
      </c>
      <c r="W155" s="3">
        <f>Table1[[#This Row],[In-Tok]]*Table1[[#This Row],[RPS]]</f>
        <v>8000</v>
      </c>
      <c r="X155" s="3">
        <f>Table1[[#This Row],[Out-Tok]]*Table1[[#This Row],[RPS]]</f>
        <v>600</v>
      </c>
      <c r="Y155" s="75">
        <f>Table1[[#This Row],[In-Tok]]/Table1[[#This Row],[Out-Tok]]</f>
        <v>13.333333333333334</v>
      </c>
      <c r="Z155" s="26">
        <f>Table1[[#This Row],[In-Tok]]*Table1[[#This Row],[N]]+AvgOutLoad*Table1[[#This Row],[Out-Tok]]*Table1[[#This Row],[Ndecode]]</f>
        <v>21459.625945997603</v>
      </c>
      <c r="AA155" s="3">
        <f>Table1[[#This Row],[tok(N)]]/Table1[[#This Row],[Kvcache]]</f>
        <v>368598.27895783755</v>
      </c>
      <c r="AB155" s="3">
        <f>Table1[[#This Row],[tok/req]]*Table1[[#This Row],[Run]]</f>
        <v>22617.5</v>
      </c>
      <c r="AC155" s="3">
        <f>Table1[[#This Row],[tok(Run)]]/Table1[[#This Row],[Kvcache]]</f>
        <v>388486.34152841638</v>
      </c>
      <c r="AD155" s="3">
        <f>Table1[[#This Row],[tok/req]]*Table1[[#This Row],[MaxRun]]</f>
        <v>39425</v>
      </c>
      <c r="AE155" s="3">
        <f>Table1[[#This Row],[tok(MaxRun)]]/Table1[[#This Row],[MaxKvcache]]</f>
        <v>387486.27525733906</v>
      </c>
      <c r="AF155" s="75">
        <f>Table1[[#This Row],[PPS]]*Table1[[#This Row],[Prefill]]/Table1[[#This Row],[In-Tok]]</f>
        <v>0.22080148519417661</v>
      </c>
      <c r="AG155" s="5">
        <f>Table1[[#This Row],[GPS]]*Table1[[#This Row],[ITL]]</f>
        <v>4.9581734952339511</v>
      </c>
      <c r="AH155" s="5">
        <f>Table1[[#This Row],[Nprefill]]+Table1[[#This Row],[Ndecode]]</f>
        <v>5.1789749804281273</v>
      </c>
      <c r="AI155" s="4">
        <f>Table1[[#This Row],[Run]]/Table1[[#This Row],[ITL]]/Table1[[#This Row],[GPS]]</f>
        <v>1.0991950977993847</v>
      </c>
      <c r="AJ155" s="10">
        <f>Table1[[#This Row],[Prefill]]+Table1[[#This Row],[ITL]]</f>
        <v>0.12037926375044578</v>
      </c>
      <c r="AK155" s="4">
        <f>Table1[[#This Row],[TTFT]]/Table1[[#This Row],[estTTFT]]</f>
        <v>1.0353700707054208</v>
      </c>
      <c r="AL155" s="5">
        <f>Table1[[#This Row],[In-Tok]]*Table1[[#This Row],[RPS]]/Table1[[#This Row],[PPS]]</f>
        <v>1.0086618839282337</v>
      </c>
      <c r="AM155" s="4">
        <f>Table1[[#This Row],[Prefill]]/Table1[[#This Row],[estPrefill]]</f>
        <v>0.11040074259708831</v>
      </c>
      <c r="AN155" s="4">
        <f>Table1[[#This Row],[Prefill]]/Table1[[#This Row],[TTFT]]</f>
        <v>0.89345012672826785</v>
      </c>
      <c r="AO155" s="10">
        <f>Table1[[#This Row],[Run]]/(Table1[[#This Row],[Out-Tok]]*Table1[[#This Row],[RPS]])</f>
        <v>9.0833333333333339E-3</v>
      </c>
      <c r="AP155" s="4">
        <f>Table1[[#This Row],[ITL]]/Table1[[#This Row],[estITL]]</f>
        <v>0.99327442958429557</v>
      </c>
      <c r="AQ155" s="44">
        <f>Table1[[#This Row],[E2E]]-Table1[[#This Row],[TTFT]]+Table1[[#This Row],[ITL]]</f>
        <v>2.7053111485385442</v>
      </c>
      <c r="AR155" s="4">
        <f>Table1[[#This Row],[estDecode]]/Table1[[#This Row],[Run]]</f>
        <v>0.49638736670431999</v>
      </c>
      <c r="AS155" s="44">
        <f>Table1[[#This Row],[Prefill]]+Table1[[#This Row],[Out-Tok]]*Table1[[#This Row],[ITL]]</f>
        <v>2.8180298416322604</v>
      </c>
      <c r="AT155" s="5">
        <f>Table1[[#This Row],[estPrefill]]+Table1[[#This Row],[Out-Tok]]*Table1[[#This Row],[ITL]]</f>
        <v>3.7153347045454392</v>
      </c>
      <c r="AU155" s="4">
        <f>Table1[[#This Row],[E2E]]/Table1[[#This Row],[estE2E]]</f>
        <v>0.75926564278925479</v>
      </c>
      <c r="AV155" s="5">
        <f>Table1[[#This Row],[N]]/Table1[[#This Row],[estE2E]]</f>
        <v>1.3939457390183532</v>
      </c>
      <c r="AW155" s="5">
        <f>Table1[[#This Row],[PPS]]/Table1[[#This Row],[In-Tok]]</f>
        <v>1.9828250000000001</v>
      </c>
      <c r="AX155" s="4">
        <f>Table1[[#This Row],[RPS]]/Table1[[#This Row],[RPS(IL)]]</f>
        <v>1.0086618839282337</v>
      </c>
      <c r="AY155" s="5">
        <f>Table1[[#This Row],[GPS]]/Table1[[#This Row],[Out-Tok]]</f>
        <v>1.8318333333333332</v>
      </c>
      <c r="AZ155" s="89">
        <f>Table1[[#This Row],[RPS]]/Table1[[#This Row],[RPS(OL)]]</f>
        <v>1.091802383768538</v>
      </c>
      <c r="BA155" s="135">
        <f>MaxTok/Table1[[#This Row],[tok/req]]</f>
        <v>93.472834215073561</v>
      </c>
      <c r="BB155" s="4">
        <f>Table1[[#This Row],[N]]/Table1[[#This Row],[N-max]]</f>
        <v>5.540620463600919E-2</v>
      </c>
      <c r="BC155" s="44">
        <f>Table1[[#This Row],[RPS]]</f>
        <v>2</v>
      </c>
      <c r="BD155" s="47">
        <f>Table1[[#This Row],[PPS]]/Table1[[#This Row],[RPS success]]</f>
        <v>3965.65</v>
      </c>
      <c r="BE155" s="4">
        <f>ABS(Table1[[#This Row],[est-In-Tok3]]-Table1[[#This Row],[In-Tok]])/Table1[[#This Row],[In-Tok]]</f>
        <v>8.5874999999999771E-3</v>
      </c>
      <c r="BF155" s="47">
        <f>Table1[[#This Row],[GPS]]/Table1[[#This Row],[RPS success]]</f>
        <v>274.77499999999998</v>
      </c>
      <c r="BG155" s="4">
        <f>ABS(Table1[[#This Row],[est-Out-Tok3]]-Table1[[#This Row],[Out-Tok]])/Table1[[#This Row],[Out-Tok]]</f>
        <v>8.4083333333333413E-2</v>
      </c>
      <c r="BH155" s="162">
        <f>Table1[[#This Row],[est-In-Tok3]]+AvgOutLoad*Table1[[#This Row],[est-Out-Tok3]]</f>
        <v>4103.0375000000004</v>
      </c>
      <c r="BI155" s="4">
        <f>ABS(Table1[[#This Row],[est-Tok/Req3]]-Table1[[#This Row],[tok/req]])/Table1[[#This Row],[tok/req]]</f>
        <v>1.1316265060240875E-2</v>
      </c>
      <c r="BJ155" s="162">
        <f>MaxTok/Table1[[#This Row],[est-Tok/Req3]]</f>
        <v>94.54270451892171</v>
      </c>
      <c r="BK155" s="4">
        <f>ABS(Table1[[#This Row],[est-N-max3]]-Table1[[#This Row],[N-max]])/Table1[[#This Row],[N-max]]</f>
        <v>1.1445788638295292E-2</v>
      </c>
      <c r="BL155" s="44">
        <f>MaxTok*Table1[[#This Row],[Kvcache]]/Table1[[#This Row],[Run]]</f>
        <v>4143.8674032542549</v>
      </c>
      <c r="BM155" s="170">
        <f>ABS(Table1[[#This Row],[est-Tok/Req]]-Table1[[#This Row],[tok/req]])/Table1[[#This Row],[tok/req]]</f>
        <v>1.4777341556012299E-3</v>
      </c>
      <c r="BN155" s="44">
        <f>MaxTok/Table1[[#This Row],[est-Tok/Req]]</f>
        <v>93.611166633353349</v>
      </c>
      <c r="BO155" s="180">
        <f>Table1[[#This Row],[Run]]/Table1[[#This Row],[Kvcache]]</f>
        <v>93.611166633353349</v>
      </c>
      <c r="BP155" s="4" cm="1">
        <f t="array" aca="1" ref="BP155" ca="1">_xlfn.CEILING.MATH(INDIRECT("Table1"&amp;BP$3)/BP$2)*BP$2</f>
        <v>5000</v>
      </c>
      <c r="BQ155" s="4" cm="1">
        <f t="array" aca="1" ref="BQ155" ca="1">_xlfn.CEILING.MATH(INDIRECT("Table1"&amp;BQ$3)/BQ$2)*BQ$2</f>
        <v>0.01</v>
      </c>
      <c r="BR155" s="4" cm="1">
        <f t="array" aca="1" ref="BR155" ca="1">_xlfn.CEILING.MATH(INDIRECT("Table1"&amp;BR$3)/BR$2)*BR$2</f>
        <v>0.1</v>
      </c>
      <c r="BS155" s="4" cm="1">
        <f t="array" aca="1" ref="BS155" ca="1">_xlfn.CEILING.MATH(INDIRECT("Table1"&amp;BS$3)/BS$2)*BS$2</f>
        <v>0.06</v>
      </c>
      <c r="BT155" s="3" cm="1">
        <f t="array" aca="1" ref="BT155" ca="1">_xlfn.CEILING.MATH(INDIRECT("Table1"&amp;BT$3)/BT$2)*BT$2</f>
        <v>6</v>
      </c>
      <c r="BU155" s="135" cm="1">
        <f t="array" aca="1" ref="BU155" ca="1">_xlfn.CEILING.MATH(INDIRECT("Table1"&amp;BU$3)/BU$2)*BU$2</f>
        <v>15</v>
      </c>
      <c r="BV155" s="135" cm="1">
        <f t="array" aca="1" ref="BV155" ca="1">_xlfn.CEILING.MATH(INDIRECT("Table1"&amp;BV$3)/BV$2)*BV$2</f>
        <v>4000</v>
      </c>
      <c r="BW155" s="4"/>
      <c r="BX155" s="4"/>
      <c r="BY155" s="217"/>
      <c r="BZ155" s="4"/>
      <c r="CA155" s="3"/>
      <c r="CF155" s="5"/>
      <c r="CH155" s="8"/>
      <c r="CI155" s="8"/>
      <c r="CJ155" s="14"/>
      <c r="CK155" s="8"/>
      <c r="CL155" s="8"/>
      <c r="CM155" s="8"/>
      <c r="CN155" s="8"/>
      <c r="CO155" s="8"/>
      <c r="CP155" s="8"/>
      <c r="CQ155" s="8">
        <f>Table1[[#This Row],[In-Tok]]+AvgOutLoad*Table1[[#This Row],[Out-Tok]]</f>
        <v>4150</v>
      </c>
      <c r="CR155" s="8"/>
      <c r="CS155" s="8"/>
      <c r="CT155" s="8"/>
      <c r="CU155" s="8"/>
      <c r="CV155" s="8"/>
      <c r="CW155" s="8"/>
      <c r="CX155" s="8"/>
      <c r="CY155" s="8"/>
    </row>
    <row r="156" spans="1:192" hidden="1" x14ac:dyDescent="0.25">
      <c r="A156" s="26">
        <v>5000</v>
      </c>
      <c r="B156" s="3">
        <v>300</v>
      </c>
      <c r="C156" s="123">
        <v>2</v>
      </c>
      <c r="D156" s="216">
        <f>Table1[[#This Row],[Kvcache]]</f>
        <v>8.0896043444530635E-2</v>
      </c>
      <c r="E156" s="170" t="s">
        <v>153</v>
      </c>
      <c r="F156" s="218">
        <v>46104</v>
      </c>
      <c r="G156" s="10">
        <v>0</v>
      </c>
      <c r="H156" s="10">
        <v>0.1748638947946029</v>
      </c>
      <c r="I156" s="10">
        <v>0.14798907552566348</v>
      </c>
      <c r="J156" s="10">
        <v>0.19374229171619575</v>
      </c>
      <c r="K156" s="10">
        <v>0.35423344969749448</v>
      </c>
      <c r="L156" s="10">
        <v>0.40572762012481678</v>
      </c>
      <c r="M156" s="10">
        <v>1.1071213533300241E-2</v>
      </c>
      <c r="N156" s="10">
        <v>3.4634622245228632</v>
      </c>
      <c r="O156" s="47">
        <v>10865.05</v>
      </c>
      <c r="P156" s="47">
        <v>594.37777777777774</v>
      </c>
      <c r="Q156" s="5">
        <v>6.1</v>
      </c>
      <c r="R156" s="5">
        <v>11</v>
      </c>
      <c r="S156" s="170">
        <v>8.0896043444530635E-2</v>
      </c>
      <c r="T156" s="170">
        <v>0.14476338246702869</v>
      </c>
      <c r="U156" s="3">
        <f>(Table1[[#This Row],[In-Tok]]+Table1[[#This Row],[Out-Tok]])*Table1[[#This Row],[RPS]]</f>
        <v>10600</v>
      </c>
      <c r="V156" s="3">
        <f>Table1[[#This Row],[In-Tok]]+$V$2*Table1[[#This Row],[Out-Tok]]</f>
        <v>5150</v>
      </c>
      <c r="W156" s="3">
        <f>Table1[[#This Row],[In-Tok]]*Table1[[#This Row],[RPS]]</f>
        <v>10000</v>
      </c>
      <c r="X156" s="3">
        <f>Table1[[#This Row],[Out-Tok]]*Table1[[#This Row],[RPS]]</f>
        <v>600</v>
      </c>
      <c r="Y156" s="75">
        <f>Table1[[#This Row],[In-Tok]]/Table1[[#This Row],[Out-Tok]]</f>
        <v>16.666666666666668</v>
      </c>
      <c r="Z156" s="26">
        <f>Table1[[#This Row],[In-Tok]]*Table1[[#This Row],[N]]+AvgOutLoad*Table1[[#This Row],[Out-Tok]]*Table1[[#This Row],[Ndecode]]</f>
        <v>35497.397685755328</v>
      </c>
      <c r="AA156" s="3">
        <f>Table1[[#This Row],[tok(N)]]/Table1[[#This Row],[Kvcache]]</f>
        <v>438802.64317371009</v>
      </c>
      <c r="AB156" s="3">
        <f>Table1[[#This Row],[tok/req]]*Table1[[#This Row],[Run]]</f>
        <v>31414.999999999996</v>
      </c>
      <c r="AC156" s="3">
        <f>Table1[[#This Row],[tok(Run)]]/Table1[[#This Row],[Kvcache]]</f>
        <v>388337.90457923757</v>
      </c>
      <c r="AD156" s="3">
        <f>Table1[[#This Row],[tok/req]]*Table1[[#This Row],[MaxRun]]</f>
        <v>56650</v>
      </c>
      <c r="AE156" s="3">
        <f>Table1[[#This Row],[tok(MaxRun)]]/Table1[[#This Row],[MaxKvcache]]</f>
        <v>391328.24222936766</v>
      </c>
      <c r="AF156" s="75">
        <f>Table1[[#This Row],[PPS]]*Table1[[#This Row],[Prefill]]/Table1[[#This Row],[In-Tok]]</f>
        <v>0.321581741008022</v>
      </c>
      <c r="AG156" s="5">
        <f>Table1[[#This Row],[GPS]]*Table1[[#This Row],[ITL]]</f>
        <v>6.5804832972262561</v>
      </c>
      <c r="AH156" s="5">
        <f>Table1[[#This Row],[Nprefill]]+Table1[[#This Row],[Ndecode]]</f>
        <v>6.9020650382342783</v>
      </c>
      <c r="AI156" s="4">
        <f>Table1[[#This Row],[Run]]/Table1[[#This Row],[ITL]]/Table1[[#This Row],[GPS]]</f>
        <v>0.92698358531982217</v>
      </c>
      <c r="AJ156" s="10">
        <f>Table1[[#This Row],[Prefill]]+Table1[[#This Row],[ITL]]</f>
        <v>0.15906028905896372</v>
      </c>
      <c r="AK156" s="4">
        <f>Table1[[#This Row],[TTFT]]/Table1[[#This Row],[estTTFT]]</f>
        <v>1.0993560732797409</v>
      </c>
      <c r="AL156" s="5">
        <f>Table1[[#This Row],[In-Tok]]*Table1[[#This Row],[RPS]]/Table1[[#This Row],[PPS]]</f>
        <v>0.92038232681856047</v>
      </c>
      <c r="AM156" s="4">
        <f>Table1[[#This Row],[Prefill]]/Table1[[#This Row],[estPrefill]]</f>
        <v>0.160790870504011</v>
      </c>
      <c r="AN156" s="4">
        <f>Table1[[#This Row],[Prefill]]/Table1[[#This Row],[TTFT]]</f>
        <v>0.84631007275397307</v>
      </c>
      <c r="AO156" s="10">
        <f>Table1[[#This Row],[Run]]/(Table1[[#This Row],[Out-Tok]]*Table1[[#This Row],[RPS]])</f>
        <v>1.0166666666666666E-2</v>
      </c>
      <c r="AP156" s="4">
        <f>Table1[[#This Row],[ITL]]/Table1[[#This Row],[estITL]]</f>
        <v>1.0889718229475647</v>
      </c>
      <c r="AQ156" s="44">
        <f>Table1[[#This Row],[E2E]]-Table1[[#This Row],[TTFT]]+Table1[[#This Row],[ITL]]</f>
        <v>3.2996695432615604</v>
      </c>
      <c r="AR156" s="4">
        <f>Table1[[#This Row],[estDecode]]/Table1[[#This Row],[Run]]</f>
        <v>0.54092943332156729</v>
      </c>
      <c r="AS156" s="44">
        <f>Table1[[#This Row],[Prefill]]+Table1[[#This Row],[Out-Tok]]*Table1[[#This Row],[ITL]]</f>
        <v>3.4693531355157354</v>
      </c>
      <c r="AT156" s="5">
        <f>Table1[[#This Row],[estPrefill]]+Table1[[#This Row],[Out-Tok]]*Table1[[#This Row],[ITL]]</f>
        <v>4.2417463868086323</v>
      </c>
      <c r="AU156" s="4">
        <f>Table1[[#This Row],[E2E]]/Table1[[#This Row],[estE2E]]</f>
        <v>0.81651798780187623</v>
      </c>
      <c r="AV156" s="5">
        <f>Table1[[#This Row],[N]]/Table1[[#This Row],[estE2E]]</f>
        <v>1.6271753209241708</v>
      </c>
      <c r="AW156" s="5">
        <f>Table1[[#This Row],[PPS]]/Table1[[#This Row],[In-Tok]]</f>
        <v>2.1730099999999997</v>
      </c>
      <c r="AX156" s="4">
        <f>Table1[[#This Row],[RPS]]/Table1[[#This Row],[RPS(IL)]]</f>
        <v>0.92038232681856058</v>
      </c>
      <c r="AY156" s="5">
        <f>Table1[[#This Row],[GPS]]/Table1[[#This Row],[Out-Tok]]</f>
        <v>1.9812592592592591</v>
      </c>
      <c r="AZ156" s="89">
        <f>Table1[[#This Row],[RPS]]/Table1[[#This Row],[RPS(OL)]]</f>
        <v>1.0094590047481962</v>
      </c>
      <c r="BA156" s="135">
        <f>MaxTok/Table1[[#This Row],[tok/req]]</f>
        <v>75.322769318942775</v>
      </c>
      <c r="BB156" s="4">
        <f>Table1[[#This Row],[N]]/Table1[[#This Row],[N-max]]</f>
        <v>9.1633182112682773E-2</v>
      </c>
      <c r="BC156" s="44">
        <f>Table1[[#This Row],[RPS]]</f>
        <v>2</v>
      </c>
      <c r="BD156" s="47">
        <f>Table1[[#This Row],[PPS]]/Table1[[#This Row],[RPS success]]</f>
        <v>5432.5249999999996</v>
      </c>
      <c r="BE156" s="4">
        <f>ABS(Table1[[#This Row],[est-In-Tok3]]-Table1[[#This Row],[In-Tok]])/Table1[[#This Row],[In-Tok]]</f>
        <v>8.6504999999999929E-2</v>
      </c>
      <c r="BF156" s="47">
        <f>Table1[[#This Row],[GPS]]/Table1[[#This Row],[RPS success]]</f>
        <v>297.18888888888887</v>
      </c>
      <c r="BG156" s="4">
        <f>ABS(Table1[[#This Row],[est-Out-Tok3]]-Table1[[#This Row],[Out-Tok]])/Table1[[#This Row],[Out-Tok]]</f>
        <v>9.3703703703704386E-3</v>
      </c>
      <c r="BH156" s="162">
        <f>Table1[[#This Row],[est-In-Tok3]]+AvgOutLoad*Table1[[#This Row],[est-Out-Tok3]]</f>
        <v>5581.1194444444445</v>
      </c>
      <c r="BI156" s="4">
        <f>ABS(Table1[[#This Row],[est-Tok/Req3]]-Table1[[#This Row],[tok/req]])/Table1[[#This Row],[tok/req]]</f>
        <v>8.3712513484358167E-2</v>
      </c>
      <c r="BJ156" s="162">
        <f>MaxTok/Table1[[#This Row],[est-Tok/Req3]]</f>
        <v>69.504382741475055</v>
      </c>
      <c r="BK156" s="4">
        <f>ABS(Table1[[#This Row],[est-N-max3]]-Table1[[#This Row],[N-max]])/Table1[[#This Row],[N-max]]</f>
        <v>7.7246052290385794E-2</v>
      </c>
      <c r="BL156" s="44">
        <f>MaxTok*Table1[[#This Row],[Kvcache]]/Table1[[#This Row],[Run]]</f>
        <v>5144.3552784944104</v>
      </c>
      <c r="BM156" s="170">
        <f>ABS(Table1[[#This Row],[est-Tok/Req]]-Table1[[#This Row],[tok/req]])/Table1[[#This Row],[tok/req]]</f>
        <v>1.0960624282698227E-3</v>
      </c>
      <c r="BN156" s="44">
        <f>MaxTok/Table1[[#This Row],[est-Tok/Req]]</f>
        <v>75.405418364900513</v>
      </c>
      <c r="BO156" s="180">
        <f>Table1[[#This Row],[Run]]/Table1[[#This Row],[Kvcache]]</f>
        <v>75.405418364900513</v>
      </c>
      <c r="BP156" s="4" cm="1">
        <f t="array" aca="1" ref="BP156" ca="1">_xlfn.CEILING.MATH(INDIRECT("Table1"&amp;BP$3)/BP$2)*BP$2</f>
        <v>6000</v>
      </c>
      <c r="BQ156" s="4" cm="1">
        <f t="array" aca="1" ref="BQ156" ca="1">_xlfn.CEILING.MATH(INDIRECT("Table1"&amp;BQ$3)/BQ$2)*BQ$2</f>
        <v>1.4999999999999999E-2</v>
      </c>
      <c r="BR156" s="4" cm="1">
        <f t="array" aca="1" ref="BR156" ca="1">_xlfn.CEILING.MATH(INDIRECT("Table1"&amp;BR$3)/BR$2)*BR$2</f>
        <v>0.1</v>
      </c>
      <c r="BS156" s="4" cm="1">
        <f t="array" aca="1" ref="BS156" ca="1">_xlfn.CEILING.MATH(INDIRECT("Table1"&amp;BS$3)/BS$2)*BS$2</f>
        <v>0.09</v>
      </c>
      <c r="BT156" s="3" cm="1">
        <f t="array" aca="1" ref="BT156" ca="1">_xlfn.CEILING.MATH(INDIRECT("Table1"&amp;BT$3)/BT$2)*BT$2</f>
        <v>7</v>
      </c>
      <c r="BU156" s="135" cm="1">
        <f t="array" aca="1" ref="BU156" ca="1">_xlfn.CEILING.MATH(INDIRECT("Table1"&amp;BU$3)/BU$2)*BU$2</f>
        <v>20</v>
      </c>
      <c r="BV156" s="135" cm="1">
        <f t="array" aca="1" ref="BV156" ca="1">_xlfn.CEILING.MATH(INDIRECT("Table1"&amp;BV$3)/BV$2)*BV$2</f>
        <v>5000</v>
      </c>
      <c r="BW156" s="4"/>
      <c r="BX156" s="4"/>
      <c r="BY156" s="217"/>
      <c r="BZ156" s="4"/>
      <c r="CA156" s="3"/>
      <c r="CF156" s="5"/>
      <c r="CH156" s="8"/>
      <c r="CI156" s="8"/>
      <c r="CJ156" s="14"/>
      <c r="CK156" s="8"/>
      <c r="CL156" s="8"/>
      <c r="CM156" s="8"/>
      <c r="CN156" s="8"/>
      <c r="CO156" s="8"/>
      <c r="CP156" s="8"/>
      <c r="CQ156" s="8">
        <f>Table1[[#This Row],[In-Tok]]+AvgOutLoad*Table1[[#This Row],[Out-Tok]]</f>
        <v>5150</v>
      </c>
      <c r="CR156" s="8"/>
      <c r="CS156" s="8"/>
      <c r="CT156" s="8"/>
      <c r="CU156" s="8"/>
      <c r="CV156" s="8"/>
      <c r="CW156" s="8"/>
      <c r="CX156" s="8"/>
      <c r="CY156" s="8"/>
    </row>
    <row r="157" spans="1:192" hidden="1" x14ac:dyDescent="0.25">
      <c r="A157" s="26">
        <v>6000</v>
      </c>
      <c r="B157" s="3">
        <v>300</v>
      </c>
      <c r="C157" s="123">
        <v>2</v>
      </c>
      <c r="D157" s="216">
        <f>Table1[[#This Row],[Kvcache]]</f>
        <v>0.11821179208688905</v>
      </c>
      <c r="E157" s="170" t="s">
        <v>153</v>
      </c>
      <c r="F157" s="218">
        <v>46104</v>
      </c>
      <c r="G157" s="10">
        <v>0</v>
      </c>
      <c r="H157" s="10">
        <v>0.21243351354558992</v>
      </c>
      <c r="I157" s="10">
        <v>0.18913921871163175</v>
      </c>
      <c r="J157" s="10">
        <v>0.23286247325945955</v>
      </c>
      <c r="K157" s="10">
        <v>0.40724282264709449</v>
      </c>
      <c r="L157" s="10">
        <v>0.51673037528991705</v>
      </c>
      <c r="M157" s="10">
        <v>1.2433206767652884E-2</v>
      </c>
      <c r="N157" s="10">
        <v>3.8844985048226333</v>
      </c>
      <c r="O157" s="47">
        <v>12576.57777777778</v>
      </c>
      <c r="P157" s="47">
        <v>567.22222222222217</v>
      </c>
      <c r="Q157" s="5">
        <v>7.45</v>
      </c>
      <c r="R157" s="5">
        <v>14</v>
      </c>
      <c r="S157" s="170">
        <v>0.11821179208688905</v>
      </c>
      <c r="T157" s="170">
        <v>0.22199379363847946</v>
      </c>
      <c r="U157" s="3">
        <f>(Table1[[#This Row],[In-Tok]]+Table1[[#This Row],[Out-Tok]])*Table1[[#This Row],[RPS]]</f>
        <v>12600</v>
      </c>
      <c r="V157" s="3">
        <f>Table1[[#This Row],[In-Tok]]+$V$2*Table1[[#This Row],[Out-Tok]]</f>
        <v>6150</v>
      </c>
      <c r="W157" s="3">
        <f>Table1[[#This Row],[In-Tok]]*Table1[[#This Row],[RPS]]</f>
        <v>12000</v>
      </c>
      <c r="X157" s="3">
        <f>Table1[[#This Row],[Out-Tok]]*Table1[[#This Row],[RPS]]</f>
        <v>600</v>
      </c>
      <c r="Y157" s="75">
        <f>Table1[[#This Row],[In-Tok]]/Table1[[#This Row],[Out-Tok]]</f>
        <v>20</v>
      </c>
      <c r="Z157" s="26">
        <f>Table1[[#This Row],[In-Tok]]*Table1[[#This Row],[N]]+AvgOutLoad*Table1[[#This Row],[Out-Tok]]*Table1[[#This Row],[Ndecode]]</f>
        <v>45750.929803348074</v>
      </c>
      <c r="AA157" s="3">
        <f>Table1[[#This Row],[tok(N)]]/Table1[[#This Row],[Kvcache]]</f>
        <v>387025.09280732187</v>
      </c>
      <c r="AB157" s="3">
        <f>Table1[[#This Row],[tok/req]]*Table1[[#This Row],[Run]]</f>
        <v>45817.5</v>
      </c>
      <c r="AC157" s="3">
        <f>Table1[[#This Row],[tok(Run)]]/Table1[[#This Row],[Kvcache]]</f>
        <v>387588.2362592289</v>
      </c>
      <c r="AD157" s="3">
        <f>Table1[[#This Row],[tok/req]]*Table1[[#This Row],[MaxRun]]</f>
        <v>86100</v>
      </c>
      <c r="AE157" s="3">
        <f>Table1[[#This Row],[tok(MaxRun)]]/Table1[[#This Row],[MaxKvcache]]</f>
        <v>387848.68076183816</v>
      </c>
      <c r="AF157" s="75">
        <f>Table1[[#This Row],[PPS]]*Table1[[#This Row],[Prefill]]/Table1[[#This Row],[In-Tok]]</f>
        <v>0.39645401582582651</v>
      </c>
      <c r="AG157" s="5">
        <f>Table1[[#This Row],[GPS]]*Table1[[#This Row],[ITL]]</f>
        <v>7.0523911720964412</v>
      </c>
      <c r="AH157" s="5">
        <f>Table1[[#This Row],[Nprefill]]+Table1[[#This Row],[Ndecode]]</f>
        <v>7.4488451879222675</v>
      </c>
      <c r="AI157" s="4">
        <f>Table1[[#This Row],[Run]]/Table1[[#This Row],[ITL]]/Table1[[#This Row],[GPS]]</f>
        <v>1.0563792929519766</v>
      </c>
      <c r="AJ157" s="10">
        <f>Table1[[#This Row],[Prefill]]+Table1[[#This Row],[ITL]]</f>
        <v>0.20157242547928464</v>
      </c>
      <c r="AK157" s="4">
        <f>Table1[[#This Row],[TTFT]]/Table1[[#This Row],[estTTFT]]</f>
        <v>1.0538818146404725</v>
      </c>
      <c r="AL157" s="5">
        <f>Table1[[#This Row],[In-Tok]]*Table1[[#This Row],[RPS]]/Table1[[#This Row],[PPS]]</f>
        <v>0.95415463666144806</v>
      </c>
      <c r="AM157" s="4">
        <f>Table1[[#This Row],[Prefill]]/Table1[[#This Row],[estPrefill]]</f>
        <v>0.19822700791291328</v>
      </c>
      <c r="AN157" s="4">
        <f>Table1[[#This Row],[Prefill]]/Table1[[#This Row],[TTFT]]</f>
        <v>0.89034548059217111</v>
      </c>
      <c r="AO157" s="10">
        <f>Table1[[#This Row],[Run]]/(Table1[[#This Row],[Out-Tok]]*Table1[[#This Row],[RPS]])</f>
        <v>1.2416666666666666E-2</v>
      </c>
      <c r="AP157" s="4">
        <f>Table1[[#This Row],[ITL]]/Table1[[#This Row],[estITL]]</f>
        <v>1.001332088670031</v>
      </c>
      <c r="AQ157" s="44">
        <f>Table1[[#This Row],[E2E]]-Table1[[#This Row],[TTFT]]+Table1[[#This Row],[ITL]]</f>
        <v>3.6844981980446962</v>
      </c>
      <c r="AR157" s="4">
        <f>Table1[[#This Row],[estDecode]]/Table1[[#This Row],[Run]]</f>
        <v>0.49456351651606661</v>
      </c>
      <c r="AS157" s="44">
        <f>Table1[[#This Row],[Prefill]]+Table1[[#This Row],[Out-Tok]]*Table1[[#This Row],[ITL]]</f>
        <v>3.9191012490074972</v>
      </c>
      <c r="AT157" s="5">
        <f>Table1[[#This Row],[estPrefill]]+Table1[[#This Row],[Out-Tok]]*Table1[[#This Row],[ITL]]</f>
        <v>4.6841166669573138</v>
      </c>
      <c r="AU157" s="4">
        <f>Table1[[#This Row],[E2E]]/Table1[[#This Row],[estE2E]]</f>
        <v>0.82929157854343272</v>
      </c>
      <c r="AV157" s="5">
        <f>Table1[[#This Row],[N]]/Table1[[#This Row],[estE2E]]</f>
        <v>1.5902347694428485</v>
      </c>
      <c r="AW157" s="5">
        <f>Table1[[#This Row],[PPS]]/Table1[[#This Row],[In-Tok]]</f>
        <v>2.0960962962962966</v>
      </c>
      <c r="AX157" s="4">
        <f>Table1[[#This Row],[RPS]]/Table1[[#This Row],[RPS(IL)]]</f>
        <v>0.95415463666144817</v>
      </c>
      <c r="AY157" s="5">
        <f>Table1[[#This Row],[GPS]]/Table1[[#This Row],[Out-Tok]]</f>
        <v>1.8907407407407406</v>
      </c>
      <c r="AZ157" s="89">
        <f>Table1[[#This Row],[RPS]]/Table1[[#This Row],[RPS(OL)]]</f>
        <v>1.0577864838393731</v>
      </c>
      <c r="BA157" s="135">
        <f>MaxTok/Table1[[#This Row],[tok/req]]</f>
        <v>63.075164551635005</v>
      </c>
      <c r="BB157" s="4">
        <f>Table1[[#This Row],[N]]/Table1[[#This Row],[N-max]]</f>
        <v>0.11809474047149643</v>
      </c>
      <c r="BC157" s="44">
        <f>Table1[[#This Row],[RPS]]</f>
        <v>2</v>
      </c>
      <c r="BD157" s="47">
        <f>Table1[[#This Row],[PPS]]/Table1[[#This Row],[RPS success]]</f>
        <v>6288.2888888888901</v>
      </c>
      <c r="BE157" s="4">
        <f>ABS(Table1[[#This Row],[est-In-Tok3]]-Table1[[#This Row],[In-Tok]])/Table1[[#This Row],[In-Tok]]</f>
        <v>4.8048148148148354E-2</v>
      </c>
      <c r="BF157" s="47">
        <f>Table1[[#This Row],[GPS]]/Table1[[#This Row],[RPS success]]</f>
        <v>283.61111111111109</v>
      </c>
      <c r="BG157" s="4">
        <f>ABS(Table1[[#This Row],[est-Out-Tok3]]-Table1[[#This Row],[Out-Tok]])/Table1[[#This Row],[Out-Tok]]</f>
        <v>5.4629629629629715E-2</v>
      </c>
      <c r="BH157" s="162">
        <f>Table1[[#This Row],[est-In-Tok3]]+AvgOutLoad*Table1[[#This Row],[est-Out-Tok3]]</f>
        <v>6430.0944444444458</v>
      </c>
      <c r="BI157" s="4">
        <f>ABS(Table1[[#This Row],[est-Tok/Req3]]-Table1[[#This Row],[tok/req]])/Table1[[#This Row],[tok/req]]</f>
        <v>4.5543812104787931E-2</v>
      </c>
      <c r="BJ157" s="162">
        <f>MaxTok/Table1[[#This Row],[est-Tok/Req3]]</f>
        <v>60.327614989809149</v>
      </c>
      <c r="BK157" s="4">
        <f>ABS(Table1[[#This Row],[est-N-max3]]-Table1[[#This Row],[N-max]])/Table1[[#This Row],[N-max]]</f>
        <v>4.3559926975325437E-2</v>
      </c>
      <c r="BL157" s="44">
        <f>MaxTok*Table1[[#This Row],[Kvcache]]/Table1[[#This Row],[Run]]</f>
        <v>6155.1414312239967</v>
      </c>
      <c r="BM157" s="170">
        <f>ABS(Table1[[#This Row],[est-Tok/Req]]-Table1[[#This Row],[tok/req]])/Table1[[#This Row],[tok/req]]</f>
        <v>8.3600507707263952E-4</v>
      </c>
      <c r="BN157" s="44">
        <f>MaxTok/Table1[[#This Row],[est-Tok/Req]]</f>
        <v>63.02247744052503</v>
      </c>
      <c r="BO157" s="180">
        <f>Table1[[#This Row],[Run]]/Table1[[#This Row],[Kvcache]]</f>
        <v>63.02247744052503</v>
      </c>
      <c r="BP157" s="4" cm="1">
        <f t="array" aca="1" ref="BP157" ca="1">_xlfn.CEILING.MATH(INDIRECT("Table1"&amp;BP$3)/BP$2)*BP$2</f>
        <v>7000</v>
      </c>
      <c r="BQ157" s="4" cm="1">
        <f t="array" aca="1" ref="BQ157" ca="1">_xlfn.CEILING.MATH(INDIRECT("Table1"&amp;BQ$3)/BQ$2)*BQ$2</f>
        <v>1.4999999999999999E-2</v>
      </c>
      <c r="BR157" s="4" cm="1">
        <f t="array" aca="1" ref="BR157" ca="1">_xlfn.CEILING.MATH(INDIRECT("Table1"&amp;BR$3)/BR$2)*BR$2</f>
        <v>0.2</v>
      </c>
      <c r="BS157" s="4" cm="1">
        <f t="array" aca="1" ref="BS157" ca="1">_xlfn.CEILING.MATH(INDIRECT("Table1"&amp;BS$3)/BS$2)*BS$2</f>
        <v>0.12</v>
      </c>
      <c r="BT157" s="3" cm="1">
        <f t="array" aca="1" ref="BT157" ca="1">_xlfn.CEILING.MATH(INDIRECT("Table1"&amp;BT$3)/BT$2)*BT$2</f>
        <v>8</v>
      </c>
      <c r="BU157" s="135" cm="1">
        <f t="array" aca="1" ref="BU157" ca="1">_xlfn.CEILING.MATH(INDIRECT("Table1"&amp;BU$3)/BU$2)*BU$2</f>
        <v>20</v>
      </c>
      <c r="BV157" s="135" cm="1">
        <f t="array" aca="1" ref="BV157" ca="1">_xlfn.CEILING.MATH(INDIRECT("Table1"&amp;BV$3)/BV$2)*BV$2</f>
        <v>6000</v>
      </c>
      <c r="BW157" s="4"/>
      <c r="BX157" s="4"/>
      <c r="BY157" s="217"/>
      <c r="BZ157" s="4"/>
      <c r="CA157" s="3"/>
      <c r="CF157" s="5"/>
      <c r="CH157" s="8"/>
      <c r="CI157" s="8"/>
      <c r="CJ157" s="14"/>
      <c r="CK157" s="8"/>
      <c r="CL157" s="8"/>
      <c r="CM157" s="8"/>
      <c r="CN157" s="8"/>
      <c r="CO157" s="8"/>
      <c r="CP157" s="8"/>
      <c r="CQ157" s="8">
        <f>Table1[[#This Row],[In-Tok]]+AvgOutLoad*Table1[[#This Row],[Out-Tok]]</f>
        <v>6150</v>
      </c>
      <c r="CR157" s="8"/>
      <c r="CS157" s="8"/>
      <c r="CT157" s="8"/>
      <c r="CU157" s="8"/>
      <c r="CV157" s="8"/>
      <c r="CW157" s="8"/>
      <c r="CX157" s="8"/>
      <c r="CY157" s="8"/>
    </row>
    <row r="158" spans="1:192" hidden="1" x14ac:dyDescent="0.25">
      <c r="A158" s="26">
        <v>7000</v>
      </c>
      <c r="B158" s="3">
        <v>300</v>
      </c>
      <c r="C158" s="123">
        <v>2</v>
      </c>
      <c r="D158" s="216">
        <f>Table1[[#This Row],[Kvcache]]</f>
        <v>0.15977501939487976</v>
      </c>
      <c r="E158" s="170" t="s">
        <v>153</v>
      </c>
      <c r="F158" s="218">
        <v>46104</v>
      </c>
      <c r="G158" s="10">
        <v>0</v>
      </c>
      <c r="H158" s="10">
        <v>0.27449511138991234</v>
      </c>
      <c r="I158" s="10">
        <v>0.23599330376907415</v>
      </c>
      <c r="J158" s="10">
        <v>0.29831104303266909</v>
      </c>
      <c r="K158" s="10">
        <v>0.58797749280929557</v>
      </c>
      <c r="L158" s="10">
        <v>0.73020378351211557</v>
      </c>
      <c r="M158" s="10">
        <v>1.584888159105512E-2</v>
      </c>
      <c r="N158" s="10">
        <v>5.074650036042657</v>
      </c>
      <c r="O158" s="47">
        <v>15042.45555555556</v>
      </c>
      <c r="P158" s="47">
        <v>595.53888888888878</v>
      </c>
      <c r="Q158" s="5">
        <v>8.65</v>
      </c>
      <c r="R158" s="5">
        <v>16.5</v>
      </c>
      <c r="S158" s="170">
        <v>0.15977501939487976</v>
      </c>
      <c r="T158" s="170">
        <v>0.30492629945694338</v>
      </c>
      <c r="U158" s="3">
        <f>(Table1[[#This Row],[In-Tok]]+Table1[[#This Row],[Out-Tok]])*Table1[[#This Row],[RPS]]</f>
        <v>14600</v>
      </c>
      <c r="V158" s="3">
        <f>Table1[[#This Row],[In-Tok]]+$V$2*Table1[[#This Row],[Out-Tok]]</f>
        <v>7150</v>
      </c>
      <c r="W158" s="3">
        <f>Table1[[#This Row],[In-Tok]]*Table1[[#This Row],[RPS]]</f>
        <v>14000</v>
      </c>
      <c r="X158" s="3">
        <f>Table1[[#This Row],[Out-Tok]]*Table1[[#This Row],[RPS]]</f>
        <v>600</v>
      </c>
      <c r="Y158" s="75">
        <f>Table1[[#This Row],[In-Tok]]/Table1[[#This Row],[Out-Tok]]</f>
        <v>23.333333333333332</v>
      </c>
      <c r="Z158" s="26">
        <f>Table1[[#This Row],[In-Tok]]*Table1[[#This Row],[N]]+AvgOutLoad*Table1[[#This Row],[Out-Tok]]*Table1[[#This Row],[Ndecode]]</f>
        <v>71036.089913365009</v>
      </c>
      <c r="AA158" s="3">
        <f>Table1[[#This Row],[tok(N)]]/Table1[[#This Row],[Kvcache]]</f>
        <v>444600.72783844377</v>
      </c>
      <c r="AB158" s="3">
        <f>Table1[[#This Row],[tok/req]]*Table1[[#This Row],[Run]]</f>
        <v>61847.5</v>
      </c>
      <c r="AC158" s="3">
        <f>Table1[[#This Row],[tok(Run)]]/Table1[[#This Row],[Kvcache]]</f>
        <v>387091.17504248605</v>
      </c>
      <c r="AD158" s="3">
        <f>Table1[[#This Row],[tok/req]]*Table1[[#This Row],[MaxRun]]</f>
        <v>117975</v>
      </c>
      <c r="AE158" s="3">
        <f>Table1[[#This Row],[tok(MaxRun)]]/Table1[[#This Row],[MaxKvcache]]</f>
        <v>386896.76885892375</v>
      </c>
      <c r="AF158" s="75">
        <f>Table1[[#This Row],[PPS]]*Table1[[#This Row],[Prefill]]/Table1[[#This Row],[In-Tok]]</f>
        <v>0.50713125476500287</v>
      </c>
      <c r="AG158" s="5">
        <f>Table1[[#This Row],[GPS]]*Table1[[#This Row],[ITL]]</f>
        <v>9.4386253328685292</v>
      </c>
      <c r="AH158" s="5">
        <f>Table1[[#This Row],[Nprefill]]+Table1[[#This Row],[Ndecode]]</f>
        <v>9.9457565876335323</v>
      </c>
      <c r="AI158" s="4">
        <f>Table1[[#This Row],[Run]]/Table1[[#This Row],[ITL]]/Table1[[#This Row],[GPS]]</f>
        <v>0.91644701372749005</v>
      </c>
      <c r="AJ158" s="10">
        <f>Table1[[#This Row],[Prefill]]+Table1[[#This Row],[ITL]]</f>
        <v>0.25184218536012926</v>
      </c>
      <c r="AK158" s="4">
        <f>Table1[[#This Row],[TTFT]]/Table1[[#This Row],[estTTFT]]</f>
        <v>1.0899488939765587</v>
      </c>
      <c r="AL158" s="5">
        <f>Table1[[#This Row],[In-Tok]]*Table1[[#This Row],[RPS]]/Table1[[#This Row],[PPS]]</f>
        <v>0.93069911014823947</v>
      </c>
      <c r="AM158" s="4">
        <f>Table1[[#This Row],[Prefill]]/Table1[[#This Row],[estPrefill]]</f>
        <v>0.25356562738250144</v>
      </c>
      <c r="AN158" s="4">
        <f>Table1[[#This Row],[Prefill]]/Table1[[#This Row],[TTFT]]</f>
        <v>0.85973590776941933</v>
      </c>
      <c r="AO158" s="10">
        <f>Table1[[#This Row],[Run]]/(Table1[[#This Row],[Out-Tok]]*Table1[[#This Row],[RPS]])</f>
        <v>1.4416666666666668E-2</v>
      </c>
      <c r="AP158" s="4">
        <f>Table1[[#This Row],[ITL]]/Table1[[#This Row],[estITL]]</f>
        <v>1.0993443878188522</v>
      </c>
      <c r="AQ158" s="44">
        <f>Table1[[#This Row],[E2E]]-Table1[[#This Row],[TTFT]]+Table1[[#This Row],[ITL]]</f>
        <v>4.8160038062438</v>
      </c>
      <c r="AR158" s="4">
        <f>Table1[[#This Row],[estDecode]]/Table1[[#This Row],[Run]]</f>
        <v>0.55676344580853177</v>
      </c>
      <c r="AS158" s="44">
        <f>Table1[[#This Row],[Prefill]]+Table1[[#This Row],[Out-Tok]]*Table1[[#This Row],[ITL]]</f>
        <v>4.9906577810856101</v>
      </c>
      <c r="AT158" s="5">
        <f>Table1[[#This Row],[estPrefill]]+Table1[[#This Row],[Out-Tok]]*Table1[[#This Row],[ITL]]</f>
        <v>5.6853635874647752</v>
      </c>
      <c r="AU158" s="4">
        <f>Table1[[#This Row],[E2E]]/Table1[[#This Row],[estE2E]]</f>
        <v>0.89258144320468191</v>
      </c>
      <c r="AV158" s="5">
        <f>Table1[[#This Row],[N]]/Table1[[#This Row],[estE2E]]</f>
        <v>1.7493615728573935</v>
      </c>
      <c r="AW158" s="5">
        <f>Table1[[#This Row],[PPS]]/Table1[[#This Row],[In-Tok]]</f>
        <v>2.1489222222222226</v>
      </c>
      <c r="AX158" s="4">
        <f>Table1[[#This Row],[RPS]]/Table1[[#This Row],[RPS(IL)]]</f>
        <v>0.93069911014823947</v>
      </c>
      <c r="AY158" s="5">
        <f>Table1[[#This Row],[GPS]]/Table1[[#This Row],[Out-Tok]]</f>
        <v>1.9851296296296292</v>
      </c>
      <c r="AZ158" s="89">
        <f>Table1[[#This Row],[RPS]]/Table1[[#This Row],[RPS(OL)]]</f>
        <v>1.0074908812746628</v>
      </c>
      <c r="BA158" s="135">
        <f>MaxTok/Table1[[#This Row],[tok/req]]</f>
        <v>54.253463215741995</v>
      </c>
      <c r="BB158" s="4">
        <f>Table1[[#This Row],[N]]/Table1[[#This Row],[N-max]]</f>
        <v>0.18332021585578165</v>
      </c>
      <c r="BC158" s="44">
        <f>Table1[[#This Row],[RPS]]</f>
        <v>2</v>
      </c>
      <c r="BD158" s="47">
        <f>Table1[[#This Row],[PPS]]/Table1[[#This Row],[RPS success]]</f>
        <v>7521.2277777777799</v>
      </c>
      <c r="BE158" s="4">
        <f>ABS(Table1[[#This Row],[est-In-Tok3]]-Table1[[#This Row],[In-Tok]])/Table1[[#This Row],[In-Tok]]</f>
        <v>7.4461111111111422E-2</v>
      </c>
      <c r="BF158" s="47">
        <f>Table1[[#This Row],[GPS]]/Table1[[#This Row],[RPS success]]</f>
        <v>297.76944444444439</v>
      </c>
      <c r="BG158" s="4">
        <f>ABS(Table1[[#This Row],[est-Out-Tok3]]-Table1[[#This Row],[Out-Tok]])/Table1[[#This Row],[Out-Tok]]</f>
        <v>7.43518518518537E-3</v>
      </c>
      <c r="BH158" s="162">
        <f>Table1[[#This Row],[est-In-Tok3]]+AvgOutLoad*Table1[[#This Row],[est-Out-Tok3]]</f>
        <v>7670.112500000002</v>
      </c>
      <c r="BI158" s="4">
        <f>ABS(Table1[[#This Row],[est-Tok/Req3]]-Table1[[#This Row],[tok/req]])/Table1[[#This Row],[tok/req]]</f>
        <v>7.2743006993007273E-2</v>
      </c>
      <c r="BJ158" s="162">
        <f>MaxTok/Table1[[#This Row],[est-Tok/Req3]]</f>
        <v>50.574520516166508</v>
      </c>
      <c r="BK158" s="4">
        <f>ABS(Table1[[#This Row],[est-N-max3]]-Table1[[#This Row],[N-max]])/Table1[[#This Row],[N-max]]</f>
        <v>6.7810283095587107E-2</v>
      </c>
      <c r="BL158" s="44">
        <f>MaxTok*Table1[[#This Row],[Kvcache]]/Table1[[#This Row],[Run]]</f>
        <v>7165.1663795806007</v>
      </c>
      <c r="BM158" s="170">
        <f>ABS(Table1[[#This Row],[est-Tok/Req]]-Table1[[#This Row],[tok/req]])/Table1[[#This Row],[tok/req]]</f>
        <v>2.121171969314788E-3</v>
      </c>
      <c r="BN158" s="44">
        <f>MaxTok/Table1[[#This Row],[est-Tok/Req]]</f>
        <v>54.138625880067977</v>
      </c>
      <c r="BO158" s="180">
        <f>Table1[[#This Row],[Run]]/Table1[[#This Row],[Kvcache]]</f>
        <v>54.138625880067977</v>
      </c>
      <c r="BP158" s="4" cm="1">
        <f t="array" aca="1" ref="BP158" ca="1">_xlfn.CEILING.MATH(INDIRECT("Table1"&amp;BP$3)/BP$2)*BP$2</f>
        <v>8000</v>
      </c>
      <c r="BQ158" s="4" cm="1">
        <f t="array" aca="1" ref="BQ158" ca="1">_xlfn.CEILING.MATH(INDIRECT("Table1"&amp;BQ$3)/BQ$2)*BQ$2</f>
        <v>0.02</v>
      </c>
      <c r="BR158" s="4" cm="1">
        <f t="array" aca="1" ref="BR158" ca="1">_xlfn.CEILING.MATH(INDIRECT("Table1"&amp;BR$3)/BR$2)*BR$2</f>
        <v>0.2</v>
      </c>
      <c r="BS158" s="4" cm="1">
        <f t="array" aca="1" ref="BS158" ca="1">_xlfn.CEILING.MATH(INDIRECT("Table1"&amp;BS$3)/BS$2)*BS$2</f>
        <v>0.16</v>
      </c>
      <c r="BT158" s="3" cm="1">
        <f t="array" aca="1" ref="BT158" ca="1">_xlfn.CEILING.MATH(INDIRECT("Table1"&amp;BT$3)/BT$2)*BT$2</f>
        <v>9</v>
      </c>
      <c r="BU158" s="135" cm="1">
        <f t="array" aca="1" ref="BU158" ca="1">_xlfn.CEILING.MATH(INDIRECT("Table1"&amp;BU$3)/BU$2)*BU$2</f>
        <v>25</v>
      </c>
      <c r="BV158" s="135" cm="1">
        <f t="array" aca="1" ref="BV158" ca="1">_xlfn.CEILING.MATH(INDIRECT("Table1"&amp;BV$3)/BV$2)*BV$2</f>
        <v>7000</v>
      </c>
      <c r="BW158" s="4"/>
      <c r="BX158" s="4"/>
      <c r="BY158" s="217"/>
      <c r="BZ158" s="4"/>
      <c r="CA158" s="3"/>
      <c r="CF158" s="5"/>
      <c r="CH158" s="8"/>
      <c r="CI158" s="8"/>
      <c r="CJ158" s="14"/>
      <c r="CK158" s="8"/>
      <c r="CL158" s="8"/>
      <c r="CM158" s="8"/>
      <c r="CN158" s="8"/>
      <c r="CO158" s="8"/>
      <c r="CP158" s="8"/>
      <c r="CQ158" s="8">
        <f>Table1[[#This Row],[In-Tok]]+AvgOutLoad*Table1[[#This Row],[Out-Tok]]</f>
        <v>7150</v>
      </c>
      <c r="CR158" s="8"/>
      <c r="CS158" s="8"/>
      <c r="CT158" s="8"/>
      <c r="CU158" s="8"/>
      <c r="CV158" s="8"/>
      <c r="CW158" s="8"/>
      <c r="CX158" s="8"/>
      <c r="CY158" s="8"/>
    </row>
    <row r="159" spans="1:192" hidden="1" x14ac:dyDescent="0.25">
      <c r="A159" s="26">
        <v>8000</v>
      </c>
      <c r="B159" s="3">
        <v>300</v>
      </c>
      <c r="C159" s="123">
        <v>2</v>
      </c>
      <c r="D159" s="216">
        <f>Table1[[#This Row],[Kvcache]]</f>
        <v>0.30568657874321181</v>
      </c>
      <c r="E159" s="170" t="s">
        <v>153</v>
      </c>
      <c r="F159" s="218">
        <v>46104</v>
      </c>
      <c r="G159" s="10">
        <v>0</v>
      </c>
      <c r="H159" s="10">
        <v>0.35701287879116284</v>
      </c>
      <c r="I159" s="10">
        <v>0.29188743233135361</v>
      </c>
      <c r="J159" s="10">
        <v>0.38542098755271847</v>
      </c>
      <c r="K159" s="10">
        <v>0.79309196472167942</v>
      </c>
      <c r="L159" s="10">
        <v>0.89239452838897693</v>
      </c>
      <c r="M159" s="10">
        <v>2.3421438229960803E-2</v>
      </c>
      <c r="N159" s="10">
        <v>7.1544000647089501</v>
      </c>
      <c r="O159" s="47">
        <v>18614.483333333337</v>
      </c>
      <c r="P159" s="47">
        <v>615.09444444444443</v>
      </c>
      <c r="Q159" s="5">
        <v>14.55</v>
      </c>
      <c r="R159" s="5">
        <v>28.5</v>
      </c>
      <c r="S159" s="170">
        <v>0.30568657874321181</v>
      </c>
      <c r="T159" s="170">
        <v>0.5986423584173779</v>
      </c>
      <c r="U159" s="3">
        <f>(Table1[[#This Row],[In-Tok]]+Table1[[#This Row],[Out-Tok]])*Table1[[#This Row],[RPS]]</f>
        <v>16600</v>
      </c>
      <c r="V159" s="3">
        <f>Table1[[#This Row],[In-Tok]]+$V$2*Table1[[#This Row],[Out-Tok]]</f>
        <v>8150</v>
      </c>
      <c r="W159" s="3">
        <f>Table1[[#This Row],[In-Tok]]*Table1[[#This Row],[RPS]]</f>
        <v>16000</v>
      </c>
      <c r="X159" s="3">
        <f>Table1[[#This Row],[Out-Tok]]*Table1[[#This Row],[RPS]]</f>
        <v>600</v>
      </c>
      <c r="Y159" s="75">
        <f>Table1[[#This Row],[In-Tok]]/Table1[[#This Row],[Out-Tok]]</f>
        <v>26.666666666666668</v>
      </c>
      <c r="Z159" s="26">
        <f>Table1[[#This Row],[In-Tok]]*Table1[[#This Row],[N]]+AvgOutLoad*Table1[[#This Row],[Out-Tok]]*Table1[[#This Row],[Ndecode]]</f>
        <v>122845.46551394448</v>
      </c>
      <c r="AA159" s="3">
        <f>Table1[[#This Row],[tok(N)]]/Table1[[#This Row],[Kvcache]]</f>
        <v>401867.38331465732</v>
      </c>
      <c r="AB159" s="3">
        <f>Table1[[#This Row],[tok/req]]*Table1[[#This Row],[Run]]</f>
        <v>118582.5</v>
      </c>
      <c r="AC159" s="3">
        <f>Table1[[#This Row],[tok(Run)]]/Table1[[#This Row],[Kvcache]]</f>
        <v>387921.83970763645</v>
      </c>
      <c r="AD159" s="3">
        <f>Table1[[#This Row],[tok/req]]*Table1[[#This Row],[MaxRun]]</f>
        <v>232275</v>
      </c>
      <c r="AE159" s="3">
        <f>Table1[[#This Row],[tok(MaxRun)]]/Table1[[#This Row],[MaxKvcache]]</f>
        <v>388002.94822782342</v>
      </c>
      <c r="AF159" s="75">
        <f>Table1[[#This Row],[PPS]]*Table1[[#This Row],[Prefill]]/Table1[[#This Row],[In-Tok]]</f>
        <v>0.67916671804268047</v>
      </c>
      <c r="AG159" s="5">
        <f>Table1[[#This Row],[GPS]]*Table1[[#This Row],[ITL]]</f>
        <v>14.406396536147613</v>
      </c>
      <c r="AH159" s="5">
        <f>Table1[[#This Row],[Nprefill]]+Table1[[#This Row],[Ndecode]]</f>
        <v>15.085563254190292</v>
      </c>
      <c r="AI159" s="4">
        <f>Table1[[#This Row],[Run]]/Table1[[#This Row],[ITL]]/Table1[[#This Row],[GPS]]</f>
        <v>1.0099680349275455</v>
      </c>
      <c r="AJ159" s="10">
        <f>Table1[[#This Row],[Prefill]]+Table1[[#This Row],[ITL]]</f>
        <v>0.3153088705613144</v>
      </c>
      <c r="AK159" s="4">
        <f>Table1[[#This Row],[TTFT]]/Table1[[#This Row],[estTTFT]]</f>
        <v>1.1322639865970365</v>
      </c>
      <c r="AL159" s="5">
        <f>Table1[[#This Row],[In-Tok]]*Table1[[#This Row],[RPS]]/Table1[[#This Row],[PPS]]</f>
        <v>0.85954574797939576</v>
      </c>
      <c r="AM159" s="4">
        <f>Table1[[#This Row],[Prefill]]/Table1[[#This Row],[estPrefill]]</f>
        <v>0.33958335902134029</v>
      </c>
      <c r="AN159" s="4">
        <f>Table1[[#This Row],[Prefill]]/Table1[[#This Row],[TTFT]]</f>
        <v>0.81758236094921155</v>
      </c>
      <c r="AO159" s="10">
        <f>Table1[[#This Row],[Run]]/(Table1[[#This Row],[Out-Tok]]*Table1[[#This Row],[RPS]])</f>
        <v>2.4250000000000001E-2</v>
      </c>
      <c r="AP159" s="4">
        <f>Table1[[#This Row],[ITL]]/Table1[[#This Row],[estITL]]</f>
        <v>0.96583250432828049</v>
      </c>
      <c r="AQ159" s="44">
        <f>Table1[[#This Row],[E2E]]-Table1[[#This Row],[TTFT]]+Table1[[#This Row],[ITL]]</f>
        <v>6.8208086241477481</v>
      </c>
      <c r="AR159" s="4">
        <f>Table1[[#This Row],[estDecode]]/Table1[[#This Row],[Run]]</f>
        <v>0.46878409787957032</v>
      </c>
      <c r="AS159" s="44">
        <f>Table1[[#This Row],[Prefill]]+Table1[[#This Row],[Out-Tok]]*Table1[[#This Row],[ITL]]</f>
        <v>7.3183189013195946</v>
      </c>
      <c r="AT159" s="5">
        <f>Table1[[#This Row],[estPrefill]]+Table1[[#This Row],[Out-Tok]]*Table1[[#This Row],[ITL]]</f>
        <v>7.8859772169676363</v>
      </c>
      <c r="AU159" s="4">
        <f>Table1[[#This Row],[E2E]]/Table1[[#This Row],[estE2E]]</f>
        <v>0.90723062822390488</v>
      </c>
      <c r="AV159" s="5">
        <f>Table1[[#This Row],[N]]/Table1[[#This Row],[estE2E]]</f>
        <v>1.9129605423829876</v>
      </c>
      <c r="AW159" s="5">
        <f>Table1[[#This Row],[PPS]]/Table1[[#This Row],[In-Tok]]</f>
        <v>2.326810416666667</v>
      </c>
      <c r="AX159" s="4">
        <f>Table1[[#This Row],[RPS]]/Table1[[#This Row],[RPS(IL)]]</f>
        <v>0.85954574797939587</v>
      </c>
      <c r="AY159" s="5">
        <f>Table1[[#This Row],[GPS]]/Table1[[#This Row],[Out-Tok]]</f>
        <v>2.0503148148148149</v>
      </c>
      <c r="AZ159" s="89">
        <f>Table1[[#This Row],[RPS]]/Table1[[#This Row],[RPS(OL)]]</f>
        <v>0.97545995646558337</v>
      </c>
      <c r="BA159" s="135">
        <f>MaxTok/Table1[[#This Row],[tok/req]]</f>
        <v>47.596596563503716</v>
      </c>
      <c r="BB159" s="4">
        <f>Table1[[#This Row],[N]]/Table1[[#This Row],[N-max]]</f>
        <v>0.31694625967768569</v>
      </c>
      <c r="BC159" s="44">
        <f>Table1[[#This Row],[RPS]]</f>
        <v>2</v>
      </c>
      <c r="BD159" s="47">
        <f>Table1[[#This Row],[PPS]]/Table1[[#This Row],[RPS success]]</f>
        <v>9307.2416666666686</v>
      </c>
      <c r="BE159" s="4">
        <f>ABS(Table1[[#This Row],[est-In-Tok3]]-Table1[[#This Row],[In-Tok]])/Table1[[#This Row],[In-Tok]]</f>
        <v>0.16340520833333358</v>
      </c>
      <c r="BF159" s="47">
        <f>Table1[[#This Row],[GPS]]/Table1[[#This Row],[RPS success]]</f>
        <v>307.54722222222222</v>
      </c>
      <c r="BG159" s="4">
        <f>ABS(Table1[[#This Row],[est-Out-Tok3]]-Table1[[#This Row],[Out-Tok]])/Table1[[#This Row],[Out-Tok]]</f>
        <v>2.5157407407407392E-2</v>
      </c>
      <c r="BH159" s="162">
        <f>Table1[[#This Row],[est-In-Tok3]]+AvgOutLoad*Table1[[#This Row],[est-Out-Tok3]]</f>
        <v>9461.0152777777803</v>
      </c>
      <c r="BI159" s="4">
        <f>ABS(Table1[[#This Row],[est-Tok/Req3]]-Table1[[#This Row],[tok/req]])/Table1[[#This Row],[tok/req]]</f>
        <v>0.16086077027948226</v>
      </c>
      <c r="BJ159" s="162">
        <f>MaxTok/Table1[[#This Row],[est-Tok/Req3]]</f>
        <v>41.001124150353213</v>
      </c>
      <c r="BK159" s="4">
        <f>ABS(Table1[[#This Row],[est-N-max3]]-Table1[[#This Row],[N-max]])/Table1[[#This Row],[N-max]]</f>
        <v>0.13857025269339956</v>
      </c>
      <c r="BL159" s="44">
        <f>MaxTok*Table1[[#This Row],[Kvcache]]/Table1[[#This Row],[Run]]</f>
        <v>8149.7987780786707</v>
      </c>
      <c r="BM159" s="170">
        <f>ABS(Table1[[#This Row],[est-Tok/Req]]-Table1[[#This Row],[tok/req]])/Table1[[#This Row],[tok/req]]</f>
        <v>2.4689806298074416E-5</v>
      </c>
      <c r="BN159" s="44">
        <f>MaxTok/Table1[[#This Row],[est-Tok/Req]]</f>
        <v>47.597771743268275</v>
      </c>
      <c r="BO159" s="180">
        <f>Table1[[#This Row],[Run]]/Table1[[#This Row],[Kvcache]]</f>
        <v>47.597771743268275</v>
      </c>
      <c r="BP159" s="4" cm="1">
        <f t="array" aca="1" ref="BP159" ca="1">_xlfn.CEILING.MATH(INDIRECT("Table1"&amp;BP$3)/BP$2)*BP$2</f>
        <v>9000</v>
      </c>
      <c r="BQ159" s="4" cm="1">
        <f t="array" aca="1" ref="BQ159" ca="1">_xlfn.CEILING.MATH(INDIRECT("Table1"&amp;BQ$3)/BQ$2)*BQ$2</f>
        <v>2.5000000000000001E-2</v>
      </c>
      <c r="BR159" s="4" cm="1">
        <f t="array" aca="1" ref="BR159" ca="1">_xlfn.CEILING.MATH(INDIRECT("Table1"&amp;BR$3)/BR$2)*BR$2</f>
        <v>0.4</v>
      </c>
      <c r="BS159" s="4" cm="1">
        <f t="array" aca="1" ref="BS159" ca="1">_xlfn.CEILING.MATH(INDIRECT("Table1"&amp;BS$3)/BS$2)*BS$2</f>
        <v>0.31</v>
      </c>
      <c r="BT159" s="3" cm="1">
        <f t="array" aca="1" ref="BT159" ca="1">_xlfn.CEILING.MATH(INDIRECT("Table1"&amp;BT$3)/BT$2)*BT$2</f>
        <v>15</v>
      </c>
      <c r="BU159" s="135" cm="1">
        <f t="array" aca="1" ref="BU159" ca="1">_xlfn.CEILING.MATH(INDIRECT("Table1"&amp;BU$3)/BU$2)*BU$2</f>
        <v>30</v>
      </c>
      <c r="BV159" s="135" cm="1">
        <f t="array" aca="1" ref="BV159" ca="1">_xlfn.CEILING.MATH(INDIRECT("Table1"&amp;BV$3)/BV$2)*BV$2</f>
        <v>8000</v>
      </c>
      <c r="BW159" s="4"/>
      <c r="BX159" s="4"/>
      <c r="BY159" s="217"/>
      <c r="BZ159" s="4"/>
      <c r="CA159" s="3"/>
      <c r="CF159" s="5"/>
      <c r="CH159" s="8"/>
      <c r="CI159" s="8"/>
      <c r="CJ159" s="14"/>
      <c r="CK159" s="8"/>
      <c r="CL159" s="8"/>
      <c r="CM159" s="8"/>
      <c r="CN159" s="8"/>
      <c r="CO159" s="8"/>
      <c r="CP159" s="8"/>
      <c r="CQ159" s="8">
        <f>Table1[[#This Row],[In-Tok]]+AvgOutLoad*Table1[[#This Row],[Out-Tok]]</f>
        <v>8150</v>
      </c>
      <c r="CR159" s="8"/>
      <c r="CS159" s="8"/>
      <c r="CT159" s="8"/>
      <c r="CU159" s="8"/>
      <c r="CV159" s="8"/>
      <c r="CW159" s="8"/>
      <c r="CX159" s="8"/>
      <c r="CY159" s="8"/>
    </row>
    <row r="160" spans="1:192" hidden="1" x14ac:dyDescent="0.25">
      <c r="A160" s="26">
        <v>9000</v>
      </c>
      <c r="B160" s="3">
        <v>300</v>
      </c>
      <c r="C160" s="123">
        <v>2</v>
      </c>
      <c r="D160" s="216">
        <f>Table1[[#This Row],[Kvcache]]</f>
        <v>0.34968192397207143</v>
      </c>
      <c r="E160" s="170" t="s">
        <v>153</v>
      </c>
      <c r="F160" s="218">
        <v>46104</v>
      </c>
      <c r="G160" s="10">
        <v>0</v>
      </c>
      <c r="H160" s="10">
        <v>0.44413695305020179</v>
      </c>
      <c r="I160" s="10">
        <v>0.36464825923816491</v>
      </c>
      <c r="J160" s="10">
        <v>0.46983284523650443</v>
      </c>
      <c r="K160" s="10">
        <v>1.0251788794994354</v>
      </c>
      <c r="L160" s="10">
        <v>1.2463106966018676</v>
      </c>
      <c r="M160" s="10">
        <v>2.7628285836238893E-2</v>
      </c>
      <c r="N160" s="10">
        <v>8.8230036446945572</v>
      </c>
      <c r="O160" s="47">
        <v>18810.705555555556</v>
      </c>
      <c r="P160" s="47">
        <v>568.95555555555552</v>
      </c>
      <c r="Q160" s="5">
        <v>14.8</v>
      </c>
      <c r="R160" s="5">
        <v>32.5</v>
      </c>
      <c r="S160" s="170">
        <v>0.34968192397207143</v>
      </c>
      <c r="T160" s="170">
        <v>0.76733902249806052</v>
      </c>
      <c r="U160" s="3">
        <f>(Table1[[#This Row],[In-Tok]]+Table1[[#This Row],[Out-Tok]])*Table1[[#This Row],[RPS]]</f>
        <v>18600</v>
      </c>
      <c r="V160" s="3">
        <f>Table1[[#This Row],[In-Tok]]+$V$2*Table1[[#This Row],[Out-Tok]]</f>
        <v>9150</v>
      </c>
      <c r="W160" s="3">
        <f>Table1[[#This Row],[In-Tok]]*Table1[[#This Row],[RPS]]</f>
        <v>18000</v>
      </c>
      <c r="X160" s="3">
        <f>Table1[[#This Row],[Out-Tok]]*Table1[[#This Row],[RPS]]</f>
        <v>600</v>
      </c>
      <c r="Y160" s="75">
        <f>Table1[[#This Row],[In-Tok]]/Table1[[#This Row],[Out-Tok]]</f>
        <v>30</v>
      </c>
      <c r="Z160" s="26">
        <f>Table1[[#This Row],[In-Tok]]*Table1[[#This Row],[N]]+AvgOutLoad*Table1[[#This Row],[Out-Tok]]*Table1[[#This Row],[Ndecode]]</f>
        <v>150690.58149647061</v>
      </c>
      <c r="AA160" s="3">
        <f>Table1[[#This Row],[tok(N)]]/Table1[[#This Row],[Kvcache]]</f>
        <v>430936.14844245149</v>
      </c>
      <c r="AB160" s="3">
        <f>Table1[[#This Row],[tok/req]]*Table1[[#This Row],[Run]]</f>
        <v>135420</v>
      </c>
      <c r="AC160" s="3">
        <f>Table1[[#This Row],[tok(Run)]]/Table1[[#This Row],[Kvcache]]</f>
        <v>387266.22886808356</v>
      </c>
      <c r="AD160" s="3">
        <f>Table1[[#This Row],[tok/req]]*Table1[[#This Row],[MaxRun]]</f>
        <v>297375</v>
      </c>
      <c r="AE160" s="3">
        <f>Table1[[#This Row],[tok(MaxRun)]]/Table1[[#This Row],[MaxKvcache]]</f>
        <v>387540.56718228693</v>
      </c>
      <c r="AF160" s="75">
        <f>Table1[[#This Row],[PPS]]*Table1[[#This Row],[Prefill]]/Table1[[#This Row],[In-Tok]]</f>
        <v>0.76214344843055681</v>
      </c>
      <c r="AG160" s="5">
        <f>Table1[[#This Row],[GPS]]*Table1[[#This Row],[ITL]]</f>
        <v>15.719266717004984</v>
      </c>
      <c r="AH160" s="5">
        <f>Table1[[#This Row],[Nprefill]]+Table1[[#This Row],[Ndecode]]</f>
        <v>16.481410165435541</v>
      </c>
      <c r="AI160" s="4">
        <f>Table1[[#This Row],[Run]]/Table1[[#This Row],[ITL]]/Table1[[#This Row],[GPS]]</f>
        <v>0.94151974557372142</v>
      </c>
      <c r="AJ160" s="10">
        <f>Table1[[#This Row],[Prefill]]+Table1[[#This Row],[ITL]]</f>
        <v>0.39227654507440379</v>
      </c>
      <c r="AK160" s="4">
        <f>Table1[[#This Row],[TTFT]]/Table1[[#This Row],[estTTFT]]</f>
        <v>1.1322036931011552</v>
      </c>
      <c r="AL160" s="5">
        <f>Table1[[#This Row],[In-Tok]]*Table1[[#This Row],[RPS]]/Table1[[#This Row],[PPS]]</f>
        <v>0.9569019060363676</v>
      </c>
      <c r="AM160" s="4">
        <f>Table1[[#This Row],[Prefill]]/Table1[[#This Row],[estPrefill]]</f>
        <v>0.38107172421527841</v>
      </c>
      <c r="AN160" s="4">
        <f>Table1[[#This Row],[Prefill]]/Table1[[#This Row],[TTFT]]</f>
        <v>0.82102661517774655</v>
      </c>
      <c r="AO160" s="10">
        <f>Table1[[#This Row],[Run]]/(Table1[[#This Row],[Out-Tok]]*Table1[[#This Row],[RPS]])</f>
        <v>2.4666666666666667E-2</v>
      </c>
      <c r="AP160" s="4">
        <f>Table1[[#This Row],[ITL]]/Table1[[#This Row],[estITL]]</f>
        <v>1.1200656420096848</v>
      </c>
      <c r="AQ160" s="44">
        <f>Table1[[#This Row],[E2E]]-Table1[[#This Row],[TTFT]]+Table1[[#This Row],[ITL]]</f>
        <v>8.4064949774805928</v>
      </c>
      <c r="AR160" s="4">
        <f>Table1[[#This Row],[estDecode]]/Table1[[#This Row],[Run]]</f>
        <v>0.56800641739733737</v>
      </c>
      <c r="AS160" s="44">
        <f>Table1[[#This Row],[Prefill]]+Table1[[#This Row],[Out-Tok]]*Table1[[#This Row],[ITL]]</f>
        <v>8.6531340101098326</v>
      </c>
      <c r="AT160" s="5">
        <f>Table1[[#This Row],[estPrefill]]+Table1[[#This Row],[Out-Tok]]*Table1[[#This Row],[ITL]]</f>
        <v>9.2453876569080364</v>
      </c>
      <c r="AU160" s="4">
        <f>Table1[[#This Row],[E2E]]/Table1[[#This Row],[estE2E]]</f>
        <v>0.95431408309873522</v>
      </c>
      <c r="AV160" s="5">
        <f>Table1[[#This Row],[N]]/Table1[[#This Row],[estE2E]]</f>
        <v>1.7826629641776937</v>
      </c>
      <c r="AW160" s="5">
        <f>Table1[[#This Row],[PPS]]/Table1[[#This Row],[In-Tok]]</f>
        <v>2.0900783950617283</v>
      </c>
      <c r="AX160" s="4">
        <f>Table1[[#This Row],[RPS]]/Table1[[#This Row],[RPS(IL)]]</f>
        <v>0.9569019060363676</v>
      </c>
      <c r="AY160" s="5">
        <f>Table1[[#This Row],[GPS]]/Table1[[#This Row],[Out-Tok]]</f>
        <v>1.8965185185185185</v>
      </c>
      <c r="AZ160" s="89">
        <f>Table1[[#This Row],[RPS]]/Table1[[#This Row],[RPS(OL)]]</f>
        <v>1.0545639182908253</v>
      </c>
      <c r="BA160" s="135">
        <f>MaxTok/Table1[[#This Row],[tok/req]]</f>
        <v>42.394782731426808</v>
      </c>
      <c r="BB160" s="4">
        <f>Table1[[#This Row],[N]]/Table1[[#This Row],[N-max]]</f>
        <v>0.38876034039014062</v>
      </c>
      <c r="BC160" s="44">
        <f>Table1[[#This Row],[RPS]]</f>
        <v>2</v>
      </c>
      <c r="BD160" s="47">
        <f>Table1[[#This Row],[PPS]]/Table1[[#This Row],[RPS success]]</f>
        <v>9405.3527777777781</v>
      </c>
      <c r="BE160" s="4">
        <f>ABS(Table1[[#This Row],[est-In-Tok3]]-Table1[[#This Row],[In-Tok]])/Table1[[#This Row],[In-Tok]]</f>
        <v>4.5039197530864231E-2</v>
      </c>
      <c r="BF160" s="47">
        <f>Table1[[#This Row],[GPS]]/Table1[[#This Row],[RPS success]]</f>
        <v>284.47777777777776</v>
      </c>
      <c r="BG160" s="4">
        <f>ABS(Table1[[#This Row],[est-Out-Tok3]]-Table1[[#This Row],[Out-Tok]])/Table1[[#This Row],[Out-Tok]]</f>
        <v>5.1740740740740802E-2</v>
      </c>
      <c r="BH160" s="162">
        <f>Table1[[#This Row],[est-In-Tok3]]+AvgOutLoad*Table1[[#This Row],[est-Out-Tok3]]</f>
        <v>9547.5916666666672</v>
      </c>
      <c r="BI160" s="4">
        <f>ABS(Table1[[#This Row],[est-Tok/Req3]]-Table1[[#This Row],[tok/req]])/Table1[[#This Row],[tok/req]]</f>
        <v>4.3452641165755972E-2</v>
      </c>
      <c r="BJ160" s="162">
        <f>MaxTok/Table1[[#This Row],[est-Tok/Req3]]</f>
        <v>40.629330991067235</v>
      </c>
      <c r="BK160" s="4">
        <f>ABS(Table1[[#This Row],[est-N-max3]]-Table1[[#This Row],[N-max]])/Table1[[#This Row],[N-max]]</f>
        <v>4.1643136881814057E-2</v>
      </c>
      <c r="BL160" s="44">
        <f>MaxTok*Table1[[#This Row],[Kvcache]]/Table1[[#This Row],[Run]]</f>
        <v>9165.2639260753349</v>
      </c>
      <c r="BM160" s="170">
        <f>ABS(Table1[[#This Row],[est-Tok/Req]]-Table1[[#This Row],[tok/req]])/Table1[[#This Row],[tok/req]]</f>
        <v>1.6681886421131031E-3</v>
      </c>
      <c r="BN160" s="44">
        <f>MaxTok/Table1[[#This Row],[est-Tok/Req]]</f>
        <v>42.324178018369793</v>
      </c>
      <c r="BO160" s="180">
        <f>Table1[[#This Row],[Run]]/Table1[[#This Row],[Kvcache]]</f>
        <v>42.324178018369786</v>
      </c>
      <c r="BP160" s="4" cm="1">
        <f t="array" aca="1" ref="BP160" ca="1">_xlfn.CEILING.MATH(INDIRECT("Table1"&amp;BP$3)/BP$2)*BP$2</f>
        <v>10000</v>
      </c>
      <c r="BQ160" s="4" cm="1">
        <f t="array" aca="1" ref="BQ160" ca="1">_xlfn.CEILING.MATH(INDIRECT("Table1"&amp;BQ$3)/BQ$2)*BQ$2</f>
        <v>0.03</v>
      </c>
      <c r="BR160" s="4" cm="1">
        <f t="array" aca="1" ref="BR160" ca="1">_xlfn.CEILING.MATH(INDIRECT("Table1"&amp;BR$3)/BR$2)*BR$2</f>
        <v>0.4</v>
      </c>
      <c r="BS160" s="4" cm="1">
        <f t="array" aca="1" ref="BS160" ca="1">_xlfn.CEILING.MATH(INDIRECT("Table1"&amp;BS$3)/BS$2)*BS$2</f>
        <v>0.35000000000000003</v>
      </c>
      <c r="BT160" s="3" cm="1">
        <f t="array" aca="1" ref="BT160" ca="1">_xlfn.CEILING.MATH(INDIRECT("Table1"&amp;BT$3)/BT$2)*BT$2</f>
        <v>15</v>
      </c>
      <c r="BU160" s="135" cm="1">
        <f t="array" aca="1" ref="BU160" ca="1">_xlfn.CEILING.MATH(INDIRECT("Table1"&amp;BU$3)/BU$2)*BU$2</f>
        <v>30</v>
      </c>
      <c r="BV160" s="135" cm="1">
        <f t="array" aca="1" ref="BV160" ca="1">_xlfn.CEILING.MATH(INDIRECT("Table1"&amp;BV$3)/BV$2)*BV$2</f>
        <v>9000</v>
      </c>
      <c r="BW160" s="4"/>
      <c r="BX160" s="4"/>
      <c r="BY160" s="217"/>
      <c r="BZ160" s="4"/>
      <c r="CA160" s="3"/>
      <c r="CF160" s="5"/>
      <c r="CH160" s="8"/>
      <c r="CI160" s="8"/>
      <c r="CJ160" s="14"/>
      <c r="CK160" s="8"/>
      <c r="CL160" s="8"/>
      <c r="CM160" s="8"/>
      <c r="CN160" s="8"/>
      <c r="CO160" s="8"/>
      <c r="CP160" s="8"/>
      <c r="CQ160" s="8">
        <f>Table1[[#This Row],[In-Tok]]+AvgOutLoad*Table1[[#This Row],[Out-Tok]]</f>
        <v>9150</v>
      </c>
      <c r="CR160" s="8"/>
      <c r="CS160" s="8"/>
      <c r="CT160" s="8"/>
      <c r="CU160" s="8"/>
      <c r="CV160" s="8"/>
      <c r="CW160" s="8"/>
      <c r="CX160" s="8"/>
      <c r="CY160" s="8"/>
    </row>
    <row r="161" spans="1:103" hidden="1" x14ac:dyDescent="0.25">
      <c r="A161" s="26">
        <v>10000</v>
      </c>
      <c r="B161" s="3">
        <v>300</v>
      </c>
      <c r="C161" s="123">
        <v>2</v>
      </c>
      <c r="D161" s="216">
        <f>Table1[[#This Row],[Kvcache]]</f>
        <v>0.57404965089216442</v>
      </c>
      <c r="E161" s="170" t="s">
        <v>153</v>
      </c>
      <c r="F161" s="218">
        <v>46104</v>
      </c>
      <c r="G161" s="10">
        <v>0</v>
      </c>
      <c r="H161" s="10">
        <v>0.72652567131101664</v>
      </c>
      <c r="I161" s="10">
        <v>0.40136825147095978</v>
      </c>
      <c r="J161" s="10">
        <v>0.84067703176909392</v>
      </c>
      <c r="K161" s="10">
        <v>2.4793742299079891</v>
      </c>
      <c r="L161" s="10">
        <v>2.8898556470870966</v>
      </c>
      <c r="M161" s="10">
        <v>3.9794129214593008E-2</v>
      </c>
      <c r="N161" s="10">
        <v>12.322704710441885</v>
      </c>
      <c r="O161" s="47">
        <v>20836.56111111111</v>
      </c>
      <c r="P161" s="47">
        <v>543.05555555555566</v>
      </c>
      <c r="Q161" s="5">
        <v>21.9</v>
      </c>
      <c r="R161" s="5">
        <v>33.5</v>
      </c>
      <c r="S161" s="170">
        <v>0.57404965089216442</v>
      </c>
      <c r="T161" s="170">
        <v>0.88079906904577188</v>
      </c>
      <c r="U161" s="3">
        <f>(Table1[[#This Row],[In-Tok]]+Table1[[#This Row],[Out-Tok]])*Table1[[#This Row],[RPS]]</f>
        <v>20600</v>
      </c>
      <c r="V161" s="3">
        <f>Table1[[#This Row],[In-Tok]]+$V$2*Table1[[#This Row],[Out-Tok]]</f>
        <v>10150</v>
      </c>
      <c r="W161" s="3">
        <f>Table1[[#This Row],[In-Tok]]*Table1[[#This Row],[RPS]]</f>
        <v>20000</v>
      </c>
      <c r="X161" s="3">
        <f>Table1[[#This Row],[Out-Tok]]*Table1[[#This Row],[RPS]]</f>
        <v>600</v>
      </c>
      <c r="Y161" s="75">
        <f>Table1[[#This Row],[In-Tok]]/Table1[[#This Row],[Out-Tok]]</f>
        <v>33.333333333333336</v>
      </c>
      <c r="Z161" s="26">
        <f>Table1[[#This Row],[In-Tok]]*Table1[[#This Row],[N]]+AvgOutLoad*Table1[[#This Row],[Out-Tok]]*Table1[[#This Row],[Ndecode]]</f>
        <v>227708.92702691024</v>
      </c>
      <c r="AA161" s="3">
        <f>Table1[[#This Row],[tok(N)]]/Table1[[#This Row],[Kvcache]]</f>
        <v>396671.13580334798</v>
      </c>
      <c r="AB161" s="3">
        <f>Table1[[#This Row],[tok/req]]*Table1[[#This Row],[Run]]</f>
        <v>222285</v>
      </c>
      <c r="AC161" s="3">
        <f>Table1[[#This Row],[tok(Run)]]/Table1[[#This Row],[Kvcache]]</f>
        <v>387222.60287857288</v>
      </c>
      <c r="AD161" s="3">
        <f>Table1[[#This Row],[tok/req]]*Table1[[#This Row],[MaxRun]]</f>
        <v>340025</v>
      </c>
      <c r="AE161" s="3">
        <f>Table1[[#This Row],[tok(MaxRun)]]/Table1[[#This Row],[MaxKvcache]]</f>
        <v>386041.50702426565</v>
      </c>
      <c r="AF161" s="75">
        <f>Table1[[#This Row],[PPS]]*Table1[[#This Row],[Prefill]]/Table1[[#This Row],[In-Tok]]</f>
        <v>0.83631340998344661</v>
      </c>
      <c r="AG161" s="5">
        <f>Table1[[#This Row],[GPS]]*Table1[[#This Row],[ITL]]</f>
        <v>21.610422948480373</v>
      </c>
      <c r="AH161" s="5">
        <f>Table1[[#This Row],[Nprefill]]+Table1[[#This Row],[Ndecode]]</f>
        <v>22.44673635846382</v>
      </c>
      <c r="AI161" s="4">
        <f>Table1[[#This Row],[Run]]/Table1[[#This Row],[ITL]]/Table1[[#This Row],[GPS]]</f>
        <v>1.0133998789477643</v>
      </c>
      <c r="AJ161" s="10">
        <f>Table1[[#This Row],[Prefill]]+Table1[[#This Row],[ITL]]</f>
        <v>0.4411623806855528</v>
      </c>
      <c r="AK161" s="4">
        <f>Table1[[#This Row],[TTFT]]/Table1[[#This Row],[estTTFT]]</f>
        <v>1.6468441170845485</v>
      </c>
      <c r="AL161" s="5">
        <f>Table1[[#This Row],[In-Tok]]*Table1[[#This Row],[RPS]]/Table1[[#This Row],[PPS]]</f>
        <v>0.95985128704059453</v>
      </c>
      <c r="AM161" s="4">
        <f>Table1[[#This Row],[Prefill]]/Table1[[#This Row],[estPrefill]]</f>
        <v>0.41815670499172325</v>
      </c>
      <c r="AN161" s="4">
        <f>Table1[[#This Row],[Prefill]]/Table1[[#This Row],[TTFT]]</f>
        <v>0.55244882227862668</v>
      </c>
      <c r="AO161" s="10">
        <f>Table1[[#This Row],[Run]]/(Table1[[#This Row],[Out-Tok]]*Table1[[#This Row],[RPS]])</f>
        <v>3.6499999999999998E-2</v>
      </c>
      <c r="AP161" s="4">
        <f>Table1[[#This Row],[ITL]]/Table1[[#This Row],[estITL]]</f>
        <v>1.0902501154683018</v>
      </c>
      <c r="AQ161" s="44">
        <f>Table1[[#This Row],[E2E]]-Table1[[#This Row],[TTFT]]+Table1[[#This Row],[ITL]]</f>
        <v>11.635973168345462</v>
      </c>
      <c r="AR161" s="4">
        <f>Table1[[#This Row],[estDecode]]/Table1[[#This Row],[Run]]</f>
        <v>0.53132297572353715</v>
      </c>
      <c r="AS161" s="44">
        <f>Table1[[#This Row],[Prefill]]+Table1[[#This Row],[Out-Tok]]*Table1[[#This Row],[ITL]]</f>
        <v>12.339607015848861</v>
      </c>
      <c r="AT161" s="5">
        <f>Table1[[#This Row],[estPrefill]]+Table1[[#This Row],[Out-Tok]]*Table1[[#This Row],[ITL]]</f>
        <v>12.898090051418496</v>
      </c>
      <c r="AU161" s="4">
        <f>Table1[[#This Row],[E2E]]/Table1[[#This Row],[estE2E]]</f>
        <v>0.95538988030919103</v>
      </c>
      <c r="AV161" s="5">
        <f>Table1[[#This Row],[N]]/Table1[[#This Row],[estE2E]]</f>
        <v>1.7403147496241267</v>
      </c>
      <c r="AW161" s="5">
        <f>Table1[[#This Row],[PPS]]/Table1[[#This Row],[In-Tok]]</f>
        <v>2.0836561111111109</v>
      </c>
      <c r="AX161" s="4">
        <f>Table1[[#This Row],[RPS]]/Table1[[#This Row],[RPS(IL)]]</f>
        <v>0.95985128704059464</v>
      </c>
      <c r="AY161" s="5">
        <f>Table1[[#This Row],[GPS]]/Table1[[#This Row],[Out-Tok]]</f>
        <v>1.8101851851851856</v>
      </c>
      <c r="AZ161" s="89">
        <f>Table1[[#This Row],[RPS]]/Table1[[#This Row],[RPS(OL)]]</f>
        <v>1.1048593350383629</v>
      </c>
      <c r="BA161" s="135">
        <f>MaxTok/Table1[[#This Row],[tok/req]]</f>
        <v>38.217956846557172</v>
      </c>
      <c r="BB161" s="4">
        <f>Table1[[#This Row],[N]]/Table1[[#This Row],[N-max]]</f>
        <v>0.58733480830977269</v>
      </c>
      <c r="BC161" s="44">
        <f>Table1[[#This Row],[RPS]]</f>
        <v>2</v>
      </c>
      <c r="BD161" s="47">
        <f>Table1[[#This Row],[PPS]]/Table1[[#This Row],[RPS success]]</f>
        <v>10418.280555555555</v>
      </c>
      <c r="BE161" s="4">
        <f>ABS(Table1[[#This Row],[est-In-Tok3]]-Table1[[#This Row],[In-Tok]])/Table1[[#This Row],[In-Tok]]</f>
        <v>4.1828055555555514E-2</v>
      </c>
      <c r="BF161" s="47">
        <f>Table1[[#This Row],[GPS]]/Table1[[#This Row],[RPS success]]</f>
        <v>271.52777777777783</v>
      </c>
      <c r="BG161" s="4">
        <f>ABS(Table1[[#This Row],[est-Out-Tok3]]-Table1[[#This Row],[Out-Tok]])/Table1[[#This Row],[Out-Tok]]</f>
        <v>9.4907407407407232E-2</v>
      </c>
      <c r="BH161" s="162">
        <f>Table1[[#This Row],[est-In-Tok3]]+AvgOutLoad*Table1[[#This Row],[est-Out-Tok3]]</f>
        <v>10554.044444444444</v>
      </c>
      <c r="BI161" s="4">
        <f>ABS(Table1[[#This Row],[est-Tok/Req3]]-Table1[[#This Row],[tok/req]])/Table1[[#This Row],[tok/req]]</f>
        <v>3.9807334428024019E-2</v>
      </c>
      <c r="BJ161" s="162">
        <f>MaxTok/Table1[[#This Row],[est-Tok/Req3]]</f>
        <v>36.75484446123864</v>
      </c>
      <c r="BK161" s="4">
        <f>ABS(Table1[[#This Row],[est-N-max3]]-Table1[[#This Row],[N-max]])/Table1[[#This Row],[N-max]]</f>
        <v>3.8283375304253991E-2</v>
      </c>
      <c r="BL161" s="44">
        <f>MaxTok*Table1[[#This Row],[Kvcache]]/Table1[[#This Row],[Run]]</f>
        <v>10168.077560439095</v>
      </c>
      <c r="BM161" s="170">
        <f>ABS(Table1[[#This Row],[est-Tok/Req]]-Table1[[#This Row],[tok/req]])/Table1[[#This Row],[tok/req]]</f>
        <v>1.7810404373492285E-3</v>
      </c>
      <c r="BN161" s="44">
        <f>MaxTok/Table1[[#This Row],[est-Tok/Req]]</f>
        <v>38.15001013581999</v>
      </c>
      <c r="BO161" s="180">
        <f>Table1[[#This Row],[Run]]/Table1[[#This Row],[Kvcache]]</f>
        <v>38.15001013581999</v>
      </c>
      <c r="BP161" s="4" cm="1">
        <f t="array" aca="1" ref="BP161" ca="1">_xlfn.CEILING.MATH(INDIRECT("Table1"&amp;BP$3)/BP$2)*BP$2</f>
        <v>11000</v>
      </c>
      <c r="BQ161" s="4" cm="1">
        <f t="array" aca="1" ref="BQ161" ca="1">_xlfn.CEILING.MATH(INDIRECT("Table1"&amp;BQ$3)/BQ$2)*BQ$2</f>
        <v>0.04</v>
      </c>
      <c r="BR161" s="4" cm="1">
        <f t="array" aca="1" ref="BR161" ca="1">_xlfn.CEILING.MATH(INDIRECT("Table1"&amp;BR$3)/BR$2)*BR$2</f>
        <v>0.60000000000000009</v>
      </c>
      <c r="BS161" s="4" cm="1">
        <f t="array" aca="1" ref="BS161" ca="1">_xlfn.CEILING.MATH(INDIRECT("Table1"&amp;BS$3)/BS$2)*BS$2</f>
        <v>0.57999999999999996</v>
      </c>
      <c r="BT161" s="3" cm="1">
        <f t="array" aca="1" ref="BT161" ca="1">_xlfn.CEILING.MATH(INDIRECT("Table1"&amp;BT$3)/BT$2)*BT$2</f>
        <v>22</v>
      </c>
      <c r="BU161" s="135" cm="1">
        <f t="array" aca="1" ref="BU161" ca="1">_xlfn.CEILING.MATH(INDIRECT("Table1"&amp;BU$3)/BU$2)*BU$2</f>
        <v>35</v>
      </c>
      <c r="BV161" s="135" cm="1">
        <f t="array" aca="1" ref="BV161" ca="1">_xlfn.CEILING.MATH(INDIRECT("Table1"&amp;BV$3)/BV$2)*BV$2</f>
        <v>10000</v>
      </c>
      <c r="BW161" s="4"/>
      <c r="BX161" s="4"/>
      <c r="BY161" s="217"/>
      <c r="BZ161" s="4"/>
      <c r="CA161" s="3"/>
      <c r="CF161" s="5"/>
      <c r="CH161" s="8"/>
      <c r="CI161" s="8"/>
      <c r="CJ161" s="14"/>
      <c r="CK161" s="8"/>
      <c r="CL161" s="8"/>
      <c r="CM161" s="8"/>
      <c r="CN161" s="8"/>
      <c r="CO161" s="8"/>
      <c r="CP161" s="8"/>
      <c r="CQ161" s="8">
        <f>Table1[[#This Row],[In-Tok]]+AvgOutLoad*Table1[[#This Row],[Out-Tok]]</f>
        <v>10150</v>
      </c>
      <c r="CR161" s="8"/>
      <c r="CS161" s="8"/>
      <c r="CT161" s="8"/>
      <c r="CU161" s="8"/>
      <c r="CV161" s="8"/>
      <c r="CW161" s="8"/>
      <c r="CX161" s="8"/>
      <c r="CY161" s="8"/>
    </row>
    <row r="162" spans="1:103" hidden="1" x14ac:dyDescent="0.25">
      <c r="A162" s="26">
        <v>11000</v>
      </c>
      <c r="B162" s="3">
        <v>300</v>
      </c>
      <c r="C162" s="123">
        <v>2</v>
      </c>
      <c r="D162" s="216">
        <f>Table1[[#This Row],[Kvcache]]</f>
        <v>0.67751675012342194</v>
      </c>
      <c r="E162" s="170" t="s">
        <v>153</v>
      </c>
      <c r="F162" s="218">
        <v>46104</v>
      </c>
      <c r="G162" s="10">
        <v>0</v>
      </c>
      <c r="H162" s="10">
        <v>2.8074965140509485</v>
      </c>
      <c r="I162" s="10">
        <v>0.52995351329146589</v>
      </c>
      <c r="J162" s="10">
        <v>2.8747102409760581</v>
      </c>
      <c r="K162" s="10">
        <v>5.8300770878791814</v>
      </c>
      <c r="L162" s="10">
        <v>6.6289416599273672</v>
      </c>
      <c r="M162" s="10">
        <v>4.381452327098001E-2</v>
      </c>
      <c r="N162" s="10">
        <v>15.322380596081665</v>
      </c>
      <c r="O162" s="47">
        <v>21315.113333333335</v>
      </c>
      <c r="P162" s="47">
        <v>514.26444444444439</v>
      </c>
      <c r="Q162" s="5">
        <v>23.518181818181819</v>
      </c>
      <c r="R162" s="5">
        <v>34</v>
      </c>
      <c r="S162" s="170">
        <v>0.67751675012342194</v>
      </c>
      <c r="T162" s="170">
        <v>0.9833979829325058</v>
      </c>
      <c r="U162" s="3">
        <f>(Table1[[#This Row],[In-Tok]]+Table1[[#This Row],[Out-Tok]])*Table1[[#This Row],[RPS]]</f>
        <v>22600</v>
      </c>
      <c r="V162" s="3">
        <f>Table1[[#This Row],[In-Tok]]+$V$2*Table1[[#This Row],[Out-Tok]]</f>
        <v>11150</v>
      </c>
      <c r="W162" s="3">
        <f>Table1[[#This Row],[In-Tok]]*Table1[[#This Row],[RPS]]</f>
        <v>22000</v>
      </c>
      <c r="X162" s="3">
        <f>Table1[[#This Row],[Out-Tok]]*Table1[[#This Row],[RPS]]</f>
        <v>600</v>
      </c>
      <c r="Y162" s="75">
        <f>Table1[[#This Row],[In-Tok]]/Table1[[#This Row],[Out-Tok]]</f>
        <v>36.666666666666664</v>
      </c>
      <c r="Z162" s="26">
        <f>Table1[[#This Row],[In-Tok]]*Table1[[#This Row],[N]]+AvgOutLoad*Table1[[#This Row],[Out-Tok]]*Table1[[#This Row],[Ndecode]]</f>
        <v>262530.62307152391</v>
      </c>
      <c r="AA162" s="3">
        <f>Table1[[#This Row],[tok(N)]]/Table1[[#This Row],[Kvcache]]</f>
        <v>387489.49457515142</v>
      </c>
      <c r="AB162" s="3">
        <f>Table1[[#This Row],[tok/req]]*Table1[[#This Row],[Run]]</f>
        <v>262227.72727272729</v>
      </c>
      <c r="AC162" s="3">
        <f>Table1[[#This Row],[tok(Run)]]/Table1[[#This Row],[Kvcache]]</f>
        <v>387042.42695838556</v>
      </c>
      <c r="AD162" s="3">
        <f>Table1[[#This Row],[tok/req]]*Table1[[#This Row],[MaxRun]]</f>
        <v>379100</v>
      </c>
      <c r="AE162" s="3">
        <f>Table1[[#This Row],[tok(MaxRun)]]/Table1[[#This Row],[MaxKvcache]]</f>
        <v>385500.07888923952</v>
      </c>
      <c r="AF162" s="75">
        <f>Table1[[#This Row],[PPS]]*Table1[[#This Row],[Prefill]]/Table1[[#This Row],[In-Tok]]</f>
        <v>1.0269108361096153</v>
      </c>
      <c r="AG162" s="5">
        <f>Table1[[#This Row],[GPS]]*Table1[[#This Row],[ITL]]</f>
        <v>22.532251468548715</v>
      </c>
      <c r="AH162" s="5">
        <f>Table1[[#This Row],[Nprefill]]+Table1[[#This Row],[Ndecode]]</f>
        <v>23.559162304658329</v>
      </c>
      <c r="AI162" s="4">
        <f>Table1[[#This Row],[Run]]/Table1[[#This Row],[ITL]]/Table1[[#This Row],[GPS]]</f>
        <v>1.0437564062787645</v>
      </c>
      <c r="AJ162" s="10">
        <f>Table1[[#This Row],[Prefill]]+Table1[[#This Row],[ITL]]</f>
        <v>0.5737680365624459</v>
      </c>
      <c r="AK162" s="4">
        <f>Table1[[#This Row],[TTFT]]/Table1[[#This Row],[estTTFT]]</f>
        <v>4.8930862912322501</v>
      </c>
      <c r="AL162" s="5">
        <f>Table1[[#This Row],[In-Tok]]*Table1[[#This Row],[RPS]]/Table1[[#This Row],[PPS]]</f>
        <v>1.0321315048133295</v>
      </c>
      <c r="AM162" s="4">
        <f>Table1[[#This Row],[Prefill]]/Table1[[#This Row],[estPrefill]]</f>
        <v>0.51345541805480777</v>
      </c>
      <c r="AN162" s="4">
        <f>Table1[[#This Row],[Prefill]]/Table1[[#This Row],[TTFT]]</f>
        <v>0.18876372976392186</v>
      </c>
      <c r="AO162" s="10">
        <f>Table1[[#This Row],[Run]]/(Table1[[#This Row],[Out-Tok]]*Table1[[#This Row],[RPS]])</f>
        <v>3.9196969696969702E-2</v>
      </c>
      <c r="AP162" s="4">
        <f>Table1[[#This Row],[ITL]]/Table1[[#This Row],[estITL]]</f>
        <v>1.1178038406975959</v>
      </c>
      <c r="AQ162" s="44">
        <f>Table1[[#This Row],[E2E]]-Table1[[#This Row],[TTFT]]+Table1[[#This Row],[ITL]]</f>
        <v>12.558698605301696</v>
      </c>
      <c r="AR162" s="4">
        <f>Table1[[#This Row],[estDecode]]/Table1[[#This Row],[Run]]</f>
        <v>0.53399955414889311</v>
      </c>
      <c r="AS162" s="44">
        <f>Table1[[#This Row],[Prefill]]+Table1[[#This Row],[Out-Tok]]*Table1[[#This Row],[ITL]]</f>
        <v>13.674310494585468</v>
      </c>
      <c r="AT162" s="5">
        <f>Table1[[#This Row],[estPrefill]]+Table1[[#This Row],[Out-Tok]]*Table1[[#This Row],[ITL]]</f>
        <v>14.176488486107331</v>
      </c>
      <c r="AU162" s="4">
        <f>Table1[[#This Row],[E2E]]/Table1[[#This Row],[estE2E]]</f>
        <v>1.0808304617252209</v>
      </c>
      <c r="AV162" s="5">
        <f>Table1[[#This Row],[N]]/Table1[[#This Row],[estE2E]]</f>
        <v>1.6618475250585381</v>
      </c>
      <c r="AW162" s="5">
        <f>Table1[[#This Row],[PPS]]/Table1[[#This Row],[In-Tok]]</f>
        <v>1.9377375757575759</v>
      </c>
      <c r="AX162" s="4">
        <f>Table1[[#This Row],[RPS]]/Table1[[#This Row],[RPS(IL)]]</f>
        <v>1.0321315048133295</v>
      </c>
      <c r="AY162" s="5">
        <f>Table1[[#This Row],[GPS]]/Table1[[#This Row],[Out-Tok]]</f>
        <v>1.7142148148148146</v>
      </c>
      <c r="AZ162" s="89">
        <f>Table1[[#This Row],[RPS]]/Table1[[#This Row],[RPS(OL)]]</f>
        <v>1.1667149196911231</v>
      </c>
      <c r="BA162" s="135">
        <f>MaxTok/Table1[[#This Row],[tok/req]]</f>
        <v>34.790337398435454</v>
      </c>
      <c r="BB162" s="4">
        <f>Table1[[#This Row],[N]]/Table1[[#This Row],[N-max]]</f>
        <v>0.67717544773560612</v>
      </c>
      <c r="BC162" s="44">
        <f>Table1[[#This Row],[RPS]]</f>
        <v>2</v>
      </c>
      <c r="BD162" s="47">
        <f>Table1[[#This Row],[PPS]]/Table1[[#This Row],[RPS success]]</f>
        <v>10657.556666666667</v>
      </c>
      <c r="BE162" s="4">
        <f>ABS(Table1[[#This Row],[est-In-Tok3]]-Table1[[#This Row],[In-Tok]])/Table1[[#This Row],[In-Tok]]</f>
        <v>3.1131212121212063E-2</v>
      </c>
      <c r="BF162" s="47">
        <f>Table1[[#This Row],[GPS]]/Table1[[#This Row],[RPS success]]</f>
        <v>257.1322222222222</v>
      </c>
      <c r="BG162" s="4">
        <f>ABS(Table1[[#This Row],[est-Out-Tok3]]-Table1[[#This Row],[Out-Tok]])/Table1[[#This Row],[Out-Tok]]</f>
        <v>0.14289259259259268</v>
      </c>
      <c r="BH162" s="162">
        <f>Table1[[#This Row],[est-In-Tok3]]+AvgOutLoad*Table1[[#This Row],[est-Out-Tok3]]</f>
        <v>10786.122777777779</v>
      </c>
      <c r="BI162" s="4">
        <f>ABS(Table1[[#This Row],[est-Tok/Req3]]-Table1[[#This Row],[tok/req]])/Table1[[#This Row],[tok/req]]</f>
        <v>3.263472845042345E-2</v>
      </c>
      <c r="BJ162" s="162">
        <f>MaxTok/Table1[[#This Row],[est-Tok/Req3]]</f>
        <v>35.964013203313016</v>
      </c>
      <c r="BK162" s="4">
        <f>ABS(Table1[[#This Row],[est-N-max3]]-Table1[[#This Row],[N-max]])/Table1[[#This Row],[N-max]]</f>
        <v>3.3735683314480944E-2</v>
      </c>
      <c r="BL162" s="44">
        <f>MaxTok*Table1[[#This Row],[Kvcache]]/Table1[[#This Row],[Run]]</f>
        <v>11175.058391420318</v>
      </c>
      <c r="BM162" s="170">
        <f>ABS(Table1[[#This Row],[est-Tok/Req]]-Table1[[#This Row],[tok/req]])/Table1[[#This Row],[tok/req]]</f>
        <v>2.247389365050942E-3</v>
      </c>
      <c r="BN162" s="44">
        <f>MaxTok/Table1[[#This Row],[est-Tok/Req]]</f>
        <v>34.712325287747582</v>
      </c>
      <c r="BO162" s="180">
        <f>Table1[[#This Row],[Run]]/Table1[[#This Row],[Kvcache]]</f>
        <v>34.712325287747582</v>
      </c>
      <c r="BP162" s="4" cm="1">
        <f t="array" aca="1" ref="BP162" ca="1">_xlfn.CEILING.MATH(INDIRECT("Table1"&amp;BP$3)/BP$2)*BP$2</f>
        <v>12000</v>
      </c>
      <c r="BQ162" s="4" cm="1">
        <f t="array" aca="1" ref="BQ162" ca="1">_xlfn.CEILING.MATH(INDIRECT("Table1"&amp;BQ$3)/BQ$2)*BQ$2</f>
        <v>4.4999999999999998E-2</v>
      </c>
      <c r="BR162" s="4" cm="1">
        <f t="array" aca="1" ref="BR162" ca="1">_xlfn.CEILING.MATH(INDIRECT("Table1"&amp;BR$3)/BR$2)*BR$2</f>
        <v>0.70000000000000007</v>
      </c>
      <c r="BS162" s="4" cm="1">
        <f t="array" aca="1" ref="BS162" ca="1">_xlfn.CEILING.MATH(INDIRECT("Table1"&amp;BS$3)/BS$2)*BS$2</f>
        <v>0.68</v>
      </c>
      <c r="BT162" s="3" cm="1">
        <f t="array" aca="1" ref="BT162" ca="1">_xlfn.CEILING.MATH(INDIRECT("Table1"&amp;BT$3)/BT$2)*BT$2</f>
        <v>24</v>
      </c>
      <c r="BU162" s="135" cm="1">
        <f t="array" aca="1" ref="BU162" ca="1">_xlfn.CEILING.MATH(INDIRECT("Table1"&amp;BU$3)/BU$2)*BU$2</f>
        <v>40</v>
      </c>
      <c r="BV162" s="135" cm="1">
        <f t="array" aca="1" ref="BV162" ca="1">_xlfn.CEILING.MATH(INDIRECT("Table1"&amp;BV$3)/BV$2)*BV$2</f>
        <v>11000</v>
      </c>
      <c r="BW162" s="4"/>
      <c r="BX162" s="4"/>
      <c r="BY162" s="217"/>
      <c r="BZ162" s="4"/>
      <c r="CA162" s="3"/>
      <c r="CF162" s="5"/>
      <c r="CH162" s="8"/>
      <c r="CI162" s="8"/>
      <c r="CJ162" s="14"/>
      <c r="CK162" s="8"/>
      <c r="CL162" s="8"/>
      <c r="CM162" s="8"/>
      <c r="CN162" s="8"/>
      <c r="CO162" s="8"/>
      <c r="CP162" s="8"/>
      <c r="CQ162" s="8">
        <f>Table1[[#This Row],[In-Tok]]+AvgOutLoad*Table1[[#This Row],[Out-Tok]]</f>
        <v>11150</v>
      </c>
      <c r="CR162" s="8"/>
      <c r="CS162" s="8"/>
      <c r="CT162" s="8"/>
      <c r="CU162" s="8"/>
      <c r="CV162" s="8"/>
      <c r="CW162" s="8"/>
      <c r="CX162" s="8"/>
      <c r="CY162" s="8"/>
    </row>
    <row r="163" spans="1:103" hidden="1" x14ac:dyDescent="0.25">
      <c r="A163" s="26">
        <v>12000</v>
      </c>
      <c r="B163" s="3">
        <v>300</v>
      </c>
      <c r="C163" s="123">
        <v>2</v>
      </c>
      <c r="D163" s="216">
        <f>Table1[[#This Row],[Kvcache]]</f>
        <v>0.84277805204880463</v>
      </c>
      <c r="E163" s="170" t="s">
        <v>153</v>
      </c>
      <c r="F163" s="218">
        <v>46104</v>
      </c>
      <c r="G163" s="10">
        <v>0</v>
      </c>
      <c r="H163" s="10">
        <v>5.9473348135878679</v>
      </c>
      <c r="I163" s="10">
        <v>0.81733888416106915</v>
      </c>
      <c r="J163" s="10">
        <v>6.1528956972945315</v>
      </c>
      <c r="K163" s="10">
        <v>14.475498586893082</v>
      </c>
      <c r="L163" s="10">
        <v>14.807129189968109</v>
      </c>
      <c r="M163" s="10">
        <v>5.524709918565901E-2</v>
      </c>
      <c r="N163" s="10">
        <v>20.619036698609818</v>
      </c>
      <c r="O163" s="47">
        <v>22508.98</v>
      </c>
      <c r="P163" s="47">
        <v>474.02499999999998</v>
      </c>
      <c r="Q163" s="5">
        <v>26.90909090909091</v>
      </c>
      <c r="R163" s="5">
        <v>31.5</v>
      </c>
      <c r="S163" s="170">
        <v>0.84277805204880463</v>
      </c>
      <c r="T163" s="170">
        <v>0.98898370830100846</v>
      </c>
      <c r="U163" s="3">
        <f>(Table1[[#This Row],[In-Tok]]+Table1[[#This Row],[Out-Tok]])*Table1[[#This Row],[RPS]]</f>
        <v>24600</v>
      </c>
      <c r="V163" s="3">
        <f>Table1[[#This Row],[In-Tok]]+$V$2*Table1[[#This Row],[Out-Tok]]</f>
        <v>12150</v>
      </c>
      <c r="W163" s="3">
        <f>Table1[[#This Row],[In-Tok]]*Table1[[#This Row],[RPS]]</f>
        <v>24000</v>
      </c>
      <c r="X163" s="3">
        <f>Table1[[#This Row],[Out-Tok]]*Table1[[#This Row],[RPS]]</f>
        <v>600</v>
      </c>
      <c r="Y163" s="75">
        <f>Table1[[#This Row],[In-Tok]]/Table1[[#This Row],[Out-Tok]]</f>
        <v>40</v>
      </c>
      <c r="Z163" s="26">
        <f>Table1[[#This Row],[In-Tok]]*Table1[[#This Row],[N]]+AvgOutLoad*Table1[[#This Row],[Out-Tok]]*Table1[[#This Row],[Ndecode]]</f>
        <v>336587.81482331024</v>
      </c>
      <c r="AA163" s="3">
        <f>Table1[[#This Row],[tok(N)]]/Table1[[#This Row],[Kvcache]]</f>
        <v>399378.95155795856</v>
      </c>
      <c r="AB163" s="3">
        <f>Table1[[#This Row],[tok/req]]*Table1[[#This Row],[Run]]</f>
        <v>326945.45454545453</v>
      </c>
      <c r="AC163" s="3">
        <f>Table1[[#This Row],[tok(Run)]]/Table1[[#This Row],[Kvcache]]</f>
        <v>387937.78949350398</v>
      </c>
      <c r="AD163" s="3">
        <f>Table1[[#This Row],[tok/req]]*Table1[[#This Row],[MaxRun]]</f>
        <v>382725</v>
      </c>
      <c r="AE163" s="3">
        <f>Table1[[#This Row],[tok(MaxRun)]]/Table1[[#This Row],[MaxKvcache]]</f>
        <v>386988.17461562599</v>
      </c>
      <c r="AF163" s="75">
        <f>Table1[[#This Row],[PPS]]*Table1[[#This Row],[Prefill]]/Table1[[#This Row],[In-Tok]]</f>
        <v>1.5331220497336517</v>
      </c>
      <c r="AG163" s="5">
        <f>Table1[[#This Row],[GPS]]*Table1[[#This Row],[ITL]]</f>
        <v>26.188506191482009</v>
      </c>
      <c r="AH163" s="5">
        <f>Table1[[#This Row],[Nprefill]]+Table1[[#This Row],[Ndecode]]</f>
        <v>27.721628241215662</v>
      </c>
      <c r="AI163" s="4">
        <f>Table1[[#This Row],[Run]]/Table1[[#This Row],[ITL]]/Table1[[#This Row],[GPS]]</f>
        <v>1.0275153043224463</v>
      </c>
      <c r="AJ163" s="10">
        <f>Table1[[#This Row],[Prefill]]+Table1[[#This Row],[ITL]]</f>
        <v>0.87258598334672821</v>
      </c>
      <c r="AK163" s="4">
        <f>Table1[[#This Row],[TTFT]]/Table1[[#This Row],[estTTFT]]</f>
        <v>6.8157579047710328</v>
      </c>
      <c r="AL163" s="5">
        <f>Table1[[#This Row],[In-Tok]]*Table1[[#This Row],[RPS]]/Table1[[#This Row],[PPS]]</f>
        <v>1.0662411179893536</v>
      </c>
      <c r="AM163" s="4">
        <f>Table1[[#This Row],[Prefill]]/Table1[[#This Row],[estPrefill]]</f>
        <v>0.76656102486682587</v>
      </c>
      <c r="AN163" s="4">
        <f>Table1[[#This Row],[Prefill]]/Table1[[#This Row],[TTFT]]</f>
        <v>0.13742943852659784</v>
      </c>
      <c r="AO163" s="10">
        <f>Table1[[#This Row],[Run]]/(Table1[[#This Row],[Out-Tok]]*Table1[[#This Row],[RPS]])</f>
        <v>4.4848484848484853E-2</v>
      </c>
      <c r="AP163" s="4">
        <f>Table1[[#This Row],[ITL]]/Table1[[#This Row],[estITL]]</f>
        <v>1.2318609953559103</v>
      </c>
      <c r="AQ163" s="44">
        <f>Table1[[#This Row],[E2E]]-Table1[[#This Row],[TTFT]]+Table1[[#This Row],[ITL]]</f>
        <v>14.726948984207608</v>
      </c>
      <c r="AR163" s="4">
        <f>Table1[[#This Row],[estDecode]]/Table1[[#This Row],[Run]]</f>
        <v>0.5472852663050124</v>
      </c>
      <c r="AS163" s="44">
        <f>Table1[[#This Row],[Prefill]]+Table1[[#This Row],[Out-Tok]]*Table1[[#This Row],[ITL]]</f>
        <v>17.391468639858772</v>
      </c>
      <c r="AT163" s="5">
        <f>Table1[[#This Row],[estPrefill]]+Table1[[#This Row],[Out-Tok]]*Table1[[#This Row],[ITL]]</f>
        <v>17.640370873687058</v>
      </c>
      <c r="AU163" s="4">
        <f>Table1[[#This Row],[E2E]]/Table1[[#This Row],[estE2E]]</f>
        <v>1.1688550567474651</v>
      </c>
      <c r="AV163" s="5">
        <f>Table1[[#This Row],[N]]/Table1[[#This Row],[estE2E]]</f>
        <v>1.5714878354721062</v>
      </c>
      <c r="AW163" s="5">
        <f>Table1[[#This Row],[PPS]]/Table1[[#This Row],[In-Tok]]</f>
        <v>1.8757483333333334</v>
      </c>
      <c r="AX163" s="4">
        <f>Table1[[#This Row],[RPS]]/Table1[[#This Row],[RPS(IL)]]</f>
        <v>1.0662411179893536</v>
      </c>
      <c r="AY163" s="5">
        <f>Table1[[#This Row],[GPS]]/Table1[[#This Row],[Out-Tok]]</f>
        <v>1.5800833333333333</v>
      </c>
      <c r="AZ163" s="89">
        <f>Table1[[#This Row],[RPS]]/Table1[[#This Row],[RPS(OL)]]</f>
        <v>1.2657560255260798</v>
      </c>
      <c r="BA163" s="135">
        <f>MaxTok/Table1[[#This Row],[tok/req]]</f>
        <v>31.926935143420188</v>
      </c>
      <c r="BB163" s="4">
        <f>Table1[[#This Row],[N]]/Table1[[#This Row],[N-max]]</f>
        <v>0.86828341388505637</v>
      </c>
      <c r="BC163" s="44">
        <f>Table1[[#This Row],[RPS]]</f>
        <v>2</v>
      </c>
      <c r="BD163" s="47">
        <f>Table1[[#This Row],[PPS]]/Table1[[#This Row],[RPS success]]</f>
        <v>11254.49</v>
      </c>
      <c r="BE163" s="4">
        <f>ABS(Table1[[#This Row],[est-In-Tok3]]-Table1[[#This Row],[In-Tok]])/Table1[[#This Row],[In-Tok]]</f>
        <v>6.2125833333333352E-2</v>
      </c>
      <c r="BF163" s="47">
        <f>Table1[[#This Row],[GPS]]/Table1[[#This Row],[RPS success]]</f>
        <v>237.01249999999999</v>
      </c>
      <c r="BG163" s="4">
        <f>ABS(Table1[[#This Row],[est-Out-Tok3]]-Table1[[#This Row],[Out-Tok]])/Table1[[#This Row],[Out-Tok]]</f>
        <v>0.20995833333333336</v>
      </c>
      <c r="BH163" s="162">
        <f>Table1[[#This Row],[est-In-Tok3]]+AvgOutLoad*Table1[[#This Row],[est-Out-Tok3]]</f>
        <v>11372.99625</v>
      </c>
      <c r="BI163" s="4">
        <f>ABS(Table1[[#This Row],[est-Tok/Req3]]-Table1[[#This Row],[tok/req]])/Table1[[#This Row],[tok/req]]</f>
        <v>6.3950925925925911E-2</v>
      </c>
      <c r="BJ163" s="162">
        <f>MaxTok/Table1[[#This Row],[est-Tok/Req3]]</f>
        <v>34.1081851664688</v>
      </c>
      <c r="BK163" s="4">
        <f>ABS(Table1[[#This Row],[est-N-max3]]-Table1[[#This Row],[N-max]])/Table1[[#This Row],[N-max]]</f>
        <v>6.8320056818800073E-2</v>
      </c>
      <c r="BL163" s="44">
        <f>MaxTok*Table1[[#This Row],[Kvcache]]/Table1[[#This Row],[Run]]</f>
        <v>12149.200492592043</v>
      </c>
      <c r="BM163" s="170">
        <f>ABS(Table1[[#This Row],[est-Tok/Req]]-Table1[[#This Row],[tok/req]])/Table1[[#This Row],[tok/req]]</f>
        <v>6.5803078844214625E-5</v>
      </c>
      <c r="BN163" s="44">
        <f>MaxTok/Table1[[#This Row],[est-Tok/Req]]</f>
        <v>31.929036172304855</v>
      </c>
      <c r="BO163" s="180">
        <f>Table1[[#This Row],[Run]]/Table1[[#This Row],[Kvcache]]</f>
        <v>31.929036172304858</v>
      </c>
      <c r="BP163" s="4" cm="1">
        <f t="array" aca="1" ref="BP163" ca="1">_xlfn.CEILING.MATH(INDIRECT("Table1"&amp;BP$3)/BP$2)*BP$2</f>
        <v>13000</v>
      </c>
      <c r="BQ163" s="4" cm="1">
        <f t="array" aca="1" ref="BQ163" ca="1">_xlfn.CEILING.MATH(INDIRECT("Table1"&amp;BQ$3)/BQ$2)*BQ$2</f>
        <v>0.06</v>
      </c>
      <c r="BR163" s="4" cm="1">
        <f t="array" aca="1" ref="BR163" ca="1">_xlfn.CEILING.MATH(INDIRECT("Table1"&amp;BR$3)/BR$2)*BR$2</f>
        <v>0.9</v>
      </c>
      <c r="BS163" s="4" cm="1">
        <f t="array" aca="1" ref="BS163" ca="1">_xlfn.CEILING.MATH(INDIRECT("Table1"&amp;BS$3)/BS$2)*BS$2</f>
        <v>0.85</v>
      </c>
      <c r="BT163" s="3" cm="1">
        <f t="array" aca="1" ref="BT163" ca="1">_xlfn.CEILING.MATH(INDIRECT("Table1"&amp;BT$3)/BT$2)*BT$2</f>
        <v>27</v>
      </c>
      <c r="BU163" s="135" cm="1">
        <f t="array" aca="1" ref="BU163" ca="1">_xlfn.CEILING.MATH(INDIRECT("Table1"&amp;BU$3)/BU$2)*BU$2</f>
        <v>40</v>
      </c>
      <c r="BV163" s="135" cm="1">
        <f t="array" aca="1" ref="BV163" ca="1">_xlfn.CEILING.MATH(INDIRECT("Table1"&amp;BV$3)/BV$2)*BV$2</f>
        <v>12000</v>
      </c>
      <c r="BW163" s="4"/>
      <c r="BX163" s="4"/>
      <c r="BY163" s="217"/>
      <c r="BZ163" s="4"/>
      <c r="CA163" s="3"/>
      <c r="CF163" s="5"/>
      <c r="CH163" s="8"/>
      <c r="CI163" s="8"/>
      <c r="CJ163" s="14"/>
      <c r="CK163" s="8"/>
      <c r="CL163" s="8"/>
      <c r="CM163" s="8"/>
      <c r="CN163" s="8"/>
      <c r="CO163" s="8"/>
      <c r="CP163" s="8"/>
      <c r="CQ163" s="8">
        <f>Table1[[#This Row],[In-Tok]]+AvgOutLoad*Table1[[#This Row],[Out-Tok]]</f>
        <v>12150</v>
      </c>
      <c r="CR163" s="8"/>
      <c r="CS163" s="8"/>
      <c r="CT163" s="8"/>
      <c r="CU163" s="8"/>
      <c r="CV163" s="8"/>
      <c r="CW163" s="8"/>
      <c r="CX163" s="8"/>
      <c r="CY163" s="8"/>
    </row>
    <row r="164" spans="1:103" hidden="1" x14ac:dyDescent="0.25">
      <c r="A164" s="26">
        <v>13000</v>
      </c>
      <c r="B164" s="3">
        <v>300</v>
      </c>
      <c r="C164" s="123">
        <v>2</v>
      </c>
      <c r="D164" s="216">
        <f>Table1[[#This Row],[Kvcache]]</f>
        <v>0.85145637915226746</v>
      </c>
      <c r="E164" s="170" t="s">
        <v>153</v>
      </c>
      <c r="F164" s="218">
        <v>46104</v>
      </c>
      <c r="G164" s="10">
        <v>0</v>
      </c>
      <c r="H164" s="10">
        <v>8.0599214460731865</v>
      </c>
      <c r="I164" s="10">
        <v>0.78761256556323433</v>
      </c>
      <c r="J164" s="10">
        <v>7.9382463185361489</v>
      </c>
      <c r="K164" s="10">
        <v>16.943825656175616</v>
      </c>
      <c r="L164" s="10">
        <v>17.693002469539643</v>
      </c>
      <c r="M164" s="10">
        <v>5.3554148032525548E-2</v>
      </c>
      <c r="N164" s="10">
        <v>24.088518521200605</v>
      </c>
      <c r="O164" s="47">
        <v>22710.102727272726</v>
      </c>
      <c r="P164" s="47">
        <v>451.47818181818178</v>
      </c>
      <c r="Q164" s="5">
        <v>25.06818181818182</v>
      </c>
      <c r="R164" s="5">
        <v>29</v>
      </c>
      <c r="S164" s="170">
        <v>0.85145637915226746</v>
      </c>
      <c r="T164" s="170">
        <v>0.98960434445306444</v>
      </c>
      <c r="U164" s="3">
        <f>(Table1[[#This Row],[In-Tok]]+Table1[[#This Row],[Out-Tok]])*Table1[[#This Row],[RPS]]</f>
        <v>26600</v>
      </c>
      <c r="V164" s="3">
        <f>Table1[[#This Row],[In-Tok]]+$V$2*Table1[[#This Row],[Out-Tok]]</f>
        <v>13150</v>
      </c>
      <c r="W164" s="3">
        <f>Table1[[#This Row],[In-Tok]]*Table1[[#This Row],[RPS]]</f>
        <v>26000</v>
      </c>
      <c r="X164" s="3">
        <f>Table1[[#This Row],[Out-Tok]]*Table1[[#This Row],[RPS]]</f>
        <v>600</v>
      </c>
      <c r="Y164" s="75">
        <f>Table1[[#This Row],[In-Tok]]/Table1[[#This Row],[Out-Tok]]</f>
        <v>43.333333333333336</v>
      </c>
      <c r="Z164" s="26">
        <f>Table1[[#This Row],[In-Tok]]*Table1[[#This Row],[N]]+AvgOutLoad*Table1[[#This Row],[Out-Tok]]*Table1[[#This Row],[Ndecode]]</f>
        <v>335834.42365371686</v>
      </c>
      <c r="AA164" s="3">
        <f>Table1[[#This Row],[tok(N)]]/Table1[[#This Row],[Kvcache]]</f>
        <v>394423.52171708725</v>
      </c>
      <c r="AB164" s="3">
        <f>Table1[[#This Row],[tok/req]]*Table1[[#This Row],[Run]]</f>
        <v>329646.59090909094</v>
      </c>
      <c r="AC164" s="3">
        <f>Table1[[#This Row],[tok(Run)]]/Table1[[#This Row],[Kvcache]]</f>
        <v>387156.17027532967</v>
      </c>
      <c r="AD164" s="3">
        <f>Table1[[#This Row],[tok/req]]*Table1[[#This Row],[MaxRun]]</f>
        <v>381350</v>
      </c>
      <c r="AE164" s="3">
        <f>Table1[[#This Row],[tok(MaxRun)]]/Table1[[#This Row],[MaxKvcache]]</f>
        <v>385356.02853559109</v>
      </c>
      <c r="AF164" s="75">
        <f>Table1[[#This Row],[PPS]]*Table1[[#This Row],[Prefill]]/Table1[[#This Row],[In-Tok]]</f>
        <v>1.3759047902486059</v>
      </c>
      <c r="AG164" s="5">
        <f>Table1[[#This Row],[GPS]]*Table1[[#This Row],[ITL]]</f>
        <v>24.17852938254639</v>
      </c>
      <c r="AH164" s="5">
        <f>Table1[[#This Row],[Nprefill]]+Table1[[#This Row],[Ndecode]]</f>
        <v>25.554434172794995</v>
      </c>
      <c r="AI164" s="4">
        <f>Table1[[#This Row],[Run]]/Table1[[#This Row],[ITL]]/Table1[[#This Row],[GPS]]</f>
        <v>1.0367951425646937</v>
      </c>
      <c r="AJ164" s="10">
        <f>Table1[[#This Row],[Prefill]]+Table1[[#This Row],[ITL]]</f>
        <v>0.8411667135957599</v>
      </c>
      <c r="AK164" s="4">
        <f>Table1[[#This Row],[TTFT]]/Table1[[#This Row],[estTTFT]]</f>
        <v>9.5818359378715847</v>
      </c>
      <c r="AL164" s="5">
        <f>Table1[[#This Row],[In-Tok]]*Table1[[#This Row],[RPS]]/Table1[[#This Row],[PPS]]</f>
        <v>1.1448649225516894</v>
      </c>
      <c r="AM164" s="4">
        <f>Table1[[#This Row],[Prefill]]/Table1[[#This Row],[estPrefill]]</f>
        <v>0.68795239512430295</v>
      </c>
      <c r="AN164" s="4">
        <f>Table1[[#This Row],[Prefill]]/Table1[[#This Row],[TTFT]]</f>
        <v>9.7719632980661511E-2</v>
      </c>
      <c r="AO164" s="10">
        <f>Table1[[#This Row],[Run]]/(Table1[[#This Row],[Out-Tok]]*Table1[[#This Row],[RPS]])</f>
        <v>4.1780303030303036E-2</v>
      </c>
      <c r="AP164" s="4">
        <f>Table1[[#This Row],[ITL]]/Table1[[#This Row],[estITL]]</f>
        <v>1.2818037244412279</v>
      </c>
      <c r="AQ164" s="44">
        <f>Table1[[#This Row],[E2E]]-Table1[[#This Row],[TTFT]]+Table1[[#This Row],[ITL]]</f>
        <v>16.082151223159943</v>
      </c>
      <c r="AR164" s="4">
        <f>Table1[[#This Row],[estDecode]]/Table1[[#This Row],[Run]]</f>
        <v>0.64153640418770397</v>
      </c>
      <c r="AS164" s="44">
        <f>Table1[[#This Row],[Prefill]]+Table1[[#This Row],[Out-Tok]]*Table1[[#This Row],[ITL]]</f>
        <v>16.853856975320898</v>
      </c>
      <c r="AT164" s="5">
        <f>Table1[[#This Row],[estPrefill]]+Table1[[#This Row],[Out-Tok]]*Table1[[#This Row],[ITL]]</f>
        <v>17.211109332309356</v>
      </c>
      <c r="AU164" s="4">
        <f>Table1[[#This Row],[E2E]]/Table1[[#This Row],[estE2E]]</f>
        <v>1.3995912788712992</v>
      </c>
      <c r="AV164" s="5">
        <f>Table1[[#This Row],[N]]/Table1[[#This Row],[estE2E]]</f>
        <v>1.4847639207557197</v>
      </c>
      <c r="AW164" s="5">
        <f>Table1[[#This Row],[PPS]]/Table1[[#This Row],[In-Tok]]</f>
        <v>1.7469309790209788</v>
      </c>
      <c r="AX164" s="4">
        <f>Table1[[#This Row],[RPS]]/Table1[[#This Row],[RPS(IL)]]</f>
        <v>1.1448649225516894</v>
      </c>
      <c r="AY164" s="5">
        <f>Table1[[#This Row],[GPS]]/Table1[[#This Row],[Out-Tok]]</f>
        <v>1.5049272727272727</v>
      </c>
      <c r="AZ164" s="89">
        <f>Table1[[#This Row],[RPS]]/Table1[[#This Row],[RPS(OL)]]</f>
        <v>1.328967875221998</v>
      </c>
      <c r="BA164" s="135">
        <f>MaxTok/Table1[[#This Row],[tok/req]]</f>
        <v>29.499031330232341</v>
      </c>
      <c r="BB164" s="4">
        <f>Table1[[#This Row],[N]]/Table1[[#This Row],[N-max]]</f>
        <v>0.86628045127045605</v>
      </c>
      <c r="BC164" s="44">
        <f>Table1[[#This Row],[RPS]]</f>
        <v>2</v>
      </c>
      <c r="BD164" s="47">
        <f>Table1[[#This Row],[PPS]]/Table1[[#This Row],[RPS success]]</f>
        <v>11355.051363636363</v>
      </c>
      <c r="BE164" s="4">
        <f>ABS(Table1[[#This Row],[est-In-Tok3]]-Table1[[#This Row],[In-Tok]])/Table1[[#This Row],[In-Tok]]</f>
        <v>0.12653451048951053</v>
      </c>
      <c r="BF164" s="47">
        <f>Table1[[#This Row],[GPS]]/Table1[[#This Row],[RPS success]]</f>
        <v>225.73909090909089</v>
      </c>
      <c r="BG164" s="4">
        <f>ABS(Table1[[#This Row],[est-Out-Tok3]]-Table1[[#This Row],[Out-Tok]])/Table1[[#This Row],[Out-Tok]]</f>
        <v>0.24753636363636369</v>
      </c>
      <c r="BH164" s="162">
        <f>Table1[[#This Row],[est-In-Tok3]]+AvgOutLoad*Table1[[#This Row],[est-Out-Tok3]]</f>
        <v>11467.920909090908</v>
      </c>
      <c r="BI164" s="4">
        <f>ABS(Table1[[#This Row],[est-Tok/Req3]]-Table1[[#This Row],[tok/req]])/Table1[[#This Row],[tok/req]]</f>
        <v>0.12791475976494995</v>
      </c>
      <c r="BJ164" s="162">
        <f>MaxTok/Table1[[#This Row],[est-Tok/Req3]]</f>
        <v>33.825857805231941</v>
      </c>
      <c r="BK164" s="4">
        <f>ABS(Table1[[#This Row],[est-N-max3]]-Table1[[#This Row],[N-max]])/Table1[[#This Row],[N-max]]</f>
        <v>0.14667690021960866</v>
      </c>
      <c r="BL164" s="44">
        <f>MaxTok*Table1[[#This Row],[Kvcache]]/Table1[[#This Row],[Run]]</f>
        <v>13175.681125201869</v>
      </c>
      <c r="BM164" s="170">
        <f>ABS(Table1[[#This Row],[est-Tok/Req]]-Table1[[#This Row],[tok/req]])/Table1[[#This Row],[tok/req]]</f>
        <v>1.9529372777086526E-3</v>
      </c>
      <c r="BN164" s="44">
        <f>MaxTok/Table1[[#This Row],[est-Tok/Req]]</f>
        <v>29.441533861241801</v>
      </c>
      <c r="BO164" s="180">
        <f>Table1[[#This Row],[Run]]/Table1[[#This Row],[Kvcache]]</f>
        <v>29.441533861241801</v>
      </c>
      <c r="BP164" s="4" cm="1">
        <f t="array" aca="1" ref="BP164" ca="1">_xlfn.CEILING.MATH(INDIRECT("Table1"&amp;BP$3)/BP$2)*BP$2</f>
        <v>14000</v>
      </c>
      <c r="BQ164" s="4" cm="1">
        <f t="array" aca="1" ref="BQ164" ca="1">_xlfn.CEILING.MATH(INDIRECT("Table1"&amp;BQ$3)/BQ$2)*BQ$2</f>
        <v>5.5E-2</v>
      </c>
      <c r="BR164" s="4" cm="1">
        <f t="array" aca="1" ref="BR164" ca="1">_xlfn.CEILING.MATH(INDIRECT("Table1"&amp;BR$3)/BR$2)*BR$2</f>
        <v>0.9</v>
      </c>
      <c r="BS164" s="4" cm="1">
        <f t="array" aca="1" ref="BS164" ca="1">_xlfn.CEILING.MATH(INDIRECT("Table1"&amp;BS$3)/BS$2)*BS$2</f>
        <v>0.86</v>
      </c>
      <c r="BT164" s="3" cm="1">
        <f t="array" aca="1" ref="BT164" ca="1">_xlfn.CEILING.MATH(INDIRECT("Table1"&amp;BT$3)/BT$2)*BT$2</f>
        <v>26</v>
      </c>
      <c r="BU164" s="135" cm="1">
        <f t="array" aca="1" ref="BU164" ca="1">_xlfn.CEILING.MATH(INDIRECT("Table1"&amp;BU$3)/BU$2)*BU$2</f>
        <v>45</v>
      </c>
      <c r="BV164" s="135" cm="1">
        <f t="array" aca="1" ref="BV164" ca="1">_xlfn.CEILING.MATH(INDIRECT("Table1"&amp;BV$3)/BV$2)*BV$2</f>
        <v>13000</v>
      </c>
      <c r="BW164" s="4"/>
      <c r="BX164" s="4"/>
      <c r="BY164" s="217"/>
      <c r="BZ164" s="4"/>
      <c r="CA164" s="3"/>
      <c r="CF164" s="5"/>
      <c r="CH164" s="8"/>
      <c r="CI164" s="8"/>
      <c r="CJ164" s="14"/>
      <c r="CK164" s="8"/>
      <c r="CL164" s="8"/>
      <c r="CM164" s="8"/>
      <c r="CN164" s="8"/>
      <c r="CO164" s="8"/>
      <c r="CP164" s="8"/>
      <c r="CQ164" s="8">
        <f>Table1[[#This Row],[In-Tok]]+AvgOutLoad*Table1[[#This Row],[Out-Tok]]</f>
        <v>13150</v>
      </c>
      <c r="CR164" s="8"/>
      <c r="CS164" s="8"/>
      <c r="CT164" s="8"/>
      <c r="CU164" s="8"/>
      <c r="CV164" s="8"/>
      <c r="CW164" s="8"/>
      <c r="CX164" s="8"/>
      <c r="CY164" s="8"/>
    </row>
    <row r="165" spans="1:103" hidden="1" x14ac:dyDescent="0.25">
      <c r="A165" s="26">
        <v>14000</v>
      </c>
      <c r="B165" s="3">
        <v>300</v>
      </c>
      <c r="C165" s="123">
        <v>2</v>
      </c>
      <c r="D165" s="216">
        <f>Table1[[#This Row],[Kvcache]]</f>
        <v>0.85536268425135764</v>
      </c>
      <c r="E165" s="170" t="s">
        <v>153</v>
      </c>
      <c r="F165" s="218">
        <v>46104</v>
      </c>
      <c r="G165" s="10">
        <v>0</v>
      </c>
      <c r="H165" s="10">
        <v>13.119819063916863</v>
      </c>
      <c r="I165" s="10">
        <v>1.0442719843969275</v>
      </c>
      <c r="J165" s="10">
        <v>12.070902129281945</v>
      </c>
      <c r="K165" s="10">
        <v>24.466510671377179</v>
      </c>
      <c r="L165" s="10">
        <v>25.272707598209379</v>
      </c>
      <c r="M165" s="10">
        <v>5.3560281516683059E-2</v>
      </c>
      <c r="N165" s="10">
        <v>27.998962113818926</v>
      </c>
      <c r="O165" s="47">
        <v>22186.480681818182</v>
      </c>
      <c r="P165" s="47">
        <v>411.40681818181815</v>
      </c>
      <c r="Q165" s="5">
        <v>23.487179487179489</v>
      </c>
      <c r="R165" s="5">
        <v>27.5</v>
      </c>
      <c r="S165" s="170">
        <v>0.85536268425135764</v>
      </c>
      <c r="T165" s="170">
        <v>0.99507370054305655</v>
      </c>
      <c r="U165" s="3">
        <f>(Table1[[#This Row],[In-Tok]]+Table1[[#This Row],[Out-Tok]])*Table1[[#This Row],[RPS]]</f>
        <v>28600</v>
      </c>
      <c r="V165" s="3">
        <f>Table1[[#This Row],[In-Tok]]+$V$2*Table1[[#This Row],[Out-Tok]]</f>
        <v>14150</v>
      </c>
      <c r="W165" s="3">
        <f>Table1[[#This Row],[In-Tok]]*Table1[[#This Row],[RPS]]</f>
        <v>28000</v>
      </c>
      <c r="X165" s="3">
        <f>Table1[[#This Row],[Out-Tok]]*Table1[[#This Row],[RPS]]</f>
        <v>600</v>
      </c>
      <c r="Y165" s="75">
        <f>Table1[[#This Row],[In-Tok]]/Table1[[#This Row],[Out-Tok]]</f>
        <v>46.666666666666664</v>
      </c>
      <c r="Z165" s="26">
        <f>Table1[[#This Row],[In-Tok]]*Table1[[#This Row],[N]]+AvgOutLoad*Table1[[#This Row],[Out-Tok]]*Table1[[#This Row],[Ndecode]]</f>
        <v>334964.88995415578</v>
      </c>
      <c r="AA165" s="3">
        <f>Table1[[#This Row],[tok(N)]]/Table1[[#This Row],[Kvcache]]</f>
        <v>391605.68507536472</v>
      </c>
      <c r="AB165" s="3">
        <f>Table1[[#This Row],[tok/req]]*Table1[[#This Row],[Run]]</f>
        <v>332343.58974358975</v>
      </c>
      <c r="AC165" s="3">
        <f>Table1[[#This Row],[tok(Run)]]/Table1[[#This Row],[Kvcache]]</f>
        <v>388541.13683304773</v>
      </c>
      <c r="AD165" s="3">
        <f>Table1[[#This Row],[tok/req]]*Table1[[#This Row],[MaxRun]]</f>
        <v>389125</v>
      </c>
      <c r="AE165" s="3">
        <f>Table1[[#This Row],[tok(MaxRun)]]/Table1[[#This Row],[MaxKvcache]]</f>
        <v>391051.43647916429</v>
      </c>
      <c r="AF165" s="75">
        <f>Table1[[#This Row],[PPS]]*Table1[[#This Row],[Prefill]]/Table1[[#This Row],[In-Tok]]</f>
        <v>1.6549085863133122</v>
      </c>
      <c r="AG165" s="5">
        <f>Table1[[#This Row],[GPS]]*Table1[[#This Row],[ITL]]</f>
        <v>22.035064999701021</v>
      </c>
      <c r="AH165" s="5">
        <f>Table1[[#This Row],[Nprefill]]+Table1[[#This Row],[Ndecode]]</f>
        <v>23.689973586014332</v>
      </c>
      <c r="AI165" s="4">
        <f>Table1[[#This Row],[Run]]/Table1[[#This Row],[ITL]]/Table1[[#This Row],[GPS]]</f>
        <v>1.0659001680956317</v>
      </c>
      <c r="AJ165" s="10">
        <f>Table1[[#This Row],[Prefill]]+Table1[[#This Row],[ITL]]</f>
        <v>1.0978322659136106</v>
      </c>
      <c r="AK165" s="4">
        <f>Table1[[#This Row],[TTFT]]/Table1[[#This Row],[estTTFT]]</f>
        <v>11.950659013468341</v>
      </c>
      <c r="AL165" s="5">
        <f>Table1[[#This Row],[In-Tok]]*Table1[[#This Row],[RPS]]/Table1[[#This Row],[PPS]]</f>
        <v>1.2620298100250751</v>
      </c>
      <c r="AM165" s="4">
        <f>Table1[[#This Row],[Prefill]]/Table1[[#This Row],[estPrefill]]</f>
        <v>0.82745429315665608</v>
      </c>
      <c r="AN165" s="4">
        <f>Table1[[#This Row],[Prefill]]/Table1[[#This Row],[TTFT]]</f>
        <v>7.959499893325242E-2</v>
      </c>
      <c r="AO165" s="10">
        <f>Table1[[#This Row],[Run]]/(Table1[[#This Row],[Out-Tok]]*Table1[[#This Row],[RPS]])</f>
        <v>3.9145299145299149E-2</v>
      </c>
      <c r="AP165" s="4">
        <f>Table1[[#This Row],[ITL]]/Table1[[#This Row],[estITL]]</f>
        <v>1.36824299944365</v>
      </c>
      <c r="AQ165" s="44">
        <f>Table1[[#This Row],[E2E]]-Table1[[#This Row],[TTFT]]+Table1[[#This Row],[ITL]]</f>
        <v>14.932703331418747</v>
      </c>
      <c r="AR165" s="4">
        <f>Table1[[#This Row],[estDecode]]/Table1[[#This Row],[Run]]</f>
        <v>0.63578103703638766</v>
      </c>
      <c r="AS165" s="44">
        <f>Table1[[#This Row],[Prefill]]+Table1[[#This Row],[Out-Tok]]*Table1[[#This Row],[ITL]]</f>
        <v>17.112356439401847</v>
      </c>
      <c r="AT165" s="5">
        <f>Table1[[#This Row],[estPrefill]]+Table1[[#This Row],[Out-Tok]]*Table1[[#This Row],[ITL]]</f>
        <v>17.330114265029994</v>
      </c>
      <c r="AU165" s="4">
        <f>Table1[[#This Row],[E2E]]/Table1[[#This Row],[estE2E]]</f>
        <v>1.61562478386639</v>
      </c>
      <c r="AV165" s="5">
        <f>Table1[[#This Row],[N]]/Table1[[#This Row],[estE2E]]</f>
        <v>1.3669831152710712</v>
      </c>
      <c r="AW165" s="5">
        <f>Table1[[#This Row],[PPS]]/Table1[[#This Row],[In-Tok]]</f>
        <v>1.5847486201298702</v>
      </c>
      <c r="AX165" s="4">
        <f>Table1[[#This Row],[RPS]]/Table1[[#This Row],[RPS(IL)]]</f>
        <v>1.2620298100250751</v>
      </c>
      <c r="AY165" s="5">
        <f>Table1[[#This Row],[GPS]]/Table1[[#This Row],[Out-Tok]]</f>
        <v>1.3713560606060604</v>
      </c>
      <c r="AZ165" s="89">
        <f>Table1[[#This Row],[RPS]]/Table1[[#This Row],[RPS(OL)]]</f>
        <v>1.4584104431026579</v>
      </c>
      <c r="BA165" s="135">
        <f>MaxTok/Table1[[#This Row],[tok/req]]</f>
        <v>27.41429413374949</v>
      </c>
      <c r="BB165" s="4">
        <f>Table1[[#This Row],[N]]/Table1[[#This Row],[N-max]]</f>
        <v>0.86414676483863284</v>
      </c>
      <c r="BC165" s="44">
        <f>Table1[[#This Row],[RPS]]</f>
        <v>2</v>
      </c>
      <c r="BD165" s="47">
        <f>Table1[[#This Row],[PPS]]/Table1[[#This Row],[RPS success]]</f>
        <v>11093.240340909091</v>
      </c>
      <c r="BE165" s="4">
        <f>ABS(Table1[[#This Row],[est-In-Tok3]]-Table1[[#This Row],[In-Tok]])/Table1[[#This Row],[In-Tok]]</f>
        <v>0.20762568993506492</v>
      </c>
      <c r="BF165" s="47">
        <f>Table1[[#This Row],[GPS]]/Table1[[#This Row],[RPS success]]</f>
        <v>205.70340909090908</v>
      </c>
      <c r="BG165" s="4">
        <f>ABS(Table1[[#This Row],[est-Out-Tok3]]-Table1[[#This Row],[Out-Tok]])/Table1[[#This Row],[Out-Tok]]</f>
        <v>0.31432196969696974</v>
      </c>
      <c r="BH165" s="162">
        <f>Table1[[#This Row],[est-In-Tok3]]+AvgOutLoad*Table1[[#This Row],[est-Out-Tok3]]</f>
        <v>11196.092045454545</v>
      </c>
      <c r="BI165" s="4">
        <f>ABS(Table1[[#This Row],[est-Tok/Req3]]-Table1[[#This Row],[tok/req]])/Table1[[#This Row],[tok/req]]</f>
        <v>0.20875674590427246</v>
      </c>
      <c r="BJ165" s="162">
        <f>MaxTok/Table1[[#This Row],[est-Tok/Req3]]</f>
        <v>34.647112619089462</v>
      </c>
      <c r="BK165" s="4">
        <f>ABS(Table1[[#This Row],[est-N-max3]]-Table1[[#This Row],[N-max]])/Table1[[#This Row],[N-max]]</f>
        <v>0.26383383974988855</v>
      </c>
      <c r="BL165" s="44">
        <f>MaxTok*Table1[[#This Row],[Kvcache]]/Table1[[#This Row],[Run]]</f>
        <v>14127.097459832697</v>
      </c>
      <c r="BM165" s="170">
        <f>ABS(Table1[[#This Row],[est-Tok/Req]]-Table1[[#This Row],[tok/req]])/Table1[[#This Row],[tok/req]]</f>
        <v>1.6185540754277388E-3</v>
      </c>
      <c r="BN165" s="44">
        <f>MaxTok/Table1[[#This Row],[est-Tok/Req]]</f>
        <v>27.458737585374397</v>
      </c>
      <c r="BO165" s="180">
        <f>Table1[[#This Row],[Run]]/Table1[[#This Row],[Kvcache]]</f>
        <v>27.458737585374401</v>
      </c>
      <c r="BP165" s="4" cm="1">
        <f t="array" aca="1" ref="BP165" ca="1">_xlfn.CEILING.MATH(INDIRECT("Table1"&amp;BP$3)/BP$2)*BP$2</f>
        <v>15000</v>
      </c>
      <c r="BQ165" s="4" cm="1">
        <f t="array" aca="1" ref="BQ165" ca="1">_xlfn.CEILING.MATH(INDIRECT("Table1"&amp;BQ$3)/BQ$2)*BQ$2</f>
        <v>5.5E-2</v>
      </c>
      <c r="BR165" s="4" cm="1">
        <f t="array" aca="1" ref="BR165" ca="1">_xlfn.CEILING.MATH(INDIRECT("Table1"&amp;BR$3)/BR$2)*BR$2</f>
        <v>0.9</v>
      </c>
      <c r="BS165" s="4" cm="1">
        <f t="array" aca="1" ref="BS165" ca="1">_xlfn.CEILING.MATH(INDIRECT("Table1"&amp;BS$3)/BS$2)*BS$2</f>
        <v>0.86</v>
      </c>
      <c r="BT165" s="3" cm="1">
        <f t="array" aca="1" ref="BT165" ca="1">_xlfn.CEILING.MATH(INDIRECT("Table1"&amp;BT$3)/BT$2)*BT$2</f>
        <v>24</v>
      </c>
      <c r="BU165" s="135" cm="1">
        <f t="array" aca="1" ref="BU165" ca="1">_xlfn.CEILING.MATH(INDIRECT("Table1"&amp;BU$3)/BU$2)*BU$2</f>
        <v>50</v>
      </c>
      <c r="BV165" s="135" cm="1">
        <f t="array" aca="1" ref="BV165" ca="1">_xlfn.CEILING.MATH(INDIRECT("Table1"&amp;BV$3)/BV$2)*BV$2</f>
        <v>14000</v>
      </c>
      <c r="BW165" s="4"/>
      <c r="BX165" s="4"/>
      <c r="BY165" s="217"/>
      <c r="BZ165" s="4"/>
      <c r="CA165" s="3"/>
      <c r="CF165" s="5"/>
      <c r="CH165" s="8"/>
      <c r="CI165" s="8"/>
      <c r="CJ165" s="14"/>
      <c r="CK165" s="8"/>
      <c r="CL165" s="8"/>
      <c r="CM165" s="8"/>
      <c r="CN165" s="8"/>
      <c r="CO165" s="8"/>
      <c r="CP165" s="8"/>
      <c r="CQ165" s="8">
        <f>Table1[[#This Row],[In-Tok]]+AvgOutLoad*Table1[[#This Row],[Out-Tok]]</f>
        <v>14150</v>
      </c>
      <c r="CR165" s="8"/>
      <c r="CS165" s="8"/>
      <c r="CT165" s="8"/>
      <c r="CU165" s="8"/>
      <c r="CV165" s="8"/>
      <c r="CW165" s="8"/>
      <c r="CX165" s="8"/>
      <c r="CY165" s="8"/>
    </row>
    <row r="166" spans="1:103" hidden="1" x14ac:dyDescent="0.25">
      <c r="A166" s="26">
        <v>15000</v>
      </c>
      <c r="B166" s="3">
        <v>300</v>
      </c>
      <c r="C166" s="123">
        <v>2</v>
      </c>
      <c r="D166" s="216">
        <f>Table1[[#This Row],[Kvcache]]</f>
        <v>0.84901011517574743</v>
      </c>
      <c r="E166" s="170" t="s">
        <v>153</v>
      </c>
      <c r="F166" s="218">
        <v>46104</v>
      </c>
      <c r="G166" s="10">
        <v>0</v>
      </c>
      <c r="H166" s="10">
        <v>11.041592456032248</v>
      </c>
      <c r="I166" s="10">
        <v>0.93494058354496523</v>
      </c>
      <c r="J166" s="10">
        <v>10.070530901749931</v>
      </c>
      <c r="K166" s="10">
        <v>22.243165546655653</v>
      </c>
      <c r="L166" s="10">
        <v>23.396513042449953</v>
      </c>
      <c r="M166" s="10">
        <v>5.3300864370715025E-2</v>
      </c>
      <c r="N166" s="10">
        <v>27.941166147800221</v>
      </c>
      <c r="O166" s="47">
        <v>21756.108712121211</v>
      </c>
      <c r="P166" s="47">
        <v>390.54583333333335</v>
      </c>
      <c r="Q166" s="5">
        <v>21.727564102564106</v>
      </c>
      <c r="R166" s="5">
        <v>25</v>
      </c>
      <c r="S166" s="170">
        <v>0.84901011517574743</v>
      </c>
      <c r="T166" s="170">
        <v>0.98238944918541504</v>
      </c>
      <c r="U166" s="3">
        <f>(Table1[[#This Row],[In-Tok]]+Table1[[#This Row],[Out-Tok]])*Table1[[#This Row],[RPS]]</f>
        <v>30600</v>
      </c>
      <c r="V166" s="3">
        <f>Table1[[#This Row],[In-Tok]]+$V$2*Table1[[#This Row],[Out-Tok]]</f>
        <v>15150</v>
      </c>
      <c r="W166" s="3">
        <f>Table1[[#This Row],[In-Tok]]*Table1[[#This Row],[RPS]]</f>
        <v>30000</v>
      </c>
      <c r="X166" s="3">
        <f>Table1[[#This Row],[Out-Tok]]*Table1[[#This Row],[RPS]]</f>
        <v>600</v>
      </c>
      <c r="Y166" s="75">
        <f>Table1[[#This Row],[In-Tok]]/Table1[[#This Row],[Out-Tok]]</f>
        <v>50</v>
      </c>
      <c r="Z166" s="26">
        <f>Table1[[#This Row],[In-Tok]]*Table1[[#This Row],[N]]+AvgOutLoad*Table1[[#This Row],[Out-Tok]]*Table1[[#This Row],[Ndecode]]</f>
        <v>335709.59094465367</v>
      </c>
      <c r="AA166" s="3">
        <f>Table1[[#This Row],[tok(N)]]/Table1[[#This Row],[Kvcache]]</f>
        <v>395412.946140413</v>
      </c>
      <c r="AB166" s="3">
        <f>Table1[[#This Row],[tok/req]]*Table1[[#This Row],[Run]]</f>
        <v>329172.59615384619</v>
      </c>
      <c r="AC166" s="3">
        <f>Table1[[#This Row],[tok(Run)]]/Table1[[#This Row],[Kvcache]]</f>
        <v>387713.39736712858</v>
      </c>
      <c r="AD166" s="3">
        <f>Table1[[#This Row],[tok/req]]*Table1[[#This Row],[MaxRun]]</f>
        <v>378750</v>
      </c>
      <c r="AE166" s="3">
        <f>Table1[[#This Row],[tok(MaxRun)]]/Table1[[#This Row],[MaxKvcache]]</f>
        <v>385539.56408434018</v>
      </c>
      <c r="AF166" s="75">
        <f>Table1[[#This Row],[PPS]]*Table1[[#This Row],[Prefill]]/Table1[[#This Row],[In-Tok]]</f>
        <v>1.3560445983318872</v>
      </c>
      <c r="AG166" s="5">
        <f>Table1[[#This Row],[GPS]]*Table1[[#This Row],[ITL]]</f>
        <v>20.816430493047875</v>
      </c>
      <c r="AH166" s="5">
        <f>Table1[[#This Row],[Nprefill]]+Table1[[#This Row],[Ndecode]]</f>
        <v>22.172475091379763</v>
      </c>
      <c r="AI166" s="4">
        <f>Table1[[#This Row],[Run]]/Table1[[#This Row],[ITL]]/Table1[[#This Row],[GPS]]</f>
        <v>1.0437699253875694</v>
      </c>
      <c r="AJ166" s="10">
        <f>Table1[[#This Row],[Prefill]]+Table1[[#This Row],[ITL]]</f>
        <v>0.98824144791568025</v>
      </c>
      <c r="AK166" s="4">
        <f>Table1[[#This Row],[TTFT]]/Table1[[#This Row],[estTTFT]]</f>
        <v>11.17297041054116</v>
      </c>
      <c r="AL166" s="5">
        <f>Table1[[#This Row],[In-Tok]]*Table1[[#This Row],[RPS]]/Table1[[#This Row],[PPS]]</f>
        <v>1.3789230600454658</v>
      </c>
      <c r="AM166" s="4">
        <f>Table1[[#This Row],[Prefill]]/Table1[[#This Row],[estPrefill]]</f>
        <v>0.67802229916594359</v>
      </c>
      <c r="AN166" s="4">
        <f>Table1[[#This Row],[Prefill]]/Table1[[#This Row],[TTFT]]</f>
        <v>8.4674433263852988E-2</v>
      </c>
      <c r="AO166" s="10">
        <f>Table1[[#This Row],[Run]]/(Table1[[#This Row],[Out-Tok]]*Table1[[#This Row],[RPS]])</f>
        <v>3.6212606837606846E-2</v>
      </c>
      <c r="AP166" s="4">
        <f>Table1[[#This Row],[ITL]]/Table1[[#This Row],[estITL]]</f>
        <v>1.4718869759843414</v>
      </c>
      <c r="AQ166" s="44">
        <f>Table1[[#This Row],[E2E]]-Table1[[#This Row],[TTFT]]+Table1[[#This Row],[ITL]]</f>
        <v>16.952874556138688</v>
      </c>
      <c r="AR166" s="4">
        <f>Table1[[#This Row],[estDecode]]/Table1[[#This Row],[Run]]</f>
        <v>0.78024736119121851</v>
      </c>
      <c r="AS166" s="44">
        <f>Table1[[#This Row],[Prefill]]+Table1[[#This Row],[Out-Tok]]*Table1[[#This Row],[ITL]]</f>
        <v>16.925199894759473</v>
      </c>
      <c r="AT166" s="5">
        <f>Table1[[#This Row],[estPrefill]]+Table1[[#This Row],[Out-Tok]]*Table1[[#This Row],[ITL]]</f>
        <v>17.369182371259974</v>
      </c>
      <c r="AU166" s="4">
        <f>Table1[[#This Row],[E2E]]/Table1[[#This Row],[estE2E]]</f>
        <v>1.6086632951723303</v>
      </c>
      <c r="AV166" s="5">
        <f>Table1[[#This Row],[N]]/Table1[[#This Row],[estE2E]]</f>
        <v>1.2765410954557992</v>
      </c>
      <c r="AW166" s="5">
        <f>Table1[[#This Row],[PPS]]/Table1[[#This Row],[In-Tok]]</f>
        <v>1.4504072474747474</v>
      </c>
      <c r="AX166" s="4">
        <f>Table1[[#This Row],[RPS]]/Table1[[#This Row],[RPS(IL)]]</f>
        <v>1.3789230600454658</v>
      </c>
      <c r="AY166" s="5">
        <f>Table1[[#This Row],[GPS]]/Table1[[#This Row],[Out-Tok]]</f>
        <v>1.3018194444444444</v>
      </c>
      <c r="AZ166" s="89">
        <f>Table1[[#This Row],[RPS]]/Table1[[#This Row],[RPS(OL)]]</f>
        <v>1.5363113591021114</v>
      </c>
      <c r="BA166" s="135">
        <f>MaxTok/Table1[[#This Row],[tok/req]]</f>
        <v>25.604769768485497</v>
      </c>
      <c r="BB166" s="4">
        <f>Table1[[#This Row],[N]]/Table1[[#This Row],[N-max]]</f>
        <v>0.86595096506861691</v>
      </c>
      <c r="BC166" s="44">
        <f>Table1[[#This Row],[RPS]]</f>
        <v>2</v>
      </c>
      <c r="BD166" s="47">
        <f>Table1[[#This Row],[PPS]]/Table1[[#This Row],[RPS success]]</f>
        <v>10878.054356060606</v>
      </c>
      <c r="BE166" s="4">
        <f>ABS(Table1[[#This Row],[est-In-Tok3]]-Table1[[#This Row],[In-Tok]])/Table1[[#This Row],[In-Tok]]</f>
        <v>0.27479637626262626</v>
      </c>
      <c r="BF166" s="47">
        <f>Table1[[#This Row],[GPS]]/Table1[[#This Row],[RPS success]]</f>
        <v>195.27291666666667</v>
      </c>
      <c r="BG166" s="4">
        <f>ABS(Table1[[#This Row],[est-Out-Tok3]]-Table1[[#This Row],[Out-Tok]])/Table1[[#This Row],[Out-Tok]]</f>
        <v>0.34909027777777774</v>
      </c>
      <c r="BH166" s="162">
        <f>Table1[[#This Row],[est-In-Tok3]]+AvgOutLoad*Table1[[#This Row],[est-Out-Tok3]]</f>
        <v>10975.690814393938</v>
      </c>
      <c r="BI166" s="4">
        <f>ABS(Table1[[#This Row],[est-Tok/Req3]]-Table1[[#This Row],[tok/req]])/Table1[[#This Row],[tok/req]]</f>
        <v>0.27553195944594466</v>
      </c>
      <c r="BJ166" s="162">
        <f>MaxTok/Table1[[#This Row],[est-Tok/Req3]]</f>
        <v>35.342856185765768</v>
      </c>
      <c r="BK166" s="4">
        <f>ABS(Table1[[#This Row],[est-N-max3]]-Table1[[#This Row],[N-max]])/Table1[[#This Row],[N-max]]</f>
        <v>0.38032313921705191</v>
      </c>
      <c r="BL166" s="44">
        <f>MaxTok*Table1[[#This Row],[Kvcache]]/Table1[[#This Row],[Run]]</f>
        <v>15157.7706860162</v>
      </c>
      <c r="BM166" s="170">
        <f>ABS(Table1[[#This Row],[est-Tok/Req]]-Table1[[#This Row],[tok/req]])/Table1[[#This Row],[tok/req]]</f>
        <v>5.1291656872605679E-4</v>
      </c>
      <c r="BN166" s="44">
        <f>MaxTok/Table1[[#This Row],[est-Tok/Req]]</f>
        <v>25.591643390569544</v>
      </c>
      <c r="BO166" s="180">
        <f>Table1[[#This Row],[Run]]/Table1[[#This Row],[Kvcache]]</f>
        <v>25.591643390569548</v>
      </c>
      <c r="BP166" s="4" cm="1">
        <f t="array" aca="1" ref="BP166" ca="1">_xlfn.CEILING.MATH(INDIRECT("Table1"&amp;BP$3)/BP$2)*BP$2</f>
        <v>16000</v>
      </c>
      <c r="BQ166" s="4" cm="1">
        <f t="array" aca="1" ref="BQ166" ca="1">_xlfn.CEILING.MATH(INDIRECT("Table1"&amp;BQ$3)/BQ$2)*BQ$2</f>
        <v>5.5E-2</v>
      </c>
      <c r="BR166" s="4" cm="1">
        <f t="array" aca="1" ref="BR166" ca="1">_xlfn.CEILING.MATH(INDIRECT("Table1"&amp;BR$3)/BR$2)*BR$2</f>
        <v>0.9</v>
      </c>
      <c r="BS166" s="4" cm="1">
        <f t="array" aca="1" ref="BS166" ca="1">_xlfn.CEILING.MATH(INDIRECT("Table1"&amp;BS$3)/BS$2)*BS$2</f>
        <v>0.85</v>
      </c>
      <c r="BT166" s="3" cm="1">
        <f t="array" aca="1" ref="BT166" ca="1">_xlfn.CEILING.MATH(INDIRECT("Table1"&amp;BT$3)/BT$2)*BT$2</f>
        <v>22</v>
      </c>
      <c r="BU166" s="135" cm="1">
        <f t="array" aca="1" ref="BU166" ca="1">_xlfn.CEILING.MATH(INDIRECT("Table1"&amp;BU$3)/BU$2)*BU$2</f>
        <v>50</v>
      </c>
      <c r="BV166" s="135" cm="1">
        <f t="array" aca="1" ref="BV166" ca="1">_xlfn.CEILING.MATH(INDIRECT("Table1"&amp;BV$3)/BV$2)*BV$2</f>
        <v>15000</v>
      </c>
      <c r="BW166" s="4"/>
      <c r="BX166" s="4"/>
      <c r="BY166" s="217"/>
      <c r="BZ166" s="4"/>
      <c r="CA166" s="3"/>
      <c r="CF166" s="5"/>
      <c r="CH166" s="8"/>
      <c r="CI166" s="8"/>
      <c r="CJ166" s="14"/>
      <c r="CK166" s="8"/>
      <c r="CL166" s="8"/>
      <c r="CM166" s="8"/>
      <c r="CN166" s="8"/>
      <c r="CO166" s="8"/>
      <c r="CP166" s="8"/>
      <c r="CQ166" s="8">
        <f>Table1[[#This Row],[In-Tok]]+AvgOutLoad*Table1[[#This Row],[Out-Tok]]</f>
        <v>15150</v>
      </c>
      <c r="CR166" s="8"/>
      <c r="CS166" s="8"/>
      <c r="CT166" s="8"/>
      <c r="CU166" s="8"/>
      <c r="CV166" s="8"/>
      <c r="CW166" s="8"/>
      <c r="CX166" s="8"/>
      <c r="CY166" s="8"/>
    </row>
    <row r="167" spans="1:103" hidden="1" x14ac:dyDescent="0.25">
      <c r="A167" s="26">
        <v>5000</v>
      </c>
      <c r="B167" s="3">
        <v>100</v>
      </c>
      <c r="C167" s="123">
        <v>2</v>
      </c>
      <c r="D167" s="216">
        <f>Table1[[#This Row],[Kvcache]]</f>
        <v>3.1234376346866644E-2</v>
      </c>
      <c r="E167" s="170" t="s">
        <v>154</v>
      </c>
      <c r="F167" s="218">
        <v>46104</v>
      </c>
      <c r="G167" s="10">
        <v>0</v>
      </c>
      <c r="H167" s="10">
        <v>0.17292548195048646</v>
      </c>
      <c r="I167" s="10">
        <v>0.1503830835350268</v>
      </c>
      <c r="J167" s="10">
        <v>0.1899713414802307</v>
      </c>
      <c r="K167" s="10">
        <v>0.35551908612251276</v>
      </c>
      <c r="L167" s="10">
        <v>0.42215857744216922</v>
      </c>
      <c r="M167" s="10">
        <v>9.6815497098528564E-3</v>
      </c>
      <c r="N167" s="10">
        <v>1.1255468835354696</v>
      </c>
      <c r="O167" s="47">
        <v>11058.268749999999</v>
      </c>
      <c r="P167" s="47">
        <v>204.18124999999998</v>
      </c>
      <c r="Q167" s="5">
        <v>2.3888888888888893</v>
      </c>
      <c r="R167" s="5">
        <v>5.5</v>
      </c>
      <c r="S167" s="170">
        <v>3.1234376346866644E-2</v>
      </c>
      <c r="T167" s="170">
        <v>7.1761055081458469E-2</v>
      </c>
      <c r="U167" s="3">
        <f>(Table1[[#This Row],[In-Tok]]+Table1[[#This Row],[Out-Tok]])*Table1[[#This Row],[RPS]]</f>
        <v>10200</v>
      </c>
      <c r="V167" s="3">
        <f>Table1[[#This Row],[In-Tok]]+$V$2*Table1[[#This Row],[Out-Tok]]</f>
        <v>5050</v>
      </c>
      <c r="W167" s="3">
        <f>Table1[[#This Row],[In-Tok]]*Table1[[#This Row],[RPS]]</f>
        <v>10000</v>
      </c>
      <c r="X167" s="3">
        <f>Table1[[#This Row],[Out-Tok]]*Table1[[#This Row],[RPS]]</f>
        <v>200</v>
      </c>
      <c r="Y167" s="75">
        <f>Table1[[#This Row],[In-Tok]]/Table1[[#This Row],[Out-Tok]]</f>
        <v>50</v>
      </c>
      <c r="Z167" s="26">
        <f>Table1[[#This Row],[In-Tok]]*Table1[[#This Row],[N]]+AvgOutLoad*Table1[[#This Row],[Out-Tok]]*Table1[[#This Row],[Ndecode]]</f>
        <v>11645.770707743237</v>
      </c>
      <c r="AA167" s="3">
        <f>Table1[[#This Row],[tok(N)]]/Table1[[#This Row],[Kvcache]]</f>
        <v>372851.07211405912</v>
      </c>
      <c r="AB167" s="3">
        <f>Table1[[#This Row],[tok/req]]*Table1[[#This Row],[Run]]</f>
        <v>12063.888888888891</v>
      </c>
      <c r="AC167" s="3">
        <f>Table1[[#This Row],[tok(Run)]]/Table1[[#This Row],[Kvcache]]</f>
        <v>386237.54657099501</v>
      </c>
      <c r="AD167" s="3">
        <f>Table1[[#This Row],[tok/req]]*Table1[[#This Row],[MaxRun]]</f>
        <v>27775</v>
      </c>
      <c r="AE167" s="3">
        <f>Table1[[#This Row],[tok(MaxRun)]]/Table1[[#This Row],[MaxKvcache]]</f>
        <v>387048.37837837852</v>
      </c>
      <c r="AF167" s="75">
        <f>Table1[[#This Row],[PPS]]*Table1[[#This Row],[Prefill]]/Table1[[#This Row],[In-Tok]]</f>
        <v>0.33259531063680525</v>
      </c>
      <c r="AG167" s="5">
        <f>Table1[[#This Row],[GPS]]*Table1[[#This Row],[ITL]]</f>
        <v>1.9767909216948933</v>
      </c>
      <c r="AH167" s="5">
        <f>Table1[[#This Row],[Nprefill]]+Table1[[#This Row],[Ndecode]]</f>
        <v>2.3093862323316987</v>
      </c>
      <c r="AI167" s="4">
        <f>Table1[[#This Row],[Run]]/Table1[[#This Row],[ITL]]/Table1[[#This Row],[GPS]]</f>
        <v>1.2084681605279048</v>
      </c>
      <c r="AJ167" s="10">
        <f>Table1[[#This Row],[Prefill]]+Table1[[#This Row],[ITL]]</f>
        <v>0.16006463324487966</v>
      </c>
      <c r="AK167" s="4">
        <f>Table1[[#This Row],[TTFT]]/Table1[[#This Row],[estTTFT]]</f>
        <v>1.0803478472719907</v>
      </c>
      <c r="AL167" s="5">
        <f>Table1[[#This Row],[In-Tok]]*Table1[[#This Row],[RPS]]/Table1[[#This Row],[PPS]]</f>
        <v>0.90430068449909939</v>
      </c>
      <c r="AM167" s="4">
        <f>Table1[[#This Row],[Prefill]]/Table1[[#This Row],[estPrefill]]</f>
        <v>0.16629765531840263</v>
      </c>
      <c r="AN167" s="4">
        <f>Table1[[#This Row],[Prefill]]/Table1[[#This Row],[TTFT]]</f>
        <v>0.8696409681141487</v>
      </c>
      <c r="AO167" s="10">
        <f>Table1[[#This Row],[Run]]/(Table1[[#This Row],[Out-Tok]]*Table1[[#This Row],[RPS]])</f>
        <v>1.1944444444444447E-2</v>
      </c>
      <c r="AP167" s="4">
        <f>Table1[[#This Row],[ITL]]/Table1[[#This Row],[estITL]]</f>
        <v>0.81054834780163432</v>
      </c>
      <c r="AQ167" s="44">
        <f>Table1[[#This Row],[E2E]]-Table1[[#This Row],[TTFT]]+Table1[[#This Row],[ITL]]</f>
        <v>0.96230295129483612</v>
      </c>
      <c r="AR167" s="4">
        <f>Table1[[#This Row],[estDecode]]/Table1[[#This Row],[Run]]</f>
        <v>0.40282449123969877</v>
      </c>
      <c r="AS167" s="44">
        <f>Table1[[#This Row],[Prefill]]+Table1[[#This Row],[Out-Tok]]*Table1[[#This Row],[ITL]]</f>
        <v>1.1185380545203125</v>
      </c>
      <c r="AT167" s="5">
        <f>Table1[[#This Row],[estPrefill]]+Table1[[#This Row],[Out-Tok]]*Table1[[#This Row],[ITL]]</f>
        <v>1.872455655484385</v>
      </c>
      <c r="AU167" s="4">
        <f>Table1[[#This Row],[E2E]]/Table1[[#This Row],[estE2E]]</f>
        <v>0.60110736413904675</v>
      </c>
      <c r="AV167" s="5">
        <f>Table1[[#This Row],[N]]/Table1[[#This Row],[estE2E]]</f>
        <v>1.2333462881043686</v>
      </c>
      <c r="AW167" s="5">
        <f>Table1[[#This Row],[PPS]]/Table1[[#This Row],[In-Tok]]</f>
        <v>2.21165375</v>
      </c>
      <c r="AX167" s="4">
        <f>Table1[[#This Row],[RPS]]/Table1[[#This Row],[RPS(IL)]]</f>
        <v>0.90430068449909939</v>
      </c>
      <c r="AY167" s="5">
        <f>Table1[[#This Row],[GPS]]/Table1[[#This Row],[Out-Tok]]</f>
        <v>2.0418124999999998</v>
      </c>
      <c r="AZ167" s="89">
        <f>Table1[[#This Row],[RPS]]/Table1[[#This Row],[RPS(OL)]]</f>
        <v>0.97952187088677345</v>
      </c>
      <c r="BA167" s="135">
        <f>MaxTok/Table1[[#This Row],[tok/req]]</f>
        <v>76.81430930545649</v>
      </c>
      <c r="BB167" s="4">
        <f>Table1[[#This Row],[N]]/Table1[[#This Row],[N-max]]</f>
        <v>3.0064531637566283E-2</v>
      </c>
      <c r="BC167" s="44">
        <f>Table1[[#This Row],[RPS]]</f>
        <v>2</v>
      </c>
      <c r="BD167" s="47">
        <f>Table1[[#This Row],[PPS]]/Table1[[#This Row],[RPS success]]</f>
        <v>5529.1343749999996</v>
      </c>
      <c r="BE167" s="4">
        <f>ABS(Table1[[#This Row],[est-In-Tok3]]-Table1[[#This Row],[In-Tok]])/Table1[[#This Row],[In-Tok]]</f>
        <v>0.10582687499999993</v>
      </c>
      <c r="BF167" s="47">
        <f>Table1[[#This Row],[GPS]]/Table1[[#This Row],[RPS success]]</f>
        <v>102.09062499999999</v>
      </c>
      <c r="BG167" s="4">
        <f>ABS(Table1[[#This Row],[est-Out-Tok3]]-Table1[[#This Row],[Out-Tok]])/Table1[[#This Row],[Out-Tok]]</f>
        <v>2.0906249999999887E-2</v>
      </c>
      <c r="BH167" s="162">
        <f>Table1[[#This Row],[est-In-Tok3]]+AvgOutLoad*Table1[[#This Row],[est-Out-Tok3]]</f>
        <v>5580.1796875</v>
      </c>
      <c r="BI167" s="4">
        <f>ABS(Table1[[#This Row],[est-Tok/Req3]]-Table1[[#This Row],[tok/req]])/Table1[[#This Row],[tok/req]]</f>
        <v>0.10498607673267327</v>
      </c>
      <c r="BJ167" s="162">
        <f>MaxTok/Table1[[#This Row],[est-Tok/Req3]]</f>
        <v>69.516087960663057</v>
      </c>
      <c r="BK167" s="4">
        <f>ABS(Table1[[#This Row],[est-N-max3]]-Table1[[#This Row],[N-max]])/Table1[[#This Row],[N-max]]</f>
        <v>9.5011221356839107E-2</v>
      </c>
      <c r="BL167" s="44">
        <f>MaxTok*Table1[[#This Row],[Kvcache]]/Table1[[#This Row],[Run]]</f>
        <v>5071.8966616631733</v>
      </c>
      <c r="BM167" s="170">
        <f>ABS(Table1[[#This Row],[est-Tok/Req]]-Table1[[#This Row],[tok/req]])/Table1[[#This Row],[tok/req]]</f>
        <v>4.3359726065689682E-3</v>
      </c>
      <c r="BN167" s="44">
        <f>MaxTok/Table1[[#This Row],[est-Tok/Req]]</f>
        <v>76.482682489305944</v>
      </c>
      <c r="BO167" s="180">
        <f>Table1[[#This Row],[Run]]/Table1[[#This Row],[Kvcache]]</f>
        <v>76.482682489305944</v>
      </c>
      <c r="BP167" s="4" cm="1">
        <f t="array" aca="1" ref="BP167" ca="1">_xlfn.CEILING.MATH(INDIRECT("Table1"&amp;BP$3)/BP$2)*BP$2</f>
        <v>6000</v>
      </c>
      <c r="BQ167" s="4" cm="1">
        <f t="array" aca="1" ref="BQ167" ca="1">_xlfn.CEILING.MATH(INDIRECT("Table1"&amp;BQ$3)/BQ$2)*BQ$2</f>
        <v>0.01</v>
      </c>
      <c r="BR167" s="4" cm="1">
        <f t="array" aca="1" ref="BR167" ca="1">_xlfn.CEILING.MATH(INDIRECT("Table1"&amp;BR$3)/BR$2)*BR$2</f>
        <v>0.1</v>
      </c>
      <c r="BS167" s="4" cm="1">
        <f t="array" aca="1" ref="BS167" ca="1">_xlfn.CEILING.MATH(INDIRECT("Table1"&amp;BS$3)/BS$2)*BS$2</f>
        <v>0.04</v>
      </c>
      <c r="BT167" s="3" cm="1">
        <f t="array" aca="1" ref="BT167" ca="1">_xlfn.CEILING.MATH(INDIRECT("Table1"&amp;BT$3)/BT$2)*BT$2</f>
        <v>3</v>
      </c>
      <c r="BU167" s="135" cm="1">
        <f t="array" aca="1" ref="BU167" ca="1">_xlfn.CEILING.MATH(INDIRECT("Table1"&amp;BU$3)/BU$2)*BU$2</f>
        <v>50</v>
      </c>
      <c r="BV167" s="135" cm="1">
        <f t="array" aca="1" ref="BV167" ca="1">_xlfn.CEILING.MATH(INDIRECT("Table1"&amp;BV$3)/BV$2)*BV$2</f>
        <v>5000</v>
      </c>
      <c r="BW167" s="4"/>
      <c r="BX167" s="4"/>
      <c r="BY167" s="217"/>
      <c r="BZ167" s="4"/>
      <c r="CA167" s="3"/>
      <c r="CF167" s="5"/>
      <c r="CH167" s="8"/>
      <c r="CI167" s="8"/>
      <c r="CJ167" s="14"/>
      <c r="CK167" s="8"/>
      <c r="CL167" s="8"/>
      <c r="CM167" s="8"/>
      <c r="CN167" s="8"/>
      <c r="CO167" s="8"/>
      <c r="CP167" s="8"/>
      <c r="CQ167" s="8">
        <f>Table1[[#This Row],[In-Tok]]+AvgOutLoad*Table1[[#This Row],[Out-Tok]]</f>
        <v>5050</v>
      </c>
      <c r="CR167" s="8"/>
      <c r="CS167" s="8"/>
      <c r="CT167" s="8"/>
      <c r="CU167" s="8"/>
      <c r="CV167" s="8"/>
      <c r="CW167" s="8"/>
      <c r="CX167" s="8"/>
      <c r="CY167" s="8"/>
    </row>
    <row r="168" spans="1:103" hidden="1" x14ac:dyDescent="0.25">
      <c r="A168" s="26">
        <v>5000</v>
      </c>
      <c r="B168" s="3">
        <v>200</v>
      </c>
      <c r="C168" s="123">
        <v>2</v>
      </c>
      <c r="D168" s="216">
        <f>Table1[[#This Row],[Kvcache]]</f>
        <v>5.7327385570209471E-2</v>
      </c>
      <c r="E168" s="170" t="s">
        <v>154</v>
      </c>
      <c r="F168" s="218">
        <v>46104</v>
      </c>
      <c r="G168" s="10">
        <v>0</v>
      </c>
      <c r="H168" s="10">
        <v>0.1641618222144442</v>
      </c>
      <c r="I168" s="10">
        <v>0.1460348556196808</v>
      </c>
      <c r="J168" s="10">
        <v>0.18312027043846965</v>
      </c>
      <c r="K168" s="10">
        <v>0.32359210252761833</v>
      </c>
      <c r="L168" s="10">
        <v>0.36215081214904787</v>
      </c>
      <c r="M168" s="10">
        <v>9.9585361931964558E-3</v>
      </c>
      <c r="N168" s="10">
        <v>2.0574069913631381</v>
      </c>
      <c r="O168" s="47">
        <v>10749.97777777778</v>
      </c>
      <c r="P168" s="47">
        <v>401.0555555555556</v>
      </c>
      <c r="Q168" s="5">
        <v>4.3499999999999996</v>
      </c>
      <c r="R168" s="5">
        <v>9.5</v>
      </c>
      <c r="S168" s="170">
        <v>5.7327385570209471E-2</v>
      </c>
      <c r="T168" s="170">
        <v>0.12486423584173781</v>
      </c>
      <c r="U168" s="3">
        <f>(Table1[[#This Row],[In-Tok]]+Table1[[#This Row],[Out-Tok]])*Table1[[#This Row],[RPS]]</f>
        <v>10400</v>
      </c>
      <c r="V168" s="3">
        <f>Table1[[#This Row],[In-Tok]]+$V$2*Table1[[#This Row],[Out-Tok]]</f>
        <v>5100</v>
      </c>
      <c r="W168" s="3">
        <f>Table1[[#This Row],[In-Tok]]*Table1[[#This Row],[RPS]]</f>
        <v>10000</v>
      </c>
      <c r="X168" s="3">
        <f>Table1[[#This Row],[Out-Tok]]*Table1[[#This Row],[RPS]]</f>
        <v>400</v>
      </c>
      <c r="Y168" s="75">
        <f>Table1[[#This Row],[In-Tok]]/Table1[[#This Row],[Out-Tok]]</f>
        <v>25</v>
      </c>
      <c r="Z168" s="26">
        <f>Table1[[#This Row],[In-Tok]]*Table1[[#This Row],[N]]+AvgOutLoad*Table1[[#This Row],[Out-Tok]]*Table1[[#This Row],[Ndecode]]</f>
        <v>21938.895406653366</v>
      </c>
      <c r="AA168" s="3">
        <f>Table1[[#This Row],[tok(N)]]/Table1[[#This Row],[Kvcache]]</f>
        <v>382694.85322655371</v>
      </c>
      <c r="AB168" s="3">
        <f>Table1[[#This Row],[tok/req]]*Table1[[#This Row],[Run]]</f>
        <v>22185</v>
      </c>
      <c r="AC168" s="3">
        <f>Table1[[#This Row],[tok(Run)]]/Table1[[#This Row],[Kvcache]]</f>
        <v>386987.82055619458</v>
      </c>
      <c r="AD168" s="3">
        <f>Table1[[#This Row],[tok/req]]*Table1[[#This Row],[MaxRun]]</f>
        <v>48450</v>
      </c>
      <c r="AE168" s="3">
        <f>Table1[[#This Row],[tok(MaxRun)]]/Table1[[#This Row],[MaxKvcache]]</f>
        <v>388021.43522833171</v>
      </c>
      <c r="AF168" s="75">
        <f>Table1[[#This Row],[PPS]]*Table1[[#This Row],[Prefill]]/Table1[[#This Row],[In-Tok]]</f>
        <v>0.313974290538511</v>
      </c>
      <c r="AG168" s="5">
        <f>Table1[[#This Row],[GPS]]*Table1[[#This Row],[ITL]]</f>
        <v>3.9939262654825125</v>
      </c>
      <c r="AH168" s="5">
        <f>Table1[[#This Row],[Nprefill]]+Table1[[#This Row],[Ndecode]]</f>
        <v>4.3079005560210231</v>
      </c>
      <c r="AI168" s="4">
        <f>Table1[[#This Row],[Run]]/Table1[[#This Row],[ITL]]/Table1[[#This Row],[GPS]]</f>
        <v>1.0891538077692753</v>
      </c>
      <c r="AJ168" s="10">
        <f>Table1[[#This Row],[Prefill]]+Table1[[#This Row],[ITL]]</f>
        <v>0.15599339181287725</v>
      </c>
      <c r="AK168" s="4">
        <f>Table1[[#This Row],[TTFT]]/Table1[[#This Row],[estTTFT]]</f>
        <v>1.0523639514894672</v>
      </c>
      <c r="AL168" s="5">
        <f>Table1[[#This Row],[In-Tok]]*Table1[[#This Row],[RPS]]/Table1[[#This Row],[PPS]]</f>
        <v>0.93023448110487028</v>
      </c>
      <c r="AM168" s="4">
        <f>Table1[[#This Row],[Prefill]]/Table1[[#This Row],[estPrefill]]</f>
        <v>0.15698714526925553</v>
      </c>
      <c r="AN168" s="4">
        <f>Table1[[#This Row],[Prefill]]/Table1[[#This Row],[TTFT]]</f>
        <v>0.88957867090995013</v>
      </c>
      <c r="AO168" s="10">
        <f>Table1[[#This Row],[Run]]/(Table1[[#This Row],[Out-Tok]]*Table1[[#This Row],[RPS]])</f>
        <v>1.0874999999999999E-2</v>
      </c>
      <c r="AP168" s="4">
        <f>Table1[[#This Row],[ITL]]/Table1[[#This Row],[estITL]]</f>
        <v>0.91572746604105348</v>
      </c>
      <c r="AQ168" s="44">
        <f>Table1[[#This Row],[E2E]]-Table1[[#This Row],[TTFT]]+Table1[[#This Row],[ITL]]</f>
        <v>1.9032037053418904</v>
      </c>
      <c r="AR168" s="4">
        <f>Table1[[#This Row],[estDecode]]/Table1[[#This Row],[Run]]</f>
        <v>0.43751809318204382</v>
      </c>
      <c r="AS168" s="44">
        <f>Table1[[#This Row],[Prefill]]+Table1[[#This Row],[Out-Tok]]*Table1[[#This Row],[ITL]]</f>
        <v>2.137742094258972</v>
      </c>
      <c r="AT168" s="5">
        <f>Table1[[#This Row],[estPrefill]]+Table1[[#This Row],[Out-Tok]]*Table1[[#This Row],[ITL]]</f>
        <v>2.9219417197441615</v>
      </c>
      <c r="AU168" s="4">
        <f>Table1[[#This Row],[E2E]]/Table1[[#This Row],[estE2E]]</f>
        <v>0.70412321281455259</v>
      </c>
      <c r="AV168" s="5">
        <f>Table1[[#This Row],[N]]/Table1[[#This Row],[estE2E]]</f>
        <v>1.474328021983345</v>
      </c>
      <c r="AW168" s="5">
        <f>Table1[[#This Row],[PPS]]/Table1[[#This Row],[In-Tok]]</f>
        <v>2.1499955555555559</v>
      </c>
      <c r="AX168" s="4">
        <f>Table1[[#This Row],[RPS]]/Table1[[#This Row],[RPS(IL)]]</f>
        <v>0.93023448110487039</v>
      </c>
      <c r="AY168" s="5">
        <f>Table1[[#This Row],[GPS]]/Table1[[#This Row],[Out-Tok]]</f>
        <v>2.0052777777777782</v>
      </c>
      <c r="AZ168" s="89">
        <f>Table1[[#This Row],[RPS]]/Table1[[#This Row],[RPS(OL)]]</f>
        <v>0.99736805651752303</v>
      </c>
      <c r="BA168" s="135">
        <f>MaxTok/Table1[[#This Row],[tok/req]]</f>
        <v>76.061227841677507</v>
      </c>
      <c r="BB168" s="4">
        <f>Table1[[#This Row],[N]]/Table1[[#This Row],[N-max]]</f>
        <v>5.663727339490203E-2</v>
      </c>
      <c r="BC168" s="44">
        <f>Table1[[#This Row],[RPS]]</f>
        <v>2</v>
      </c>
      <c r="BD168" s="47">
        <f>Table1[[#This Row],[PPS]]/Table1[[#This Row],[RPS success]]</f>
        <v>5374.98888888889</v>
      </c>
      <c r="BE168" s="4">
        <f>ABS(Table1[[#This Row],[est-In-Tok3]]-Table1[[#This Row],[In-Tok]])/Table1[[#This Row],[In-Tok]]</f>
        <v>7.4997777777777996E-2</v>
      </c>
      <c r="BF168" s="47">
        <f>Table1[[#This Row],[GPS]]/Table1[[#This Row],[RPS success]]</f>
        <v>200.5277777777778</v>
      </c>
      <c r="BG168" s="4">
        <f>ABS(Table1[[#This Row],[est-Out-Tok3]]-Table1[[#This Row],[Out-Tok]])/Table1[[#This Row],[Out-Tok]]</f>
        <v>2.6388888888889996E-3</v>
      </c>
      <c r="BH168" s="162">
        <f>Table1[[#This Row],[est-In-Tok3]]+AvgOutLoad*Table1[[#This Row],[est-Out-Tok3]]</f>
        <v>5475.2527777777786</v>
      </c>
      <c r="BI168" s="4">
        <f>ABS(Table1[[#This Row],[est-Tok/Req3]]-Table1[[#This Row],[tok/req]])/Table1[[#This Row],[tok/req]]</f>
        <v>7.3578976034858565E-2</v>
      </c>
      <c r="BJ168" s="162">
        <f>MaxTok/Table1[[#This Row],[est-Tok/Req3]]</f>
        <v>70.848283675040818</v>
      </c>
      <c r="BK168" s="4">
        <f>ABS(Table1[[#This Row],[est-N-max3]]-Table1[[#This Row],[N-max]])/Table1[[#This Row],[N-max]]</f>
        <v>6.8536155864950057E-2</v>
      </c>
      <c r="BL168" s="44">
        <f>MaxTok*Table1[[#This Row],[Kvcache]]/Table1[[#This Row],[Run]]</f>
        <v>5112.1829449791567</v>
      </c>
      <c r="BM168" s="170">
        <f>ABS(Table1[[#This Row],[est-Tok/Req]]-Table1[[#This Row],[tok/req]])/Table1[[#This Row],[tok/req]]</f>
        <v>2.3888127410111124E-3</v>
      </c>
      <c r="BN168" s="44">
        <f>MaxTok/Table1[[#This Row],[est-Tok/Req]]</f>
        <v>75.879964814940109</v>
      </c>
      <c r="BO168" s="180">
        <f>Table1[[#This Row],[Run]]/Table1[[#This Row],[Kvcache]]</f>
        <v>75.879964814940109</v>
      </c>
      <c r="BP168" s="4" cm="1">
        <f t="array" aca="1" ref="BP168" ca="1">_xlfn.CEILING.MATH(INDIRECT("Table1"&amp;BP$3)/BP$2)*BP$2</f>
        <v>6000</v>
      </c>
      <c r="BQ168" s="4" cm="1">
        <f t="array" aca="1" ref="BQ168" ca="1">_xlfn.CEILING.MATH(INDIRECT("Table1"&amp;BQ$3)/BQ$2)*BQ$2</f>
        <v>0.01</v>
      </c>
      <c r="BR168" s="4" cm="1">
        <f t="array" aca="1" ref="BR168" ca="1">_xlfn.CEILING.MATH(INDIRECT("Table1"&amp;BR$3)/BR$2)*BR$2</f>
        <v>0.1</v>
      </c>
      <c r="BS168" s="4" cm="1">
        <f t="array" aca="1" ref="BS168" ca="1">_xlfn.CEILING.MATH(INDIRECT("Table1"&amp;BS$3)/BS$2)*BS$2</f>
        <v>0.06</v>
      </c>
      <c r="BT168" s="3" cm="1">
        <f t="array" aca="1" ref="BT168" ca="1">_xlfn.CEILING.MATH(INDIRECT("Table1"&amp;BT$3)/BT$2)*BT$2</f>
        <v>5</v>
      </c>
      <c r="BU168" s="135" cm="1">
        <f t="array" aca="1" ref="BU168" ca="1">_xlfn.CEILING.MATH(INDIRECT("Table1"&amp;BU$3)/BU$2)*BU$2</f>
        <v>25</v>
      </c>
      <c r="BV168" s="135" cm="1">
        <f t="array" aca="1" ref="BV168" ca="1">_xlfn.CEILING.MATH(INDIRECT("Table1"&amp;BV$3)/BV$2)*BV$2</f>
        <v>5000</v>
      </c>
      <c r="BW168" s="4"/>
      <c r="BX168" s="4"/>
      <c r="BY168" s="217"/>
      <c r="BZ168" s="4"/>
      <c r="CA168" s="3"/>
      <c r="CF168" s="5"/>
      <c r="CH168" s="8"/>
      <c r="CI168" s="8"/>
      <c r="CJ168" s="14"/>
      <c r="CK168" s="8"/>
      <c r="CL168" s="8"/>
      <c r="CM168" s="8"/>
      <c r="CN168" s="8"/>
      <c r="CO168" s="8"/>
      <c r="CP168" s="8"/>
      <c r="CQ168" s="8">
        <f>Table1[[#This Row],[In-Tok]]+AvgOutLoad*Table1[[#This Row],[Out-Tok]]</f>
        <v>5100</v>
      </c>
      <c r="CR168" s="8"/>
      <c r="CS168" s="8"/>
      <c r="CT168" s="8"/>
      <c r="CU168" s="8"/>
      <c r="CV168" s="8"/>
      <c r="CW168" s="8"/>
      <c r="CX168" s="8"/>
      <c r="CY168" s="8"/>
    </row>
    <row r="169" spans="1:103" hidden="1" x14ac:dyDescent="0.25">
      <c r="A169" s="26">
        <v>5000</v>
      </c>
      <c r="B169" s="3">
        <v>300</v>
      </c>
      <c r="C169" s="123">
        <v>2</v>
      </c>
      <c r="D169" s="216">
        <f>Table1[[#This Row],[Kvcache]]</f>
        <v>8.5151280062063614E-2</v>
      </c>
      <c r="E169" s="170" t="s">
        <v>154</v>
      </c>
      <c r="F169" s="218">
        <v>46104</v>
      </c>
      <c r="G169" s="10">
        <v>0</v>
      </c>
      <c r="H169" s="10">
        <v>0.18010354331357459</v>
      </c>
      <c r="I169" s="10">
        <v>0.15584917510258506</v>
      </c>
      <c r="J169" s="10">
        <v>0.19935697078417081</v>
      </c>
      <c r="K169" s="10">
        <v>0.36718264222145081</v>
      </c>
      <c r="L169" s="10">
        <v>0.39521757364273064</v>
      </c>
      <c r="M169" s="10">
        <v>1.1780866166576431E-2</v>
      </c>
      <c r="N169" s="10">
        <v>3.6773264539209221</v>
      </c>
      <c r="O169" s="47">
        <v>11221.144444444444</v>
      </c>
      <c r="P169" s="47">
        <v>618.81111111111113</v>
      </c>
      <c r="Q169" s="5">
        <v>6.4</v>
      </c>
      <c r="R169" s="5">
        <v>14.5</v>
      </c>
      <c r="S169" s="170">
        <v>8.5151280062063614E-2</v>
      </c>
      <c r="T169" s="170">
        <v>0.19313421256788205</v>
      </c>
      <c r="U169" s="3">
        <f>(Table1[[#This Row],[In-Tok]]+Table1[[#This Row],[Out-Tok]])*Table1[[#This Row],[RPS]]</f>
        <v>10600</v>
      </c>
      <c r="V169" s="3">
        <f>Table1[[#This Row],[In-Tok]]+$V$2*Table1[[#This Row],[Out-Tok]]</f>
        <v>5150</v>
      </c>
      <c r="W169" s="3">
        <f>Table1[[#This Row],[In-Tok]]*Table1[[#This Row],[RPS]]</f>
        <v>10000</v>
      </c>
      <c r="X169" s="3">
        <f>Table1[[#This Row],[Out-Tok]]*Table1[[#This Row],[RPS]]</f>
        <v>600</v>
      </c>
      <c r="Y169" s="75">
        <f>Table1[[#This Row],[In-Tok]]/Table1[[#This Row],[Out-Tok]]</f>
        <v>16.666666666666668</v>
      </c>
      <c r="Z169" s="26">
        <f>Table1[[#This Row],[In-Tok]]*Table1[[#This Row],[N]]+AvgOutLoad*Table1[[#This Row],[Out-Tok]]*Table1[[#This Row],[Ndecode]]</f>
        <v>39292.980149684481</v>
      </c>
      <c r="AA169" s="3">
        <f>Table1[[#This Row],[tok(N)]]/Table1[[#This Row],[Kvcache]]</f>
        <v>461449.08357273415</v>
      </c>
      <c r="AB169" s="3">
        <f>Table1[[#This Row],[tok/req]]*Table1[[#This Row],[Run]]</f>
        <v>32960</v>
      </c>
      <c r="AC169" s="3">
        <f>Table1[[#This Row],[tok(Run)]]/Table1[[#This Row],[Kvcache]]</f>
        <v>387075.80174927117</v>
      </c>
      <c r="AD169" s="3">
        <f>Table1[[#This Row],[tok/req]]*Table1[[#This Row],[MaxRun]]</f>
        <v>74675</v>
      </c>
      <c r="AE169" s="3">
        <f>Table1[[#This Row],[tok(MaxRun)]]/Table1[[#This Row],[MaxKvcache]]</f>
        <v>386648.22253464558</v>
      </c>
      <c r="AF169" s="75">
        <f>Table1[[#This Row],[PPS]]*Table1[[#This Row],[Prefill]]/Table1[[#This Row],[In-Tok]]</f>
        <v>0.34976122107472435</v>
      </c>
      <c r="AG169" s="5">
        <f>Table1[[#This Row],[GPS]]*Table1[[#This Row],[ITL]]</f>
        <v>7.2901308823904571</v>
      </c>
      <c r="AH169" s="5">
        <f>Table1[[#This Row],[Nprefill]]+Table1[[#This Row],[Ndecode]]</f>
        <v>7.6398921034651819</v>
      </c>
      <c r="AI169" s="4">
        <f>Table1[[#This Row],[Run]]/Table1[[#This Row],[ITL]]/Table1[[#This Row],[GPS]]</f>
        <v>0.87789919046027043</v>
      </c>
      <c r="AJ169" s="10">
        <f>Table1[[#This Row],[Prefill]]+Table1[[#This Row],[ITL]]</f>
        <v>0.16763004126916148</v>
      </c>
      <c r="AK169" s="4">
        <f>Table1[[#This Row],[TTFT]]/Table1[[#This Row],[estTTFT]]</f>
        <v>1.0744108988458969</v>
      </c>
      <c r="AL169" s="5">
        <f>Table1[[#This Row],[In-Tok]]*Table1[[#This Row],[RPS]]/Table1[[#This Row],[PPS]]</f>
        <v>0.89117469697584817</v>
      </c>
      <c r="AM169" s="4">
        <f>Table1[[#This Row],[Prefill]]/Table1[[#This Row],[estPrefill]]</f>
        <v>0.17488061053736217</v>
      </c>
      <c r="AN169" s="4">
        <f>Table1[[#This Row],[Prefill]]/Table1[[#This Row],[TTFT]]</f>
        <v>0.86533097703269091</v>
      </c>
      <c r="AO169" s="10">
        <f>Table1[[#This Row],[Run]]/(Table1[[#This Row],[Out-Tok]]*Table1[[#This Row],[RPS]])</f>
        <v>1.0666666666666668E-2</v>
      </c>
      <c r="AP169" s="4">
        <f>Table1[[#This Row],[ITL]]/Table1[[#This Row],[estITL]]</f>
        <v>1.1044562031165401</v>
      </c>
      <c r="AQ169" s="44">
        <f>Table1[[#This Row],[E2E]]-Table1[[#This Row],[TTFT]]+Table1[[#This Row],[ITL]]</f>
        <v>3.5090037767739242</v>
      </c>
      <c r="AR169" s="4">
        <f>Table1[[#This Row],[estDecode]]/Table1[[#This Row],[Run]]</f>
        <v>0.54828184012092562</v>
      </c>
      <c r="AS169" s="44">
        <f>Table1[[#This Row],[Prefill]]+Table1[[#This Row],[Out-Tok]]*Table1[[#This Row],[ITL]]</f>
        <v>3.6901090250755146</v>
      </c>
      <c r="AT169" s="5">
        <f>Table1[[#This Row],[estPrefill]]+Table1[[#This Row],[Out-Tok]]*Table1[[#This Row],[ITL]]</f>
        <v>4.4254345469487779</v>
      </c>
      <c r="AU169" s="4">
        <f>Table1[[#This Row],[E2E]]/Table1[[#This Row],[estE2E]]</f>
        <v>0.83095262508318946</v>
      </c>
      <c r="AV169" s="5">
        <f>Table1[[#This Row],[N]]/Table1[[#This Row],[estE2E]]</f>
        <v>1.7263597557290027</v>
      </c>
      <c r="AW169" s="5">
        <f>Table1[[#This Row],[PPS]]/Table1[[#This Row],[In-Tok]]</f>
        <v>2.2442288888888888</v>
      </c>
      <c r="AX169" s="4">
        <f>Table1[[#This Row],[RPS]]/Table1[[#This Row],[RPS(IL)]]</f>
        <v>0.89117469697584817</v>
      </c>
      <c r="AY169" s="5">
        <f>Table1[[#This Row],[GPS]]/Table1[[#This Row],[Out-Tok]]</f>
        <v>2.0627037037037037</v>
      </c>
      <c r="AZ169" s="89">
        <f>Table1[[#This Row],[RPS]]/Table1[[#This Row],[RPS(OL)]]</f>
        <v>0.96960120661483484</v>
      </c>
      <c r="BA169" s="135">
        <f>MaxTok/Table1[[#This Row],[tok/req]]</f>
        <v>75.322769318942775</v>
      </c>
      <c r="BB169" s="4">
        <f>Table1[[#This Row],[N]]/Table1[[#This Row],[N-max]]</f>
        <v>0.10142872032645565</v>
      </c>
      <c r="BC169" s="44">
        <f>Table1[[#This Row],[RPS]]</f>
        <v>2</v>
      </c>
      <c r="BD169" s="47">
        <f>Table1[[#This Row],[PPS]]/Table1[[#This Row],[RPS success]]</f>
        <v>5610.5722222222221</v>
      </c>
      <c r="BE169" s="4">
        <f>ABS(Table1[[#This Row],[est-In-Tok3]]-Table1[[#This Row],[In-Tok]])/Table1[[#This Row],[In-Tok]]</f>
        <v>0.12211444444444441</v>
      </c>
      <c r="BF169" s="47">
        <f>Table1[[#This Row],[GPS]]/Table1[[#This Row],[RPS success]]</f>
        <v>309.40555555555557</v>
      </c>
      <c r="BG169" s="4">
        <f>ABS(Table1[[#This Row],[est-Out-Tok3]]-Table1[[#This Row],[Out-Tok]])/Table1[[#This Row],[Out-Tok]]</f>
        <v>3.1351851851851888E-2</v>
      </c>
      <c r="BH169" s="162">
        <f>Table1[[#This Row],[est-In-Tok3]]+AvgOutLoad*Table1[[#This Row],[est-Out-Tok3]]</f>
        <v>5765.2749999999996</v>
      </c>
      <c r="BI169" s="4">
        <f>ABS(Table1[[#This Row],[est-Tok/Req3]]-Table1[[#This Row],[tok/req]])/Table1[[#This Row],[tok/req]]</f>
        <v>0.11947087378640769</v>
      </c>
      <c r="BJ169" s="162">
        <f>MaxTok/Table1[[#This Row],[est-Tok/Req3]]</f>
        <v>67.284259986306864</v>
      </c>
      <c r="BK169" s="4">
        <f>ABS(Table1[[#This Row],[est-N-max3]]-Table1[[#This Row],[N-max]])/Table1[[#This Row],[N-max]]</f>
        <v>0.10672084159038378</v>
      </c>
      <c r="BL169" s="44">
        <f>MaxTok*Table1[[#This Row],[Kvcache]]/Table1[[#This Row],[Run]]</f>
        <v>5161.1290094432297</v>
      </c>
      <c r="BM169" s="170">
        <f>ABS(Table1[[#This Row],[est-Tok/Req]]-Table1[[#This Row],[tok/req]])/Table1[[#This Row],[tok/req]]</f>
        <v>2.1609727074232495E-3</v>
      </c>
      <c r="BN169" s="44">
        <f>MaxTok/Table1[[#This Row],[est-Tok/Req]]</f>
        <v>75.160349854227405</v>
      </c>
      <c r="BO169" s="180">
        <f>Table1[[#This Row],[Run]]/Table1[[#This Row],[Kvcache]]</f>
        <v>75.160349854227405</v>
      </c>
      <c r="BP169" s="4" cm="1">
        <f t="array" aca="1" ref="BP169" ca="1">_xlfn.CEILING.MATH(INDIRECT("Table1"&amp;BP$3)/BP$2)*BP$2</f>
        <v>6000</v>
      </c>
      <c r="BQ169" s="4" cm="1">
        <f t="array" aca="1" ref="BQ169" ca="1">_xlfn.CEILING.MATH(INDIRECT("Table1"&amp;BQ$3)/BQ$2)*BQ$2</f>
        <v>1.4999999999999999E-2</v>
      </c>
      <c r="BR169" s="4" cm="1">
        <f t="array" aca="1" ref="BR169" ca="1">_xlfn.CEILING.MATH(INDIRECT("Table1"&amp;BR$3)/BR$2)*BR$2</f>
        <v>0.1</v>
      </c>
      <c r="BS169" s="4" cm="1">
        <f t="array" aca="1" ref="BS169" ca="1">_xlfn.CEILING.MATH(INDIRECT("Table1"&amp;BS$3)/BS$2)*BS$2</f>
        <v>0.09</v>
      </c>
      <c r="BT169" s="3" cm="1">
        <f t="array" aca="1" ref="BT169" ca="1">_xlfn.CEILING.MATH(INDIRECT("Table1"&amp;BT$3)/BT$2)*BT$2</f>
        <v>7</v>
      </c>
      <c r="BU169" s="135" cm="1">
        <f t="array" aca="1" ref="BU169" ca="1">_xlfn.CEILING.MATH(INDIRECT("Table1"&amp;BU$3)/BU$2)*BU$2</f>
        <v>20</v>
      </c>
      <c r="BV169" s="135" cm="1">
        <f t="array" aca="1" ref="BV169" ca="1">_xlfn.CEILING.MATH(INDIRECT("Table1"&amp;BV$3)/BV$2)*BV$2</f>
        <v>5000</v>
      </c>
      <c r="BW169" s="4"/>
      <c r="BX169" s="4"/>
      <c r="BY169" s="217"/>
      <c r="BZ169" s="4"/>
      <c r="CA169" s="3"/>
      <c r="CF169" s="5"/>
      <c r="CH169" s="8"/>
      <c r="CI169" s="8"/>
      <c r="CJ169" s="14"/>
      <c r="CK169" s="8"/>
      <c r="CL169" s="8"/>
      <c r="CM169" s="8"/>
      <c r="CN169" s="8"/>
      <c r="CO169" s="8"/>
      <c r="CP169" s="8"/>
      <c r="CQ169" s="8">
        <f>Table1[[#This Row],[In-Tok]]+AvgOutLoad*Table1[[#This Row],[Out-Tok]]</f>
        <v>5150</v>
      </c>
      <c r="CR169" s="8"/>
      <c r="CS169" s="8"/>
      <c r="CT169" s="8"/>
      <c r="CU169" s="8"/>
      <c r="CV169" s="8"/>
      <c r="CW169" s="8"/>
      <c r="CX169" s="8"/>
      <c r="CY169" s="8"/>
    </row>
    <row r="170" spans="1:103" hidden="1" x14ac:dyDescent="0.25">
      <c r="A170" s="26">
        <v>5000</v>
      </c>
      <c r="B170" s="3">
        <v>400</v>
      </c>
      <c r="C170" s="123">
        <v>2</v>
      </c>
      <c r="D170" s="216">
        <f>Table1[[#This Row],[Kvcache]]</f>
        <v>9.5996896819239702E-2</v>
      </c>
      <c r="E170" s="170" t="s">
        <v>154</v>
      </c>
      <c r="F170" s="218">
        <v>46104</v>
      </c>
      <c r="G170" s="10">
        <v>0</v>
      </c>
      <c r="H170" s="10">
        <v>0.17207564024201721</v>
      </c>
      <c r="I170" s="10">
        <v>0.15262846417983117</v>
      </c>
      <c r="J170" s="10">
        <v>0.19287694842680492</v>
      </c>
      <c r="K170" s="10">
        <v>0.31914190053939817</v>
      </c>
      <c r="L170" s="10">
        <v>0.35192007541656489</v>
      </c>
      <c r="M170" s="10">
        <v>1.1676885233167225E-2</v>
      </c>
      <c r="N170" s="10">
        <v>4.7898453187116807</v>
      </c>
      <c r="O170" s="47">
        <v>10128.844444444445</v>
      </c>
      <c r="P170" s="47">
        <v>742.85555555555561</v>
      </c>
      <c r="Q170" s="5">
        <v>7.15</v>
      </c>
      <c r="R170" s="5">
        <v>18</v>
      </c>
      <c r="S170" s="170">
        <v>9.5996896819239702E-2</v>
      </c>
      <c r="T170" s="170">
        <v>0.24146625290923196</v>
      </c>
      <c r="U170" s="3">
        <f>(Table1[[#This Row],[In-Tok]]+Table1[[#This Row],[Out-Tok]])*Table1[[#This Row],[RPS]]</f>
        <v>10800</v>
      </c>
      <c r="V170" s="3">
        <f>Table1[[#This Row],[In-Tok]]+$V$2*Table1[[#This Row],[Out-Tok]]</f>
        <v>5200</v>
      </c>
      <c r="W170" s="3">
        <f>Table1[[#This Row],[In-Tok]]*Table1[[#This Row],[RPS]]</f>
        <v>10000</v>
      </c>
      <c r="X170" s="3">
        <f>Table1[[#This Row],[Out-Tok]]*Table1[[#This Row],[RPS]]</f>
        <v>800</v>
      </c>
      <c r="Y170" s="75">
        <f>Table1[[#This Row],[In-Tok]]/Table1[[#This Row],[Out-Tok]]</f>
        <v>12.5</v>
      </c>
      <c r="Z170" s="26">
        <f>Table1[[#This Row],[In-Tok]]*Table1[[#This Row],[N]]+AvgOutLoad*Table1[[#This Row],[Out-Tok]]*Table1[[#This Row],[Ndecode]]</f>
        <v>46651.993120095067</v>
      </c>
      <c r="AA170" s="3">
        <f>Table1[[#This Row],[tok(N)]]/Table1[[#This Row],[Kvcache]]</f>
        <v>485973.97067886335</v>
      </c>
      <c r="AB170" s="3">
        <f>Table1[[#This Row],[tok/req]]*Table1[[#This Row],[Run]]</f>
        <v>37180</v>
      </c>
      <c r="AC170" s="3">
        <f>Table1[[#This Row],[tok(Run)]]/Table1[[#This Row],[Kvcache]]</f>
        <v>387304.18619686447</v>
      </c>
      <c r="AD170" s="3">
        <f>Table1[[#This Row],[tok/req]]*Table1[[#This Row],[MaxRun]]</f>
        <v>93600</v>
      </c>
      <c r="AE170" s="3">
        <f>Table1[[#This Row],[tok(MaxRun)]]/Table1[[#This Row],[MaxKvcache]]</f>
        <v>387631.80722891568</v>
      </c>
      <c r="AF170" s="75">
        <f>Table1[[#This Row],[PPS]]*Table1[[#This Row],[Prefill]]/Table1[[#This Row],[In-Tok]]</f>
        <v>0.3091899942943942</v>
      </c>
      <c r="AG170" s="5">
        <f>Table1[[#This Row],[GPS]]*Table1[[#This Row],[ITL]]</f>
        <v>8.6742390670429028</v>
      </c>
      <c r="AH170" s="5">
        <f>Table1[[#This Row],[Nprefill]]+Table1[[#This Row],[Ndecode]]</f>
        <v>8.9834290613372971</v>
      </c>
      <c r="AI170" s="4">
        <f>Table1[[#This Row],[Run]]/Table1[[#This Row],[ITL]]/Table1[[#This Row],[GPS]]</f>
        <v>0.82427979500425241</v>
      </c>
      <c r="AJ170" s="10">
        <f>Table1[[#This Row],[Prefill]]+Table1[[#This Row],[ITL]]</f>
        <v>0.1643053494129984</v>
      </c>
      <c r="AK170" s="4">
        <f>Table1[[#This Row],[TTFT]]/Table1[[#This Row],[estTTFT]]</f>
        <v>1.0472917702118596</v>
      </c>
      <c r="AL170" s="5">
        <f>Table1[[#This Row],[In-Tok]]*Table1[[#This Row],[RPS]]/Table1[[#This Row],[PPS]]</f>
        <v>0.98727945274002948</v>
      </c>
      <c r="AM170" s="4">
        <f>Table1[[#This Row],[Prefill]]/Table1[[#This Row],[estPrefill]]</f>
        <v>0.1545949971471971</v>
      </c>
      <c r="AN170" s="4">
        <f>Table1[[#This Row],[Prefill]]/Table1[[#This Row],[TTFT]]</f>
        <v>0.88698472349232926</v>
      </c>
      <c r="AO170" s="10">
        <f>Table1[[#This Row],[Run]]/(Table1[[#This Row],[Out-Tok]]*Table1[[#This Row],[RPS]])</f>
        <v>8.937500000000001E-3</v>
      </c>
      <c r="AP170" s="4">
        <f>Table1[[#This Row],[ITL]]/Table1[[#This Row],[estITL]]</f>
        <v>1.3065046414732557</v>
      </c>
      <c r="AQ170" s="44">
        <f>Table1[[#This Row],[E2E]]-Table1[[#This Row],[TTFT]]+Table1[[#This Row],[ITL]]</f>
        <v>4.6294465637028308</v>
      </c>
      <c r="AR170" s="4">
        <f>Table1[[#This Row],[estDecode]]/Table1[[#This Row],[Run]]</f>
        <v>0.64747504387452171</v>
      </c>
      <c r="AS170" s="44">
        <f>Table1[[#This Row],[Prefill]]+Table1[[#This Row],[Out-Tok]]*Table1[[#This Row],[ITL]]</f>
        <v>4.8233825574467213</v>
      </c>
      <c r="AT170" s="5">
        <f>Table1[[#This Row],[estPrefill]]+Table1[[#This Row],[Out-Tok]]*Table1[[#This Row],[ITL]]</f>
        <v>5.6580335460069193</v>
      </c>
      <c r="AU170" s="4">
        <f>Table1[[#This Row],[E2E]]/Table1[[#This Row],[estE2E]]</f>
        <v>0.84655654296925287</v>
      </c>
      <c r="AV170" s="5">
        <f>Table1[[#This Row],[N]]/Table1[[#This Row],[estE2E]]</f>
        <v>1.5877299044430782</v>
      </c>
      <c r="AW170" s="5">
        <f>Table1[[#This Row],[PPS]]/Table1[[#This Row],[In-Tok]]</f>
        <v>2.025768888888889</v>
      </c>
      <c r="AX170" s="4">
        <f>Table1[[#This Row],[RPS]]/Table1[[#This Row],[RPS(IL)]]</f>
        <v>0.98727945274002959</v>
      </c>
      <c r="AY170" s="5">
        <f>Table1[[#This Row],[GPS]]/Table1[[#This Row],[Out-Tok]]</f>
        <v>1.8571388888888891</v>
      </c>
      <c r="AZ170" s="89">
        <f>Table1[[#This Row],[RPS]]/Table1[[#This Row],[RPS(OL)]]</f>
        <v>1.0769253780456796</v>
      </c>
      <c r="BA170" s="135">
        <f>MaxTok/Table1[[#This Row],[tok/req]]</f>
        <v>74.59851192164524</v>
      </c>
      <c r="BB170" s="4">
        <f>Table1[[#This Row],[N]]/Table1[[#This Row],[N-max]]</f>
        <v>0.1204237032338268</v>
      </c>
      <c r="BC170" s="44">
        <f>Table1[[#This Row],[RPS]]</f>
        <v>2</v>
      </c>
      <c r="BD170" s="47">
        <f>Table1[[#This Row],[PPS]]/Table1[[#This Row],[RPS success]]</f>
        <v>5064.4222222222224</v>
      </c>
      <c r="BE170" s="4">
        <f>ABS(Table1[[#This Row],[est-In-Tok3]]-Table1[[#This Row],[In-Tok]])/Table1[[#This Row],[In-Tok]]</f>
        <v>1.2884444444444488E-2</v>
      </c>
      <c r="BF170" s="47">
        <f>Table1[[#This Row],[GPS]]/Table1[[#This Row],[RPS success]]</f>
        <v>371.42777777777781</v>
      </c>
      <c r="BG170" s="4">
        <f>ABS(Table1[[#This Row],[est-Out-Tok3]]-Table1[[#This Row],[Out-Tok]])/Table1[[#This Row],[Out-Tok]]</f>
        <v>7.1430555555555483E-2</v>
      </c>
      <c r="BH170" s="162">
        <f>Table1[[#This Row],[est-In-Tok3]]+AvgOutLoad*Table1[[#This Row],[est-Out-Tok3]]</f>
        <v>5250.1361111111109</v>
      </c>
      <c r="BI170" s="4">
        <f>ABS(Table1[[#This Row],[est-Tok/Req3]]-Table1[[#This Row],[tok/req]])/Table1[[#This Row],[tok/req]]</f>
        <v>9.6415598290597974E-3</v>
      </c>
      <c r="BJ170" s="162">
        <f>MaxTok/Table1[[#This Row],[est-Tok/Req3]]</f>
        <v>73.886134336898095</v>
      </c>
      <c r="BK170" s="4">
        <f>ABS(Table1[[#This Row],[est-N-max3]]-Table1[[#This Row],[N-max]])/Table1[[#This Row],[N-max]]</f>
        <v>9.5494878704201602E-3</v>
      </c>
      <c r="BL170" s="44">
        <f>MaxTok*Table1[[#This Row],[Kvcache]]/Table1[[#This Row],[Run]]</f>
        <v>5208.1641104080009</v>
      </c>
      <c r="BM170" s="170">
        <f>ABS(Table1[[#This Row],[est-Tok/Req]]-Table1[[#This Row],[tok/req]])/Table1[[#This Row],[tok/req]]</f>
        <v>1.5700212323078561E-3</v>
      </c>
      <c r="BN170" s="44">
        <f>MaxTok/Table1[[#This Row],[est-Tok/Req]]</f>
        <v>74.481574268627782</v>
      </c>
      <c r="BO170" s="180">
        <f>Table1[[#This Row],[Run]]/Table1[[#This Row],[Kvcache]]</f>
        <v>74.481574268627782</v>
      </c>
      <c r="BP170" s="4" cm="1">
        <f t="array" aca="1" ref="BP170" ca="1">_xlfn.CEILING.MATH(INDIRECT("Table1"&amp;BP$3)/BP$2)*BP$2</f>
        <v>6000</v>
      </c>
      <c r="BQ170" s="4" cm="1">
        <f t="array" aca="1" ref="BQ170" ca="1">_xlfn.CEILING.MATH(INDIRECT("Table1"&amp;BQ$3)/BQ$2)*BQ$2</f>
        <v>1.4999999999999999E-2</v>
      </c>
      <c r="BR170" s="4" cm="1">
        <f t="array" aca="1" ref="BR170" ca="1">_xlfn.CEILING.MATH(INDIRECT("Table1"&amp;BR$3)/BR$2)*BR$2</f>
        <v>0.1</v>
      </c>
      <c r="BS170" s="4" cm="1">
        <f t="array" aca="1" ref="BS170" ca="1">_xlfn.CEILING.MATH(INDIRECT("Table1"&amp;BS$3)/BS$2)*BS$2</f>
        <v>0.1</v>
      </c>
      <c r="BT170" s="3" cm="1">
        <f t="array" aca="1" ref="BT170" ca="1">_xlfn.CEILING.MATH(INDIRECT("Table1"&amp;BT$3)/BT$2)*BT$2</f>
        <v>8</v>
      </c>
      <c r="BU170" s="135" cm="1">
        <f t="array" aca="1" ref="BU170" ca="1">_xlfn.CEILING.MATH(INDIRECT("Table1"&amp;BU$3)/BU$2)*BU$2</f>
        <v>15</v>
      </c>
      <c r="BV170" s="135" cm="1">
        <f t="array" aca="1" ref="BV170" ca="1">_xlfn.CEILING.MATH(INDIRECT("Table1"&amp;BV$3)/BV$2)*BV$2</f>
        <v>5000</v>
      </c>
      <c r="BW170" s="4"/>
      <c r="BX170" s="4"/>
      <c r="BY170" s="217"/>
      <c r="BZ170" s="4"/>
      <c r="CA170" s="3"/>
      <c r="CF170" s="5"/>
      <c r="CH170" s="8"/>
      <c r="CI170" s="8"/>
      <c r="CJ170" s="14"/>
      <c r="CK170" s="8"/>
      <c r="CL170" s="8"/>
      <c r="CM170" s="8"/>
      <c r="CN170" s="8"/>
      <c r="CO170" s="8"/>
      <c r="CP170" s="8"/>
      <c r="CQ170" s="8">
        <f>Table1[[#This Row],[In-Tok]]+AvgOutLoad*Table1[[#This Row],[Out-Tok]]</f>
        <v>5200</v>
      </c>
      <c r="CR170" s="8"/>
      <c r="CS170" s="8"/>
      <c r="CT170" s="8"/>
      <c r="CU170" s="8"/>
      <c r="CV170" s="8"/>
      <c r="CW170" s="8"/>
      <c r="CX170" s="8"/>
      <c r="CY170" s="8"/>
    </row>
    <row r="171" spans="1:103" hidden="1" x14ac:dyDescent="0.25">
      <c r="A171" s="26">
        <v>5000</v>
      </c>
      <c r="B171" s="3">
        <v>500</v>
      </c>
      <c r="C171" s="123">
        <v>2</v>
      </c>
      <c r="D171" s="216">
        <f>Table1[[#This Row],[Kvcache]]</f>
        <v>0.15773467804499613</v>
      </c>
      <c r="E171" s="170" t="s">
        <v>154</v>
      </c>
      <c r="F171" s="218">
        <v>46104</v>
      </c>
      <c r="G171" s="10">
        <v>0</v>
      </c>
      <c r="H171" s="10">
        <v>0.1777169260467413</v>
      </c>
      <c r="I171" s="10">
        <v>0.15293560778137025</v>
      </c>
      <c r="J171" s="10">
        <v>0.19825439575876058</v>
      </c>
      <c r="K171" s="10">
        <v>0.36117444634437562</v>
      </c>
      <c r="L171" s="10">
        <v>0.39942485332489014</v>
      </c>
      <c r="M171" s="10">
        <v>1.2692933260667404E-2</v>
      </c>
      <c r="N171" s="10">
        <v>6.3584812155797552</v>
      </c>
      <c r="O171" s="47">
        <v>10510.31111111111</v>
      </c>
      <c r="P171" s="47">
        <v>942.40555555555557</v>
      </c>
      <c r="Q171" s="5">
        <v>11.649999999999999</v>
      </c>
      <c r="R171" s="5">
        <v>23.5</v>
      </c>
      <c r="S171" s="170">
        <v>0.15773467804499613</v>
      </c>
      <c r="T171" s="170">
        <v>0.31726144297905357</v>
      </c>
      <c r="U171" s="3">
        <f>(Table1[[#This Row],[In-Tok]]+Table1[[#This Row],[Out-Tok]])*Table1[[#This Row],[RPS]]</f>
        <v>11000</v>
      </c>
      <c r="V171" s="3">
        <f>Table1[[#This Row],[In-Tok]]+$V$2*Table1[[#This Row],[Out-Tok]]</f>
        <v>5250</v>
      </c>
      <c r="W171" s="3">
        <f>Table1[[#This Row],[In-Tok]]*Table1[[#This Row],[RPS]]</f>
        <v>10000</v>
      </c>
      <c r="X171" s="3">
        <f>Table1[[#This Row],[Out-Tok]]*Table1[[#This Row],[RPS]]</f>
        <v>1000</v>
      </c>
      <c r="Y171" s="75">
        <f>Table1[[#This Row],[In-Tok]]/Table1[[#This Row],[Out-Tok]]</f>
        <v>10</v>
      </c>
      <c r="Z171" s="26">
        <f>Table1[[#This Row],[In-Tok]]*Table1[[#This Row],[N]]+AvgOutLoad*Table1[[#This Row],[Out-Tok]]*Table1[[#This Row],[Ndecode]]</f>
        <v>64407.327628780549</v>
      </c>
      <c r="AA171" s="3">
        <f>Table1[[#This Row],[tok(N)]]/Table1[[#This Row],[Kvcache]]</f>
        <v>408326.99839414773</v>
      </c>
      <c r="AB171" s="3">
        <f>Table1[[#This Row],[tok/req]]*Table1[[#This Row],[Run]]</f>
        <v>61162.499999999993</v>
      </c>
      <c r="AC171" s="3">
        <f>Table1[[#This Row],[tok(Run)]]/Table1[[#This Row],[Kvcache]]</f>
        <v>387755.5700373794</v>
      </c>
      <c r="AD171" s="3">
        <f>Table1[[#This Row],[tok/req]]*Table1[[#This Row],[MaxRun]]</f>
        <v>123375</v>
      </c>
      <c r="AE171" s="3">
        <f>Table1[[#This Row],[tok(MaxRun)]]/Table1[[#This Row],[MaxKvcache]]</f>
        <v>388874.8624526225</v>
      </c>
      <c r="AF171" s="75">
        <f>Table1[[#This Row],[PPS]]*Table1[[#This Row],[Prefill]]/Table1[[#This Row],[In-Tok]]</f>
        <v>0.32148016354981329</v>
      </c>
      <c r="AG171" s="5">
        <f>Table1[[#This Row],[GPS]]*Table1[[#This Row],[ITL]]</f>
        <v>11.961890821148854</v>
      </c>
      <c r="AH171" s="5">
        <f>Table1[[#This Row],[Nprefill]]+Table1[[#This Row],[Ndecode]]</f>
        <v>12.283370984698667</v>
      </c>
      <c r="AI171" s="4">
        <f>Table1[[#This Row],[Run]]/Table1[[#This Row],[ITL]]/Table1[[#This Row],[GPS]]</f>
        <v>0.97392629427803945</v>
      </c>
      <c r="AJ171" s="10">
        <f>Table1[[#This Row],[Prefill]]+Table1[[#This Row],[ITL]]</f>
        <v>0.16562854104203764</v>
      </c>
      <c r="AK171" s="4">
        <f>Table1[[#This Row],[TTFT]]/Table1[[#This Row],[estTTFT]]</f>
        <v>1.07298491509163</v>
      </c>
      <c r="AL171" s="5">
        <f>Table1[[#This Row],[In-Tok]]*Table1[[#This Row],[RPS]]/Table1[[#This Row],[PPS]]</f>
        <v>0.95144662173019523</v>
      </c>
      <c r="AM171" s="4">
        <f>Table1[[#This Row],[Prefill]]/Table1[[#This Row],[estPrefill]]</f>
        <v>0.16074008177490665</v>
      </c>
      <c r="AN171" s="4">
        <f>Table1[[#This Row],[Prefill]]/Table1[[#This Row],[TTFT]]</f>
        <v>0.8605573547966201</v>
      </c>
      <c r="AO171" s="10">
        <f>Table1[[#This Row],[Run]]/(Table1[[#This Row],[Out-Tok]]*Table1[[#This Row],[RPS]])</f>
        <v>1.1649999999999999E-2</v>
      </c>
      <c r="AP171" s="4">
        <f>Table1[[#This Row],[ITL]]/Table1[[#This Row],[estITL]]</f>
        <v>1.0895221682976313</v>
      </c>
      <c r="AQ171" s="44">
        <f>Table1[[#This Row],[E2E]]-Table1[[#This Row],[TTFT]]+Table1[[#This Row],[ITL]]</f>
        <v>6.1934572227936808</v>
      </c>
      <c r="AR171" s="4">
        <f>Table1[[#This Row],[estDecode]]/Table1[[#This Row],[Run]]</f>
        <v>0.53162722942435037</v>
      </c>
      <c r="AS171" s="44">
        <f>Table1[[#This Row],[Prefill]]+Table1[[#This Row],[Out-Tok]]*Table1[[#This Row],[ITL]]</f>
        <v>6.4994022381150724</v>
      </c>
      <c r="AT171" s="5">
        <f>Table1[[#This Row],[estPrefill]]+Table1[[#This Row],[Out-Tok]]*Table1[[#This Row],[ITL]]</f>
        <v>7.2979132520638972</v>
      </c>
      <c r="AU171" s="4">
        <f>Table1[[#This Row],[E2E]]/Table1[[#This Row],[estE2E]]</f>
        <v>0.87127388281595919</v>
      </c>
      <c r="AV171" s="5">
        <f>Table1[[#This Row],[N]]/Table1[[#This Row],[estE2E]]</f>
        <v>1.6831346934995219</v>
      </c>
      <c r="AW171" s="5">
        <f>Table1[[#This Row],[PPS]]/Table1[[#This Row],[In-Tok]]</f>
        <v>2.1020622222222221</v>
      </c>
      <c r="AX171" s="4">
        <f>Table1[[#This Row],[RPS]]/Table1[[#This Row],[RPS(IL)]]</f>
        <v>0.95144662173019523</v>
      </c>
      <c r="AY171" s="5">
        <f>Table1[[#This Row],[GPS]]/Table1[[#This Row],[Out-Tok]]</f>
        <v>1.8848111111111112</v>
      </c>
      <c r="AZ171" s="89">
        <f>Table1[[#This Row],[RPS]]/Table1[[#This Row],[RPS(OL)]]</f>
        <v>1.0611142879038866</v>
      </c>
      <c r="BA171" s="135">
        <f>MaxTok/Table1[[#This Row],[tok/req]]</f>
        <v>73.88804990334387</v>
      </c>
      <c r="BB171" s="4">
        <f>Table1[[#This Row],[N]]/Table1[[#This Row],[N-max]]</f>
        <v>0.16624299870908857</v>
      </c>
      <c r="BC171" s="44">
        <f>Table1[[#This Row],[RPS]]</f>
        <v>2</v>
      </c>
      <c r="BD171" s="47">
        <f>Table1[[#This Row],[PPS]]/Table1[[#This Row],[RPS success]]</f>
        <v>5255.1555555555551</v>
      </c>
      <c r="BE171" s="4">
        <f>ABS(Table1[[#This Row],[est-In-Tok3]]-Table1[[#This Row],[In-Tok]])/Table1[[#This Row],[In-Tok]]</f>
        <v>5.103111111111102E-2</v>
      </c>
      <c r="BF171" s="47">
        <f>Table1[[#This Row],[GPS]]/Table1[[#This Row],[RPS success]]</f>
        <v>471.20277777777778</v>
      </c>
      <c r="BG171" s="4">
        <f>ABS(Table1[[#This Row],[est-Out-Tok3]]-Table1[[#This Row],[Out-Tok]])/Table1[[#This Row],[Out-Tok]]</f>
        <v>5.7594444444444434E-2</v>
      </c>
      <c r="BH171" s="162">
        <f>Table1[[#This Row],[est-In-Tok3]]+AvgOutLoad*Table1[[#This Row],[est-Out-Tok3]]</f>
        <v>5490.7569444444443</v>
      </c>
      <c r="BI171" s="4">
        <f>ABS(Table1[[#This Row],[est-Tok/Req3]]-Table1[[#This Row],[tok/req]])/Table1[[#This Row],[tok/req]]</f>
        <v>4.5858465608465591E-2</v>
      </c>
      <c r="BJ171" s="162">
        <f>MaxTok/Table1[[#This Row],[est-Tok/Req3]]</f>
        <v>70.64823045664869</v>
      </c>
      <c r="BK171" s="4">
        <f>ABS(Table1[[#This Row],[est-N-max3]]-Table1[[#This Row],[N-max]])/Table1[[#This Row],[N-max]]</f>
        <v>4.3847678358453449E-2</v>
      </c>
      <c r="BL171" s="44">
        <f>MaxTok*Table1[[#This Row],[Kvcache]]/Table1[[#This Row],[Run]]</f>
        <v>5252.121524043082</v>
      </c>
      <c r="BM171" s="170">
        <f>ABS(Table1[[#This Row],[est-Tok/Req]]-Table1[[#This Row],[tok/req]])/Table1[[#This Row],[tok/req]]</f>
        <v>4.0409981772990294E-4</v>
      </c>
      <c r="BN171" s="44">
        <f>MaxTok/Table1[[#This Row],[est-Tok/Req]]</f>
        <v>73.858203816643694</v>
      </c>
      <c r="BO171" s="180">
        <f>Table1[[#This Row],[Run]]/Table1[[#This Row],[Kvcache]]</f>
        <v>73.858203816643694</v>
      </c>
      <c r="BP171" s="4" cm="1">
        <f t="array" aca="1" ref="BP171" ca="1">_xlfn.CEILING.MATH(INDIRECT("Table1"&amp;BP$3)/BP$2)*BP$2</f>
        <v>6000</v>
      </c>
      <c r="BQ171" s="4" cm="1">
        <f t="array" aca="1" ref="BQ171" ca="1">_xlfn.CEILING.MATH(INDIRECT("Table1"&amp;BQ$3)/BQ$2)*BQ$2</f>
        <v>1.4999999999999999E-2</v>
      </c>
      <c r="BR171" s="4" cm="1">
        <f t="array" aca="1" ref="BR171" ca="1">_xlfn.CEILING.MATH(INDIRECT("Table1"&amp;BR$3)/BR$2)*BR$2</f>
        <v>0.2</v>
      </c>
      <c r="BS171" s="4" cm="1">
        <f t="array" aca="1" ref="BS171" ca="1">_xlfn.CEILING.MATH(INDIRECT("Table1"&amp;BS$3)/BS$2)*BS$2</f>
        <v>0.16</v>
      </c>
      <c r="BT171" s="3" cm="1">
        <f t="array" aca="1" ref="BT171" ca="1">_xlfn.CEILING.MATH(INDIRECT("Table1"&amp;BT$3)/BT$2)*BT$2</f>
        <v>12</v>
      </c>
      <c r="BU171" s="135" cm="1">
        <f t="array" aca="1" ref="BU171" ca="1">_xlfn.CEILING.MATH(INDIRECT("Table1"&amp;BU$3)/BU$2)*BU$2</f>
        <v>10</v>
      </c>
      <c r="BV171" s="135" cm="1">
        <f t="array" aca="1" ref="BV171" ca="1">_xlfn.CEILING.MATH(INDIRECT("Table1"&amp;BV$3)/BV$2)*BV$2</f>
        <v>5000</v>
      </c>
      <c r="BW171" s="4"/>
      <c r="BX171" s="4"/>
      <c r="BY171" s="217"/>
      <c r="BZ171" s="4"/>
      <c r="CA171" s="3"/>
      <c r="CF171" s="5"/>
      <c r="CH171" s="8"/>
      <c r="CI171" s="8"/>
      <c r="CJ171" s="14"/>
      <c r="CK171" s="8"/>
      <c r="CL171" s="8"/>
      <c r="CM171" s="8"/>
      <c r="CN171" s="8"/>
      <c r="CO171" s="8"/>
      <c r="CP171" s="8"/>
      <c r="CQ171" s="8">
        <f>Table1[[#This Row],[In-Tok]]+AvgOutLoad*Table1[[#This Row],[Out-Tok]]</f>
        <v>5250</v>
      </c>
      <c r="CR171" s="8"/>
      <c r="CS171" s="8"/>
      <c r="CT171" s="8"/>
      <c r="CU171" s="8"/>
      <c r="CV171" s="8"/>
      <c r="CW171" s="8"/>
      <c r="CX171" s="8"/>
      <c r="CY171" s="8"/>
    </row>
    <row r="172" spans="1:103" hidden="1" x14ac:dyDescent="0.25">
      <c r="A172" s="26">
        <v>5000</v>
      </c>
      <c r="B172" s="3">
        <v>600</v>
      </c>
      <c r="C172" s="123">
        <v>2</v>
      </c>
      <c r="D172" s="216">
        <f>Table1[[#This Row],[Kvcache]]</f>
        <v>0.17876260667183863</v>
      </c>
      <c r="E172" s="170" t="s">
        <v>154</v>
      </c>
      <c r="F172" s="218">
        <v>46104</v>
      </c>
      <c r="G172" s="10">
        <v>0</v>
      </c>
      <c r="H172" s="10">
        <v>0.16731351777059139</v>
      </c>
      <c r="I172" s="10">
        <v>0.1516079727410618</v>
      </c>
      <c r="J172" s="10">
        <v>0.1869830685508008</v>
      </c>
      <c r="K172" s="10">
        <v>0.29341171979904168</v>
      </c>
      <c r="L172" s="10">
        <v>0.3577267122268678</v>
      </c>
      <c r="M172" s="10">
        <v>1.2816159787474895E-2</v>
      </c>
      <c r="N172" s="10">
        <v>7.627520727773085</v>
      </c>
      <c r="O172" s="47">
        <v>9472.177777777777</v>
      </c>
      <c r="P172" s="47">
        <v>998.05000000000018</v>
      </c>
      <c r="Q172" s="5">
        <v>13.1</v>
      </c>
      <c r="R172" s="5">
        <v>25</v>
      </c>
      <c r="S172" s="170">
        <v>0.17876260667183863</v>
      </c>
      <c r="T172" s="170">
        <v>0.34208688906128781</v>
      </c>
      <c r="U172" s="3">
        <f>(Table1[[#This Row],[In-Tok]]+Table1[[#This Row],[Out-Tok]])*Table1[[#This Row],[RPS]]</f>
        <v>11200</v>
      </c>
      <c r="V172" s="3">
        <f>Table1[[#This Row],[In-Tok]]+$V$2*Table1[[#This Row],[Out-Tok]]</f>
        <v>5300</v>
      </c>
      <c r="W172" s="3">
        <f>Table1[[#This Row],[In-Tok]]*Table1[[#This Row],[RPS]]</f>
        <v>10000</v>
      </c>
      <c r="X172" s="3">
        <f>Table1[[#This Row],[Out-Tok]]*Table1[[#This Row],[RPS]]</f>
        <v>1200</v>
      </c>
      <c r="Y172" s="75">
        <f>Table1[[#This Row],[In-Tok]]/Table1[[#This Row],[Out-Tok]]</f>
        <v>8.3333333333333339</v>
      </c>
      <c r="Z172" s="26">
        <f>Table1[[#This Row],[In-Tok]]*Table1[[#This Row],[N]]+AvgOutLoad*Table1[[#This Row],[Out-Tok]]*Table1[[#This Row],[Ndecode]]</f>
        <v>69229.249532545233</v>
      </c>
      <c r="AA172" s="3">
        <f>Table1[[#This Row],[tok(N)]]/Table1[[#This Row],[Kvcache]]</f>
        <v>387269.18801107001</v>
      </c>
      <c r="AB172" s="3">
        <f>Table1[[#This Row],[tok/req]]*Table1[[#This Row],[Run]]</f>
        <v>69430</v>
      </c>
      <c r="AC172" s="3">
        <f>Table1[[#This Row],[tok(Run)]]/Table1[[#This Row],[Kvcache]]</f>
        <v>388392.18834761856</v>
      </c>
      <c r="AD172" s="3">
        <f>Table1[[#This Row],[tok/req]]*Table1[[#This Row],[MaxRun]]</f>
        <v>132500</v>
      </c>
      <c r="AE172" s="3">
        <f>Table1[[#This Row],[tok(MaxRun)]]/Table1[[#This Row],[MaxKvcache]]</f>
        <v>387328.49529425107</v>
      </c>
      <c r="AF172" s="75">
        <f>Table1[[#This Row],[PPS]]*Table1[[#This Row],[Prefill]]/Table1[[#This Row],[In-Tok]]</f>
        <v>0.2872115340663649</v>
      </c>
      <c r="AG172" s="5">
        <f>Table1[[#This Row],[GPS]]*Table1[[#This Row],[ITL]]</f>
        <v>12.791168275889321</v>
      </c>
      <c r="AH172" s="5">
        <f>Table1[[#This Row],[Nprefill]]+Table1[[#This Row],[Ndecode]]</f>
        <v>13.078379809955686</v>
      </c>
      <c r="AI172" s="4">
        <f>Table1[[#This Row],[Run]]/Table1[[#This Row],[ITL]]/Table1[[#This Row],[GPS]]</f>
        <v>1.0241441373805402</v>
      </c>
      <c r="AJ172" s="10">
        <f>Table1[[#This Row],[Prefill]]+Table1[[#This Row],[ITL]]</f>
        <v>0.16442413252853669</v>
      </c>
      <c r="AK172" s="4">
        <f>Table1[[#This Row],[TTFT]]/Table1[[#This Row],[estTTFT]]</f>
        <v>1.0175727564903116</v>
      </c>
      <c r="AL172" s="5">
        <f>Table1[[#This Row],[In-Tok]]*Table1[[#This Row],[RPS]]/Table1[[#This Row],[PPS]]</f>
        <v>1.055723428614328</v>
      </c>
      <c r="AM172" s="4">
        <f>Table1[[#This Row],[Prefill]]/Table1[[#This Row],[estPrefill]]</f>
        <v>0.14360576703318245</v>
      </c>
      <c r="AN172" s="4">
        <f>Table1[[#This Row],[Prefill]]/Table1[[#This Row],[TTFT]]</f>
        <v>0.90613104524486821</v>
      </c>
      <c r="AO172" s="10">
        <f>Table1[[#This Row],[Run]]/(Table1[[#This Row],[Out-Tok]]*Table1[[#This Row],[RPS]])</f>
        <v>1.0916666666666667E-2</v>
      </c>
      <c r="AP172" s="4">
        <f>Table1[[#This Row],[ITL]]/Table1[[#This Row],[estITL]]</f>
        <v>1.1739993698450286</v>
      </c>
      <c r="AQ172" s="44">
        <f>Table1[[#This Row],[E2E]]-Table1[[#This Row],[TTFT]]+Table1[[#This Row],[ITL]]</f>
        <v>7.473023369789968</v>
      </c>
      <c r="AR172" s="4">
        <f>Table1[[#This Row],[estDecode]]/Table1[[#This Row],[Run]]</f>
        <v>0.5704597992206083</v>
      </c>
      <c r="AS172" s="44">
        <f>Table1[[#This Row],[Prefill]]+Table1[[#This Row],[Out-Tok]]*Table1[[#This Row],[ITL]]</f>
        <v>7.8413038452259993</v>
      </c>
      <c r="AT172" s="5">
        <f>Table1[[#This Row],[estPrefill]]+Table1[[#This Row],[Out-Tok]]*Table1[[#This Row],[ITL]]</f>
        <v>8.7454193010992647</v>
      </c>
      <c r="AU172" s="4">
        <f>Table1[[#This Row],[E2E]]/Table1[[#This Row],[estE2E]]</f>
        <v>0.87217324466241841</v>
      </c>
      <c r="AV172" s="5">
        <f>Table1[[#This Row],[N]]/Table1[[#This Row],[estE2E]]</f>
        <v>1.4954548615309715</v>
      </c>
      <c r="AW172" s="5">
        <f>Table1[[#This Row],[PPS]]/Table1[[#This Row],[In-Tok]]</f>
        <v>1.8944355555555554</v>
      </c>
      <c r="AX172" s="4">
        <f>Table1[[#This Row],[RPS]]/Table1[[#This Row],[RPS(IL)]]</f>
        <v>1.0557234286143278</v>
      </c>
      <c r="AY172" s="5">
        <f>Table1[[#This Row],[GPS]]/Table1[[#This Row],[Out-Tok]]</f>
        <v>1.663416666666667</v>
      </c>
      <c r="AZ172" s="89">
        <f>Table1[[#This Row],[RPS]]/Table1[[#This Row],[RPS(OL)]]</f>
        <v>1.2023445719152346</v>
      </c>
      <c r="BA172" s="135">
        <f>MaxTok/Table1[[#This Row],[tok/req]]</f>
        <v>73.190992828784019</v>
      </c>
      <c r="BB172" s="4">
        <f>Table1[[#This Row],[N]]/Table1[[#This Row],[N-max]]</f>
        <v>0.17868837823460043</v>
      </c>
      <c r="BC172" s="44">
        <f>Table1[[#This Row],[RPS]]</f>
        <v>2</v>
      </c>
      <c r="BD172" s="47">
        <f>Table1[[#This Row],[PPS]]/Table1[[#This Row],[RPS success]]</f>
        <v>4736.0888888888885</v>
      </c>
      <c r="BE172" s="4">
        <f>ABS(Table1[[#This Row],[est-In-Tok3]]-Table1[[#This Row],[In-Tok]])/Table1[[#This Row],[In-Tok]]</f>
        <v>5.27822222222223E-2</v>
      </c>
      <c r="BF172" s="47">
        <f>Table1[[#This Row],[GPS]]/Table1[[#This Row],[RPS success]]</f>
        <v>499.02500000000009</v>
      </c>
      <c r="BG172" s="4">
        <f>ABS(Table1[[#This Row],[est-Out-Tok3]]-Table1[[#This Row],[Out-Tok]])/Table1[[#This Row],[Out-Tok]]</f>
        <v>0.16829166666666651</v>
      </c>
      <c r="BH172" s="162">
        <f>Table1[[#This Row],[est-In-Tok3]]+AvgOutLoad*Table1[[#This Row],[est-Out-Tok3]]</f>
        <v>4985.6013888888883</v>
      </c>
      <c r="BI172" s="4">
        <f>ABS(Table1[[#This Row],[est-Tok/Req3]]-Table1[[#This Row],[tok/req]])/Table1[[#This Row],[tok/req]]</f>
        <v>5.9320492662473905E-2</v>
      </c>
      <c r="BJ172" s="162">
        <f>MaxTok/Table1[[#This Row],[est-Tok/Req3]]</f>
        <v>77.806513544599085</v>
      </c>
      <c r="BK172" s="4">
        <f>ABS(Table1[[#This Row],[est-N-max3]]-Table1[[#This Row],[N-max]])/Table1[[#This Row],[N-max]]</f>
        <v>6.3061321310563065E-2</v>
      </c>
      <c r="BL172" s="44">
        <f>MaxTok*Table1[[#This Row],[Kvcache]]/Table1[[#This Row],[Run]]</f>
        <v>5293.4509247143806</v>
      </c>
      <c r="BM172" s="170">
        <f>ABS(Table1[[#This Row],[est-Tok/Req]]-Table1[[#This Row],[tok/req]])/Table1[[#This Row],[tok/req]]</f>
        <v>1.2356745821923468E-3</v>
      </c>
      <c r="BN172" s="44">
        <f>MaxTok/Table1[[#This Row],[est-Tok/Req]]</f>
        <v>73.281544971248778</v>
      </c>
      <c r="BO172" s="180">
        <f>Table1[[#This Row],[Run]]/Table1[[#This Row],[Kvcache]]</f>
        <v>73.281544971248778</v>
      </c>
      <c r="BP172" s="4" cm="1">
        <f t="array" aca="1" ref="BP172" ca="1">_xlfn.CEILING.MATH(INDIRECT("Table1"&amp;BP$3)/BP$2)*BP$2</f>
        <v>6000</v>
      </c>
      <c r="BQ172" s="4" cm="1">
        <f t="array" aca="1" ref="BQ172" ca="1">_xlfn.CEILING.MATH(INDIRECT("Table1"&amp;BQ$3)/BQ$2)*BQ$2</f>
        <v>1.4999999999999999E-2</v>
      </c>
      <c r="BR172" s="4" cm="1">
        <f t="array" aca="1" ref="BR172" ca="1">_xlfn.CEILING.MATH(INDIRECT("Table1"&amp;BR$3)/BR$2)*BR$2</f>
        <v>0.2</v>
      </c>
      <c r="BS172" s="4" cm="1">
        <f t="array" aca="1" ref="BS172" ca="1">_xlfn.CEILING.MATH(INDIRECT("Table1"&amp;BS$3)/BS$2)*BS$2</f>
        <v>0.18</v>
      </c>
      <c r="BT172" s="3" cm="1">
        <f t="array" aca="1" ref="BT172" ca="1">_xlfn.CEILING.MATH(INDIRECT("Table1"&amp;BT$3)/BT$2)*BT$2</f>
        <v>14</v>
      </c>
      <c r="BU172" s="135" cm="1">
        <f t="array" aca="1" ref="BU172" ca="1">_xlfn.CEILING.MATH(INDIRECT("Table1"&amp;BU$3)/BU$2)*BU$2</f>
        <v>10</v>
      </c>
      <c r="BV172" s="135" cm="1">
        <f t="array" aca="1" ref="BV172" ca="1">_xlfn.CEILING.MATH(INDIRECT("Table1"&amp;BV$3)/BV$2)*BV$2</f>
        <v>5000</v>
      </c>
      <c r="BW172" s="4"/>
      <c r="BX172" s="4"/>
      <c r="BY172" s="217"/>
      <c r="BZ172" s="4"/>
      <c r="CA172" s="3"/>
      <c r="CF172" s="5"/>
      <c r="CH172" s="8"/>
      <c r="CI172" s="8"/>
      <c r="CJ172" s="14"/>
      <c r="CK172" s="8"/>
      <c r="CL172" s="8"/>
      <c r="CM172" s="8"/>
      <c r="CN172" s="8"/>
      <c r="CO172" s="8"/>
      <c r="CP172" s="8"/>
      <c r="CQ172" s="8">
        <f>Table1[[#This Row],[In-Tok]]+AvgOutLoad*Table1[[#This Row],[Out-Tok]]</f>
        <v>5300</v>
      </c>
      <c r="CR172" s="8"/>
      <c r="CS172" s="8"/>
      <c r="CT172" s="8"/>
      <c r="CU172" s="8"/>
      <c r="CV172" s="8"/>
      <c r="CW172" s="8"/>
      <c r="CX172" s="8"/>
      <c r="CY172" s="8"/>
    </row>
    <row r="173" spans="1:103" hidden="1" x14ac:dyDescent="0.25">
      <c r="A173" s="26">
        <v>5000</v>
      </c>
      <c r="B173" s="3">
        <v>700</v>
      </c>
      <c r="C173" s="123">
        <v>2</v>
      </c>
      <c r="D173" s="216">
        <f>Table1[[#This Row],[Kvcache]]</f>
        <v>0.29114817688130334</v>
      </c>
      <c r="E173" s="170" t="s">
        <v>154</v>
      </c>
      <c r="F173" s="218">
        <v>46104</v>
      </c>
      <c r="G173" s="10">
        <v>0</v>
      </c>
      <c r="H173" s="10">
        <v>0.1833545089583293</v>
      </c>
      <c r="I173" s="10">
        <v>0.15902160522976924</v>
      </c>
      <c r="J173" s="10">
        <v>0.20503954037363739</v>
      </c>
      <c r="K173" s="10">
        <v>0.34544935822486872</v>
      </c>
      <c r="L173" s="10">
        <v>0.38713609457015974</v>
      </c>
      <c r="M173" s="10">
        <v>1.622387482705575E-2</v>
      </c>
      <c r="N173" s="10">
        <v>11.18867821539328</v>
      </c>
      <c r="O173" s="47">
        <v>10865.144444444446</v>
      </c>
      <c r="P173" s="47">
        <v>1315.5277777777781</v>
      </c>
      <c r="Q173" s="5">
        <v>21.1</v>
      </c>
      <c r="R173" s="5">
        <v>37.5</v>
      </c>
      <c r="S173" s="170">
        <v>0.29114817688130334</v>
      </c>
      <c r="T173" s="170">
        <v>0.5187742435996896</v>
      </c>
      <c r="U173" s="3">
        <f>(Table1[[#This Row],[In-Tok]]+Table1[[#This Row],[Out-Tok]])*Table1[[#This Row],[RPS]]</f>
        <v>11400</v>
      </c>
      <c r="V173" s="3">
        <f>Table1[[#This Row],[In-Tok]]+$V$2*Table1[[#This Row],[Out-Tok]]</f>
        <v>5350</v>
      </c>
      <c r="W173" s="3">
        <f>Table1[[#This Row],[In-Tok]]*Table1[[#This Row],[RPS]]</f>
        <v>10000</v>
      </c>
      <c r="X173" s="3">
        <f>Table1[[#This Row],[Out-Tok]]*Table1[[#This Row],[RPS]]</f>
        <v>1400</v>
      </c>
      <c r="Y173" s="75">
        <f>Table1[[#This Row],[In-Tok]]/Table1[[#This Row],[Out-Tok]]</f>
        <v>7.1428571428571432</v>
      </c>
      <c r="Z173" s="26">
        <f>Table1[[#This Row],[In-Tok]]*Table1[[#This Row],[N]]+AvgOutLoad*Table1[[#This Row],[Out-Tok]]*Table1[[#This Row],[Ndecode]]</f>
        <v>115912.6180008798</v>
      </c>
      <c r="AA173" s="3">
        <f>Table1[[#This Row],[tok(N)]]/Table1[[#This Row],[Kvcache]]</f>
        <v>398122.42426692438</v>
      </c>
      <c r="AB173" s="3">
        <f>Table1[[#This Row],[tok/req]]*Table1[[#This Row],[Run]]</f>
        <v>112885.00000000001</v>
      </c>
      <c r="AC173" s="3">
        <f>Table1[[#This Row],[tok(Run)]]/Table1[[#This Row],[Kvcache]]</f>
        <v>387723.53380052763</v>
      </c>
      <c r="AD173" s="3">
        <f>Table1[[#This Row],[tok/req]]*Table1[[#This Row],[MaxRun]]</f>
        <v>200625</v>
      </c>
      <c r="AE173" s="3">
        <f>Table1[[#This Row],[tok(MaxRun)]]/Table1[[#This Row],[MaxKvcache]]</f>
        <v>386728.91431135044</v>
      </c>
      <c r="AF173" s="75">
        <f>Table1[[#This Row],[PPS]]*Table1[[#This Row],[Prefill]]/Table1[[#This Row],[In-Tok]]</f>
        <v>0.345558542121773</v>
      </c>
      <c r="AG173" s="5">
        <f>Table1[[#This Row],[GPS]]*Table1[[#This Row],[ITL]]</f>
        <v>21.342957998181483</v>
      </c>
      <c r="AH173" s="5">
        <f>Table1[[#This Row],[Nprefill]]+Table1[[#This Row],[Ndecode]]</f>
        <v>21.688516540303254</v>
      </c>
      <c r="AI173" s="4">
        <f>Table1[[#This Row],[Run]]/Table1[[#This Row],[ITL]]/Table1[[#This Row],[GPS]]</f>
        <v>0.98861647958065679</v>
      </c>
      <c r="AJ173" s="10">
        <f>Table1[[#This Row],[Prefill]]+Table1[[#This Row],[ITL]]</f>
        <v>0.175245480056825</v>
      </c>
      <c r="AK173" s="4">
        <f>Table1[[#This Row],[TTFT]]/Table1[[#This Row],[estTTFT]]</f>
        <v>1.0462723997153871</v>
      </c>
      <c r="AL173" s="5">
        <f>Table1[[#This Row],[In-Tok]]*Table1[[#This Row],[RPS]]/Table1[[#This Row],[PPS]]</f>
        <v>0.92037432646495454</v>
      </c>
      <c r="AM173" s="4">
        <f>Table1[[#This Row],[Prefill]]/Table1[[#This Row],[estPrefill]]</f>
        <v>0.17277927106088653</v>
      </c>
      <c r="AN173" s="4">
        <f>Table1[[#This Row],[Prefill]]/Table1[[#This Row],[TTFT]]</f>
        <v>0.86729039898282423</v>
      </c>
      <c r="AO173" s="10">
        <f>Table1[[#This Row],[Run]]/(Table1[[#This Row],[Out-Tok]]*Table1[[#This Row],[RPS]])</f>
        <v>1.5071428571428572E-2</v>
      </c>
      <c r="AP173" s="4">
        <f>Table1[[#This Row],[ITL]]/Table1[[#This Row],[estITL]]</f>
        <v>1.0764656283354526</v>
      </c>
      <c r="AQ173" s="44">
        <f>Table1[[#This Row],[E2E]]-Table1[[#This Row],[TTFT]]+Table1[[#This Row],[ITL]]</f>
        <v>11.021547581262006</v>
      </c>
      <c r="AR173" s="4">
        <f>Table1[[#This Row],[estDecode]]/Table1[[#This Row],[Run]]</f>
        <v>0.52234822660009506</v>
      </c>
      <c r="AS173" s="44">
        <f>Table1[[#This Row],[Prefill]]+Table1[[#This Row],[Out-Tok]]*Table1[[#This Row],[ITL]]</f>
        <v>11.515733984168794</v>
      </c>
      <c r="AT173" s="5">
        <f>Table1[[#This Row],[estPrefill]]+Table1[[#This Row],[Out-Tok]]*Table1[[#This Row],[ITL]]</f>
        <v>12.277086705403979</v>
      </c>
      <c r="AU173" s="4">
        <f>Table1[[#This Row],[E2E]]/Table1[[#This Row],[estE2E]]</f>
        <v>0.91134635470712955</v>
      </c>
      <c r="AV173" s="5">
        <f>Table1[[#This Row],[N]]/Table1[[#This Row],[estE2E]]</f>
        <v>1.7665849448433615</v>
      </c>
      <c r="AW173" s="5">
        <f>Table1[[#This Row],[PPS]]/Table1[[#This Row],[In-Tok]]</f>
        <v>2.1730288888888891</v>
      </c>
      <c r="AX173" s="4">
        <f>Table1[[#This Row],[RPS]]/Table1[[#This Row],[RPS(IL)]]</f>
        <v>0.92037432646495465</v>
      </c>
      <c r="AY173" s="5">
        <f>Table1[[#This Row],[GPS]]/Table1[[#This Row],[Out-Tok]]</f>
        <v>1.8793253968253971</v>
      </c>
      <c r="AZ173" s="89">
        <f>Table1[[#This Row],[RPS]]/Table1[[#This Row],[RPS(OL)]]</f>
        <v>1.0642116598745748</v>
      </c>
      <c r="BA173" s="135">
        <f>MaxTok/Table1[[#This Row],[tok/req]]</f>
        <v>72.506964858421554</v>
      </c>
      <c r="BB173" s="4">
        <f>Table1[[#This Row],[N]]/Table1[[#This Row],[N-max]]</f>
        <v>0.2991232164062122</v>
      </c>
      <c r="BC173" s="44">
        <f>Table1[[#This Row],[RPS]]</f>
        <v>2</v>
      </c>
      <c r="BD173" s="47">
        <f>Table1[[#This Row],[PPS]]/Table1[[#This Row],[RPS success]]</f>
        <v>5432.572222222223</v>
      </c>
      <c r="BE173" s="4">
        <f>ABS(Table1[[#This Row],[est-In-Tok3]]-Table1[[#This Row],[In-Tok]])/Table1[[#This Row],[In-Tok]]</f>
        <v>8.6514444444444602E-2</v>
      </c>
      <c r="BF173" s="47">
        <f>Table1[[#This Row],[GPS]]/Table1[[#This Row],[RPS success]]</f>
        <v>657.76388888888903</v>
      </c>
      <c r="BG173" s="4">
        <f>ABS(Table1[[#This Row],[est-Out-Tok3]]-Table1[[#This Row],[Out-Tok]])/Table1[[#This Row],[Out-Tok]]</f>
        <v>6.0337301587301391E-2</v>
      </c>
      <c r="BH173" s="162">
        <f>Table1[[#This Row],[est-In-Tok3]]+AvgOutLoad*Table1[[#This Row],[est-Out-Tok3]]</f>
        <v>5761.4541666666673</v>
      </c>
      <c r="BI173" s="4">
        <f>ABS(Table1[[#This Row],[est-Tok/Req3]]-Table1[[#This Row],[tok/req]])/Table1[[#This Row],[tok/req]]</f>
        <v>7.6907320872274268E-2</v>
      </c>
      <c r="BJ173" s="162">
        <f>MaxTok/Table1[[#This Row],[est-Tok/Req3]]</f>
        <v>67.32888100314176</v>
      </c>
      <c r="BK173" s="4">
        <f>ABS(Table1[[#This Row],[est-N-max3]]-Table1[[#This Row],[N-max]])/Table1[[#This Row],[N-max]]</f>
        <v>7.1414985655386579E-2</v>
      </c>
      <c r="BL173" s="44">
        <f>MaxTok*Table1[[#This Row],[Kvcache]]/Table1[[#This Row],[Run]]</f>
        <v>5352.6041644092393</v>
      </c>
      <c r="BM173" s="170">
        <f>ABS(Table1[[#This Row],[est-Tok/Req]]-Table1[[#This Row],[tok/req]])/Table1[[#This Row],[tok/req]]</f>
        <v>4.8675970266154659E-4</v>
      </c>
      <c r="BN173" s="44">
        <f>MaxTok/Table1[[#This Row],[est-Tok/Req]]</f>
        <v>72.471688560846289</v>
      </c>
      <c r="BO173" s="180">
        <f>Table1[[#This Row],[Run]]/Table1[[#This Row],[Kvcache]]</f>
        <v>72.471688560846275</v>
      </c>
      <c r="BP173" s="4" cm="1">
        <f t="array" aca="1" ref="BP173" ca="1">_xlfn.CEILING.MATH(INDIRECT("Table1"&amp;BP$3)/BP$2)*BP$2</f>
        <v>6000</v>
      </c>
      <c r="BQ173" s="4" cm="1">
        <f t="array" aca="1" ref="BQ173" ca="1">_xlfn.CEILING.MATH(INDIRECT("Table1"&amp;BQ$3)/BQ$2)*BQ$2</f>
        <v>0.02</v>
      </c>
      <c r="BR173" s="4" cm="1">
        <f t="array" aca="1" ref="BR173" ca="1">_xlfn.CEILING.MATH(INDIRECT("Table1"&amp;BR$3)/BR$2)*BR$2</f>
        <v>0.30000000000000004</v>
      </c>
      <c r="BS173" s="4" cm="1">
        <f t="array" aca="1" ref="BS173" ca="1">_xlfn.CEILING.MATH(INDIRECT("Table1"&amp;BS$3)/BS$2)*BS$2</f>
        <v>0.3</v>
      </c>
      <c r="BT173" s="3" cm="1">
        <f t="array" aca="1" ref="BT173" ca="1">_xlfn.CEILING.MATH(INDIRECT("Table1"&amp;BT$3)/BT$2)*BT$2</f>
        <v>22</v>
      </c>
      <c r="BU173" s="135" cm="1">
        <f t="array" aca="1" ref="BU173" ca="1">_xlfn.CEILING.MATH(INDIRECT("Table1"&amp;BU$3)/BU$2)*BU$2</f>
        <v>10</v>
      </c>
      <c r="BV173" s="135" cm="1">
        <f t="array" aca="1" ref="BV173" ca="1">_xlfn.CEILING.MATH(INDIRECT("Table1"&amp;BV$3)/BV$2)*BV$2</f>
        <v>5000</v>
      </c>
      <c r="BW173" s="4"/>
      <c r="BX173" s="4"/>
      <c r="BY173" s="217"/>
      <c r="BZ173" s="4"/>
      <c r="CA173" s="3"/>
      <c r="CF173" s="5"/>
      <c r="CH173" s="8"/>
      <c r="CI173" s="8"/>
      <c r="CJ173" s="14"/>
      <c r="CK173" s="8"/>
      <c r="CL173" s="8"/>
      <c r="CM173" s="8"/>
      <c r="CN173" s="8"/>
      <c r="CO173" s="8"/>
      <c r="CP173" s="8"/>
      <c r="CQ173" s="8">
        <f>Table1[[#This Row],[In-Tok]]+AvgOutLoad*Table1[[#This Row],[Out-Tok]]</f>
        <v>5350</v>
      </c>
      <c r="CR173" s="8"/>
      <c r="CS173" s="8"/>
      <c r="CT173" s="8"/>
      <c r="CU173" s="8"/>
      <c r="CV173" s="8"/>
      <c r="CW173" s="8"/>
      <c r="CX173" s="8"/>
      <c r="CY173" s="8"/>
    </row>
    <row r="174" spans="1:103" hidden="1" x14ac:dyDescent="0.25">
      <c r="A174" s="26">
        <v>5000</v>
      </c>
      <c r="B174" s="3">
        <v>800</v>
      </c>
      <c r="C174" s="123">
        <v>2</v>
      </c>
      <c r="D174" s="216">
        <f>Table1[[#This Row],[Kvcache]]</f>
        <v>0.3084910783553142</v>
      </c>
      <c r="E174" s="170" t="s">
        <v>154</v>
      </c>
      <c r="F174" s="218">
        <v>46104</v>
      </c>
      <c r="G174" s="10">
        <v>0</v>
      </c>
      <c r="H174" s="10">
        <v>0.18352554637288288</v>
      </c>
      <c r="I174" s="10">
        <v>0.16067702786601851</v>
      </c>
      <c r="J174" s="10">
        <v>0.20557532457533079</v>
      </c>
      <c r="K174" s="10">
        <v>0.3485398113727568</v>
      </c>
      <c r="L174" s="10">
        <v>0.42603714466094955</v>
      </c>
      <c r="M174" s="10">
        <v>1.6070387078168404E-2</v>
      </c>
      <c r="N174" s="10">
        <v>12.891200554454246</v>
      </c>
      <c r="O174" s="47">
        <v>10507.927777777775</v>
      </c>
      <c r="P174" s="47">
        <v>1452.5611111111116</v>
      </c>
      <c r="Q174" s="5">
        <v>22.15</v>
      </c>
      <c r="R174" s="5">
        <v>34.5</v>
      </c>
      <c r="S174" s="170">
        <v>0.3084910783553142</v>
      </c>
      <c r="T174" s="170">
        <v>0.48432893716058956</v>
      </c>
      <c r="U174" s="3">
        <f>(Table1[[#This Row],[In-Tok]]+Table1[[#This Row],[Out-Tok]])*Table1[[#This Row],[RPS]]</f>
        <v>11600</v>
      </c>
      <c r="V174" s="3">
        <f>Table1[[#This Row],[In-Tok]]+$V$2*Table1[[#This Row],[Out-Tok]]</f>
        <v>5400</v>
      </c>
      <c r="W174" s="3">
        <f>Table1[[#This Row],[In-Tok]]*Table1[[#This Row],[RPS]]</f>
        <v>10000</v>
      </c>
      <c r="X174" s="3">
        <f>Table1[[#This Row],[Out-Tok]]*Table1[[#This Row],[RPS]]</f>
        <v>1600</v>
      </c>
      <c r="Y174" s="75">
        <f>Table1[[#This Row],[In-Tok]]/Table1[[#This Row],[Out-Tok]]</f>
        <v>6.25</v>
      </c>
      <c r="Z174" s="26">
        <f>Table1[[#This Row],[In-Tok]]*Table1[[#This Row],[N]]+AvgOutLoad*Table1[[#This Row],[Out-Tok]]*Table1[[#This Row],[Ndecode]]</f>
        <v>127741.76687971382</v>
      </c>
      <c r="AA174" s="3">
        <f>Table1[[#This Row],[tok(N)]]/Table1[[#This Row],[Kvcache]]</f>
        <v>414085.7737629069</v>
      </c>
      <c r="AB174" s="3">
        <f>Table1[[#This Row],[tok/req]]*Table1[[#This Row],[Run]]</f>
        <v>119609.99999999999</v>
      </c>
      <c r="AC174" s="3">
        <f>Table1[[#This Row],[tok(Run)]]/Table1[[#This Row],[Kvcache]]</f>
        <v>387725.96159891353</v>
      </c>
      <c r="AD174" s="3">
        <f>Table1[[#This Row],[tok/req]]*Table1[[#This Row],[MaxRun]]</f>
        <v>186300</v>
      </c>
      <c r="AE174" s="3">
        <f>Table1[[#This Row],[tok(MaxRun)]]/Table1[[#This Row],[MaxKvcache]]</f>
        <v>384655.93464680447</v>
      </c>
      <c r="AF174" s="75">
        <f>Table1[[#This Row],[PPS]]*Table1[[#This Row],[Prefill]]/Table1[[#This Row],[In-Tok]]</f>
        <v>0.33767652087282191</v>
      </c>
      <c r="AG174" s="5">
        <f>Table1[[#This Row],[GPS]]*Table1[[#This Row],[ITL]]</f>
        <v>23.343219310249946</v>
      </c>
      <c r="AH174" s="5">
        <f>Table1[[#This Row],[Nprefill]]+Table1[[#This Row],[Ndecode]]</f>
        <v>23.680895831122768</v>
      </c>
      <c r="AI174" s="4">
        <f>Table1[[#This Row],[Run]]/Table1[[#This Row],[ITL]]/Table1[[#This Row],[GPS]]</f>
        <v>0.94888368676183366</v>
      </c>
      <c r="AJ174" s="10">
        <f>Table1[[#This Row],[Prefill]]+Table1[[#This Row],[ITL]]</f>
        <v>0.17674741494418691</v>
      </c>
      <c r="AK174" s="4">
        <f>Table1[[#This Row],[TTFT]]/Table1[[#This Row],[estTTFT]]</f>
        <v>1.0383492535426124</v>
      </c>
      <c r="AL174" s="5">
        <f>Table1[[#This Row],[In-Tok]]*Table1[[#This Row],[RPS]]/Table1[[#This Row],[PPS]]</f>
        <v>0.95166242207603069</v>
      </c>
      <c r="AM174" s="4">
        <f>Table1[[#This Row],[Prefill]]/Table1[[#This Row],[estPrefill]]</f>
        <v>0.16883826043641095</v>
      </c>
      <c r="AN174" s="4">
        <f>Table1[[#This Row],[Prefill]]/Table1[[#This Row],[TTFT]]</f>
        <v>0.87550224500930629</v>
      </c>
      <c r="AO174" s="10">
        <f>Table1[[#This Row],[Run]]/(Table1[[#This Row],[Out-Tok]]*Table1[[#This Row],[RPS]])</f>
        <v>1.3843749999999998E-2</v>
      </c>
      <c r="AP174" s="4">
        <f>Table1[[#This Row],[ITL]]/Table1[[#This Row],[estITL]]</f>
        <v>1.1608406015832708</v>
      </c>
      <c r="AQ174" s="44">
        <f>Table1[[#This Row],[E2E]]-Table1[[#This Row],[TTFT]]+Table1[[#This Row],[ITL]]</f>
        <v>12.723745395159531</v>
      </c>
      <c r="AR174" s="4">
        <f>Table1[[#This Row],[estDecode]]/Table1[[#This Row],[Run]]</f>
        <v>0.57443545802074636</v>
      </c>
      <c r="AS174" s="44">
        <f>Table1[[#This Row],[Prefill]]+Table1[[#This Row],[Out-Tok]]*Table1[[#This Row],[ITL]]</f>
        <v>13.016986690400742</v>
      </c>
      <c r="AT174" s="5">
        <f>Table1[[#This Row],[estPrefill]]+Table1[[#This Row],[Out-Tok]]*Table1[[#This Row],[ITL]]</f>
        <v>13.807972084610753</v>
      </c>
      <c r="AU174" s="4">
        <f>Table1[[#This Row],[E2E]]/Table1[[#This Row],[estE2E]]</f>
        <v>0.93360563560392285</v>
      </c>
      <c r="AV174" s="5">
        <f>Table1[[#This Row],[N]]/Table1[[#This Row],[estE2E]]</f>
        <v>1.715016201221581</v>
      </c>
      <c r="AW174" s="5">
        <f>Table1[[#This Row],[PPS]]/Table1[[#This Row],[In-Tok]]</f>
        <v>2.1015855555555549</v>
      </c>
      <c r="AX174" s="4">
        <f>Table1[[#This Row],[RPS]]/Table1[[#This Row],[RPS(IL)]]</f>
        <v>0.95166242207603069</v>
      </c>
      <c r="AY174" s="5">
        <f>Table1[[#This Row],[GPS]]/Table1[[#This Row],[Out-Tok]]</f>
        <v>1.8157013888888895</v>
      </c>
      <c r="AZ174" s="89">
        <f>Table1[[#This Row],[RPS]]/Table1[[#This Row],[RPS(OL)]]</f>
        <v>1.1015027097731589</v>
      </c>
      <c r="BA174" s="135">
        <f>MaxTok/Table1[[#This Row],[tok/req]]</f>
        <v>71.835604072695418</v>
      </c>
      <c r="BB174" s="4">
        <f>Table1[[#This Row],[N]]/Table1[[#This Row],[N-max]]</f>
        <v>0.32965402235858465</v>
      </c>
      <c r="BC174" s="44">
        <f>Table1[[#This Row],[RPS]]</f>
        <v>2</v>
      </c>
      <c r="BD174" s="47">
        <f>Table1[[#This Row],[PPS]]/Table1[[#This Row],[RPS success]]</f>
        <v>5253.9638888888876</v>
      </c>
      <c r="BE174" s="4">
        <f>ABS(Table1[[#This Row],[est-In-Tok3]]-Table1[[#This Row],[In-Tok]])/Table1[[#This Row],[In-Tok]]</f>
        <v>5.079277777777752E-2</v>
      </c>
      <c r="BF174" s="47">
        <f>Table1[[#This Row],[GPS]]/Table1[[#This Row],[RPS success]]</f>
        <v>726.28055555555579</v>
      </c>
      <c r="BG174" s="4">
        <f>ABS(Table1[[#This Row],[est-Out-Tok3]]-Table1[[#This Row],[Out-Tok]])/Table1[[#This Row],[Out-Tok]]</f>
        <v>9.2149305555555255E-2</v>
      </c>
      <c r="BH174" s="162">
        <f>Table1[[#This Row],[est-In-Tok3]]+AvgOutLoad*Table1[[#This Row],[est-Out-Tok3]]</f>
        <v>5617.1041666666652</v>
      </c>
      <c r="BI174" s="4">
        <f>ABS(Table1[[#This Row],[est-Tok/Req3]]-Table1[[#This Row],[tok/req]])/Table1[[#This Row],[tok/req]]</f>
        <v>4.0204475308641692E-2</v>
      </c>
      <c r="BJ174" s="162">
        <f>MaxTok/Table1[[#This Row],[est-Tok/Req3]]</f>
        <v>69.059118450130583</v>
      </c>
      <c r="BK174" s="4">
        <f>ABS(Table1[[#This Row],[est-N-max3]]-Table1[[#This Row],[N-max]])/Table1[[#This Row],[N-max]]</f>
        <v>3.8650550216785491E-2</v>
      </c>
      <c r="BL174" s="44">
        <f>MaxTok*Table1[[#This Row],[Kvcache]]/Table1[[#This Row],[Run]]</f>
        <v>5402.5946731075646</v>
      </c>
      <c r="BM174" s="170">
        <f>ABS(Table1[[#This Row],[est-Tok/Req]]-Table1[[#This Row],[tok/req]])/Table1[[#This Row],[tok/req]]</f>
        <v>4.8049501991937615E-4</v>
      </c>
      <c r="BN174" s="44">
        <f>MaxTok/Table1[[#This Row],[est-Tok/Req]]</f>
        <v>71.801103999798812</v>
      </c>
      <c r="BO174" s="180">
        <f>Table1[[#This Row],[Run]]/Table1[[#This Row],[Kvcache]]</f>
        <v>71.801103999798812</v>
      </c>
      <c r="BP174" s="4" cm="1">
        <f t="array" aca="1" ref="BP174" ca="1">_xlfn.CEILING.MATH(INDIRECT("Table1"&amp;BP$3)/BP$2)*BP$2</f>
        <v>6000</v>
      </c>
      <c r="BQ174" s="4" cm="1">
        <f t="array" aca="1" ref="BQ174" ca="1">_xlfn.CEILING.MATH(INDIRECT("Table1"&amp;BQ$3)/BQ$2)*BQ$2</f>
        <v>0.02</v>
      </c>
      <c r="BR174" s="4" cm="1">
        <f t="array" aca="1" ref="BR174" ca="1">_xlfn.CEILING.MATH(INDIRECT("Table1"&amp;BR$3)/BR$2)*BR$2</f>
        <v>0.4</v>
      </c>
      <c r="BS174" s="4" cm="1">
        <f t="array" aca="1" ref="BS174" ca="1">_xlfn.CEILING.MATH(INDIRECT("Table1"&amp;BS$3)/BS$2)*BS$2</f>
        <v>0.31</v>
      </c>
      <c r="BT174" s="3" cm="1">
        <f t="array" aca="1" ref="BT174" ca="1">_xlfn.CEILING.MATH(INDIRECT("Table1"&amp;BT$3)/BT$2)*BT$2</f>
        <v>23</v>
      </c>
      <c r="BU174" s="135" cm="1">
        <f t="array" aca="1" ref="BU174" ca="1">_xlfn.CEILING.MATH(INDIRECT("Table1"&amp;BU$3)/BU$2)*BU$2</f>
        <v>10</v>
      </c>
      <c r="BV174" s="135" cm="1">
        <f t="array" aca="1" ref="BV174" ca="1">_xlfn.CEILING.MATH(INDIRECT("Table1"&amp;BV$3)/BV$2)*BV$2</f>
        <v>5000</v>
      </c>
      <c r="BW174" s="4"/>
      <c r="BX174" s="4"/>
      <c r="BY174" s="217"/>
      <c r="BZ174" s="4"/>
      <c r="CA174" s="3"/>
      <c r="CF174" s="5"/>
      <c r="CH174" s="8"/>
      <c r="CI174" s="8"/>
      <c r="CJ174" s="14"/>
      <c r="CK174" s="8"/>
      <c r="CL174" s="8"/>
      <c r="CM174" s="8"/>
      <c r="CN174" s="8"/>
      <c r="CO174" s="8"/>
      <c r="CP174" s="8"/>
      <c r="CQ174" s="8">
        <f>Table1[[#This Row],[In-Tok]]+AvgOutLoad*Table1[[#This Row],[Out-Tok]]</f>
        <v>5400</v>
      </c>
      <c r="CR174" s="8"/>
      <c r="CS174" s="8"/>
      <c r="CT174" s="8"/>
      <c r="CU174" s="8"/>
      <c r="CV174" s="8"/>
      <c r="CW174" s="8"/>
      <c r="CX174" s="8"/>
      <c r="CY174" s="8"/>
    </row>
    <row r="175" spans="1:103" hidden="1" x14ac:dyDescent="0.25">
      <c r="A175" s="26">
        <v>5000</v>
      </c>
      <c r="B175" s="3">
        <v>900</v>
      </c>
      <c r="C175" s="123">
        <v>2</v>
      </c>
      <c r="D175" s="216">
        <f>Table1[[#This Row],[Kvcache]]</f>
        <v>0.38005289512659568</v>
      </c>
      <c r="E175" s="170" t="s">
        <v>154</v>
      </c>
      <c r="F175" s="218">
        <v>46104</v>
      </c>
      <c r="G175" s="10">
        <v>0</v>
      </c>
      <c r="H175" s="10">
        <v>0.19363111672357344</v>
      </c>
      <c r="I175" s="10">
        <v>0.16908574885962757</v>
      </c>
      <c r="J175" s="10">
        <v>0.21640364153610425</v>
      </c>
      <c r="K175" s="10">
        <v>0.36641209125518803</v>
      </c>
      <c r="L175" s="10">
        <v>0.44907778739929205</v>
      </c>
      <c r="M175" s="10">
        <v>1.764151540892438E-2</v>
      </c>
      <c r="N175" s="10">
        <v>15.814888621010395</v>
      </c>
      <c r="O175" s="47">
        <v>9618.0349999999999</v>
      </c>
      <c r="P175" s="47">
        <v>1538.1172222222226</v>
      </c>
      <c r="Q175" s="5">
        <v>27.104545454545452</v>
      </c>
      <c r="R175" s="5">
        <v>42.5</v>
      </c>
      <c r="S175" s="170">
        <v>0.38005289512659568</v>
      </c>
      <c r="T175" s="170">
        <v>0.59689681923972071</v>
      </c>
      <c r="U175" s="3">
        <f>(Table1[[#This Row],[In-Tok]]+Table1[[#This Row],[Out-Tok]])*Table1[[#This Row],[RPS]]</f>
        <v>11800</v>
      </c>
      <c r="V175" s="3">
        <f>Table1[[#This Row],[In-Tok]]+$V$2*Table1[[#This Row],[Out-Tok]]</f>
        <v>5450</v>
      </c>
      <c r="W175" s="3">
        <f>Table1[[#This Row],[In-Tok]]*Table1[[#This Row],[RPS]]</f>
        <v>10000</v>
      </c>
      <c r="X175" s="3">
        <f>Table1[[#This Row],[Out-Tok]]*Table1[[#This Row],[RPS]]</f>
        <v>1800</v>
      </c>
      <c r="Y175" s="75">
        <f>Table1[[#This Row],[In-Tok]]/Table1[[#This Row],[Out-Tok]]</f>
        <v>5.5555555555555554</v>
      </c>
      <c r="Z175" s="26">
        <f>Table1[[#This Row],[In-Tok]]*Table1[[#This Row],[N]]+AvgOutLoad*Table1[[#This Row],[Out-Tok]]*Table1[[#This Row],[Ndecode]]</f>
        <v>149510.48943781402</v>
      </c>
      <c r="AA175" s="3">
        <f>Table1[[#This Row],[tok(N)]]/Table1[[#This Row],[Kvcache]]</f>
        <v>393393.8968890424</v>
      </c>
      <c r="AB175" s="3">
        <f>Table1[[#This Row],[tok/req]]*Table1[[#This Row],[Run]]</f>
        <v>147719.77272727271</v>
      </c>
      <c r="AC175" s="3">
        <f>Table1[[#This Row],[tok(Run)]]/Table1[[#This Row],[Kvcache]]</f>
        <v>388682.14035856043</v>
      </c>
      <c r="AD175" s="3">
        <f>Table1[[#This Row],[tok/req]]*Table1[[#This Row],[MaxRun]]</f>
        <v>231625</v>
      </c>
      <c r="AE175" s="3">
        <f>Table1[[#This Row],[tok(MaxRun)]]/Table1[[#This Row],[MaxKvcache]]</f>
        <v>388048.64179880428</v>
      </c>
      <c r="AF175" s="75">
        <f>Table1[[#This Row],[PPS]]*Table1[[#This Row],[Prefill]]/Table1[[#This Row],[In-Tok]]</f>
        <v>0.32525453010662159</v>
      </c>
      <c r="AG175" s="5">
        <f>Table1[[#This Row],[GPS]]*Table1[[#This Row],[ITL]]</f>
        <v>27.134718676565306</v>
      </c>
      <c r="AH175" s="5">
        <f>Table1[[#This Row],[Nprefill]]+Table1[[#This Row],[Ndecode]]</f>
        <v>27.459973206671929</v>
      </c>
      <c r="AI175" s="4">
        <f>Table1[[#This Row],[Run]]/Table1[[#This Row],[ITL]]/Table1[[#This Row],[GPS]]</f>
        <v>0.99888802156456802</v>
      </c>
      <c r="AJ175" s="10">
        <f>Table1[[#This Row],[Prefill]]+Table1[[#This Row],[ITL]]</f>
        <v>0.18672726426855196</v>
      </c>
      <c r="AK175" s="4">
        <f>Table1[[#This Row],[TTFT]]/Table1[[#This Row],[estTTFT]]</f>
        <v>1.0369729213463563</v>
      </c>
      <c r="AL175" s="5">
        <f>Table1[[#This Row],[In-Tok]]*Table1[[#This Row],[RPS]]/Table1[[#This Row],[PPS]]</f>
        <v>1.0397134133947319</v>
      </c>
      <c r="AM175" s="4">
        <f>Table1[[#This Row],[Prefill]]/Table1[[#This Row],[estPrefill]]</f>
        <v>0.16262726505331079</v>
      </c>
      <c r="AN175" s="4">
        <f>Table1[[#This Row],[Prefill]]/Table1[[#This Row],[TTFT]]</f>
        <v>0.87323644939265266</v>
      </c>
      <c r="AO175" s="10">
        <f>Table1[[#This Row],[Run]]/(Table1[[#This Row],[Out-Tok]]*Table1[[#This Row],[RPS]])</f>
        <v>1.5058080808080807E-2</v>
      </c>
      <c r="AP175" s="4">
        <f>Table1[[#This Row],[ITL]]/Table1[[#This Row],[estITL]]</f>
        <v>1.1715646657612033</v>
      </c>
      <c r="AQ175" s="44">
        <f>Table1[[#This Row],[E2E]]-Table1[[#This Row],[TTFT]]+Table1[[#This Row],[ITL]]</f>
        <v>15.638899019695746</v>
      </c>
      <c r="AR175" s="4">
        <f>Table1[[#This Row],[estDecode]]/Table1[[#This Row],[Run]]</f>
        <v>0.57698436765605643</v>
      </c>
      <c r="AS175" s="44">
        <f>Table1[[#This Row],[Prefill]]+Table1[[#This Row],[Out-Tok]]*Table1[[#This Row],[ITL]]</f>
        <v>16.046449616891572</v>
      </c>
      <c r="AT175" s="5">
        <f>Table1[[#This Row],[estPrefill]]+Table1[[#This Row],[Out-Tok]]*Table1[[#This Row],[ITL]]</f>
        <v>16.917077281426675</v>
      </c>
      <c r="AU175" s="4">
        <f>Table1[[#This Row],[E2E]]/Table1[[#This Row],[estE2E]]</f>
        <v>0.93484757194870904</v>
      </c>
      <c r="AV175" s="5">
        <f>Table1[[#This Row],[N]]/Table1[[#This Row],[estE2E]]</f>
        <v>1.6232102478375707</v>
      </c>
      <c r="AW175" s="5">
        <f>Table1[[#This Row],[PPS]]/Table1[[#This Row],[In-Tok]]</f>
        <v>1.9236070000000001</v>
      </c>
      <c r="AX175" s="4">
        <f>Table1[[#This Row],[RPS]]/Table1[[#This Row],[RPS(IL)]]</f>
        <v>1.0397134133947319</v>
      </c>
      <c r="AY175" s="5">
        <f>Table1[[#This Row],[GPS]]/Table1[[#This Row],[Out-Tok]]</f>
        <v>1.7090191358024696</v>
      </c>
      <c r="AZ175" s="89">
        <f>Table1[[#This Row],[RPS]]/Table1[[#This Row],[RPS(OL)]]</f>
        <v>1.1702619111171628</v>
      </c>
      <c r="BA175" s="135">
        <f>MaxTok/Table1[[#This Row],[tok/req]]</f>
        <v>71.176561833496379</v>
      </c>
      <c r="BB175" s="4">
        <f>Table1[[#This Row],[N]]/Table1[[#This Row],[N-max]]</f>
        <v>0.3858007818768931</v>
      </c>
      <c r="BC175" s="44">
        <f>Table1[[#This Row],[RPS]]</f>
        <v>2</v>
      </c>
      <c r="BD175" s="47">
        <f>Table1[[#This Row],[PPS]]/Table1[[#This Row],[RPS success]]</f>
        <v>4809.0174999999999</v>
      </c>
      <c r="BE175" s="4">
        <f>ABS(Table1[[#This Row],[est-In-Tok3]]-Table1[[#This Row],[In-Tok]])/Table1[[#This Row],[In-Tok]]</f>
        <v>3.8196500000000015E-2</v>
      </c>
      <c r="BF175" s="47">
        <f>Table1[[#This Row],[GPS]]/Table1[[#This Row],[RPS success]]</f>
        <v>769.0586111111113</v>
      </c>
      <c r="BG175" s="4">
        <f>ABS(Table1[[#This Row],[est-Out-Tok3]]-Table1[[#This Row],[Out-Tok]])/Table1[[#This Row],[Out-Tok]]</f>
        <v>0.14549043209876522</v>
      </c>
      <c r="BH175" s="162">
        <f>Table1[[#This Row],[est-In-Tok3]]+AvgOutLoad*Table1[[#This Row],[est-Out-Tok3]]</f>
        <v>5193.5468055555557</v>
      </c>
      <c r="BI175" s="4">
        <f>ABS(Table1[[#This Row],[est-Tok/Req3]]-Table1[[#This Row],[tok/req]])/Table1[[#This Row],[tok/req]]</f>
        <v>4.7055632008154921E-2</v>
      </c>
      <c r="BJ175" s="162">
        <f>MaxTok/Table1[[#This Row],[est-Tok/Req3]]</f>
        <v>74.691203625546251</v>
      </c>
      <c r="BK175" s="4">
        <f>ABS(Table1[[#This Row],[est-N-max3]]-Table1[[#This Row],[N-max]])/Table1[[#This Row],[N-max]]</f>
        <v>4.9379201544908671E-2</v>
      </c>
      <c r="BL175" s="44">
        <f>MaxTok*Table1[[#This Row],[Kvcache]]/Table1[[#This Row],[Run]]</f>
        <v>5439.2049655513947</v>
      </c>
      <c r="BM175" s="170">
        <f>ABS(Table1[[#This Row],[est-Tok/Req]]-Table1[[#This Row],[tok/req]])/Table1[[#This Row],[tok/req]]</f>
        <v>1.9807402657991361E-3</v>
      </c>
      <c r="BN175" s="44">
        <f>MaxTok/Table1[[#This Row],[est-Tok/Req]]</f>
        <v>71.317823919001924</v>
      </c>
      <c r="BO175" s="180">
        <f>Table1[[#This Row],[Run]]/Table1[[#This Row],[Kvcache]]</f>
        <v>71.31782391900191</v>
      </c>
      <c r="BP175" s="4" cm="1">
        <f t="array" aca="1" ref="BP175" ca="1">_xlfn.CEILING.MATH(INDIRECT("Table1"&amp;BP$3)/BP$2)*BP$2</f>
        <v>6000</v>
      </c>
      <c r="BQ175" s="4" cm="1">
        <f t="array" aca="1" ref="BQ175" ca="1">_xlfn.CEILING.MATH(INDIRECT("Table1"&amp;BQ$3)/BQ$2)*BQ$2</f>
        <v>0.02</v>
      </c>
      <c r="BR175" s="4" cm="1">
        <f t="array" aca="1" ref="BR175" ca="1">_xlfn.CEILING.MATH(INDIRECT("Table1"&amp;BR$3)/BR$2)*BR$2</f>
        <v>0.4</v>
      </c>
      <c r="BS175" s="4" cm="1">
        <f t="array" aca="1" ref="BS175" ca="1">_xlfn.CEILING.MATH(INDIRECT("Table1"&amp;BS$3)/BS$2)*BS$2</f>
        <v>0.39</v>
      </c>
      <c r="BT175" s="3" cm="1">
        <f t="array" aca="1" ref="BT175" ca="1">_xlfn.CEILING.MATH(INDIRECT("Table1"&amp;BT$3)/BT$2)*BT$2</f>
        <v>28</v>
      </c>
      <c r="BU175" s="135" cm="1">
        <f t="array" aca="1" ref="BU175" ca="1">_xlfn.CEILING.MATH(INDIRECT("Table1"&amp;BU$3)/BU$2)*BU$2</f>
        <v>10</v>
      </c>
      <c r="BV175" s="135" cm="1">
        <f t="array" aca="1" ref="BV175" ca="1">_xlfn.CEILING.MATH(INDIRECT("Table1"&amp;BV$3)/BV$2)*BV$2</f>
        <v>5000</v>
      </c>
      <c r="BW175" s="4"/>
      <c r="BX175" s="4"/>
      <c r="BY175" s="217"/>
      <c r="BZ175" s="4"/>
      <c r="CA175" s="3"/>
      <c r="CF175" s="5"/>
      <c r="CH175" s="8"/>
      <c r="CI175" s="8"/>
      <c r="CJ175" s="14"/>
      <c r="CK175" s="8"/>
      <c r="CL175" s="8"/>
      <c r="CM175" s="8"/>
      <c r="CN175" s="8"/>
      <c r="CO175" s="8"/>
      <c r="CP175" s="8"/>
      <c r="CQ175" s="8">
        <f>Table1[[#This Row],[In-Tok]]+AvgOutLoad*Table1[[#This Row],[Out-Tok]]</f>
        <v>5450</v>
      </c>
      <c r="CR175" s="8"/>
      <c r="CS175" s="8"/>
      <c r="CT175" s="8"/>
      <c r="CU175" s="8"/>
      <c r="CV175" s="8"/>
      <c r="CW175" s="8"/>
      <c r="CX175" s="8"/>
      <c r="CY175" s="8"/>
    </row>
    <row r="176" spans="1:103" hidden="1" x14ac:dyDescent="0.25">
      <c r="A176" s="26">
        <v>5000</v>
      </c>
      <c r="B176" s="3">
        <v>1000</v>
      </c>
      <c r="C176" s="123">
        <v>2</v>
      </c>
      <c r="D176" s="216">
        <f>Table1[[#This Row],[Kvcache]]</f>
        <v>0.44270399887157064</v>
      </c>
      <c r="E176" s="170" t="s">
        <v>154</v>
      </c>
      <c r="F176" s="218">
        <v>46104</v>
      </c>
      <c r="G176" s="10">
        <v>0</v>
      </c>
      <c r="H176" s="10">
        <v>0.19257041695071203</v>
      </c>
      <c r="I176" s="10">
        <v>0.16194984388013206</v>
      </c>
      <c r="J176" s="10">
        <v>0.2145563304034713</v>
      </c>
      <c r="K176" s="10">
        <v>0.35196747183799637</v>
      </c>
      <c r="L176" s="10">
        <v>0.48332729339599589</v>
      </c>
      <c r="M176" s="10">
        <v>1.9379795176355886E-2</v>
      </c>
      <c r="N176" s="10">
        <v>19.244030959161393</v>
      </c>
      <c r="O176" s="47">
        <v>9324.375</v>
      </c>
      <c r="P176" s="47">
        <v>1729.395</v>
      </c>
      <c r="Q176" s="5">
        <v>31.227272727272727</v>
      </c>
      <c r="R176" s="5">
        <v>49.5</v>
      </c>
      <c r="S176" s="170">
        <v>0.44270399887157064</v>
      </c>
      <c r="T176" s="170">
        <v>0.69697439875872769</v>
      </c>
      <c r="U176" s="3">
        <f>(Table1[[#This Row],[In-Tok]]+Table1[[#This Row],[Out-Tok]])*Table1[[#This Row],[RPS]]</f>
        <v>12000</v>
      </c>
      <c r="V176" s="3">
        <f>Table1[[#This Row],[In-Tok]]+$V$2*Table1[[#This Row],[Out-Tok]]</f>
        <v>5500</v>
      </c>
      <c r="W176" s="3">
        <f>Table1[[#This Row],[In-Tok]]*Table1[[#This Row],[RPS]]</f>
        <v>10000</v>
      </c>
      <c r="X176" s="3">
        <f>Table1[[#This Row],[Out-Tok]]*Table1[[#This Row],[RPS]]</f>
        <v>2000</v>
      </c>
      <c r="Y176" s="75">
        <f>Table1[[#This Row],[In-Tok]]/Table1[[#This Row],[Out-Tok]]</f>
        <v>5</v>
      </c>
      <c r="Z176" s="26">
        <f>Table1[[#This Row],[In-Tok]]*Table1[[#This Row],[N]]+AvgOutLoad*Table1[[#This Row],[Out-Tok]]*Table1[[#This Row],[Ndecode]]</f>
        <v>185844.34591010673</v>
      </c>
      <c r="AA176" s="3">
        <f>Table1[[#This Row],[tok(N)]]/Table1[[#This Row],[Kvcache]]</f>
        <v>419793.69145933684</v>
      </c>
      <c r="AB176" s="3">
        <f>Table1[[#This Row],[tok/req]]*Table1[[#This Row],[Run]]</f>
        <v>171750</v>
      </c>
      <c r="AC176" s="3">
        <f>Table1[[#This Row],[tok(Run)]]/Table1[[#This Row],[Kvcache]]</f>
        <v>387956.73957719328</v>
      </c>
      <c r="AD176" s="3">
        <f>Table1[[#This Row],[tok/req]]*Table1[[#This Row],[MaxRun]]</f>
        <v>272250</v>
      </c>
      <c r="AE176" s="3">
        <f>Table1[[#This Row],[tok(MaxRun)]]/Table1[[#This Row],[MaxKvcache]]</f>
        <v>390616.9300979519</v>
      </c>
      <c r="AF176" s="75">
        <f>Table1[[#This Row],[PPS]]*Table1[[#This Row],[Prefill]]/Table1[[#This Row],[In-Tok]]</f>
        <v>0.30201621510596127</v>
      </c>
      <c r="AG176" s="5">
        <f>Table1[[#This Row],[GPS]]*Table1[[#This Row],[ITL]]</f>
        <v>33.515320879013991</v>
      </c>
      <c r="AH176" s="5">
        <f>Table1[[#This Row],[Nprefill]]+Table1[[#This Row],[Ndecode]]</f>
        <v>33.817337094119949</v>
      </c>
      <c r="AI176" s="4">
        <f>Table1[[#This Row],[Run]]/Table1[[#This Row],[ITL]]/Table1[[#This Row],[GPS]]</f>
        <v>0.93173127716721493</v>
      </c>
      <c r="AJ176" s="10">
        <f>Table1[[#This Row],[Prefill]]+Table1[[#This Row],[ITL]]</f>
        <v>0.18132963905648794</v>
      </c>
      <c r="AK176" s="4">
        <f>Table1[[#This Row],[TTFT]]/Table1[[#This Row],[estTTFT]]</f>
        <v>1.0619908469057413</v>
      </c>
      <c r="AL176" s="5">
        <f>Table1[[#This Row],[In-Tok]]*Table1[[#This Row],[RPS]]/Table1[[#This Row],[PPS]]</f>
        <v>1.0724579395401836</v>
      </c>
      <c r="AM176" s="4">
        <f>Table1[[#This Row],[Prefill]]/Table1[[#This Row],[estPrefill]]</f>
        <v>0.15100810755298064</v>
      </c>
      <c r="AN176" s="4">
        <f>Table1[[#This Row],[Prefill]]/Table1[[#This Row],[TTFT]]</f>
        <v>0.84099025408239503</v>
      </c>
      <c r="AO176" s="10">
        <f>Table1[[#This Row],[Run]]/(Table1[[#This Row],[Out-Tok]]*Table1[[#This Row],[RPS]])</f>
        <v>1.5613636363636363E-2</v>
      </c>
      <c r="AP176" s="4">
        <f>Table1[[#This Row],[ITL]]/Table1[[#This Row],[estITL]]</f>
        <v>1.2412095891698094</v>
      </c>
      <c r="AQ176" s="44">
        <f>Table1[[#This Row],[E2E]]-Table1[[#This Row],[TTFT]]+Table1[[#This Row],[ITL]]</f>
        <v>19.070840337387036</v>
      </c>
      <c r="AR176" s="4">
        <f>Table1[[#This Row],[estDecode]]/Table1[[#This Row],[Run]]</f>
        <v>0.61071104428313649</v>
      </c>
      <c r="AS176" s="44">
        <f>Table1[[#This Row],[Prefill]]+Table1[[#This Row],[Out-Tok]]*Table1[[#This Row],[ITL]]</f>
        <v>19.541745020236021</v>
      </c>
      <c r="AT176" s="5">
        <f>Table1[[#This Row],[estPrefill]]+Table1[[#This Row],[Out-Tok]]*Table1[[#This Row],[ITL]]</f>
        <v>20.45225311589607</v>
      </c>
      <c r="AU176" s="4">
        <f>Table1[[#This Row],[E2E]]/Table1[[#This Row],[estE2E]]</f>
        <v>0.94092474066851772</v>
      </c>
      <c r="AV176" s="5">
        <f>Table1[[#This Row],[N]]/Table1[[#This Row],[estE2E]]</f>
        <v>1.6534773407354399</v>
      </c>
      <c r="AW176" s="5">
        <f>Table1[[#This Row],[PPS]]/Table1[[#This Row],[In-Tok]]</f>
        <v>1.8648750000000001</v>
      </c>
      <c r="AX176" s="4">
        <f>Table1[[#This Row],[RPS]]/Table1[[#This Row],[RPS(IL)]]</f>
        <v>1.0724579395401836</v>
      </c>
      <c r="AY176" s="5">
        <f>Table1[[#This Row],[GPS]]/Table1[[#This Row],[Out-Tok]]</f>
        <v>1.729395</v>
      </c>
      <c r="AZ176" s="89">
        <f>Table1[[#This Row],[RPS]]/Table1[[#This Row],[RPS(OL)]]</f>
        <v>1.1564737957493805</v>
      </c>
      <c r="BA176" s="135">
        <f>MaxTok/Table1[[#This Row],[tok/req]]</f>
        <v>70.529502180464604</v>
      </c>
      <c r="BB176" s="4">
        <f>Table1[[#This Row],[N]]/Table1[[#This Row],[N-max]]</f>
        <v>0.47947789291906756</v>
      </c>
      <c r="BC176" s="44">
        <f>Table1[[#This Row],[RPS]]</f>
        <v>2</v>
      </c>
      <c r="BD176" s="47">
        <f>Table1[[#This Row],[PPS]]/Table1[[#This Row],[RPS success]]</f>
        <v>4662.1875</v>
      </c>
      <c r="BE176" s="4">
        <f>ABS(Table1[[#This Row],[est-In-Tok3]]-Table1[[#This Row],[In-Tok]])/Table1[[#This Row],[In-Tok]]</f>
        <v>6.7562499999999998E-2</v>
      </c>
      <c r="BF176" s="47">
        <f>Table1[[#This Row],[GPS]]/Table1[[#This Row],[RPS success]]</f>
        <v>864.69749999999999</v>
      </c>
      <c r="BG176" s="4">
        <f>ABS(Table1[[#This Row],[est-Out-Tok3]]-Table1[[#This Row],[Out-Tok]])/Table1[[#This Row],[Out-Tok]]</f>
        <v>0.13530250000000002</v>
      </c>
      <c r="BH176" s="162">
        <f>Table1[[#This Row],[est-In-Tok3]]+AvgOutLoad*Table1[[#This Row],[est-Out-Tok3]]</f>
        <v>5094.5362500000001</v>
      </c>
      <c r="BI176" s="4">
        <f>ABS(Table1[[#This Row],[est-Tok/Req3]]-Table1[[#This Row],[tok/req]])/Table1[[#This Row],[tok/req]]</f>
        <v>7.3720681818181796E-2</v>
      </c>
      <c r="BJ176" s="162">
        <f>MaxTok/Table1[[#This Row],[est-Tok/Req3]]</f>
        <v>76.14280141643026</v>
      </c>
      <c r="BK176" s="4">
        <f>ABS(Table1[[#This Row],[est-N-max3]]-Table1[[#This Row],[N-max]])/Table1[[#This Row],[N-max]]</f>
        <v>7.9587960533208435E-2</v>
      </c>
      <c r="BL176" s="44">
        <f>MaxTok*Table1[[#This Row],[Kvcache]]/Table1[[#This Row],[Run]]</f>
        <v>5499.3694484705293</v>
      </c>
      <c r="BM176" s="170">
        <f>ABS(Table1[[#This Row],[est-Tok/Req]]-Table1[[#This Row],[tok/req]])/Table1[[#This Row],[tok/req]]</f>
        <v>1.1464573263104037E-4</v>
      </c>
      <c r="BN176" s="44">
        <f>MaxTok/Table1[[#This Row],[est-Tok/Req]]</f>
        <v>70.537589014035134</v>
      </c>
      <c r="BO176" s="180">
        <f>Table1[[#This Row],[Run]]/Table1[[#This Row],[Kvcache]]</f>
        <v>70.537589014035134</v>
      </c>
      <c r="BP176" s="4" cm="1">
        <f t="array" aca="1" ref="BP176" ca="1">_xlfn.CEILING.MATH(INDIRECT("Table1"&amp;BP$3)/BP$2)*BP$2</f>
        <v>6000</v>
      </c>
      <c r="BQ176" s="4" cm="1">
        <f t="array" aca="1" ref="BQ176" ca="1">_xlfn.CEILING.MATH(INDIRECT("Table1"&amp;BQ$3)/BQ$2)*BQ$2</f>
        <v>0.02</v>
      </c>
      <c r="BR176" s="4" cm="1">
        <f t="array" aca="1" ref="BR176" ca="1">_xlfn.CEILING.MATH(INDIRECT("Table1"&amp;BR$3)/BR$2)*BR$2</f>
        <v>0.5</v>
      </c>
      <c r="BS176" s="4" cm="1">
        <f t="array" aca="1" ref="BS176" ca="1">_xlfn.CEILING.MATH(INDIRECT("Table1"&amp;BS$3)/BS$2)*BS$2</f>
        <v>0.45</v>
      </c>
      <c r="BT176" s="3" cm="1">
        <f t="array" aca="1" ref="BT176" ca="1">_xlfn.CEILING.MATH(INDIRECT("Table1"&amp;BT$3)/BT$2)*BT$2</f>
        <v>32</v>
      </c>
      <c r="BU176" s="135" cm="1">
        <f t="array" aca="1" ref="BU176" ca="1">_xlfn.CEILING.MATH(INDIRECT("Table1"&amp;BU$3)/BU$2)*BU$2</f>
        <v>5</v>
      </c>
      <c r="BV176" s="135" cm="1">
        <f t="array" aca="1" ref="BV176" ca="1">_xlfn.CEILING.MATH(INDIRECT("Table1"&amp;BV$3)/BV$2)*BV$2</f>
        <v>5000</v>
      </c>
      <c r="BW176" s="4"/>
      <c r="BX176" s="4"/>
      <c r="BY176" s="217"/>
      <c r="BZ176" s="4"/>
      <c r="CA176" s="3"/>
      <c r="CF176" s="5"/>
      <c r="CH176" s="8"/>
      <c r="CI176" s="8"/>
      <c r="CJ176" s="14"/>
      <c r="CK176" s="8"/>
      <c r="CL176" s="8"/>
      <c r="CM176" s="8"/>
      <c r="CN176" s="8"/>
      <c r="CO176" s="8"/>
      <c r="CP176" s="8"/>
      <c r="CQ176" s="8">
        <f>Table1[[#This Row],[In-Tok]]+AvgOutLoad*Table1[[#This Row],[Out-Tok]]</f>
        <v>5500</v>
      </c>
      <c r="CR176" s="8"/>
      <c r="CS176" s="8"/>
      <c r="CT176" s="8"/>
      <c r="CU176" s="8"/>
      <c r="CV176" s="8"/>
      <c r="CW176" s="8"/>
      <c r="CX176" s="8"/>
      <c r="CY176" s="8"/>
    </row>
    <row r="177" spans="1:103" hidden="1" x14ac:dyDescent="0.25">
      <c r="A177" s="26">
        <v>5000</v>
      </c>
      <c r="B177" s="3">
        <v>1100</v>
      </c>
      <c r="C177" s="123">
        <v>2</v>
      </c>
      <c r="D177" s="216">
        <f>Table1[[#This Row],[Kvcache]]</f>
        <v>0.46027223358487912</v>
      </c>
      <c r="E177" s="170" t="s">
        <v>154</v>
      </c>
      <c r="F177" s="218">
        <v>46104</v>
      </c>
      <c r="G177" s="10">
        <v>0</v>
      </c>
      <c r="H177" s="10">
        <v>0.18591695024428262</v>
      </c>
      <c r="I177" s="10">
        <v>0.1665230169925708</v>
      </c>
      <c r="J177" s="10">
        <v>0.208751346083033</v>
      </c>
      <c r="K177" s="10">
        <v>0.32967463135719299</v>
      </c>
      <c r="L177" s="10">
        <v>0.40491663932800304</v>
      </c>
      <c r="M177" s="10">
        <v>1.9518618470788347E-2</v>
      </c>
      <c r="N177" s="10">
        <v>21.44428200797423</v>
      </c>
      <c r="O177" s="47">
        <v>8629.755000000001</v>
      </c>
      <c r="P177" s="47">
        <v>1730.42</v>
      </c>
      <c r="Q177" s="5">
        <v>32.227272727272734</v>
      </c>
      <c r="R177" s="5">
        <v>54</v>
      </c>
      <c r="S177" s="170">
        <v>0.46027223358487912</v>
      </c>
      <c r="T177" s="170">
        <v>0.77684251357641587</v>
      </c>
      <c r="U177" s="3">
        <f>(Table1[[#This Row],[In-Tok]]+Table1[[#This Row],[Out-Tok]])*Table1[[#This Row],[RPS]]</f>
        <v>12200</v>
      </c>
      <c r="V177" s="3">
        <f>Table1[[#This Row],[In-Tok]]+$V$2*Table1[[#This Row],[Out-Tok]]</f>
        <v>5550</v>
      </c>
      <c r="W177" s="3">
        <f>Table1[[#This Row],[In-Tok]]*Table1[[#This Row],[RPS]]</f>
        <v>10000</v>
      </c>
      <c r="X177" s="3">
        <f>Table1[[#This Row],[Out-Tok]]*Table1[[#This Row],[RPS]]</f>
        <v>2200</v>
      </c>
      <c r="Y177" s="75">
        <f>Table1[[#This Row],[In-Tok]]/Table1[[#This Row],[Out-Tok]]</f>
        <v>4.5454545454545459</v>
      </c>
      <c r="Z177" s="26">
        <f>Table1[[#This Row],[In-Tok]]*Table1[[#This Row],[N]]+AvgOutLoad*Table1[[#This Row],[Out-Tok]]*Table1[[#This Row],[Ndecode]]</f>
        <v>188890.56598543643</v>
      </c>
      <c r="AA177" s="3">
        <f>Table1[[#This Row],[tok(N)]]/Table1[[#This Row],[Kvcache]]</f>
        <v>410388.79211600975</v>
      </c>
      <c r="AB177" s="3">
        <f>Table1[[#This Row],[tok/req]]*Table1[[#This Row],[Run]]</f>
        <v>178861.36363636368</v>
      </c>
      <c r="AC177" s="3">
        <f>Table1[[#This Row],[tok(Run)]]/Table1[[#This Row],[Kvcache]]</f>
        <v>388599.07373356627</v>
      </c>
      <c r="AD177" s="3">
        <f>Table1[[#This Row],[tok/req]]*Table1[[#This Row],[MaxRun]]</f>
        <v>299700</v>
      </c>
      <c r="AE177" s="3">
        <f>Table1[[#This Row],[tok(MaxRun)]]/Table1[[#This Row],[MaxKvcache]]</f>
        <v>385792.48015179503</v>
      </c>
      <c r="AF177" s="75">
        <f>Table1[[#This Row],[PPS]]*Table1[[#This Row],[Prefill]]/Table1[[#This Row],[In-Tok]]</f>
        <v>0.2874105677013446</v>
      </c>
      <c r="AG177" s="5">
        <f>Table1[[#This Row],[GPS]]*Table1[[#This Row],[ITL]]</f>
        <v>33.77540777422157</v>
      </c>
      <c r="AH177" s="5">
        <f>Table1[[#This Row],[Nprefill]]+Table1[[#This Row],[Ndecode]]</f>
        <v>34.062818341922913</v>
      </c>
      <c r="AI177" s="4">
        <f>Table1[[#This Row],[Run]]/Table1[[#This Row],[ITL]]/Table1[[#This Row],[GPS]]</f>
        <v>0.95416383845614372</v>
      </c>
      <c r="AJ177" s="10">
        <f>Table1[[#This Row],[Prefill]]+Table1[[#This Row],[ITL]]</f>
        <v>0.18604163546335914</v>
      </c>
      <c r="AK177" s="4">
        <f>Table1[[#This Row],[TTFT]]/Table1[[#This Row],[estTTFT]]</f>
        <v>0.99932979938191802</v>
      </c>
      <c r="AL177" s="5">
        <f>Table1[[#This Row],[In-Tok]]*Table1[[#This Row],[RPS]]/Table1[[#This Row],[PPS]]</f>
        <v>1.1587814486042767</v>
      </c>
      <c r="AM177" s="4">
        <f>Table1[[#This Row],[Prefill]]/Table1[[#This Row],[estPrefill]]</f>
        <v>0.1437052838506723</v>
      </c>
      <c r="AN177" s="4">
        <f>Table1[[#This Row],[Prefill]]/Table1[[#This Row],[TTFT]]</f>
        <v>0.89568496457031233</v>
      </c>
      <c r="AO177" s="10">
        <f>Table1[[#This Row],[Run]]/(Table1[[#This Row],[Out-Tok]]*Table1[[#This Row],[RPS]])</f>
        <v>1.4648760330578514E-2</v>
      </c>
      <c r="AP177" s="4">
        <f>Table1[[#This Row],[ITL]]/Table1[[#This Row],[estITL]]</f>
        <v>1.3324416558337882</v>
      </c>
      <c r="AQ177" s="44">
        <f>Table1[[#This Row],[E2E]]-Table1[[#This Row],[TTFT]]+Table1[[#This Row],[ITL]]</f>
        <v>21.277883676200734</v>
      </c>
      <c r="AR177" s="4">
        <f>Table1[[#This Row],[estDecode]]/Table1[[#This Row],[Run]]</f>
        <v>0.66024462747026236</v>
      </c>
      <c r="AS177" s="44">
        <f>Table1[[#This Row],[Prefill]]+Table1[[#This Row],[Out-Tok]]*Table1[[#This Row],[ITL]]</f>
        <v>21.637003334859752</v>
      </c>
      <c r="AT177" s="5">
        <f>Table1[[#This Row],[estPrefill]]+Table1[[#This Row],[Out-Tok]]*Table1[[#This Row],[ITL]]</f>
        <v>22.629261766471458</v>
      </c>
      <c r="AU177" s="4">
        <f>Table1[[#This Row],[E2E]]/Table1[[#This Row],[estE2E]]</f>
        <v>0.9476350677840959</v>
      </c>
      <c r="AV177" s="5">
        <f>Table1[[#This Row],[N]]/Table1[[#This Row],[estE2E]]</f>
        <v>1.5052553942520535</v>
      </c>
      <c r="AW177" s="5">
        <f>Table1[[#This Row],[PPS]]/Table1[[#This Row],[In-Tok]]</f>
        <v>1.7259510000000002</v>
      </c>
      <c r="AX177" s="4">
        <f>Table1[[#This Row],[RPS]]/Table1[[#This Row],[RPS(IL)]]</f>
        <v>1.1587814486042765</v>
      </c>
      <c r="AY177" s="5">
        <f>Table1[[#This Row],[GPS]]/Table1[[#This Row],[Out-Tok]]</f>
        <v>1.573109090909091</v>
      </c>
      <c r="AZ177" s="89">
        <f>Table1[[#This Row],[RPS]]/Table1[[#This Row],[RPS(OL)]]</f>
        <v>1.2713676448492273</v>
      </c>
      <c r="BA177" s="135">
        <f>MaxTok/Table1[[#This Row],[tok/req]]</f>
        <v>69.894101259919864</v>
      </c>
      <c r="BB177" s="4">
        <f>Table1[[#This Row],[N]]/Table1[[#This Row],[N-max]]</f>
        <v>0.48734897119931814</v>
      </c>
      <c r="BC177" s="44">
        <f>Table1[[#This Row],[RPS]]</f>
        <v>2</v>
      </c>
      <c r="BD177" s="47">
        <f>Table1[[#This Row],[PPS]]/Table1[[#This Row],[RPS success]]</f>
        <v>4314.8775000000005</v>
      </c>
      <c r="BE177" s="4">
        <f>ABS(Table1[[#This Row],[est-In-Tok3]]-Table1[[#This Row],[In-Tok]])/Table1[[#This Row],[In-Tok]]</f>
        <v>0.13702449999999991</v>
      </c>
      <c r="BF177" s="47">
        <f>Table1[[#This Row],[GPS]]/Table1[[#This Row],[RPS success]]</f>
        <v>865.21</v>
      </c>
      <c r="BG177" s="4">
        <f>ABS(Table1[[#This Row],[est-Out-Tok3]]-Table1[[#This Row],[Out-Tok]])/Table1[[#This Row],[Out-Tok]]</f>
        <v>0.21344545454545452</v>
      </c>
      <c r="BH177" s="162">
        <f>Table1[[#This Row],[est-In-Tok3]]+AvgOutLoad*Table1[[#This Row],[est-Out-Tok3]]</f>
        <v>4747.4825000000001</v>
      </c>
      <c r="BI177" s="4">
        <f>ABS(Table1[[#This Row],[est-Tok/Req3]]-Table1[[#This Row],[tok/req]])/Table1[[#This Row],[tok/req]]</f>
        <v>0.14459774774774772</v>
      </c>
      <c r="BJ177" s="162">
        <f>MaxTok/Table1[[#This Row],[est-Tok/Req3]]</f>
        <v>81.709045160788961</v>
      </c>
      <c r="BK177" s="4">
        <f>ABS(Table1[[#This Row],[est-N-max3]]-Table1[[#This Row],[N-max]])/Table1[[#This Row],[N-max]]</f>
        <v>0.16904064417299072</v>
      </c>
      <c r="BL177" s="44">
        <f>MaxTok*Table1[[#This Row],[Kvcache]]/Table1[[#This Row],[Run]]</f>
        <v>5540.1909051764123</v>
      </c>
      <c r="BM177" s="170">
        <f>ABS(Table1[[#This Row],[est-Tok/Req]]-Table1[[#This Row],[tok/req]])/Table1[[#This Row],[tok/req]]</f>
        <v>1.7674044727184967E-3</v>
      </c>
      <c r="BN177" s="44">
        <f>MaxTok/Table1[[#This Row],[est-Tok/Req]]</f>
        <v>70.017851123165087</v>
      </c>
      <c r="BO177" s="180">
        <f>Table1[[#This Row],[Run]]/Table1[[#This Row],[Kvcache]]</f>
        <v>70.017851123165087</v>
      </c>
      <c r="BP177" s="4" cm="1">
        <f t="array" aca="1" ref="BP177" ca="1">_xlfn.CEILING.MATH(INDIRECT("Table1"&amp;BP$3)/BP$2)*BP$2</f>
        <v>6000</v>
      </c>
      <c r="BQ177" s="4" cm="1">
        <f t="array" aca="1" ref="BQ177" ca="1">_xlfn.CEILING.MATH(INDIRECT("Table1"&amp;BQ$3)/BQ$2)*BQ$2</f>
        <v>0.02</v>
      </c>
      <c r="BR177" s="4" cm="1">
        <f t="array" aca="1" ref="BR177" ca="1">_xlfn.CEILING.MATH(INDIRECT("Table1"&amp;BR$3)/BR$2)*BR$2</f>
        <v>0.5</v>
      </c>
      <c r="BS177" s="4" cm="1">
        <f t="array" aca="1" ref="BS177" ca="1">_xlfn.CEILING.MATH(INDIRECT("Table1"&amp;BS$3)/BS$2)*BS$2</f>
        <v>0.47000000000000003</v>
      </c>
      <c r="BT177" s="3" cm="1">
        <f t="array" aca="1" ref="BT177" ca="1">_xlfn.CEILING.MATH(INDIRECT("Table1"&amp;BT$3)/BT$2)*BT$2</f>
        <v>33</v>
      </c>
      <c r="BU177" s="135" cm="1">
        <f t="array" aca="1" ref="BU177" ca="1">_xlfn.CEILING.MATH(INDIRECT("Table1"&amp;BU$3)/BU$2)*BU$2</f>
        <v>5</v>
      </c>
      <c r="BV177" s="135" cm="1">
        <f t="array" aca="1" ref="BV177" ca="1">_xlfn.CEILING.MATH(INDIRECT("Table1"&amp;BV$3)/BV$2)*BV$2</f>
        <v>5000</v>
      </c>
      <c r="BW177" s="4"/>
      <c r="BX177" s="4"/>
      <c r="BY177" s="217"/>
      <c r="BZ177" s="4"/>
      <c r="CA177" s="3"/>
      <c r="CF177" s="5"/>
      <c r="CH177" s="8"/>
      <c r="CI177" s="8"/>
      <c r="CJ177" s="14"/>
      <c r="CK177" s="8"/>
      <c r="CL177" s="8"/>
      <c r="CM177" s="8"/>
      <c r="CN177" s="8"/>
      <c r="CO177" s="8"/>
      <c r="CP177" s="8"/>
      <c r="CQ177" s="8">
        <f>Table1[[#This Row],[In-Tok]]+AvgOutLoad*Table1[[#This Row],[Out-Tok]]</f>
        <v>5550</v>
      </c>
      <c r="CR177" s="8"/>
      <c r="CS177" s="8"/>
      <c r="CT177" s="8"/>
      <c r="CU177" s="8"/>
      <c r="CV177" s="8"/>
      <c r="CW177" s="8"/>
      <c r="CX177" s="8"/>
      <c r="CY177" s="8"/>
    </row>
    <row r="178" spans="1:103" hidden="1" x14ac:dyDescent="0.25">
      <c r="A178" s="26">
        <v>5000</v>
      </c>
      <c r="B178" s="3">
        <v>1200</v>
      </c>
      <c r="C178" s="123">
        <v>2</v>
      </c>
      <c r="D178" s="216">
        <f>Table1[[#This Row],[Kvcache]]</f>
        <v>0.45902038225544817</v>
      </c>
      <c r="E178" s="170" t="s">
        <v>154</v>
      </c>
      <c r="F178" s="218">
        <v>46104</v>
      </c>
      <c r="G178" s="10">
        <v>0</v>
      </c>
      <c r="H178" s="10">
        <v>0.1860981117771372</v>
      </c>
      <c r="I178" s="10">
        <v>0.16470373993645121</v>
      </c>
      <c r="J178" s="10">
        <v>0.20838600857678391</v>
      </c>
      <c r="K178" s="10">
        <v>0.33209458589553831</v>
      </c>
      <c r="L178" s="10">
        <v>0.37703190326690683</v>
      </c>
      <c r="M178" s="10">
        <v>1.8738186022315861E-2</v>
      </c>
      <c r="N178" s="10">
        <v>22.494701318417263</v>
      </c>
      <c r="O178" s="47">
        <v>8098.06</v>
      </c>
      <c r="P178" s="47">
        <v>1746.4549999999999</v>
      </c>
      <c r="Q178" s="5">
        <v>31.909090909090914</v>
      </c>
      <c r="R178" s="5">
        <v>47.5</v>
      </c>
      <c r="S178" s="170">
        <v>0.45902038225544817</v>
      </c>
      <c r="T178" s="170">
        <v>0.67940263770364617</v>
      </c>
      <c r="U178" s="3">
        <f>(Table1[[#This Row],[In-Tok]]+Table1[[#This Row],[Out-Tok]])*Table1[[#This Row],[RPS]]</f>
        <v>12400</v>
      </c>
      <c r="V178" s="3">
        <f>Table1[[#This Row],[In-Tok]]+$V$2*Table1[[#This Row],[Out-Tok]]</f>
        <v>5600</v>
      </c>
      <c r="W178" s="3">
        <f>Table1[[#This Row],[In-Tok]]*Table1[[#This Row],[RPS]]</f>
        <v>10000</v>
      </c>
      <c r="X178" s="3">
        <f>Table1[[#This Row],[Out-Tok]]*Table1[[#This Row],[RPS]]</f>
        <v>2400</v>
      </c>
      <c r="Y178" s="75">
        <f>Table1[[#This Row],[In-Tok]]/Table1[[#This Row],[Out-Tok]]</f>
        <v>4.166666666666667</v>
      </c>
      <c r="Z178" s="26">
        <f>Table1[[#This Row],[In-Tok]]*Table1[[#This Row],[N]]+AvgOutLoad*Table1[[#This Row],[Out-Tok]]*Table1[[#This Row],[Ndecode]]</f>
        <v>184596.01331801023</v>
      </c>
      <c r="AA178" s="3">
        <f>Table1[[#This Row],[tok(N)]]/Table1[[#This Row],[Kvcache]]</f>
        <v>402152.10577573266</v>
      </c>
      <c r="AB178" s="3">
        <f>Table1[[#This Row],[tok/req]]*Table1[[#This Row],[Run]]</f>
        <v>178690.90909090912</v>
      </c>
      <c r="AC178" s="3">
        <f>Table1[[#This Row],[tok(Run)]]/Table1[[#This Row],[Kvcache]]</f>
        <v>389287.52621591941</v>
      </c>
      <c r="AD178" s="3">
        <f>Table1[[#This Row],[tok/req]]*Table1[[#This Row],[MaxRun]]</f>
        <v>266000</v>
      </c>
      <c r="AE178" s="3">
        <f>Table1[[#This Row],[tok(MaxRun)]]/Table1[[#This Row],[MaxKvcache]]</f>
        <v>391520.41107622039</v>
      </c>
      <c r="AF178" s="75">
        <f>Table1[[#This Row],[PPS]]*Table1[[#This Row],[Prefill]]/Table1[[#This Row],[In-Tok]]</f>
        <v>0.26675615364595567</v>
      </c>
      <c r="AG178" s="5">
        <f>Table1[[#This Row],[GPS]]*Table1[[#This Row],[ITL]]</f>
        <v>32.725398669603649</v>
      </c>
      <c r="AH178" s="5">
        <f>Table1[[#This Row],[Nprefill]]+Table1[[#This Row],[Ndecode]]</f>
        <v>32.992154823249606</v>
      </c>
      <c r="AI178" s="4">
        <f>Table1[[#This Row],[Run]]/Table1[[#This Row],[ITL]]/Table1[[#This Row],[GPS]]</f>
        <v>0.97505583449863531</v>
      </c>
      <c r="AJ178" s="10">
        <f>Table1[[#This Row],[Prefill]]+Table1[[#This Row],[ITL]]</f>
        <v>0.18344192595876707</v>
      </c>
      <c r="AK178" s="4">
        <f>Table1[[#This Row],[TTFT]]/Table1[[#This Row],[estTTFT]]</f>
        <v>1.0144797096110252</v>
      </c>
      <c r="AL178" s="5">
        <f>Table1[[#This Row],[In-Tok]]*Table1[[#This Row],[RPS]]/Table1[[#This Row],[PPS]]</f>
        <v>1.2348636587034425</v>
      </c>
      <c r="AM178" s="4">
        <f>Table1[[#This Row],[Prefill]]/Table1[[#This Row],[estPrefill]]</f>
        <v>0.13337807682297781</v>
      </c>
      <c r="AN178" s="4">
        <f>Table1[[#This Row],[Prefill]]/Table1[[#This Row],[TTFT]]</f>
        <v>0.88503713639874582</v>
      </c>
      <c r="AO178" s="10">
        <f>Table1[[#This Row],[Run]]/(Table1[[#This Row],[Out-Tok]]*Table1[[#This Row],[RPS]])</f>
        <v>1.3295454545454548E-2</v>
      </c>
      <c r="AP178" s="4">
        <f>Table1[[#This Row],[ITL]]/Table1[[#This Row],[estITL]]</f>
        <v>1.4093678375758936</v>
      </c>
      <c r="AQ178" s="44">
        <f>Table1[[#This Row],[E2E]]-Table1[[#This Row],[TTFT]]+Table1[[#This Row],[ITL]]</f>
        <v>22.32734139266244</v>
      </c>
      <c r="AR178" s="4">
        <f>Table1[[#This Row],[estDecode]]/Table1[[#This Row],[Run]]</f>
        <v>0.69971725162189968</v>
      </c>
      <c r="AS178" s="44">
        <f>Table1[[#This Row],[Prefill]]+Table1[[#This Row],[Out-Tok]]*Table1[[#This Row],[ITL]]</f>
        <v>22.650526966715486</v>
      </c>
      <c r="AT178" s="5">
        <f>Table1[[#This Row],[estPrefill]]+Table1[[#This Row],[Out-Tok]]*Table1[[#This Row],[ITL]]</f>
        <v>23.720686885482476</v>
      </c>
      <c r="AU178" s="4">
        <f>Table1[[#This Row],[E2E]]/Table1[[#This Row],[estE2E]]</f>
        <v>0.94831576450614763</v>
      </c>
      <c r="AV178" s="5">
        <f>Table1[[#This Row],[N]]/Table1[[#This Row],[estE2E]]</f>
        <v>1.3908600110328782</v>
      </c>
      <c r="AW178" s="5">
        <f>Table1[[#This Row],[PPS]]/Table1[[#This Row],[In-Tok]]</f>
        <v>1.6196120000000001</v>
      </c>
      <c r="AX178" s="4">
        <f>Table1[[#This Row],[RPS]]/Table1[[#This Row],[RPS(IL)]]</f>
        <v>1.2348636587034425</v>
      </c>
      <c r="AY178" s="5">
        <f>Table1[[#This Row],[GPS]]/Table1[[#This Row],[Out-Tok]]</f>
        <v>1.4553791666666667</v>
      </c>
      <c r="AZ178" s="89">
        <f>Table1[[#This Row],[RPS]]/Table1[[#This Row],[RPS(OL)]]</f>
        <v>1.3742123329831</v>
      </c>
      <c r="BA178" s="135">
        <f>MaxTok/Table1[[#This Row],[tok/req]]</f>
        <v>69.270046784384874</v>
      </c>
      <c r="BB178" s="4">
        <f>Table1[[#This Row],[N]]/Table1[[#This Row],[N-max]]</f>
        <v>0.47628313181227455</v>
      </c>
      <c r="BC178" s="44">
        <f>Table1[[#This Row],[RPS]]</f>
        <v>2</v>
      </c>
      <c r="BD178" s="47">
        <f>Table1[[#This Row],[PPS]]/Table1[[#This Row],[RPS success]]</f>
        <v>4049.03</v>
      </c>
      <c r="BE178" s="4">
        <f>ABS(Table1[[#This Row],[est-In-Tok3]]-Table1[[#This Row],[In-Tok]])/Table1[[#This Row],[In-Tok]]</f>
        <v>0.19019399999999995</v>
      </c>
      <c r="BF178" s="47">
        <f>Table1[[#This Row],[GPS]]/Table1[[#This Row],[RPS success]]</f>
        <v>873.22749999999996</v>
      </c>
      <c r="BG178" s="4">
        <f>ABS(Table1[[#This Row],[est-Out-Tok3]]-Table1[[#This Row],[Out-Tok]])/Table1[[#This Row],[Out-Tok]]</f>
        <v>0.27231041666666672</v>
      </c>
      <c r="BH178" s="162">
        <f>Table1[[#This Row],[est-In-Tok3]]+AvgOutLoad*Table1[[#This Row],[est-Out-Tok3]]</f>
        <v>4485.6437500000002</v>
      </c>
      <c r="BI178" s="4">
        <f>ABS(Table1[[#This Row],[est-Tok/Req3]]-Table1[[#This Row],[tok/req]])/Table1[[#This Row],[tok/req]]</f>
        <v>0.19899218749999997</v>
      </c>
      <c r="BJ178" s="162">
        <f>MaxTok/Table1[[#This Row],[est-Tok/Req3]]</f>
        <v>86.478615693133293</v>
      </c>
      <c r="BK178" s="4">
        <f>ABS(Table1[[#This Row],[est-N-max3]]-Table1[[#This Row],[N-max]])/Table1[[#This Row],[N-max]]</f>
        <v>0.24842727423460673</v>
      </c>
      <c r="BL178" s="44">
        <f>MaxTok*Table1[[#This Row],[Kvcache]]/Table1[[#This Row],[Run]]</f>
        <v>5580.2164746307144</v>
      </c>
      <c r="BM178" s="170">
        <f>ABS(Table1[[#This Row],[est-Tok/Req]]-Table1[[#This Row],[tok/req]])/Table1[[#This Row],[tok/req]]</f>
        <v>3.5327723873724284E-3</v>
      </c>
      <c r="BN178" s="44">
        <f>MaxTok/Table1[[#This Row],[est-Tok/Req]]</f>
        <v>69.515629681414183</v>
      </c>
      <c r="BO178" s="180">
        <f>Table1[[#This Row],[Run]]/Table1[[#This Row],[Kvcache]]</f>
        <v>69.515629681414183</v>
      </c>
      <c r="BP178" s="4" cm="1">
        <f t="array" aca="1" ref="BP178" ca="1">_xlfn.CEILING.MATH(INDIRECT("Table1"&amp;BP$3)/BP$2)*BP$2</f>
        <v>6000</v>
      </c>
      <c r="BQ178" s="4" cm="1">
        <f t="array" aca="1" ref="BQ178" ca="1">_xlfn.CEILING.MATH(INDIRECT("Table1"&amp;BQ$3)/BQ$2)*BQ$2</f>
        <v>0.02</v>
      </c>
      <c r="BR178" s="4" cm="1">
        <f t="array" aca="1" ref="BR178" ca="1">_xlfn.CEILING.MATH(INDIRECT("Table1"&amp;BR$3)/BR$2)*BR$2</f>
        <v>0.5</v>
      </c>
      <c r="BS178" s="4" cm="1">
        <f t="array" aca="1" ref="BS178" ca="1">_xlfn.CEILING.MATH(INDIRECT("Table1"&amp;BS$3)/BS$2)*BS$2</f>
        <v>0.46</v>
      </c>
      <c r="BT178" s="3" cm="1">
        <f t="array" aca="1" ref="BT178" ca="1">_xlfn.CEILING.MATH(INDIRECT("Table1"&amp;BT$3)/BT$2)*BT$2</f>
        <v>32</v>
      </c>
      <c r="BU178" s="135" cm="1">
        <f t="array" aca="1" ref="BU178" ca="1">_xlfn.CEILING.MATH(INDIRECT("Table1"&amp;BU$3)/BU$2)*BU$2</f>
        <v>5</v>
      </c>
      <c r="BV178" s="135" cm="1">
        <f t="array" aca="1" ref="BV178" ca="1">_xlfn.CEILING.MATH(INDIRECT("Table1"&amp;BV$3)/BV$2)*BV$2</f>
        <v>5000</v>
      </c>
      <c r="BW178" s="4"/>
      <c r="BX178" s="4"/>
      <c r="BY178" s="217"/>
      <c r="BZ178" s="4"/>
      <c r="CA178" s="3"/>
      <c r="CF178" s="5"/>
      <c r="CH178" s="8"/>
      <c r="CI178" s="8"/>
      <c r="CJ178" s="14"/>
      <c r="CK178" s="8"/>
      <c r="CL178" s="8"/>
      <c r="CM178" s="8"/>
      <c r="CN178" s="8"/>
      <c r="CO178" s="8"/>
      <c r="CP178" s="8"/>
      <c r="CQ178" s="8">
        <f>Table1[[#This Row],[In-Tok]]+AvgOutLoad*Table1[[#This Row],[Out-Tok]]</f>
        <v>5600</v>
      </c>
      <c r="CR178" s="8"/>
      <c r="CS178" s="8"/>
      <c r="CT178" s="8"/>
      <c r="CU178" s="8"/>
      <c r="CV178" s="8"/>
      <c r="CW178" s="8"/>
      <c r="CX178" s="8"/>
      <c r="CY178" s="8"/>
    </row>
    <row r="179" spans="1:103" hidden="1" x14ac:dyDescent="0.25">
      <c r="A179" s="26">
        <v>5000</v>
      </c>
      <c r="B179" s="3">
        <v>1300</v>
      </c>
      <c r="C179" s="123">
        <v>2</v>
      </c>
      <c r="D179" s="216">
        <f>Table1[[#This Row],[Kvcache]]</f>
        <v>0.65566330488750968</v>
      </c>
      <c r="E179" s="170" t="s">
        <v>154</v>
      </c>
      <c r="F179" s="218">
        <v>46104</v>
      </c>
      <c r="G179" s="10">
        <v>0</v>
      </c>
      <c r="H179" s="10">
        <v>0.87758062415388394</v>
      </c>
      <c r="I179" s="10">
        <v>0.19447959499688516</v>
      </c>
      <c r="J179" s="10">
        <v>0.90252956522183481</v>
      </c>
      <c r="K179" s="10">
        <v>3.9846784412860874</v>
      </c>
      <c r="L179" s="10">
        <v>4.2043624258041383</v>
      </c>
      <c r="M179" s="10">
        <v>2.5104176271498566E-2</v>
      </c>
      <c r="N179" s="10">
        <v>32.408982815616056</v>
      </c>
      <c r="O179" s="47">
        <v>7971.772727272727</v>
      </c>
      <c r="P179" s="47">
        <v>1939.1363636363635</v>
      </c>
      <c r="Q179" s="5">
        <v>45.125</v>
      </c>
      <c r="R179" s="5">
        <v>68.5</v>
      </c>
      <c r="S179" s="170">
        <v>0.65566330488750968</v>
      </c>
      <c r="T179" s="170">
        <v>0.99833204034134981</v>
      </c>
      <c r="U179" s="3">
        <f>(Table1[[#This Row],[In-Tok]]+Table1[[#This Row],[Out-Tok]])*Table1[[#This Row],[RPS]]</f>
        <v>12600</v>
      </c>
      <c r="V179" s="3">
        <f>Table1[[#This Row],[In-Tok]]+$V$2*Table1[[#This Row],[Out-Tok]]</f>
        <v>5650</v>
      </c>
      <c r="W179" s="3">
        <f>Table1[[#This Row],[In-Tok]]*Table1[[#This Row],[RPS]]</f>
        <v>10000</v>
      </c>
      <c r="X179" s="3">
        <f>Table1[[#This Row],[Out-Tok]]*Table1[[#This Row],[RPS]]</f>
        <v>2600</v>
      </c>
      <c r="Y179" s="75">
        <f>Table1[[#This Row],[In-Tok]]/Table1[[#This Row],[Out-Tok]]</f>
        <v>3.8461538461538463</v>
      </c>
      <c r="Z179" s="26">
        <f>Table1[[#This Row],[In-Tok]]*Table1[[#This Row],[N]]+AvgOutLoad*Table1[[#This Row],[Out-Tok]]*Table1[[#This Row],[Ndecode]]</f>
        <v>276594.72627408727</v>
      </c>
      <c r="AA179" s="3">
        <f>Table1[[#This Row],[tok(N)]]/Table1[[#This Row],[Kvcache]]</f>
        <v>421854.82123563689</v>
      </c>
      <c r="AB179" s="3">
        <f>Table1[[#This Row],[tok/req]]*Table1[[#This Row],[Run]]</f>
        <v>254956.25</v>
      </c>
      <c r="AC179" s="3">
        <f>Table1[[#This Row],[tok(Run)]]/Table1[[#This Row],[Kvcache]]</f>
        <v>388852.40046145656</v>
      </c>
      <c r="AD179" s="3">
        <f>Table1[[#This Row],[tok/req]]*Table1[[#This Row],[MaxRun]]</f>
        <v>387025</v>
      </c>
      <c r="AE179" s="3">
        <f>Table1[[#This Row],[tok(MaxRun)]]/Table1[[#This Row],[MaxKvcache]]</f>
        <v>387671.6206240044</v>
      </c>
      <c r="AF179" s="75">
        <f>Table1[[#This Row],[PPS]]*Table1[[#This Row],[Prefill]]/Table1[[#This Row],[In-Tok]]</f>
        <v>0.31006942628144291</v>
      </c>
      <c r="AG179" s="5">
        <f>Table1[[#This Row],[GPS]]*Table1[[#This Row],[ITL]]</f>
        <v>48.68042108720001</v>
      </c>
      <c r="AH179" s="5">
        <f>Table1[[#This Row],[Nprefill]]+Table1[[#This Row],[Ndecode]]</f>
        <v>48.990490513481454</v>
      </c>
      <c r="AI179" s="4">
        <f>Table1[[#This Row],[Run]]/Table1[[#This Row],[ITL]]/Table1[[#This Row],[GPS]]</f>
        <v>0.92696404411064415</v>
      </c>
      <c r="AJ179" s="10">
        <f>Table1[[#This Row],[Prefill]]+Table1[[#This Row],[ITL]]</f>
        <v>0.21958377126838374</v>
      </c>
      <c r="AK179" s="4">
        <f>Table1[[#This Row],[TTFT]]/Table1[[#This Row],[estTTFT]]</f>
        <v>3.9965641316965592</v>
      </c>
      <c r="AL179" s="5">
        <f>Table1[[#This Row],[In-Tok]]*Table1[[#This Row],[RPS]]/Table1[[#This Row],[PPS]]</f>
        <v>1.2544261285558704</v>
      </c>
      <c r="AM179" s="4">
        <f>Table1[[#This Row],[Prefill]]/Table1[[#This Row],[estPrefill]]</f>
        <v>0.15503471314072148</v>
      </c>
      <c r="AN179" s="4">
        <f>Table1[[#This Row],[Prefill]]/Table1[[#This Row],[TTFT]]</f>
        <v>0.22160880680836811</v>
      </c>
      <c r="AO179" s="10">
        <f>Table1[[#This Row],[Run]]/(Table1[[#This Row],[Out-Tok]]*Table1[[#This Row],[RPS]])</f>
        <v>1.735576923076923E-2</v>
      </c>
      <c r="AP179" s="4">
        <f>Table1[[#This Row],[ITL]]/Table1[[#This Row],[estITL]]</f>
        <v>1.4464456134270642</v>
      </c>
      <c r="AQ179" s="44">
        <f>Table1[[#This Row],[E2E]]-Table1[[#This Row],[TTFT]]+Table1[[#This Row],[ITL]]</f>
        <v>31.556506367733672</v>
      </c>
      <c r="AR179" s="4">
        <f>Table1[[#This Row],[estDecode]]/Table1[[#This Row],[Run]]</f>
        <v>0.69931316050379333</v>
      </c>
      <c r="AS179" s="44">
        <f>Table1[[#This Row],[Prefill]]+Table1[[#This Row],[Out-Tok]]*Table1[[#This Row],[ITL]]</f>
        <v>32.829908747945019</v>
      </c>
      <c r="AT179" s="5">
        <f>Table1[[#This Row],[estPrefill]]+Table1[[#This Row],[Out-Tok]]*Table1[[#This Row],[ITL]]</f>
        <v>33.889855281504005</v>
      </c>
      <c r="AU179" s="4">
        <f>Table1[[#This Row],[E2E]]/Table1[[#This Row],[estE2E]]</f>
        <v>0.95630337003250165</v>
      </c>
      <c r="AV179" s="5">
        <f>Table1[[#This Row],[N]]/Table1[[#This Row],[estE2E]]</f>
        <v>1.4455798086638303</v>
      </c>
      <c r="AW179" s="5">
        <f>Table1[[#This Row],[PPS]]/Table1[[#This Row],[In-Tok]]</f>
        <v>1.5943545454545454</v>
      </c>
      <c r="AX179" s="4">
        <f>Table1[[#This Row],[RPS]]/Table1[[#This Row],[RPS(IL)]]</f>
        <v>1.2544261285558704</v>
      </c>
      <c r="AY179" s="5">
        <f>Table1[[#This Row],[GPS]]/Table1[[#This Row],[Out-Tok]]</f>
        <v>1.4916433566433565</v>
      </c>
      <c r="AZ179" s="89">
        <f>Table1[[#This Row],[RPS]]/Table1[[#This Row],[RPS(OL)]]</f>
        <v>1.3408030754084528</v>
      </c>
      <c r="BA179" s="135">
        <f>MaxTok/Table1[[#This Row],[tok/req]]</f>
        <v>68.657037520806242</v>
      </c>
      <c r="BB179" s="4">
        <f>Table1[[#This Row],[N]]/Table1[[#This Row],[N-max]]</f>
        <v>0.71355380719179851</v>
      </c>
      <c r="BC179" s="44">
        <f>Table1[[#This Row],[RPS]]</f>
        <v>2</v>
      </c>
      <c r="BD179" s="47">
        <f>Table1[[#This Row],[PPS]]/Table1[[#This Row],[RPS success]]</f>
        <v>3985.8863636363635</v>
      </c>
      <c r="BE179" s="4">
        <f>ABS(Table1[[#This Row],[est-In-Tok3]]-Table1[[#This Row],[In-Tok]])/Table1[[#This Row],[In-Tok]]</f>
        <v>0.20282272727272729</v>
      </c>
      <c r="BF179" s="47">
        <f>Table1[[#This Row],[GPS]]/Table1[[#This Row],[RPS success]]</f>
        <v>969.56818181818176</v>
      </c>
      <c r="BG179" s="4">
        <f>ABS(Table1[[#This Row],[est-Out-Tok3]]-Table1[[#This Row],[Out-Tok]])/Table1[[#This Row],[Out-Tok]]</f>
        <v>0.25417832167832172</v>
      </c>
      <c r="BH179" s="162">
        <f>Table1[[#This Row],[est-In-Tok3]]+AvgOutLoad*Table1[[#This Row],[est-Out-Tok3]]</f>
        <v>4470.670454545454</v>
      </c>
      <c r="BI179" s="4">
        <f>ABS(Table1[[#This Row],[est-Tok/Req3]]-Table1[[#This Row],[tok/req]])/Table1[[#This Row],[tok/req]]</f>
        <v>0.20873089300080458</v>
      </c>
      <c r="BJ179" s="162">
        <f>MaxTok/Table1[[#This Row],[est-Tok/Req3]]</f>
        <v>86.768252309483955</v>
      </c>
      <c r="BK179" s="4">
        <f>ABS(Table1[[#This Row],[est-N-max3]]-Table1[[#This Row],[N-max]])/Table1[[#This Row],[N-max]]</f>
        <v>0.26379254687750231</v>
      </c>
      <c r="BL179" s="44">
        <f>MaxTok*Table1[[#This Row],[Kvcache]]/Table1[[#This Row],[Run]]</f>
        <v>5636.3398494056137</v>
      </c>
      <c r="BM179" s="170">
        <f>ABS(Table1[[#This Row],[est-Tok/Req]]-Table1[[#This Row],[tok/req]])/Table1[[#This Row],[tok/req]]</f>
        <v>2.4177257689179331E-3</v>
      </c>
      <c r="BN179" s="44">
        <f>MaxTok/Table1[[#This Row],[est-Tok/Req]]</f>
        <v>68.823433709992315</v>
      </c>
      <c r="BO179" s="180">
        <f>Table1[[#This Row],[Run]]/Table1[[#This Row],[Kvcache]]</f>
        <v>68.823433709992315</v>
      </c>
      <c r="BP179" s="4" cm="1">
        <f t="array" aca="1" ref="BP179" ca="1">_xlfn.CEILING.MATH(INDIRECT("Table1"&amp;BP$3)/BP$2)*BP$2</f>
        <v>6000</v>
      </c>
      <c r="BQ179" s="4" cm="1">
        <f t="array" aca="1" ref="BQ179" ca="1">_xlfn.CEILING.MATH(INDIRECT("Table1"&amp;BQ$3)/BQ$2)*BQ$2</f>
        <v>0.03</v>
      </c>
      <c r="BR179" s="4" cm="1">
        <f t="array" aca="1" ref="BR179" ca="1">_xlfn.CEILING.MATH(INDIRECT("Table1"&amp;BR$3)/BR$2)*BR$2</f>
        <v>0.70000000000000007</v>
      </c>
      <c r="BS179" s="4" cm="1">
        <f t="array" aca="1" ref="BS179" ca="1">_xlfn.CEILING.MATH(INDIRECT("Table1"&amp;BS$3)/BS$2)*BS$2</f>
        <v>0.66</v>
      </c>
      <c r="BT179" s="3" cm="1">
        <f t="array" aca="1" ref="BT179" ca="1">_xlfn.CEILING.MATH(INDIRECT("Table1"&amp;BT$3)/BT$2)*BT$2</f>
        <v>46</v>
      </c>
      <c r="BU179" s="135" cm="1">
        <f t="array" aca="1" ref="BU179" ca="1">_xlfn.CEILING.MATH(INDIRECT("Table1"&amp;BU$3)/BU$2)*BU$2</f>
        <v>5</v>
      </c>
      <c r="BV179" s="135" cm="1">
        <f t="array" aca="1" ref="BV179" ca="1">_xlfn.CEILING.MATH(INDIRECT("Table1"&amp;BV$3)/BV$2)*BV$2</f>
        <v>5000</v>
      </c>
      <c r="BW179" s="4"/>
      <c r="BX179" s="4"/>
      <c r="BY179" s="217"/>
      <c r="BZ179" s="4"/>
      <c r="CA179" s="3"/>
      <c r="CF179" s="5"/>
      <c r="CH179" s="8"/>
      <c r="CI179" s="8"/>
      <c r="CJ179" s="14"/>
      <c r="CK179" s="8"/>
      <c r="CL179" s="8"/>
      <c r="CM179" s="8"/>
      <c r="CN179" s="8"/>
      <c r="CO179" s="8"/>
      <c r="CP179" s="8"/>
      <c r="CQ179" s="8">
        <f>Table1[[#This Row],[In-Tok]]+AvgOutLoad*Table1[[#This Row],[Out-Tok]]</f>
        <v>5650</v>
      </c>
      <c r="CR179" s="8"/>
      <c r="CS179" s="8"/>
      <c r="CT179" s="8"/>
      <c r="CU179" s="8"/>
      <c r="CV179" s="8"/>
      <c r="CW179" s="8"/>
      <c r="CX179" s="8"/>
      <c r="CY179" s="8"/>
    </row>
    <row r="180" spans="1:103" hidden="1" x14ac:dyDescent="0.25">
      <c r="A180" s="26">
        <v>5000</v>
      </c>
      <c r="B180" s="3">
        <v>1400</v>
      </c>
      <c r="C180" s="123">
        <v>2</v>
      </c>
      <c r="D180" s="216">
        <f>Table1[[#This Row],[Kvcache]]</f>
        <v>0.6726208947504525</v>
      </c>
      <c r="E180" s="170" t="s">
        <v>154</v>
      </c>
      <c r="F180" s="218">
        <v>46104</v>
      </c>
      <c r="G180" s="10">
        <v>0</v>
      </c>
      <c r="H180" s="10">
        <v>1.6389734391680046</v>
      </c>
      <c r="I180" s="10">
        <v>0.19690427780549305</v>
      </c>
      <c r="J180" s="10">
        <v>1.6645771076444003</v>
      </c>
      <c r="K180" s="10">
        <v>5.5633135080337528</v>
      </c>
      <c r="L180" s="10">
        <v>7.4924538230895994</v>
      </c>
      <c r="M180" s="10">
        <v>2.5419000666195721E-2</v>
      </c>
      <c r="N180" s="10">
        <v>36.120861321390748</v>
      </c>
      <c r="O180" s="47">
        <v>7799.4772727272739</v>
      </c>
      <c r="P180" s="47">
        <v>1923.3454545454545</v>
      </c>
      <c r="Q180" s="5">
        <v>45.916666666666671</v>
      </c>
      <c r="R180" s="5">
        <v>68</v>
      </c>
      <c r="S180" s="170">
        <v>0.6726208947504525</v>
      </c>
      <c r="T180" s="170">
        <v>0.99212567882079128</v>
      </c>
      <c r="U180" s="3">
        <f>(Table1[[#This Row],[In-Tok]]+Table1[[#This Row],[Out-Tok]])*Table1[[#This Row],[RPS]]</f>
        <v>12800</v>
      </c>
      <c r="V180" s="3">
        <f>Table1[[#This Row],[In-Tok]]+$V$2*Table1[[#This Row],[Out-Tok]]</f>
        <v>5700</v>
      </c>
      <c r="W180" s="3">
        <f>Table1[[#This Row],[In-Tok]]*Table1[[#This Row],[RPS]]</f>
        <v>10000</v>
      </c>
      <c r="X180" s="3">
        <f>Table1[[#This Row],[Out-Tok]]*Table1[[#This Row],[RPS]]</f>
        <v>2800</v>
      </c>
      <c r="Y180" s="75">
        <f>Table1[[#This Row],[In-Tok]]/Table1[[#This Row],[Out-Tok]]</f>
        <v>3.5714285714285716</v>
      </c>
      <c r="Z180" s="26">
        <f>Table1[[#This Row],[In-Tok]]*Table1[[#This Row],[N]]+AvgOutLoad*Table1[[#This Row],[Out-Tok]]*Table1[[#This Row],[Ndecode]]</f>
        <v>280206.01096501458</v>
      </c>
      <c r="AA180" s="3">
        <f>Table1[[#This Row],[tok(N)]]/Table1[[#This Row],[Kvcache]]</f>
        <v>416588.32360385288</v>
      </c>
      <c r="AB180" s="3">
        <f>Table1[[#This Row],[tok/req]]*Table1[[#This Row],[Run]]</f>
        <v>261725.00000000003</v>
      </c>
      <c r="AC180" s="3">
        <f>Table1[[#This Row],[tok(Run)]]/Table1[[#This Row],[Kvcache]]</f>
        <v>389112.205765035</v>
      </c>
      <c r="AD180" s="3">
        <f>Table1[[#This Row],[tok/req]]*Table1[[#This Row],[MaxRun]]</f>
        <v>387600</v>
      </c>
      <c r="AE180" s="3">
        <f>Table1[[#This Row],[tok(MaxRun)]]/Table1[[#This Row],[MaxKvcache]]</f>
        <v>390676.31074793759</v>
      </c>
      <c r="AF180" s="75">
        <f>Table1[[#This Row],[PPS]]*Table1[[#This Row],[Prefill]]/Table1[[#This Row],[In-Tok]]</f>
        <v>0.30715008792934412</v>
      </c>
      <c r="AG180" s="5">
        <f>Table1[[#This Row],[GPS]]*Table1[[#This Row],[ITL]]</f>
        <v>48.889519390415416</v>
      </c>
      <c r="AH180" s="5">
        <f>Table1[[#This Row],[Nprefill]]+Table1[[#This Row],[Ndecode]]</f>
        <v>49.196669478344759</v>
      </c>
      <c r="AI180" s="4">
        <f>Table1[[#This Row],[Run]]/Table1[[#This Row],[ITL]]/Table1[[#This Row],[GPS]]</f>
        <v>0.93919243304462585</v>
      </c>
      <c r="AJ180" s="10">
        <f>Table1[[#This Row],[Prefill]]+Table1[[#This Row],[ITL]]</f>
        <v>0.22232327847168876</v>
      </c>
      <c r="AK180" s="4">
        <f>Table1[[#This Row],[TTFT]]/Table1[[#This Row],[estTTFT]]</f>
        <v>7.3720280234924473</v>
      </c>
      <c r="AL180" s="5">
        <f>Table1[[#This Row],[In-Tok]]*Table1[[#This Row],[RPS]]/Table1[[#This Row],[PPS]]</f>
        <v>1.2821372061647487</v>
      </c>
      <c r="AM180" s="4">
        <f>Table1[[#This Row],[Prefill]]/Table1[[#This Row],[estPrefill]]</f>
        <v>0.15357504396467203</v>
      </c>
      <c r="AN180" s="4">
        <f>Table1[[#This Row],[Prefill]]/Table1[[#This Row],[TTFT]]</f>
        <v>0.12013878510773668</v>
      </c>
      <c r="AO180" s="10">
        <f>Table1[[#This Row],[Run]]/(Table1[[#This Row],[Out-Tok]]*Table1[[#This Row],[RPS]])</f>
        <v>1.6398809523809524E-2</v>
      </c>
      <c r="AP180" s="4">
        <f>Table1[[#This Row],[ITL]]/Table1[[#This Row],[estITL]]</f>
        <v>1.5500515832743671</v>
      </c>
      <c r="AQ180" s="44">
        <f>Table1[[#This Row],[E2E]]-Table1[[#This Row],[TTFT]]+Table1[[#This Row],[ITL]]</f>
        <v>34.50730688288894</v>
      </c>
      <c r="AR180" s="4">
        <f>Table1[[#This Row],[estDecode]]/Table1[[#This Row],[Run]]</f>
        <v>0.75152029509014018</v>
      </c>
      <c r="AS180" s="44">
        <f>Table1[[#This Row],[Prefill]]+Table1[[#This Row],[Out-Tok]]*Table1[[#This Row],[ITL]]</f>
        <v>35.783505210479504</v>
      </c>
      <c r="AT180" s="5">
        <f>Table1[[#This Row],[estPrefill]]+Table1[[#This Row],[Out-Tok]]*Table1[[#This Row],[ITL]]</f>
        <v>36.868738138838758</v>
      </c>
      <c r="AU180" s="4">
        <f>Table1[[#This Row],[E2E]]/Table1[[#This Row],[estE2E]]</f>
        <v>0.97971515014612964</v>
      </c>
      <c r="AV180" s="5">
        <f>Table1[[#This Row],[N]]/Table1[[#This Row],[estE2E]]</f>
        <v>1.3343735631277098</v>
      </c>
      <c r="AW180" s="5">
        <f>Table1[[#This Row],[PPS]]/Table1[[#This Row],[In-Tok]]</f>
        <v>1.5598954545454549</v>
      </c>
      <c r="AX180" s="4">
        <f>Table1[[#This Row],[RPS]]/Table1[[#This Row],[RPS(IL)]]</f>
        <v>1.2821372061647485</v>
      </c>
      <c r="AY180" s="5">
        <f>Table1[[#This Row],[GPS]]/Table1[[#This Row],[Out-Tok]]</f>
        <v>1.3738181818181818</v>
      </c>
      <c r="AZ180" s="89">
        <f>Table1[[#This Row],[RPS]]/Table1[[#This Row],[RPS(OL)]]</f>
        <v>1.455796717840127</v>
      </c>
      <c r="BA180" s="135">
        <f>MaxTok/Table1[[#This Row],[tok/req]]</f>
        <v>68.054782805711454</v>
      </c>
      <c r="BB180" s="4">
        <f>Table1[[#This Row],[N]]/Table1[[#This Row],[N-max]]</f>
        <v>0.72289804551717651</v>
      </c>
      <c r="BC180" s="44">
        <f>Table1[[#This Row],[RPS]]</f>
        <v>2</v>
      </c>
      <c r="BD180" s="47">
        <f>Table1[[#This Row],[PPS]]/Table1[[#This Row],[RPS success]]</f>
        <v>3899.7386363636369</v>
      </c>
      <c r="BE180" s="4">
        <f>ABS(Table1[[#This Row],[est-In-Tok3]]-Table1[[#This Row],[In-Tok]])/Table1[[#This Row],[In-Tok]]</f>
        <v>0.22005227272727262</v>
      </c>
      <c r="BF180" s="47">
        <f>Table1[[#This Row],[GPS]]/Table1[[#This Row],[RPS success]]</f>
        <v>961.67272727272723</v>
      </c>
      <c r="BG180" s="4">
        <f>ABS(Table1[[#This Row],[est-Out-Tok3]]-Table1[[#This Row],[Out-Tok]])/Table1[[#This Row],[Out-Tok]]</f>
        <v>0.31309090909090914</v>
      </c>
      <c r="BH180" s="162">
        <f>Table1[[#This Row],[est-In-Tok3]]+AvgOutLoad*Table1[[#This Row],[est-Out-Tok3]]</f>
        <v>4380.5750000000007</v>
      </c>
      <c r="BI180" s="4">
        <f>ABS(Table1[[#This Row],[est-Tok/Req3]]-Table1[[#This Row],[tok/req]])/Table1[[#This Row],[tok/req]]</f>
        <v>0.23147807017543848</v>
      </c>
      <c r="BJ180" s="162">
        <f>MaxTok/Table1[[#This Row],[est-Tok/Req3]]</f>
        <v>88.552818292702497</v>
      </c>
      <c r="BK180" s="4">
        <f>ABS(Table1[[#This Row],[est-N-max3]]-Table1[[#This Row],[N-max]])/Table1[[#This Row],[N-max]]</f>
        <v>0.30119904350456261</v>
      </c>
      <c r="BL180" s="44">
        <f>MaxTok*Table1[[#This Row],[Kvcache]]/Table1[[#This Row],[Run]]</f>
        <v>5682.4223465576288</v>
      </c>
      <c r="BM180" s="170">
        <f>ABS(Table1[[#This Row],[est-Tok/Req]]-Table1[[#This Row],[tok/req]])/Table1[[#This Row],[tok/req]]</f>
        <v>3.0837988495388121E-3</v>
      </c>
      <c r="BN180" s="44">
        <f>MaxTok/Table1[[#This Row],[est-Tok/Req]]</f>
        <v>68.265299257023685</v>
      </c>
      <c r="BO180" s="180">
        <f>Table1[[#This Row],[Run]]/Table1[[#This Row],[Kvcache]]</f>
        <v>68.265299257023685</v>
      </c>
      <c r="BP180" s="4" cm="1">
        <f t="array" aca="1" ref="BP180" ca="1">_xlfn.CEILING.MATH(INDIRECT("Table1"&amp;BP$3)/BP$2)*BP$2</f>
        <v>6000</v>
      </c>
      <c r="BQ180" s="4" cm="1">
        <f t="array" aca="1" ref="BQ180" ca="1">_xlfn.CEILING.MATH(INDIRECT("Table1"&amp;BQ$3)/BQ$2)*BQ$2</f>
        <v>0.03</v>
      </c>
      <c r="BR180" s="4" cm="1">
        <f t="array" aca="1" ref="BR180" ca="1">_xlfn.CEILING.MATH(INDIRECT("Table1"&amp;BR$3)/BR$2)*BR$2</f>
        <v>0.70000000000000007</v>
      </c>
      <c r="BS180" s="4" cm="1">
        <f t="array" aca="1" ref="BS180" ca="1">_xlfn.CEILING.MATH(INDIRECT("Table1"&amp;BS$3)/BS$2)*BS$2</f>
        <v>0.68</v>
      </c>
      <c r="BT180" s="3" cm="1">
        <f t="array" aca="1" ref="BT180" ca="1">_xlfn.CEILING.MATH(INDIRECT("Table1"&amp;BT$3)/BT$2)*BT$2</f>
        <v>46</v>
      </c>
      <c r="BU180" s="135" cm="1">
        <f t="array" aca="1" ref="BU180" ca="1">_xlfn.CEILING.MATH(INDIRECT("Table1"&amp;BU$3)/BU$2)*BU$2</f>
        <v>5</v>
      </c>
      <c r="BV180" s="135" cm="1">
        <f t="array" aca="1" ref="BV180" ca="1">_xlfn.CEILING.MATH(INDIRECT("Table1"&amp;BV$3)/BV$2)*BV$2</f>
        <v>5000</v>
      </c>
      <c r="BW180" s="4"/>
      <c r="BX180" s="4"/>
      <c r="BY180" s="217"/>
      <c r="BZ180" s="4"/>
      <c r="CA180" s="3"/>
      <c r="CF180" s="5"/>
      <c r="CH180" s="8"/>
      <c r="CI180" s="8"/>
      <c r="CJ180" s="14"/>
      <c r="CK180" s="8"/>
      <c r="CL180" s="8"/>
      <c r="CM180" s="8"/>
      <c r="CN180" s="8"/>
      <c r="CO180" s="8"/>
      <c r="CP180" s="8"/>
      <c r="CQ180" s="8">
        <f>Table1[[#This Row],[In-Tok]]+AvgOutLoad*Table1[[#This Row],[Out-Tok]]</f>
        <v>5700</v>
      </c>
      <c r="CR180" s="8"/>
      <c r="CS180" s="8"/>
      <c r="CT180" s="8"/>
      <c r="CU180" s="8"/>
      <c r="CV180" s="8"/>
      <c r="CW180" s="8"/>
      <c r="CX180" s="8"/>
      <c r="CY180" s="8"/>
    </row>
    <row r="181" spans="1:103" hidden="1" x14ac:dyDescent="0.25">
      <c r="A181" s="26">
        <v>5000</v>
      </c>
      <c r="B181" s="3">
        <v>1500</v>
      </c>
      <c r="C181" s="123">
        <v>2</v>
      </c>
      <c r="D181" s="216">
        <f>Table1[[#This Row],[Kvcache]]</f>
        <v>0.73138986692128671</v>
      </c>
      <c r="E181" s="170" t="s">
        <v>154</v>
      </c>
      <c r="F181" s="218">
        <v>46104</v>
      </c>
      <c r="G181" s="10">
        <v>0</v>
      </c>
      <c r="H181" s="10">
        <v>2.8039491540414998</v>
      </c>
      <c r="I181" s="10">
        <v>0.21478837760843533</v>
      </c>
      <c r="J181" s="10">
        <v>2.4076401307792619</v>
      </c>
      <c r="K181" s="10">
        <v>7.4368537485599511</v>
      </c>
      <c r="L181" s="10">
        <v>8.1414402079582224</v>
      </c>
      <c r="M181" s="10">
        <v>2.5266111224386646E-2</v>
      </c>
      <c r="N181" s="10">
        <v>40.65048254864071</v>
      </c>
      <c r="O181" s="47">
        <v>7455.9007575757569</v>
      </c>
      <c r="P181" s="47">
        <v>2061.7079545454544</v>
      </c>
      <c r="Q181" s="5">
        <v>49.53846153846154</v>
      </c>
      <c r="R181" s="5">
        <v>68.5</v>
      </c>
      <c r="S181" s="170">
        <v>0.73138986692128671</v>
      </c>
      <c r="T181" s="170">
        <v>0.99833204034134981</v>
      </c>
      <c r="U181" s="3">
        <f>(Table1[[#This Row],[In-Tok]]+Table1[[#This Row],[Out-Tok]])*Table1[[#This Row],[RPS]]</f>
        <v>13000</v>
      </c>
      <c r="V181" s="3">
        <f>Table1[[#This Row],[In-Tok]]+$V$2*Table1[[#This Row],[Out-Tok]]</f>
        <v>5750</v>
      </c>
      <c r="W181" s="3">
        <f>Table1[[#This Row],[In-Tok]]*Table1[[#This Row],[RPS]]</f>
        <v>10000</v>
      </c>
      <c r="X181" s="3">
        <f>Table1[[#This Row],[Out-Tok]]*Table1[[#This Row],[RPS]]</f>
        <v>3000</v>
      </c>
      <c r="Y181" s="75">
        <f>Table1[[#This Row],[In-Tok]]/Table1[[#This Row],[Out-Tok]]</f>
        <v>3.3333333333333335</v>
      </c>
      <c r="Z181" s="26">
        <f>Table1[[#This Row],[In-Tok]]*Table1[[#This Row],[N]]+AvgOutLoad*Table1[[#This Row],[Out-Tok]]*Table1[[#This Row],[Ndecode]]</f>
        <v>301126.66015488101</v>
      </c>
      <c r="AA181" s="3">
        <f>Table1[[#This Row],[tok(N)]]/Table1[[#This Row],[Kvcache]]</f>
        <v>411718.3923021027</v>
      </c>
      <c r="AB181" s="3">
        <f>Table1[[#This Row],[tok/req]]*Table1[[#This Row],[Run]]</f>
        <v>284846.15384615387</v>
      </c>
      <c r="AC181" s="3">
        <f>Table1[[#This Row],[tok(Run)]]/Table1[[#This Row],[Kvcache]]</f>
        <v>389458.70968268346</v>
      </c>
      <c r="AD181" s="3">
        <f>Table1[[#This Row],[tok/req]]*Table1[[#This Row],[MaxRun]]</f>
        <v>393875</v>
      </c>
      <c r="AE181" s="3">
        <f>Table1[[#This Row],[tok(MaxRun)]]/Table1[[#This Row],[MaxKvcache]]</f>
        <v>394533.06523681863</v>
      </c>
      <c r="AF181" s="75">
        <f>Table1[[#This Row],[PPS]]*Table1[[#This Row],[Prefill]]/Table1[[#This Row],[In-Tok]]</f>
        <v>0.32028816546584016</v>
      </c>
      <c r="AG181" s="5">
        <f>Table1[[#This Row],[GPS]]*Table1[[#This Row],[ITL]]</f>
        <v>52.091342491748136</v>
      </c>
      <c r="AH181" s="5">
        <f>Table1[[#This Row],[Nprefill]]+Table1[[#This Row],[Ndecode]]</f>
        <v>52.411630657213976</v>
      </c>
      <c r="AI181" s="4">
        <f>Table1[[#This Row],[Run]]/Table1[[#This Row],[ITL]]/Table1[[#This Row],[GPS]]</f>
        <v>0.95099222190921651</v>
      </c>
      <c r="AJ181" s="10">
        <f>Table1[[#This Row],[Prefill]]+Table1[[#This Row],[ITL]]</f>
        <v>0.24005448883282199</v>
      </c>
      <c r="AK181" s="4">
        <f>Table1[[#This Row],[TTFT]]/Table1[[#This Row],[estTTFT]]</f>
        <v>11.680469578697267</v>
      </c>
      <c r="AL181" s="5">
        <f>Table1[[#This Row],[In-Tok]]*Table1[[#This Row],[RPS]]/Table1[[#This Row],[PPS]]</f>
        <v>1.34121956892187</v>
      </c>
      <c r="AM181" s="4">
        <f>Table1[[#This Row],[Prefill]]/Table1[[#This Row],[estPrefill]]</f>
        <v>0.16014408273292005</v>
      </c>
      <c r="AN181" s="4">
        <f>Table1[[#This Row],[Prefill]]/Table1[[#This Row],[TTFT]]</f>
        <v>7.6602094335001758E-2</v>
      </c>
      <c r="AO181" s="10">
        <f>Table1[[#This Row],[Run]]/(Table1[[#This Row],[Out-Tok]]*Table1[[#This Row],[RPS]])</f>
        <v>1.6512820512820513E-2</v>
      </c>
      <c r="AP181" s="4">
        <f>Table1[[#This Row],[ITL]]/Table1[[#This Row],[estITL]]</f>
        <v>1.5300905865699987</v>
      </c>
      <c r="AQ181" s="44">
        <f>Table1[[#This Row],[E2E]]-Table1[[#This Row],[TTFT]]+Table1[[#This Row],[ITL]]</f>
        <v>37.871799505823603</v>
      </c>
      <c r="AR181" s="4">
        <f>Table1[[#This Row],[estDecode]]/Table1[[#This Row],[Run]]</f>
        <v>0.76449284716724664</v>
      </c>
      <c r="AS181" s="44">
        <f>Table1[[#This Row],[Prefill]]+Table1[[#This Row],[Out-Tok]]*Table1[[#This Row],[ITL]]</f>
        <v>38.113955214188401</v>
      </c>
      <c r="AT181" s="5">
        <f>Table1[[#This Row],[estPrefill]]+Table1[[#This Row],[Out-Tok]]*Table1[[#This Row],[ITL]]</f>
        <v>39.240386405501837</v>
      </c>
      <c r="AU181" s="4">
        <f>Table1[[#This Row],[E2E]]/Table1[[#This Row],[estE2E]]</f>
        <v>1.0359348179849004</v>
      </c>
      <c r="AV181" s="5">
        <f>Table1[[#This Row],[N]]/Table1[[#This Row],[estE2E]]</f>
        <v>1.3356553147974459</v>
      </c>
      <c r="AW181" s="5">
        <f>Table1[[#This Row],[PPS]]/Table1[[#This Row],[In-Tok]]</f>
        <v>1.4911801515151513</v>
      </c>
      <c r="AX181" s="4">
        <f>Table1[[#This Row],[RPS]]/Table1[[#This Row],[RPS(IL)]]</f>
        <v>1.34121956892187</v>
      </c>
      <c r="AY181" s="5">
        <f>Table1[[#This Row],[GPS]]/Table1[[#This Row],[Out-Tok]]</f>
        <v>1.3744719696969696</v>
      </c>
      <c r="AZ181" s="89">
        <f>Table1[[#This Row],[RPS]]/Table1[[#This Row],[RPS(OL)]]</f>
        <v>1.4551042466445794</v>
      </c>
      <c r="BA181" s="135">
        <f>MaxTok/Table1[[#This Row],[tok/req]]</f>
        <v>67.463002085661785</v>
      </c>
      <c r="BB181" s="4">
        <f>Table1[[#This Row],[N]]/Table1[[#This Row],[N-max]]</f>
        <v>0.77689443156804394</v>
      </c>
      <c r="BC181" s="44">
        <f>Table1[[#This Row],[RPS]]</f>
        <v>2</v>
      </c>
      <c r="BD181" s="47">
        <f>Table1[[#This Row],[PPS]]/Table1[[#This Row],[RPS success]]</f>
        <v>3727.9503787878784</v>
      </c>
      <c r="BE181" s="4">
        <f>ABS(Table1[[#This Row],[est-In-Tok3]]-Table1[[#This Row],[In-Tok]])/Table1[[#This Row],[In-Tok]]</f>
        <v>0.25440992424242431</v>
      </c>
      <c r="BF181" s="47">
        <f>Table1[[#This Row],[GPS]]/Table1[[#This Row],[RPS success]]</f>
        <v>1030.8539772727272</v>
      </c>
      <c r="BG181" s="4">
        <f>ABS(Table1[[#This Row],[est-Out-Tok3]]-Table1[[#This Row],[Out-Tok]])/Table1[[#This Row],[Out-Tok]]</f>
        <v>0.3127640151515152</v>
      </c>
      <c r="BH181" s="162">
        <f>Table1[[#This Row],[est-In-Tok3]]+AvgOutLoad*Table1[[#This Row],[est-Out-Tok3]]</f>
        <v>4243.377367424242</v>
      </c>
      <c r="BI181" s="4">
        <f>ABS(Table1[[#This Row],[est-Tok/Req3]]-Table1[[#This Row],[tok/req]])/Table1[[#This Row],[tok/req]]</f>
        <v>0.26202132740447964</v>
      </c>
      <c r="BJ181" s="162">
        <f>MaxTok/Table1[[#This Row],[est-Tok/Req3]]</f>
        <v>91.415923780547615</v>
      </c>
      <c r="BK181" s="4">
        <f>ABS(Table1[[#This Row],[est-N-max3]]-Table1[[#This Row],[N-max]])/Table1[[#This Row],[N-max]]</f>
        <v>0.35505270969814512</v>
      </c>
      <c r="BL181" s="44">
        <f>MaxTok*Table1[[#This Row],[Kvcache]]/Table1[[#This Row],[Run]]</f>
        <v>5727.1681207862011</v>
      </c>
      <c r="BM181" s="170">
        <f>ABS(Table1[[#This Row],[est-Tok/Req]]-Table1[[#This Row],[tok/req]])/Table1[[#This Row],[tok/req]]</f>
        <v>3.9707616023998008E-3</v>
      </c>
      <c r="BN181" s="44">
        <f>MaxTok/Table1[[#This Row],[est-Tok/Req]]</f>
        <v>67.73194951003191</v>
      </c>
      <c r="BO181" s="180">
        <f>Table1[[#This Row],[Run]]/Table1[[#This Row],[Kvcache]]</f>
        <v>67.731949510031896</v>
      </c>
      <c r="BP181" s="4" cm="1">
        <f t="array" aca="1" ref="BP181" ca="1">_xlfn.CEILING.MATH(INDIRECT("Table1"&amp;BP$3)/BP$2)*BP$2</f>
        <v>6000</v>
      </c>
      <c r="BQ181" s="4" cm="1">
        <f t="array" aca="1" ref="BQ181" ca="1">_xlfn.CEILING.MATH(INDIRECT("Table1"&amp;BQ$3)/BQ$2)*BQ$2</f>
        <v>0.03</v>
      </c>
      <c r="BR181" s="4" cm="1">
        <f t="array" aca="1" ref="BR181" ca="1">_xlfn.CEILING.MATH(INDIRECT("Table1"&amp;BR$3)/BR$2)*BR$2</f>
        <v>0.8</v>
      </c>
      <c r="BS181" s="4" cm="1">
        <f t="array" aca="1" ref="BS181" ca="1">_xlfn.CEILING.MATH(INDIRECT("Table1"&amp;BS$3)/BS$2)*BS$2</f>
        <v>0.74</v>
      </c>
      <c r="BT181" s="3" cm="1">
        <f t="array" aca="1" ref="BT181" ca="1">_xlfn.CEILING.MATH(INDIRECT("Table1"&amp;BT$3)/BT$2)*BT$2</f>
        <v>50</v>
      </c>
      <c r="BU181" s="135" cm="1">
        <f t="array" aca="1" ref="BU181" ca="1">_xlfn.CEILING.MATH(INDIRECT("Table1"&amp;BU$3)/BU$2)*BU$2</f>
        <v>5</v>
      </c>
      <c r="BV181" s="135" cm="1">
        <f t="array" aca="1" ref="BV181" ca="1">_xlfn.CEILING.MATH(INDIRECT("Table1"&amp;BV$3)/BV$2)*BV$2</f>
        <v>5000</v>
      </c>
      <c r="BW181" s="4"/>
      <c r="BX181" s="4"/>
      <c r="BY181" s="217"/>
      <c r="BZ181" s="4"/>
      <c r="CA181" s="3"/>
      <c r="CF181" s="5"/>
      <c r="CH181" s="8"/>
      <c r="CI181" s="8"/>
      <c r="CJ181" s="14"/>
      <c r="CK181" s="8"/>
      <c r="CL181" s="8"/>
      <c r="CM181" s="8"/>
      <c r="CN181" s="8"/>
      <c r="CO181" s="8"/>
      <c r="CP181" s="8"/>
      <c r="CQ181" s="8">
        <f>Table1[[#This Row],[In-Tok]]+AvgOutLoad*Table1[[#This Row],[Out-Tok]]</f>
        <v>5750</v>
      </c>
      <c r="CR181" s="8"/>
      <c r="CS181" s="8"/>
      <c r="CT181" s="8"/>
      <c r="CU181" s="8"/>
      <c r="CV181" s="8"/>
      <c r="CW181" s="8"/>
      <c r="CX181" s="8"/>
      <c r="CY181" s="8"/>
    </row>
    <row r="182" spans="1:103" hidden="1" x14ac:dyDescent="0.25">
      <c r="A182" s="26">
        <v>5000</v>
      </c>
      <c r="B182" s="3">
        <v>1600</v>
      </c>
      <c r="C182" s="123">
        <v>2</v>
      </c>
      <c r="D182" s="216">
        <f>Table1[[#This Row],[Kvcache]]</f>
        <v>0.70605226813527833</v>
      </c>
      <c r="E182" s="170" t="s">
        <v>154</v>
      </c>
      <c r="F182" s="218">
        <v>46104</v>
      </c>
      <c r="G182" s="10">
        <v>0</v>
      </c>
      <c r="H182" s="10">
        <v>3.3533823938529634</v>
      </c>
      <c r="I182" s="10">
        <v>0.21237365669852701</v>
      </c>
      <c r="J182" s="10">
        <v>2.2779242372886053</v>
      </c>
      <c r="K182" s="10">
        <v>6.5352098107337957</v>
      </c>
      <c r="L182" s="10">
        <v>7.0749649906158458</v>
      </c>
      <c r="M182" s="10">
        <v>2.4985119127032752E-2</v>
      </c>
      <c r="N182" s="10">
        <v>42.427892738338571</v>
      </c>
      <c r="O182" s="47">
        <v>6794.1580128205132</v>
      </c>
      <c r="P182" s="47">
        <v>2010.866025641026</v>
      </c>
      <c r="Q182" s="5">
        <v>47.409340659340657</v>
      </c>
      <c r="R182" s="5">
        <v>68</v>
      </c>
      <c r="S182" s="170">
        <v>0.70605226813527833</v>
      </c>
      <c r="T182" s="170">
        <v>0.99437548487199379</v>
      </c>
      <c r="U182" s="3">
        <f>(Table1[[#This Row],[In-Tok]]+Table1[[#This Row],[Out-Tok]])*Table1[[#This Row],[RPS]]</f>
        <v>13200</v>
      </c>
      <c r="V182" s="3">
        <f>Table1[[#This Row],[In-Tok]]+$V$2*Table1[[#This Row],[Out-Tok]]</f>
        <v>5800</v>
      </c>
      <c r="W182" s="3">
        <f>Table1[[#This Row],[In-Tok]]*Table1[[#This Row],[RPS]]</f>
        <v>10000</v>
      </c>
      <c r="X182" s="3">
        <f>Table1[[#This Row],[Out-Tok]]*Table1[[#This Row],[RPS]]</f>
        <v>3200</v>
      </c>
      <c r="Y182" s="75">
        <f>Table1[[#This Row],[In-Tok]]/Table1[[#This Row],[Out-Tok]]</f>
        <v>3.125</v>
      </c>
      <c r="Z182" s="26">
        <f>Table1[[#This Row],[In-Tok]]*Table1[[#This Row],[N]]+AvgOutLoad*Table1[[#This Row],[Out-Tok]]*Table1[[#This Row],[Ndecode]]</f>
        <v>292844.91793640505</v>
      </c>
      <c r="AA182" s="3">
        <f>Table1[[#This Row],[tok(N)]]/Table1[[#This Row],[Kvcache]]</f>
        <v>414763.79462645744</v>
      </c>
      <c r="AB182" s="3">
        <f>Table1[[#This Row],[tok/req]]*Table1[[#This Row],[Run]]</f>
        <v>274974.17582417582</v>
      </c>
      <c r="AC182" s="3">
        <f>Table1[[#This Row],[tok(Run)]]/Table1[[#This Row],[Kvcache]]</f>
        <v>389453.00260899559</v>
      </c>
      <c r="AD182" s="3">
        <f>Table1[[#This Row],[tok/req]]*Table1[[#This Row],[MaxRun]]</f>
        <v>394400</v>
      </c>
      <c r="AE182" s="3">
        <f>Table1[[#This Row],[tok(MaxRun)]]/Table1[[#This Row],[MaxKvcache]]</f>
        <v>396630.85625121905</v>
      </c>
      <c r="AF182" s="75">
        <f>Table1[[#This Row],[PPS]]*Table1[[#This Row],[Prefill]]/Table1[[#This Row],[In-Tok]]</f>
        <v>0.28858003627405804</v>
      </c>
      <c r="AG182" s="5">
        <f>Table1[[#This Row],[GPS]]*Table1[[#This Row],[ITL]]</f>
        <v>50.241727199143931</v>
      </c>
      <c r="AH182" s="5">
        <f>Table1[[#This Row],[Nprefill]]+Table1[[#This Row],[Ndecode]]</f>
        <v>50.530307235417986</v>
      </c>
      <c r="AI182" s="4">
        <f>Table1[[#This Row],[Run]]/Table1[[#This Row],[ITL]]/Table1[[#This Row],[GPS]]</f>
        <v>0.94362481750325777</v>
      </c>
      <c r="AJ182" s="10">
        <f>Table1[[#This Row],[Prefill]]+Table1[[#This Row],[ITL]]</f>
        <v>0.23735877582555975</v>
      </c>
      <c r="AK182" s="4">
        <f>Table1[[#This Row],[TTFT]]/Table1[[#This Row],[estTTFT]]</f>
        <v>14.127905665967198</v>
      </c>
      <c r="AL182" s="5">
        <f>Table1[[#This Row],[In-Tok]]*Table1[[#This Row],[RPS]]/Table1[[#This Row],[PPS]]</f>
        <v>1.4718527271709154</v>
      </c>
      <c r="AM182" s="4">
        <f>Table1[[#This Row],[Prefill]]/Table1[[#This Row],[estPrefill]]</f>
        <v>0.14429001813702902</v>
      </c>
      <c r="AN182" s="4">
        <f>Table1[[#This Row],[Prefill]]/Table1[[#This Row],[TTFT]]</f>
        <v>6.3331177824463472E-2</v>
      </c>
      <c r="AO182" s="10">
        <f>Table1[[#This Row],[Run]]/(Table1[[#This Row],[Out-Tok]]*Table1[[#This Row],[RPS]])</f>
        <v>1.4815418956043956E-2</v>
      </c>
      <c r="AP182" s="4">
        <f>Table1[[#This Row],[ITL]]/Table1[[#This Row],[estITL]]</f>
        <v>1.6864267693786723</v>
      </c>
      <c r="AQ182" s="44">
        <f>Table1[[#This Row],[E2E]]-Table1[[#This Row],[TTFT]]+Table1[[#This Row],[ITL]]</f>
        <v>39.099495463612641</v>
      </c>
      <c r="AR182" s="4">
        <f>Table1[[#This Row],[estDecode]]/Table1[[#This Row],[Run]]</f>
        <v>0.82472135068407038</v>
      </c>
      <c r="AS182" s="44">
        <f>Table1[[#This Row],[Prefill]]+Table1[[#This Row],[Out-Tok]]*Table1[[#This Row],[ITL]]</f>
        <v>40.18856425995093</v>
      </c>
      <c r="AT182" s="5">
        <f>Table1[[#This Row],[estPrefill]]+Table1[[#This Row],[Out-Tok]]*Table1[[#This Row],[ITL]]</f>
        <v>41.448043330423317</v>
      </c>
      <c r="AU182" s="4">
        <f>Table1[[#This Row],[E2E]]/Table1[[#This Row],[estE2E]]</f>
        <v>1.0236404261620724</v>
      </c>
      <c r="AV182" s="5">
        <f>Table1[[#This Row],[N]]/Table1[[#This Row],[estE2E]]</f>
        <v>1.2191240689600464</v>
      </c>
      <c r="AW182" s="5">
        <f>Table1[[#This Row],[PPS]]/Table1[[#This Row],[In-Tok]]</f>
        <v>1.3588316025641027</v>
      </c>
      <c r="AX182" s="4">
        <f>Table1[[#This Row],[RPS]]/Table1[[#This Row],[RPS(IL)]]</f>
        <v>1.4718527271709154</v>
      </c>
      <c r="AY182" s="5">
        <f>Table1[[#This Row],[GPS]]/Table1[[#This Row],[Out-Tok]]</f>
        <v>1.2567912660256413</v>
      </c>
      <c r="AZ182" s="89">
        <f>Table1[[#This Row],[RPS]]/Table1[[#This Row],[RPS(OL)]]</f>
        <v>1.5913541524875585</v>
      </c>
      <c r="BA182" s="135">
        <f>MaxTok/Table1[[#This Row],[tok/req]]</f>
        <v>66.881424481475051</v>
      </c>
      <c r="BB182" s="4">
        <f>Table1[[#This Row],[N]]/Table1[[#This Row],[N-max]]</f>
        <v>0.7555207985950414</v>
      </c>
      <c r="BC182" s="44">
        <f>Table1[[#This Row],[RPS]]</f>
        <v>2</v>
      </c>
      <c r="BD182" s="47">
        <f>Table1[[#This Row],[PPS]]/Table1[[#This Row],[RPS success]]</f>
        <v>3397.0790064102566</v>
      </c>
      <c r="BE182" s="4">
        <f>ABS(Table1[[#This Row],[est-In-Tok3]]-Table1[[#This Row],[In-Tok]])/Table1[[#This Row],[In-Tok]]</f>
        <v>0.32058419871794869</v>
      </c>
      <c r="BF182" s="47">
        <f>Table1[[#This Row],[GPS]]/Table1[[#This Row],[RPS success]]</f>
        <v>1005.433012820513</v>
      </c>
      <c r="BG182" s="4">
        <f>ABS(Table1[[#This Row],[est-Out-Tok3]]-Table1[[#This Row],[Out-Tok]])/Table1[[#This Row],[Out-Tok]]</f>
        <v>0.37160436698717936</v>
      </c>
      <c r="BH182" s="162">
        <f>Table1[[#This Row],[est-In-Tok3]]+AvgOutLoad*Table1[[#This Row],[est-Out-Tok3]]</f>
        <v>3899.7955128205131</v>
      </c>
      <c r="BI182" s="4">
        <f>ABS(Table1[[#This Row],[est-Tok/Req3]]-Table1[[#This Row],[tok/req]])/Table1[[#This Row],[tok/req]]</f>
        <v>0.32762146330680808</v>
      </c>
      <c r="BJ182" s="162">
        <f>MaxTok/Table1[[#This Row],[est-Tok/Req3]]</f>
        <v>99.469898028576154</v>
      </c>
      <c r="BK182" s="4">
        <f>ABS(Table1[[#This Row],[est-N-max3]]-Table1[[#This Row],[N-max]])/Table1[[#This Row],[N-max]]</f>
        <v>0.48725746797046049</v>
      </c>
      <c r="BL182" s="44">
        <f>MaxTok*Table1[[#This Row],[Kvcache]]/Table1[[#This Row],[Run]]</f>
        <v>5777.054238854269</v>
      </c>
      <c r="BM182" s="170">
        <f>ABS(Table1[[#This Row],[est-Tok/Req]]-Table1[[#This Row],[tok/req]])/Table1[[#This Row],[tok/req]]</f>
        <v>3.9561657147812092E-3</v>
      </c>
      <c r="BN182" s="44">
        <f>MaxTok/Table1[[#This Row],[est-Tok/Req]]</f>
        <v>67.147069415344063</v>
      </c>
      <c r="BO182" s="180">
        <f>Table1[[#This Row],[Run]]/Table1[[#This Row],[Kvcache]]</f>
        <v>67.147069415344063</v>
      </c>
      <c r="BP182" s="4" cm="1">
        <f t="array" aca="1" ref="BP182" ca="1">_xlfn.CEILING.MATH(INDIRECT("Table1"&amp;BP$3)/BP$2)*BP$2</f>
        <v>6000</v>
      </c>
      <c r="BQ182" s="4" cm="1">
        <f t="array" aca="1" ref="BQ182" ca="1">_xlfn.CEILING.MATH(INDIRECT("Table1"&amp;BQ$3)/BQ$2)*BQ$2</f>
        <v>2.5000000000000001E-2</v>
      </c>
      <c r="BR182" s="4" cm="1">
        <f t="array" aca="1" ref="BR182" ca="1">_xlfn.CEILING.MATH(INDIRECT("Table1"&amp;BR$3)/BR$2)*BR$2</f>
        <v>0.8</v>
      </c>
      <c r="BS182" s="4" cm="1">
        <f t="array" aca="1" ref="BS182" ca="1">_xlfn.CEILING.MATH(INDIRECT("Table1"&amp;BS$3)/BS$2)*BS$2</f>
        <v>0.71</v>
      </c>
      <c r="BT182" s="3" cm="1">
        <f t="array" aca="1" ref="BT182" ca="1">_xlfn.CEILING.MATH(INDIRECT("Table1"&amp;BT$3)/BT$2)*BT$2</f>
        <v>48</v>
      </c>
      <c r="BU182" s="135" cm="1">
        <f t="array" aca="1" ref="BU182" ca="1">_xlfn.CEILING.MATH(INDIRECT("Table1"&amp;BU$3)/BU$2)*BU$2</f>
        <v>5</v>
      </c>
      <c r="BV182" s="135" cm="1">
        <f t="array" aca="1" ref="BV182" ca="1">_xlfn.CEILING.MATH(INDIRECT("Table1"&amp;BV$3)/BV$2)*BV$2</f>
        <v>5000</v>
      </c>
      <c r="BW182" s="4"/>
      <c r="BX182" s="4"/>
      <c r="BY182" s="217"/>
      <c r="BZ182" s="4"/>
      <c r="CA182" s="3"/>
      <c r="CF182" s="5"/>
      <c r="CH182" s="8"/>
      <c r="CI182" s="8"/>
      <c r="CJ182" s="14"/>
      <c r="CK182" s="8"/>
      <c r="CL182" s="8"/>
      <c r="CM182" s="8"/>
      <c r="CN182" s="8"/>
      <c r="CO182" s="8"/>
      <c r="CP182" s="8"/>
      <c r="CQ182" s="8">
        <f>Table1[[#This Row],[In-Tok]]+AvgOutLoad*Table1[[#This Row],[Out-Tok]]</f>
        <v>5800</v>
      </c>
      <c r="CR182" s="8"/>
      <c r="CS182" s="8"/>
      <c r="CT182" s="8"/>
      <c r="CU182" s="8"/>
      <c r="CV182" s="8"/>
      <c r="CW182" s="8"/>
      <c r="CX182" s="8"/>
      <c r="CY182" s="8"/>
    </row>
    <row r="183" spans="1:103" hidden="1" x14ac:dyDescent="0.25">
      <c r="A183" s="26">
        <v>5000</v>
      </c>
      <c r="B183" s="3">
        <v>1700</v>
      </c>
      <c r="C183" s="123">
        <v>2</v>
      </c>
      <c r="D183" s="216">
        <f>Table1[[#This Row],[Kvcache]]</f>
        <v>0.76301248660829724</v>
      </c>
      <c r="E183" s="170" t="s">
        <v>154</v>
      </c>
      <c r="F183" s="218">
        <v>46104</v>
      </c>
      <c r="G183" s="10">
        <v>0</v>
      </c>
      <c r="H183" s="10">
        <v>7.7995442846927894</v>
      </c>
      <c r="I183" s="10">
        <v>0.2221545997544441</v>
      </c>
      <c r="J183" s="10">
        <v>1.8813117208083834</v>
      </c>
      <c r="K183" s="10">
        <v>7.6999371767044069</v>
      </c>
      <c r="L183" s="10">
        <v>9.2243282365798898</v>
      </c>
      <c r="M183" s="10">
        <v>2.6117112964388428E-2</v>
      </c>
      <c r="N183" s="10">
        <v>50.204218766268554</v>
      </c>
      <c r="O183" s="47">
        <v>6656.0483516483528</v>
      </c>
      <c r="P183" s="47">
        <v>2043.825824175824</v>
      </c>
      <c r="Q183" s="5">
        <v>50.847619047619048</v>
      </c>
      <c r="R183" s="5">
        <v>67.5</v>
      </c>
      <c r="S183" s="170">
        <v>0.76301248660829724</v>
      </c>
      <c r="T183" s="170">
        <v>0.99922420480993024</v>
      </c>
      <c r="U183" s="3">
        <f>(Table1[[#This Row],[In-Tok]]+Table1[[#This Row],[Out-Tok]])*Table1[[#This Row],[RPS]]</f>
        <v>13400</v>
      </c>
      <c r="V183" s="3">
        <f>Table1[[#This Row],[In-Tok]]+$V$2*Table1[[#This Row],[Out-Tok]]</f>
        <v>5850</v>
      </c>
      <c r="W183" s="3">
        <f>Table1[[#This Row],[In-Tok]]*Table1[[#This Row],[RPS]]</f>
        <v>10000</v>
      </c>
      <c r="X183" s="3">
        <f>Table1[[#This Row],[Out-Tok]]*Table1[[#This Row],[RPS]]</f>
        <v>3400</v>
      </c>
      <c r="Y183" s="75">
        <f>Table1[[#This Row],[In-Tok]]/Table1[[#This Row],[Out-Tok]]</f>
        <v>2.9411764705882355</v>
      </c>
      <c r="Z183" s="26">
        <f>Table1[[#This Row],[In-Tok]]*Table1[[#This Row],[N]]+AvgOutLoad*Table1[[#This Row],[Out-Tok]]*Table1[[#This Row],[Ndecode]]</f>
        <v>313744.82684528216</v>
      </c>
      <c r="AA183" s="3">
        <f>Table1[[#This Row],[tok(N)]]/Table1[[#This Row],[Kvcache]]</f>
        <v>411192.25746871339</v>
      </c>
      <c r="AB183" s="3">
        <f>Table1[[#This Row],[tok/req]]*Table1[[#This Row],[Run]]</f>
        <v>297458.57142857142</v>
      </c>
      <c r="AC183" s="3">
        <f>Table1[[#This Row],[tok(Run)]]/Table1[[#This Row],[Kvcache]]</f>
        <v>389847.58001906174</v>
      </c>
      <c r="AD183" s="3">
        <f>Table1[[#This Row],[tok/req]]*Table1[[#This Row],[MaxRun]]</f>
        <v>394875</v>
      </c>
      <c r="AE183" s="3">
        <f>Table1[[#This Row],[tok(MaxRun)]]/Table1[[#This Row],[MaxKvcache]]</f>
        <v>395181.57996894408</v>
      </c>
      <c r="AF183" s="75">
        <f>Table1[[#This Row],[PPS]]*Table1[[#This Row],[Prefill]]/Table1[[#This Row],[In-Tok]]</f>
        <v>0.29573435150133348</v>
      </c>
      <c r="AG183" s="5">
        <f>Table1[[#This Row],[GPS]]*Table1[[#This Row],[ITL]]</f>
        <v>53.378829929534277</v>
      </c>
      <c r="AH183" s="5">
        <f>Table1[[#This Row],[Nprefill]]+Table1[[#This Row],[Ndecode]]</f>
        <v>53.674564281035607</v>
      </c>
      <c r="AI183" s="4">
        <f>Table1[[#This Row],[Run]]/Table1[[#This Row],[ITL]]/Table1[[#This Row],[GPS]]</f>
        <v>0.95258024791370111</v>
      </c>
      <c r="AJ183" s="10">
        <f>Table1[[#This Row],[Prefill]]+Table1[[#This Row],[ITL]]</f>
        <v>0.24827171271883253</v>
      </c>
      <c r="AK183" s="4">
        <f>Table1[[#This Row],[TTFT]]/Table1[[#This Row],[estTTFT]]</f>
        <v>31.415356180854022</v>
      </c>
      <c r="AL183" s="5">
        <f>Table1[[#This Row],[In-Tok]]*Table1[[#This Row],[RPS]]/Table1[[#This Row],[PPS]]</f>
        <v>1.5023929322153327</v>
      </c>
      <c r="AM183" s="4">
        <f>Table1[[#This Row],[Prefill]]/Table1[[#This Row],[estPrefill]]</f>
        <v>0.14786717575066671</v>
      </c>
      <c r="AN183" s="4">
        <f>Table1[[#This Row],[Prefill]]/Table1[[#This Row],[TTFT]]</f>
        <v>2.8483023064621832E-2</v>
      </c>
      <c r="AO183" s="10">
        <f>Table1[[#This Row],[Run]]/(Table1[[#This Row],[Out-Tok]]*Table1[[#This Row],[RPS]])</f>
        <v>1.4955182072829133E-2</v>
      </c>
      <c r="AP183" s="4">
        <f>Table1[[#This Row],[ITL]]/Table1[[#This Row],[estITL]]</f>
        <v>1.7463587428894303</v>
      </c>
      <c r="AQ183" s="44">
        <f>Table1[[#This Row],[E2E]]-Table1[[#This Row],[TTFT]]+Table1[[#This Row],[ITL]]</f>
        <v>42.430791594540153</v>
      </c>
      <c r="AR183" s="4">
        <f>Table1[[#This Row],[estDecode]]/Table1[[#This Row],[Run]]</f>
        <v>0.83446958558282747</v>
      </c>
      <c r="AS183" s="44">
        <f>Table1[[#This Row],[Prefill]]+Table1[[#This Row],[Out-Tok]]*Table1[[#This Row],[ITL]]</f>
        <v>44.621246639214775</v>
      </c>
      <c r="AT183" s="5">
        <f>Table1[[#This Row],[estPrefill]]+Table1[[#This Row],[Out-Tok]]*Table1[[#This Row],[ITL]]</f>
        <v>45.901484971675657</v>
      </c>
      <c r="AU183" s="4">
        <f>Table1[[#This Row],[E2E]]/Table1[[#This Row],[estE2E]]</f>
        <v>1.0937384443498501</v>
      </c>
      <c r="AV183" s="5">
        <f>Table1[[#This Row],[N]]/Table1[[#This Row],[estE2E]]</f>
        <v>1.1693426544730845</v>
      </c>
      <c r="AW183" s="5">
        <f>Table1[[#This Row],[PPS]]/Table1[[#This Row],[In-Tok]]</f>
        <v>1.3312096703296705</v>
      </c>
      <c r="AX183" s="4">
        <f>Table1[[#This Row],[RPS]]/Table1[[#This Row],[RPS(IL)]]</f>
        <v>1.5023929322153327</v>
      </c>
      <c r="AY183" s="5">
        <f>Table1[[#This Row],[GPS]]/Table1[[#This Row],[Out-Tok]]</f>
        <v>1.2022504848093083</v>
      </c>
      <c r="AZ183" s="89">
        <f>Table1[[#This Row],[RPS]]/Table1[[#This Row],[RPS(OL)]]</f>
        <v>1.6635468442478729</v>
      </c>
      <c r="BA183" s="135">
        <f>MaxTok/Table1[[#This Row],[tok/req]]</f>
        <v>66.309788374795772</v>
      </c>
      <c r="BB183" s="4">
        <f>Table1[[#This Row],[N]]/Table1[[#This Row],[N-max]]</f>
        <v>0.80945159977975756</v>
      </c>
      <c r="BC183" s="44">
        <f>Table1[[#This Row],[RPS]]</f>
        <v>2</v>
      </c>
      <c r="BD183" s="47">
        <f>Table1[[#This Row],[PPS]]/Table1[[#This Row],[RPS success]]</f>
        <v>3328.0241758241764</v>
      </c>
      <c r="BE183" s="4">
        <f>ABS(Table1[[#This Row],[est-In-Tok3]]-Table1[[#This Row],[In-Tok]])/Table1[[#This Row],[In-Tok]]</f>
        <v>0.33439516483516474</v>
      </c>
      <c r="BF183" s="47">
        <f>Table1[[#This Row],[GPS]]/Table1[[#This Row],[RPS success]]</f>
        <v>1021.912912087912</v>
      </c>
      <c r="BG183" s="4">
        <f>ABS(Table1[[#This Row],[est-Out-Tok3]]-Table1[[#This Row],[Out-Tok]])/Table1[[#This Row],[Out-Tok]]</f>
        <v>0.39887475759534591</v>
      </c>
      <c r="BH183" s="162">
        <f>Table1[[#This Row],[est-In-Tok3]]+AvgOutLoad*Table1[[#This Row],[est-Out-Tok3]]</f>
        <v>3838.9806318681321</v>
      </c>
      <c r="BI183" s="4">
        <f>ABS(Table1[[#This Row],[est-Tok/Req3]]-Table1[[#This Row],[tok/req]])/Table1[[#This Row],[tok/req]]</f>
        <v>0.34376399455245604</v>
      </c>
      <c r="BJ183" s="162">
        <f>MaxTok/Table1[[#This Row],[est-Tok/Req3]]</f>
        <v>101.04564184888547</v>
      </c>
      <c r="BK183" s="4">
        <f>ABS(Table1[[#This Row],[est-N-max3]]-Table1[[#This Row],[N-max]])/Table1[[#This Row],[N-max]]</f>
        <v>0.52384201978983735</v>
      </c>
      <c r="BL183" s="44">
        <f>MaxTok*Table1[[#This Row],[Kvcache]]/Table1[[#This Row],[Run]]</f>
        <v>5820.9588797383094</v>
      </c>
      <c r="BM183" s="170">
        <f>ABS(Table1[[#This Row],[est-Tok/Req]]-Table1[[#This Row],[tok/req]])/Table1[[#This Row],[tok/req]]</f>
        <v>4.9642940618274522E-3</v>
      </c>
      <c r="BN183" s="44">
        <f>MaxTok/Table1[[#This Row],[est-Tok/Req]]</f>
        <v>66.640611969070378</v>
      </c>
      <c r="BO183" s="180">
        <f>Table1[[#This Row],[Run]]/Table1[[#This Row],[Kvcache]]</f>
        <v>66.640611969070378</v>
      </c>
      <c r="BP183" s="4" cm="1">
        <f t="array" aca="1" ref="BP183" ca="1">_xlfn.CEILING.MATH(INDIRECT("Table1"&amp;BP$3)/BP$2)*BP$2</f>
        <v>6000</v>
      </c>
      <c r="BQ183" s="4" cm="1">
        <f t="array" aca="1" ref="BQ183" ca="1">_xlfn.CEILING.MATH(INDIRECT("Table1"&amp;BQ$3)/BQ$2)*BQ$2</f>
        <v>0.03</v>
      </c>
      <c r="BR183" s="4" cm="1">
        <f t="array" aca="1" ref="BR183" ca="1">_xlfn.CEILING.MATH(INDIRECT("Table1"&amp;BR$3)/BR$2)*BR$2</f>
        <v>0.8</v>
      </c>
      <c r="BS183" s="4" cm="1">
        <f t="array" aca="1" ref="BS183" ca="1">_xlfn.CEILING.MATH(INDIRECT("Table1"&amp;BS$3)/BS$2)*BS$2</f>
        <v>0.77</v>
      </c>
      <c r="BT183" s="3" cm="1">
        <f t="array" aca="1" ref="BT183" ca="1">_xlfn.CEILING.MATH(INDIRECT("Table1"&amp;BT$3)/BT$2)*BT$2</f>
        <v>51</v>
      </c>
      <c r="BU183" s="135" cm="1">
        <f t="array" aca="1" ref="BU183" ca="1">_xlfn.CEILING.MATH(INDIRECT("Table1"&amp;BU$3)/BU$2)*BU$2</f>
        <v>5</v>
      </c>
      <c r="BV183" s="135" cm="1">
        <f t="array" aca="1" ref="BV183" ca="1">_xlfn.CEILING.MATH(INDIRECT("Table1"&amp;BV$3)/BV$2)*BV$2</f>
        <v>5000</v>
      </c>
      <c r="BW183" s="4"/>
      <c r="BX183" s="4"/>
      <c r="BY183" s="217"/>
      <c r="BZ183" s="4"/>
      <c r="CA183" s="3"/>
      <c r="CF183" s="5"/>
      <c r="CH183" s="8"/>
      <c r="CI183" s="8"/>
      <c r="CJ183" s="14"/>
      <c r="CK183" s="8"/>
      <c r="CL183" s="8"/>
      <c r="CM183" s="8"/>
      <c r="CN183" s="8"/>
      <c r="CO183" s="8"/>
      <c r="CP183" s="8"/>
      <c r="CQ183" s="8">
        <f>Table1[[#This Row],[In-Tok]]+AvgOutLoad*Table1[[#This Row],[Out-Tok]]</f>
        <v>5850</v>
      </c>
      <c r="CR183" s="8"/>
      <c r="CS183" s="8"/>
      <c r="CT183" s="8"/>
      <c r="CU183" s="8"/>
      <c r="CV183" s="8"/>
      <c r="CW183" s="8"/>
      <c r="CX183" s="8"/>
      <c r="CY183" s="8"/>
    </row>
    <row r="184" spans="1:103" hidden="1" x14ac:dyDescent="0.25">
      <c r="A184" s="26">
        <v>5000</v>
      </c>
      <c r="B184" s="3">
        <v>1800</v>
      </c>
      <c r="C184" s="123">
        <v>2</v>
      </c>
      <c r="D184" s="216">
        <f>Table1[[#This Row],[Kvcache]]</f>
        <v>0.72702111697456928</v>
      </c>
      <c r="E184" s="170" t="s">
        <v>154</v>
      </c>
      <c r="F184" s="218">
        <v>46104</v>
      </c>
      <c r="G184" s="10">
        <v>0</v>
      </c>
      <c r="H184" s="10">
        <v>4.2559401687863581</v>
      </c>
      <c r="I184" s="10">
        <v>0.20983196276086361</v>
      </c>
      <c r="J184" s="10">
        <v>1.8481350942169192</v>
      </c>
      <c r="K184" s="10">
        <v>5.870233595371225</v>
      </c>
      <c r="L184" s="10">
        <v>8.1623429298400865</v>
      </c>
      <c r="M184" s="10">
        <v>2.464593313940986E-2</v>
      </c>
      <c r="N184" s="10">
        <v>50.141425932506962</v>
      </c>
      <c r="O184" s="47">
        <v>6266.4208333333336</v>
      </c>
      <c r="P184" s="47">
        <v>2028.2237179487179</v>
      </c>
      <c r="Q184" s="5">
        <v>48.203296703296708</v>
      </c>
      <c r="R184" s="5">
        <v>67</v>
      </c>
      <c r="S184" s="170">
        <v>0.72702111697456928</v>
      </c>
      <c r="T184" s="170">
        <v>0.99681923972071373</v>
      </c>
      <c r="U184" s="3">
        <f>(Table1[[#This Row],[In-Tok]]+Table1[[#This Row],[Out-Tok]])*Table1[[#This Row],[RPS]]</f>
        <v>13600</v>
      </c>
      <c r="V184" s="3">
        <f>Table1[[#This Row],[In-Tok]]+$V$2*Table1[[#This Row],[Out-Tok]]</f>
        <v>5900</v>
      </c>
      <c r="W184" s="3">
        <f>Table1[[#This Row],[In-Tok]]*Table1[[#This Row],[RPS]]</f>
        <v>10000</v>
      </c>
      <c r="X184" s="3">
        <f>Table1[[#This Row],[Out-Tok]]*Table1[[#This Row],[RPS]]</f>
        <v>3600</v>
      </c>
      <c r="Y184" s="75">
        <f>Table1[[#This Row],[In-Tok]]/Table1[[#This Row],[Out-Tok]]</f>
        <v>2.7777777777777777</v>
      </c>
      <c r="Z184" s="26">
        <f>Table1[[#This Row],[In-Tok]]*Table1[[#This Row],[N]]+AvgOutLoad*Table1[[#This Row],[Out-Tok]]*Table1[[#This Row],[Ndecode]]</f>
        <v>296240.94563448726</v>
      </c>
      <c r="AA184" s="3">
        <f>Table1[[#This Row],[tok(N)]]/Table1[[#This Row],[Kvcache]]</f>
        <v>407472.2710493835</v>
      </c>
      <c r="AB184" s="3">
        <f>Table1[[#This Row],[tok/req]]*Table1[[#This Row],[Run]]</f>
        <v>284399.45054945059</v>
      </c>
      <c r="AC184" s="3">
        <f>Table1[[#This Row],[tok(Run)]]/Table1[[#This Row],[Kvcache]]</f>
        <v>391184.58035022754</v>
      </c>
      <c r="AD184" s="3">
        <f>Table1[[#This Row],[tok/req]]*Table1[[#This Row],[MaxRun]]</f>
        <v>395300</v>
      </c>
      <c r="AE184" s="3">
        <f>Table1[[#This Row],[tok(MaxRun)]]/Table1[[#This Row],[MaxKvcache]]</f>
        <v>396561.36664331856</v>
      </c>
      <c r="AF184" s="75">
        <f>Table1[[#This Row],[PPS]]*Table1[[#This Row],[Prefill]]/Table1[[#This Row],[In-Tok]]</f>
        <v>0.26297907658878</v>
      </c>
      <c r="AG184" s="5">
        <f>Table1[[#This Row],[GPS]]*Table1[[#This Row],[ITL]]</f>
        <v>49.987466144329382</v>
      </c>
      <c r="AH184" s="5">
        <f>Table1[[#This Row],[Nprefill]]+Table1[[#This Row],[Ndecode]]</f>
        <v>50.250445220918159</v>
      </c>
      <c r="AI184" s="4">
        <f>Table1[[#This Row],[Run]]/Table1[[#This Row],[ITL]]/Table1[[#This Row],[GPS]]</f>
        <v>0.96430766392756895</v>
      </c>
      <c r="AJ184" s="10">
        <f>Table1[[#This Row],[Prefill]]+Table1[[#This Row],[ITL]]</f>
        <v>0.23447789590027346</v>
      </c>
      <c r="AK184" s="4">
        <f>Table1[[#This Row],[TTFT]]/Table1[[#This Row],[estTTFT]]</f>
        <v>18.150709483492061</v>
      </c>
      <c r="AL184" s="5">
        <f>Table1[[#This Row],[In-Tok]]*Table1[[#This Row],[RPS]]/Table1[[#This Row],[PPS]]</f>
        <v>1.595807282333549</v>
      </c>
      <c r="AM184" s="4">
        <f>Table1[[#This Row],[Prefill]]/Table1[[#This Row],[estPrefill]]</f>
        <v>0.13148953829439</v>
      </c>
      <c r="AN184" s="4">
        <f>Table1[[#This Row],[Prefill]]/Table1[[#This Row],[TTFT]]</f>
        <v>4.9303315939401508E-2</v>
      </c>
      <c r="AO184" s="10">
        <f>Table1[[#This Row],[Run]]/(Table1[[#This Row],[Out-Tok]]*Table1[[#This Row],[RPS]])</f>
        <v>1.3389804639804642E-2</v>
      </c>
      <c r="AP184" s="4">
        <f>Table1[[#This Row],[ITL]]/Table1[[#This Row],[estITL]]</f>
        <v>1.8406491955934501</v>
      </c>
      <c r="AQ184" s="44">
        <f>Table1[[#This Row],[E2E]]-Table1[[#This Row],[TTFT]]+Table1[[#This Row],[ITL]]</f>
        <v>45.910131696860013</v>
      </c>
      <c r="AR184" s="4">
        <f>Table1[[#This Row],[estDecode]]/Table1[[#This Row],[Run]]</f>
        <v>0.95242721632605964</v>
      </c>
      <c r="AS184" s="44">
        <f>Table1[[#This Row],[Prefill]]+Table1[[#This Row],[Out-Tok]]*Table1[[#This Row],[ITL]]</f>
        <v>44.572511613698616</v>
      </c>
      <c r="AT184" s="5">
        <f>Table1[[#This Row],[estPrefill]]+Table1[[#This Row],[Out-Tok]]*Table1[[#This Row],[ITL]]</f>
        <v>45.958486933271296</v>
      </c>
      <c r="AU184" s="4">
        <f>Table1[[#This Row],[E2E]]/Table1[[#This Row],[estE2E]]</f>
        <v>1.0910155942537669</v>
      </c>
      <c r="AV184" s="5">
        <f>Table1[[#This Row],[N]]/Table1[[#This Row],[estE2E]]</f>
        <v>1.0933877195278101</v>
      </c>
      <c r="AW184" s="5">
        <f>Table1[[#This Row],[PPS]]/Table1[[#This Row],[In-Tok]]</f>
        <v>1.2532841666666668</v>
      </c>
      <c r="AX184" s="4">
        <f>Table1[[#This Row],[RPS]]/Table1[[#This Row],[RPS(IL)]]</f>
        <v>1.595807282333549</v>
      </c>
      <c r="AY184" s="5">
        <f>Table1[[#This Row],[GPS]]/Table1[[#This Row],[Out-Tok]]</f>
        <v>1.1267909544159544</v>
      </c>
      <c r="AZ184" s="89">
        <f>Table1[[#This Row],[RPS]]/Table1[[#This Row],[RPS(OL)]]</f>
        <v>1.7749521259128787</v>
      </c>
      <c r="BA184" s="135">
        <f>MaxTok/Table1[[#This Row],[tok/req]]</f>
        <v>65.747841015687342</v>
      </c>
      <c r="BB184" s="4">
        <f>Table1[[#This Row],[N]]/Table1[[#This Row],[N-max]]</f>
        <v>0.76429042299546346</v>
      </c>
      <c r="BC184" s="44">
        <f>Table1[[#This Row],[RPS]]</f>
        <v>2</v>
      </c>
      <c r="BD184" s="47">
        <f>Table1[[#This Row],[PPS]]/Table1[[#This Row],[RPS success]]</f>
        <v>3133.2104166666668</v>
      </c>
      <c r="BE184" s="4">
        <f>ABS(Table1[[#This Row],[est-In-Tok3]]-Table1[[#This Row],[In-Tok]])/Table1[[#This Row],[In-Tok]]</f>
        <v>0.37335791666666662</v>
      </c>
      <c r="BF184" s="47">
        <f>Table1[[#This Row],[GPS]]/Table1[[#This Row],[RPS success]]</f>
        <v>1014.1118589743589</v>
      </c>
      <c r="BG184" s="4">
        <f>ABS(Table1[[#This Row],[est-Out-Tok3]]-Table1[[#This Row],[Out-Tok]])/Table1[[#This Row],[Out-Tok]]</f>
        <v>0.43660452279202283</v>
      </c>
      <c r="BH184" s="162">
        <f>Table1[[#This Row],[est-In-Tok3]]+AvgOutLoad*Table1[[#This Row],[est-Out-Tok3]]</f>
        <v>3640.2663461538464</v>
      </c>
      <c r="BI184" s="4">
        <f>ABS(Table1[[#This Row],[est-Tok/Req3]]-Table1[[#This Row],[tok/req]])/Table1[[#This Row],[tok/req]]</f>
        <v>0.38300570404172096</v>
      </c>
      <c r="BJ184" s="162">
        <f>MaxTok/Table1[[#This Row],[est-Tok/Req3]]</f>
        <v>106.56150542457071</v>
      </c>
      <c r="BK184" s="4">
        <f>ABS(Table1[[#This Row],[est-N-max3]]-Table1[[#This Row],[N-max]])/Table1[[#This Row],[N-max]]</f>
        <v>0.62076052655699043</v>
      </c>
      <c r="BL184" s="44">
        <f>MaxTok*Table1[[#This Row],[Kvcache]]/Table1[[#This Row],[Run]]</f>
        <v>5850.645604964845</v>
      </c>
      <c r="BM184" s="170">
        <f>ABS(Table1[[#This Row],[est-Tok/Req]]-Table1[[#This Row],[tok/req]])/Table1[[#This Row],[tok/req]]</f>
        <v>8.3651517008737283E-3</v>
      </c>
      <c r="BN184" s="44">
        <f>MaxTok/Table1[[#This Row],[est-Tok/Req]]</f>
        <v>66.302471245801286</v>
      </c>
      <c r="BO184" s="180">
        <f>Table1[[#This Row],[Run]]/Table1[[#This Row],[Kvcache]]</f>
        <v>66.302471245801286</v>
      </c>
      <c r="BP184" s="4" cm="1">
        <f t="array" aca="1" ref="BP184" ca="1">_xlfn.CEILING.MATH(INDIRECT("Table1"&amp;BP$3)/BP$2)*BP$2</f>
        <v>6000</v>
      </c>
      <c r="BQ184" s="4" cm="1">
        <f t="array" aca="1" ref="BQ184" ca="1">_xlfn.CEILING.MATH(INDIRECT("Table1"&amp;BQ$3)/BQ$2)*BQ$2</f>
        <v>2.5000000000000001E-2</v>
      </c>
      <c r="BR184" s="4" cm="1">
        <f t="array" aca="1" ref="BR184" ca="1">_xlfn.CEILING.MATH(INDIRECT("Table1"&amp;BR$3)/BR$2)*BR$2</f>
        <v>0.8</v>
      </c>
      <c r="BS184" s="4" cm="1">
        <f t="array" aca="1" ref="BS184" ca="1">_xlfn.CEILING.MATH(INDIRECT("Table1"&amp;BS$3)/BS$2)*BS$2</f>
        <v>0.73</v>
      </c>
      <c r="BT184" s="3" cm="1">
        <f t="array" aca="1" ref="BT184" ca="1">_xlfn.CEILING.MATH(INDIRECT("Table1"&amp;BT$3)/BT$2)*BT$2</f>
        <v>49</v>
      </c>
      <c r="BU184" s="135" cm="1">
        <f t="array" aca="1" ref="BU184" ca="1">_xlfn.CEILING.MATH(INDIRECT("Table1"&amp;BU$3)/BU$2)*BU$2</f>
        <v>5</v>
      </c>
      <c r="BV184" s="135" cm="1">
        <f t="array" aca="1" ref="BV184" ca="1">_xlfn.CEILING.MATH(INDIRECT("Table1"&amp;BV$3)/BV$2)*BV$2</f>
        <v>5000</v>
      </c>
      <c r="BW184" s="4"/>
      <c r="BX184" s="4"/>
      <c r="BY184" s="217"/>
      <c r="BZ184" s="4"/>
      <c r="CA184" s="3"/>
      <c r="CF184" s="5"/>
      <c r="CH184" s="8"/>
      <c r="CI184" s="8"/>
      <c r="CJ184" s="14"/>
      <c r="CK184" s="8"/>
      <c r="CL184" s="8"/>
      <c r="CM184" s="8"/>
      <c r="CN184" s="8"/>
      <c r="CO184" s="8"/>
      <c r="CP184" s="8"/>
      <c r="CQ184" s="8">
        <f>Table1[[#This Row],[In-Tok]]+AvgOutLoad*Table1[[#This Row],[Out-Tok]]</f>
        <v>5900</v>
      </c>
      <c r="CR184" s="8"/>
      <c r="CS184" s="8"/>
      <c r="CT184" s="8"/>
      <c r="CU184" s="8"/>
      <c r="CV184" s="8"/>
      <c r="CW184" s="8"/>
      <c r="CX184" s="8"/>
      <c r="CY184" s="8"/>
    </row>
    <row r="185" spans="1:103" hidden="1" x14ac:dyDescent="0.25">
      <c r="A185" s="26">
        <v>5000</v>
      </c>
      <c r="B185" s="3">
        <v>500</v>
      </c>
      <c r="C185" s="123">
        <v>2</v>
      </c>
      <c r="D185" s="216">
        <f>Table1[[#This Row],[Kvcache]]</f>
        <v>0.14444789242306691</v>
      </c>
      <c r="E185" s="170" t="s">
        <v>155</v>
      </c>
      <c r="F185" s="218">
        <v>46104</v>
      </c>
      <c r="G185" s="10">
        <v>0</v>
      </c>
      <c r="H185" s="10">
        <v>0.17073694278579946</v>
      </c>
      <c r="I185" s="10">
        <v>0.15313947465266206</v>
      </c>
      <c r="J185" s="10">
        <v>0.19144605921655114</v>
      </c>
      <c r="K185" s="10">
        <v>0.30410294135411581</v>
      </c>
      <c r="L185" s="10">
        <v>0.37769178072611492</v>
      </c>
      <c r="M185" s="10">
        <v>1.2235912914705667E-2</v>
      </c>
      <c r="N185" s="10">
        <v>6.2892301804060038</v>
      </c>
      <c r="O185" s="47">
        <v>9984.3851851851869</v>
      </c>
      <c r="P185" s="47">
        <v>909.75555555555559</v>
      </c>
      <c r="Q185" s="5">
        <v>10.633333333333333</v>
      </c>
      <c r="R185" s="5">
        <v>20.333333333333332</v>
      </c>
      <c r="S185" s="170">
        <v>0.14444789242306691</v>
      </c>
      <c r="T185" s="170">
        <v>0.27721748125161622</v>
      </c>
      <c r="U185" s="3">
        <f>(Table1[[#This Row],[In-Tok]]+Table1[[#This Row],[Out-Tok]])*Table1[[#This Row],[RPS]]</f>
        <v>11000</v>
      </c>
      <c r="V185" s="3">
        <f>Table1[[#This Row],[In-Tok]]+$V$2*Table1[[#This Row],[Out-Tok]]</f>
        <v>5250</v>
      </c>
      <c r="W185" s="3">
        <f>Table1[[#This Row],[In-Tok]]*Table1[[#This Row],[RPS]]</f>
        <v>10000</v>
      </c>
      <c r="X185" s="3">
        <f>Table1[[#This Row],[Out-Tok]]*Table1[[#This Row],[RPS]]</f>
        <v>1000</v>
      </c>
      <c r="Y185" s="75">
        <f>Table1[[#This Row],[In-Tok]]/Table1[[#This Row],[Out-Tok]]</f>
        <v>10</v>
      </c>
      <c r="Z185" s="26">
        <f>Table1[[#This Row],[In-Tok]]*Table1[[#This Row],[N]]+AvgOutLoad*Table1[[#This Row],[Out-Tok]]*Table1[[#This Row],[Ndecode]]</f>
        <v>59970.374697088198</v>
      </c>
      <c r="AA185" s="3">
        <f>Table1[[#This Row],[tok(N)]]/Table1[[#This Row],[Kvcache]]</f>
        <v>415169.60677725694</v>
      </c>
      <c r="AB185" s="3">
        <f>Table1[[#This Row],[tok/req]]*Table1[[#This Row],[Run]]</f>
        <v>55825</v>
      </c>
      <c r="AC185" s="3">
        <f>Table1[[#This Row],[tok(Run)]]/Table1[[#This Row],[Kvcache]]</f>
        <v>386471.54391492734</v>
      </c>
      <c r="AD185" s="3">
        <f>Table1[[#This Row],[tok/req]]*Table1[[#This Row],[MaxRun]]</f>
        <v>106750</v>
      </c>
      <c r="AE185" s="3">
        <f>Table1[[#This Row],[tok(MaxRun)]]/Table1[[#This Row],[MaxKvcache]]</f>
        <v>385076.7257462687</v>
      </c>
      <c r="AF185" s="75">
        <f>Table1[[#This Row],[PPS]]*Table1[[#This Row],[Prefill]]/Table1[[#This Row],[In-Tok]]</f>
        <v>0.30580070039781632</v>
      </c>
      <c r="AG185" s="5">
        <f>Table1[[#This Row],[GPS]]*Table1[[#This Row],[ITL]]</f>
        <v>11.131689751447452</v>
      </c>
      <c r="AH185" s="5">
        <f>Table1[[#This Row],[Nprefill]]+Table1[[#This Row],[Ndecode]]</f>
        <v>11.437490451845267</v>
      </c>
      <c r="AI185" s="4">
        <f>Table1[[#This Row],[Run]]/Table1[[#This Row],[ITL]]/Table1[[#This Row],[GPS]]</f>
        <v>0.9552308383325796</v>
      </c>
      <c r="AJ185" s="10">
        <f>Table1[[#This Row],[Prefill]]+Table1[[#This Row],[ITL]]</f>
        <v>0.16537538756736772</v>
      </c>
      <c r="AK185" s="4">
        <f>Table1[[#This Row],[TTFT]]/Table1[[#This Row],[estTTFT]]</f>
        <v>1.0324205149103438</v>
      </c>
      <c r="AL185" s="5">
        <f>Table1[[#This Row],[In-Tok]]*Table1[[#This Row],[RPS]]/Table1[[#This Row],[PPS]]</f>
        <v>1.0015639235190947</v>
      </c>
      <c r="AM185" s="4">
        <f>Table1[[#This Row],[Prefill]]/Table1[[#This Row],[estPrefill]]</f>
        <v>0.15290035019890816</v>
      </c>
      <c r="AN185" s="4">
        <f>Table1[[#This Row],[Prefill]]/Table1[[#This Row],[TTFT]]</f>
        <v>0.89693227578044099</v>
      </c>
      <c r="AO185" s="10">
        <f>Table1[[#This Row],[Run]]/(Table1[[#This Row],[Out-Tok]]*Table1[[#This Row],[RPS]])</f>
        <v>1.0633333333333333E-2</v>
      </c>
      <c r="AP185" s="4">
        <f>Table1[[#This Row],[ITL]]/Table1[[#This Row],[estITL]]</f>
        <v>1.1507128132952038</v>
      </c>
      <c r="AQ185" s="44">
        <f>Table1[[#This Row],[E2E]]-Table1[[#This Row],[TTFT]]+Table1[[#This Row],[ITL]]</f>
        <v>6.1307291505349104</v>
      </c>
      <c r="AR185" s="4">
        <f>Table1[[#This Row],[estDecode]]/Table1[[#This Row],[Run]]</f>
        <v>0.57655760036378467</v>
      </c>
      <c r="AS185" s="44">
        <f>Table1[[#This Row],[Prefill]]+Table1[[#This Row],[Out-Tok]]*Table1[[#This Row],[ITL]]</f>
        <v>6.2710959320054958</v>
      </c>
      <c r="AT185" s="5">
        <f>Table1[[#This Row],[estPrefill]]+Table1[[#This Row],[Out-Tok]]*Table1[[#This Row],[ITL]]</f>
        <v>7.1195203808719283</v>
      </c>
      <c r="AU185" s="4">
        <f>Table1[[#This Row],[E2E]]/Table1[[#This Row],[estE2E]]</f>
        <v>0.883378351904621</v>
      </c>
      <c r="AV185" s="5">
        <f>Table1[[#This Row],[N]]/Table1[[#This Row],[estE2E]]</f>
        <v>1.6064973256589676</v>
      </c>
      <c r="AW185" s="5">
        <f>Table1[[#This Row],[PPS]]/Table1[[#This Row],[In-Tok]]</f>
        <v>1.9968770370370375</v>
      </c>
      <c r="AX185" s="4">
        <f>Table1[[#This Row],[RPS]]/Table1[[#This Row],[RPS(IL)]]</f>
        <v>1.0015639235190947</v>
      </c>
      <c r="AY185" s="5">
        <f>Table1[[#This Row],[GPS]]/Table1[[#This Row],[Out-Tok]]</f>
        <v>1.8195111111111111</v>
      </c>
      <c r="AZ185" s="89">
        <f>Table1[[#This Row],[RPS]]/Table1[[#This Row],[RPS(OL)]]</f>
        <v>1.0991963653240187</v>
      </c>
      <c r="BA185" s="135">
        <f>MaxTok/Table1[[#This Row],[tok/req]]</f>
        <v>73.88804990334387</v>
      </c>
      <c r="BB185" s="4">
        <f>Table1[[#This Row],[N]]/Table1[[#This Row],[N-max]]</f>
        <v>0.15479486150747163</v>
      </c>
      <c r="BC185" s="44">
        <f>Table1[[#This Row],[RPS]]</f>
        <v>2</v>
      </c>
      <c r="BD185" s="47">
        <f>Table1[[#This Row],[PPS]]/Table1[[#This Row],[RPS success]]</f>
        <v>4992.1925925925934</v>
      </c>
      <c r="BE185" s="4">
        <f>ABS(Table1[[#This Row],[est-In-Tok3]]-Table1[[#This Row],[In-Tok]])/Table1[[#This Row],[In-Tok]]</f>
        <v>1.5614814814813144E-3</v>
      </c>
      <c r="BF185" s="47">
        <f>Table1[[#This Row],[GPS]]/Table1[[#This Row],[RPS success]]</f>
        <v>454.87777777777779</v>
      </c>
      <c r="BG185" s="4">
        <f>ABS(Table1[[#This Row],[est-Out-Tok3]]-Table1[[#This Row],[Out-Tok]])/Table1[[#This Row],[Out-Tok]]</f>
        <v>9.0244444444444405E-2</v>
      </c>
      <c r="BH185" s="162">
        <f>Table1[[#This Row],[est-In-Tok3]]+AvgOutLoad*Table1[[#This Row],[est-Out-Tok3]]</f>
        <v>5219.6314814814823</v>
      </c>
      <c r="BI185" s="4">
        <f>ABS(Table1[[#This Row],[est-Tok/Req3]]-Table1[[#This Row],[tok/req]])/Table1[[#This Row],[tok/req]]</f>
        <v>5.7844797178128963E-3</v>
      </c>
      <c r="BJ185" s="162">
        <f>MaxTok/Table1[[#This Row],[est-Tok/Req3]]</f>
        <v>74.317940522968598</v>
      </c>
      <c r="BK185" s="4">
        <f>ABS(Table1[[#This Row],[est-N-max3]]-Table1[[#This Row],[N-max]])/Table1[[#This Row],[N-max]]</f>
        <v>5.8181345993985108E-3</v>
      </c>
      <c r="BL185" s="44">
        <f>MaxTok*Table1[[#This Row],[Kvcache]]/Table1[[#This Row],[Run]]</f>
        <v>5269.5713501463179</v>
      </c>
      <c r="BM185" s="170">
        <f>ABS(Table1[[#This Row],[est-Tok/Req]]-Table1[[#This Row],[tok/req]])/Table1[[#This Row],[tok/req]]</f>
        <v>3.7278762183462579E-3</v>
      </c>
      <c r="BN185" s="44">
        <f>MaxTok/Table1[[#This Row],[est-Tok/Req]]</f>
        <v>73.613627412367094</v>
      </c>
      <c r="BO185" s="180">
        <f>Table1[[#This Row],[Run]]/Table1[[#This Row],[Kvcache]]</f>
        <v>73.613627412367109</v>
      </c>
      <c r="BP185" s="4" cm="1">
        <f t="array" aca="1" ref="BP185" ca="1">_xlfn.CEILING.MATH(INDIRECT("Table1"&amp;BP$3)/BP$2)*BP$2</f>
        <v>6000</v>
      </c>
      <c r="BQ185" s="4" cm="1">
        <f t="array" aca="1" ref="BQ185" ca="1">_xlfn.CEILING.MATH(INDIRECT("Table1"&amp;BQ$3)/BQ$2)*BQ$2</f>
        <v>1.4999999999999999E-2</v>
      </c>
      <c r="BR185" s="4" cm="1">
        <f t="array" aca="1" ref="BR185" ca="1">_xlfn.CEILING.MATH(INDIRECT("Table1"&amp;BR$3)/BR$2)*BR$2</f>
        <v>0.2</v>
      </c>
      <c r="BS185" s="4" cm="1">
        <f t="array" aca="1" ref="BS185" ca="1">_xlfn.CEILING.MATH(INDIRECT("Table1"&amp;BS$3)/BS$2)*BS$2</f>
        <v>0.15</v>
      </c>
      <c r="BT185" s="3" cm="1">
        <f t="array" aca="1" ref="BT185" ca="1">_xlfn.CEILING.MATH(INDIRECT("Table1"&amp;BT$3)/BT$2)*BT$2</f>
        <v>11</v>
      </c>
      <c r="BU185" s="135" cm="1">
        <f t="array" aca="1" ref="BU185" ca="1">_xlfn.CEILING.MATH(INDIRECT("Table1"&amp;BU$3)/BU$2)*BU$2</f>
        <v>10</v>
      </c>
      <c r="BV185" s="135" cm="1">
        <f t="array" aca="1" ref="BV185" ca="1">_xlfn.CEILING.MATH(INDIRECT("Table1"&amp;BV$3)/BV$2)*BV$2</f>
        <v>5000</v>
      </c>
      <c r="BW185" s="4"/>
      <c r="BX185" s="4"/>
      <c r="BY185" s="217"/>
      <c r="BZ185" s="4"/>
      <c r="CA185" s="3"/>
      <c r="CF185" s="5"/>
      <c r="CH185" s="8"/>
      <c r="CI185" s="8"/>
      <c r="CJ185" s="14"/>
      <c r="CK185" s="8"/>
      <c r="CL185" s="8"/>
      <c r="CM185" s="8"/>
      <c r="CN185" s="8"/>
      <c r="CO185" s="8"/>
      <c r="CP185" s="8"/>
      <c r="CQ185" s="8">
        <f>Table1[[#This Row],[In-Tok]]+AvgOutLoad*Table1[[#This Row],[Out-Tok]]</f>
        <v>5250</v>
      </c>
      <c r="CR185" s="8"/>
      <c r="CS185" s="8"/>
      <c r="CT185" s="8"/>
      <c r="CU185" s="8"/>
      <c r="CV185" s="8"/>
      <c r="CW185" s="8"/>
      <c r="CX185" s="8"/>
      <c r="CY185" s="8"/>
    </row>
    <row r="186" spans="1:103" hidden="1" x14ac:dyDescent="0.25">
      <c r="A186" s="26">
        <v>5000</v>
      </c>
      <c r="B186" s="3">
        <v>500</v>
      </c>
      <c r="C186" s="123">
        <v>2.2000000000000002</v>
      </c>
      <c r="D186" s="216">
        <f>Table1[[#This Row],[Kvcache]]</f>
        <v>0.21891388673390225</v>
      </c>
      <c r="E186" s="170" t="s">
        <v>155</v>
      </c>
      <c r="F186" s="218">
        <v>46104</v>
      </c>
      <c r="G186" s="10">
        <v>0</v>
      </c>
      <c r="H186" s="10">
        <v>0.1821738746668371</v>
      </c>
      <c r="I186" s="10">
        <v>0.15447118513848496</v>
      </c>
      <c r="J186" s="10">
        <v>0.20255774114262404</v>
      </c>
      <c r="K186" s="10">
        <v>0.3397284944852193</v>
      </c>
      <c r="L186" s="10">
        <v>0.41218950112660729</v>
      </c>
      <c r="M186" s="10">
        <v>1.4532837509576783E-2</v>
      </c>
      <c r="N186" s="10">
        <v>7.2240682604350752</v>
      </c>
      <c r="O186" s="47">
        <v>11881.151851851851</v>
      </c>
      <c r="P186" s="47">
        <v>1058.2814814814813</v>
      </c>
      <c r="Q186" s="5">
        <v>16.166666666666668</v>
      </c>
      <c r="R186" s="5">
        <v>29.666666666666668</v>
      </c>
      <c r="S186" s="170">
        <v>0.21891388673390225</v>
      </c>
      <c r="T186" s="170">
        <v>0.40284458236358933</v>
      </c>
      <c r="U186" s="3">
        <f>(Table1[[#This Row],[In-Tok]]+Table1[[#This Row],[Out-Tok]])*Table1[[#This Row],[RPS]]</f>
        <v>12100.000000000002</v>
      </c>
      <c r="V186" s="3">
        <f>Table1[[#This Row],[In-Tok]]+$V$2*Table1[[#This Row],[Out-Tok]]</f>
        <v>5250</v>
      </c>
      <c r="W186" s="3">
        <f>Table1[[#This Row],[In-Tok]]*Table1[[#This Row],[RPS]]</f>
        <v>11000</v>
      </c>
      <c r="X186" s="3">
        <f>Table1[[#This Row],[Out-Tok]]*Table1[[#This Row],[RPS]]</f>
        <v>1100</v>
      </c>
      <c r="Y186" s="75">
        <f>Table1[[#This Row],[In-Tok]]/Table1[[#This Row],[Out-Tok]]</f>
        <v>10</v>
      </c>
      <c r="Z186" s="26">
        <f>Table1[[#This Row],[In-Tok]]*Table1[[#This Row],[N]]+AvgOutLoad*Table1[[#This Row],[Out-Tok]]*Table1[[#This Row],[Ndecode]]</f>
        <v>82579.417858629793</v>
      </c>
      <c r="AA186" s="3">
        <f>Table1[[#This Row],[tok(N)]]/Table1[[#This Row],[Kvcache]]</f>
        <v>377223.29583873344</v>
      </c>
      <c r="AB186" s="3">
        <f>Table1[[#This Row],[tok/req]]*Table1[[#This Row],[Run]]</f>
        <v>84875</v>
      </c>
      <c r="AC186" s="3">
        <f>Table1[[#This Row],[tok(Run)]]/Table1[[#This Row],[Kvcache]]</f>
        <v>387709.52937841095</v>
      </c>
      <c r="AD186" s="3">
        <f>Table1[[#This Row],[tok/req]]*Table1[[#This Row],[MaxRun]]</f>
        <v>155750</v>
      </c>
      <c r="AE186" s="3">
        <f>Table1[[#This Row],[tok(MaxRun)]]/Table1[[#This Row],[MaxKvcache]]</f>
        <v>386625.52959301579</v>
      </c>
      <c r="AF186" s="75">
        <f>Table1[[#This Row],[PPS]]*Table1[[#This Row],[Prefill]]/Table1[[#This Row],[In-Tok]]</f>
        <v>0.3670591214731721</v>
      </c>
      <c r="AG186" s="5">
        <f>Table1[[#This Row],[GPS]]*Table1[[#This Row],[ITL]]</f>
        <v>15.379832809764558</v>
      </c>
      <c r="AH186" s="5">
        <f>Table1[[#This Row],[Nprefill]]+Table1[[#This Row],[Ndecode]]</f>
        <v>15.74689193123773</v>
      </c>
      <c r="AI186" s="4">
        <f>Table1[[#This Row],[Run]]/Table1[[#This Row],[ITL]]/Table1[[#This Row],[GPS]]</f>
        <v>1.0511601047055956</v>
      </c>
      <c r="AJ186" s="10">
        <f>Table1[[#This Row],[Prefill]]+Table1[[#This Row],[ITL]]</f>
        <v>0.16900402264806175</v>
      </c>
      <c r="AK186" s="4">
        <f>Table1[[#This Row],[TTFT]]/Table1[[#This Row],[estTTFT]]</f>
        <v>1.0779262636026161</v>
      </c>
      <c r="AL186" s="5">
        <f>Table1[[#This Row],[In-Tok]]*Table1[[#This Row],[RPS]]/Table1[[#This Row],[PPS]]</f>
        <v>0.92583615941963482</v>
      </c>
      <c r="AM186" s="4">
        <f>Table1[[#This Row],[Prefill]]/Table1[[#This Row],[estPrefill]]</f>
        <v>0.16684505521507825</v>
      </c>
      <c r="AN186" s="4">
        <f>Table1[[#This Row],[Prefill]]/Table1[[#This Row],[TTFT]]</f>
        <v>0.84793269847822406</v>
      </c>
      <c r="AO186" s="10">
        <f>Table1[[#This Row],[Run]]/(Table1[[#This Row],[Out-Tok]]*Table1[[#This Row],[RPS]])</f>
        <v>1.4696969696969698E-2</v>
      </c>
      <c r="AP186" s="4">
        <f>Table1[[#This Row],[ITL]]/Table1[[#This Row],[estITL]]</f>
        <v>0.98883224291965732</v>
      </c>
      <c r="AQ186" s="44">
        <f>Table1[[#This Row],[E2E]]-Table1[[#This Row],[TTFT]]+Table1[[#This Row],[ITL]]</f>
        <v>7.0564272232778142</v>
      </c>
      <c r="AR186" s="4">
        <f>Table1[[#This Row],[estDecode]]/Table1[[#This Row],[Run]]</f>
        <v>0.43648003442955546</v>
      </c>
      <c r="AS186" s="44">
        <f>Table1[[#This Row],[Prefill]]+Table1[[#This Row],[Out-Tok]]*Table1[[#This Row],[ITL]]</f>
        <v>7.4208899399268766</v>
      </c>
      <c r="AT186" s="5">
        <f>Table1[[#This Row],[estPrefill]]+Table1[[#This Row],[Out-Tok]]*Table1[[#This Row],[ITL]]</f>
        <v>8.1922549142080268</v>
      </c>
      <c r="AU186" s="4">
        <f>Table1[[#This Row],[E2E]]/Table1[[#This Row],[estE2E]]</f>
        <v>0.88181683017531576</v>
      </c>
      <c r="AV186" s="5">
        <f>Table1[[#This Row],[N]]/Table1[[#This Row],[estE2E]]</f>
        <v>1.922168205963356</v>
      </c>
      <c r="AW186" s="5">
        <f>Table1[[#This Row],[PPS]]/Table1[[#This Row],[In-Tok]]</f>
        <v>2.3762303703703704</v>
      </c>
      <c r="AX186" s="4">
        <f>Table1[[#This Row],[RPS]]/Table1[[#This Row],[RPS(IL)]]</f>
        <v>0.92583615941963482</v>
      </c>
      <c r="AY186" s="5">
        <f>Table1[[#This Row],[GPS]]/Table1[[#This Row],[Out-Tok]]</f>
        <v>2.1165629629629623</v>
      </c>
      <c r="AZ186" s="89">
        <f>Table1[[#This Row],[RPS]]/Table1[[#This Row],[RPS(OL)]]</f>
        <v>1.0394210040036962</v>
      </c>
      <c r="BA186" s="135">
        <f>MaxTok/Table1[[#This Row],[tok/req]]</f>
        <v>73.88804990334387</v>
      </c>
      <c r="BB186" s="4">
        <f>Table1[[#This Row],[N]]/Table1[[#This Row],[N-max]]</f>
        <v>0.21311825054033656</v>
      </c>
      <c r="BC186" s="44">
        <f>Table1[[#This Row],[RPS]]</f>
        <v>2.2000000000000002</v>
      </c>
      <c r="BD186" s="47">
        <f>Table1[[#This Row],[PPS]]/Table1[[#This Row],[RPS success]]</f>
        <v>5400.5235690235686</v>
      </c>
      <c r="BE186" s="4">
        <f>ABS(Table1[[#This Row],[est-In-Tok3]]-Table1[[#This Row],[In-Tok]])/Table1[[#This Row],[In-Tok]]</f>
        <v>8.010471380471372E-2</v>
      </c>
      <c r="BF186" s="47">
        <f>Table1[[#This Row],[GPS]]/Table1[[#This Row],[RPS success]]</f>
        <v>481.0370370370369</v>
      </c>
      <c r="BG186" s="4">
        <f>ABS(Table1[[#This Row],[est-Out-Tok3]]-Table1[[#This Row],[Out-Tok]])/Table1[[#This Row],[Out-Tok]]</f>
        <v>3.792592592592621E-2</v>
      </c>
      <c r="BH186" s="162">
        <f>Table1[[#This Row],[est-In-Tok3]]+AvgOutLoad*Table1[[#This Row],[est-Out-Tok3]]</f>
        <v>5641.0420875420868</v>
      </c>
      <c r="BI186" s="4">
        <f>ABS(Table1[[#This Row],[est-Tok/Req3]]-Table1[[#This Row],[tok/req]])/Table1[[#This Row],[tok/req]]</f>
        <v>7.4484207150873685E-2</v>
      </c>
      <c r="BJ186" s="162">
        <f>MaxTok/Table1[[#This Row],[est-Tok/Req3]]</f>
        <v>68.766064137198498</v>
      </c>
      <c r="BK186" s="4">
        <f>ABS(Table1[[#This Row],[est-N-max3]]-Table1[[#This Row],[N-max]])/Table1[[#This Row],[N-max]]</f>
        <v>6.9320895230631493E-2</v>
      </c>
      <c r="BL186" s="44">
        <f>MaxTok*Table1[[#This Row],[Kvcache]]/Table1[[#This Row],[Run]]</f>
        <v>5252.7452155379415</v>
      </c>
      <c r="BM186" s="170">
        <f>ABS(Table1[[#This Row],[est-Tok/Req]]-Table1[[#This Row],[tok/req]])/Table1[[#This Row],[tok/req]]</f>
        <v>5.228981977031383E-4</v>
      </c>
      <c r="BN186" s="44">
        <f>MaxTok/Table1[[#This Row],[est-Tok/Req]]</f>
        <v>73.849434167316375</v>
      </c>
      <c r="BO186" s="180">
        <f>Table1[[#This Row],[Run]]/Table1[[#This Row],[Kvcache]]</f>
        <v>73.849434167316375</v>
      </c>
      <c r="BP186" s="4" cm="1">
        <f t="array" aca="1" ref="BP186" ca="1">_xlfn.CEILING.MATH(INDIRECT("Table1"&amp;BP$3)/BP$2)*BP$2</f>
        <v>6000</v>
      </c>
      <c r="BQ186" s="4" cm="1">
        <f t="array" aca="1" ref="BQ186" ca="1">_xlfn.CEILING.MATH(INDIRECT("Table1"&amp;BQ$3)/BQ$2)*BQ$2</f>
        <v>1.4999999999999999E-2</v>
      </c>
      <c r="BR186" s="4" cm="1">
        <f t="array" aca="1" ref="BR186" ca="1">_xlfn.CEILING.MATH(INDIRECT("Table1"&amp;BR$3)/BR$2)*BR$2</f>
        <v>0.30000000000000004</v>
      </c>
      <c r="BS186" s="4" cm="1">
        <f t="array" aca="1" ref="BS186" ca="1">_xlfn.CEILING.MATH(INDIRECT("Table1"&amp;BS$3)/BS$2)*BS$2</f>
        <v>0.22</v>
      </c>
      <c r="BT186" s="3" cm="1">
        <f t="array" aca="1" ref="BT186" ca="1">_xlfn.CEILING.MATH(INDIRECT("Table1"&amp;BT$3)/BT$2)*BT$2</f>
        <v>17</v>
      </c>
      <c r="BU186" s="135" cm="1">
        <f t="array" aca="1" ref="BU186" ca="1">_xlfn.CEILING.MATH(INDIRECT("Table1"&amp;BU$3)/BU$2)*BU$2</f>
        <v>10</v>
      </c>
      <c r="BV186" s="135" cm="1">
        <f t="array" aca="1" ref="BV186" ca="1">_xlfn.CEILING.MATH(INDIRECT("Table1"&amp;BV$3)/BV$2)*BV$2</f>
        <v>5000</v>
      </c>
      <c r="BW186" s="4"/>
      <c r="BX186" s="4"/>
      <c r="BY186" s="217"/>
      <c r="BZ186" s="4"/>
      <c r="CA186" s="3"/>
      <c r="CF186" s="5"/>
      <c r="CH186" s="8"/>
      <c r="CI186" s="8"/>
      <c r="CJ186" s="14"/>
      <c r="CK186" s="8"/>
      <c r="CL186" s="8"/>
      <c r="CM186" s="8"/>
      <c r="CN186" s="8"/>
      <c r="CO186" s="8"/>
      <c r="CP186" s="8"/>
      <c r="CQ186" s="8">
        <f>Table1[[#This Row],[In-Tok]]+AvgOutLoad*Table1[[#This Row],[Out-Tok]]</f>
        <v>5250</v>
      </c>
      <c r="CR186" s="8"/>
      <c r="CS186" s="8"/>
      <c r="CT186" s="8"/>
      <c r="CU186" s="8"/>
      <c r="CV186" s="8"/>
      <c r="CW186" s="8"/>
      <c r="CX186" s="8"/>
      <c r="CY186" s="8"/>
    </row>
    <row r="187" spans="1:103" hidden="1" x14ac:dyDescent="0.25">
      <c r="A187" s="26">
        <v>5000</v>
      </c>
      <c r="B187" s="3">
        <v>500</v>
      </c>
      <c r="C187" s="123">
        <v>2.4</v>
      </c>
      <c r="D187" s="216">
        <f>Table1[[#This Row],[Kvcache]]</f>
        <v>0.2370157745021981</v>
      </c>
      <c r="E187" s="170" t="s">
        <v>155</v>
      </c>
      <c r="F187" s="218">
        <v>46104</v>
      </c>
      <c r="G187" s="10">
        <v>0</v>
      </c>
      <c r="H187" s="10">
        <v>0.19431130861379398</v>
      </c>
      <c r="I187" s="10">
        <v>0.16577303039612606</v>
      </c>
      <c r="J187" s="10">
        <v>0.21563762520657651</v>
      </c>
      <c r="K187" s="10">
        <v>0.38523984352747592</v>
      </c>
      <c r="L187" s="10">
        <v>0.50622982343037881</v>
      </c>
      <c r="M187" s="10">
        <v>1.5750199519474317E-2</v>
      </c>
      <c r="N187" s="10">
        <v>8.1304344517768232</v>
      </c>
      <c r="O187" s="47">
        <v>12987.951851851851</v>
      </c>
      <c r="P187" s="47">
        <v>1160.366666666667</v>
      </c>
      <c r="Q187" s="5">
        <v>17.533333333333335</v>
      </c>
      <c r="R187" s="5">
        <v>30</v>
      </c>
      <c r="S187" s="170">
        <v>0.2370157745021981</v>
      </c>
      <c r="T187" s="170">
        <v>0.40359451771399019</v>
      </c>
      <c r="U187" s="3">
        <f>(Table1[[#This Row],[In-Tok]]+Table1[[#This Row],[Out-Tok]])*Table1[[#This Row],[RPS]]</f>
        <v>13200</v>
      </c>
      <c r="V187" s="3">
        <f>Table1[[#This Row],[In-Tok]]+$V$2*Table1[[#This Row],[Out-Tok]]</f>
        <v>5250</v>
      </c>
      <c r="W187" s="3">
        <f>Table1[[#This Row],[In-Tok]]*Table1[[#This Row],[RPS]]</f>
        <v>12000</v>
      </c>
      <c r="X187" s="3">
        <f>Table1[[#This Row],[Out-Tok]]*Table1[[#This Row],[RPS]]</f>
        <v>1200</v>
      </c>
      <c r="Y187" s="75">
        <f>Table1[[#This Row],[In-Tok]]/Table1[[#This Row],[Out-Tok]]</f>
        <v>10</v>
      </c>
      <c r="Z187" s="26">
        <f>Table1[[#This Row],[In-Tok]]*Table1[[#This Row],[N]]+AvgOutLoad*Table1[[#This Row],[Out-Tok]]*Table1[[#This Row],[Ndecode]]</f>
        <v>98102.086344794065</v>
      </c>
      <c r="AA187" s="3">
        <f>Table1[[#This Row],[tok(N)]]/Table1[[#This Row],[Kvcache]]</f>
        <v>413905.30461880402</v>
      </c>
      <c r="AB187" s="3">
        <f>Table1[[#This Row],[tok/req]]*Table1[[#This Row],[Run]]</f>
        <v>92050.000000000015</v>
      </c>
      <c r="AC187" s="3">
        <f>Table1[[#This Row],[tok(Run)]]/Table1[[#This Row],[Kvcache]]</f>
        <v>388370.77487070946</v>
      </c>
      <c r="AD187" s="3">
        <f>Table1[[#This Row],[tok/req]]*Table1[[#This Row],[MaxRun]]</f>
        <v>157500</v>
      </c>
      <c r="AE187" s="3">
        <f>Table1[[#This Row],[tok(MaxRun)]]/Table1[[#This Row],[MaxKvcache]]</f>
        <v>390243.16012045875</v>
      </c>
      <c r="AF187" s="75">
        <f>Table1[[#This Row],[PPS]]*Table1[[#This Row],[Prefill]]/Table1[[#This Row],[In-Tok]]</f>
        <v>0.43061042742409172</v>
      </c>
      <c r="AG187" s="5">
        <f>Table1[[#This Row],[GPS]]*Table1[[#This Row],[ITL]]</f>
        <v>18.276006515747355</v>
      </c>
      <c r="AH187" s="5">
        <f>Table1[[#This Row],[Nprefill]]+Table1[[#This Row],[Ndecode]]</f>
        <v>18.706616943171447</v>
      </c>
      <c r="AI187" s="4">
        <f>Table1[[#This Row],[Run]]/Table1[[#This Row],[ITL]]/Table1[[#This Row],[GPS]]</f>
        <v>0.95936348666903237</v>
      </c>
      <c r="AJ187" s="10">
        <f>Table1[[#This Row],[Prefill]]+Table1[[#This Row],[ITL]]</f>
        <v>0.18152322991560038</v>
      </c>
      <c r="AK187" s="4">
        <f>Table1[[#This Row],[TTFT]]/Table1[[#This Row],[estTTFT]]</f>
        <v>1.0704487172475912</v>
      </c>
      <c r="AL187" s="5">
        <f>Table1[[#This Row],[In-Tok]]*Table1[[#This Row],[RPS]]/Table1[[#This Row],[PPS]]</f>
        <v>0.92393320647312172</v>
      </c>
      <c r="AM187" s="4">
        <f>Table1[[#This Row],[Prefill]]/Table1[[#This Row],[estPrefill]]</f>
        <v>0.17942101142670489</v>
      </c>
      <c r="AN187" s="4">
        <f>Table1[[#This Row],[Prefill]]/Table1[[#This Row],[TTFT]]</f>
        <v>0.85313115113444304</v>
      </c>
      <c r="AO187" s="10">
        <f>Table1[[#This Row],[Run]]/(Table1[[#This Row],[Out-Tok]]*Table1[[#This Row],[RPS]])</f>
        <v>1.4611111111111113E-2</v>
      </c>
      <c r="AP187" s="4">
        <f>Table1[[#This Row],[ITL]]/Table1[[#This Row],[estITL]]</f>
        <v>1.0779604233860749</v>
      </c>
      <c r="AQ187" s="44">
        <f>Table1[[#This Row],[E2E]]-Table1[[#This Row],[TTFT]]+Table1[[#This Row],[ITL]]</f>
        <v>7.9518733426825037</v>
      </c>
      <c r="AR187" s="4">
        <f>Table1[[#This Row],[estDecode]]/Table1[[#This Row],[Run]]</f>
        <v>0.45352889787162565</v>
      </c>
      <c r="AS187" s="44">
        <f>Table1[[#This Row],[Prefill]]+Table1[[#This Row],[Out-Tok]]*Table1[[#This Row],[ITL]]</f>
        <v>8.0408727901332853</v>
      </c>
      <c r="AT187" s="5">
        <f>Table1[[#This Row],[estPrefill]]+Table1[[#This Row],[Out-Tok]]*Table1[[#This Row],[ITL]]</f>
        <v>8.7990329662102802</v>
      </c>
      <c r="AU187" s="4">
        <f>Table1[[#This Row],[E2E]]/Table1[[#This Row],[estE2E]]</f>
        <v>0.92401454603011668</v>
      </c>
      <c r="AV187" s="5">
        <f>Table1[[#This Row],[N]]/Table1[[#This Row],[estE2E]]</f>
        <v>2.1259855503448963</v>
      </c>
      <c r="AW187" s="5">
        <f>Table1[[#This Row],[PPS]]/Table1[[#This Row],[In-Tok]]</f>
        <v>2.5975903703703702</v>
      </c>
      <c r="AX187" s="4">
        <f>Table1[[#This Row],[RPS]]/Table1[[#This Row],[RPS(IL)]]</f>
        <v>0.92393320647312172</v>
      </c>
      <c r="AY187" s="5">
        <f>Table1[[#This Row],[GPS]]/Table1[[#This Row],[Out-Tok]]</f>
        <v>2.320733333333334</v>
      </c>
      <c r="AZ187" s="89">
        <f>Table1[[#This Row],[RPS]]/Table1[[#This Row],[RPS(OL)]]</f>
        <v>1.0341558702708911</v>
      </c>
      <c r="BA187" s="135">
        <f>MaxTok/Table1[[#This Row],[tok/req]]</f>
        <v>73.88804990334387</v>
      </c>
      <c r="BB187" s="4">
        <f>Table1[[#This Row],[N]]/Table1[[#This Row],[N-max]]</f>
        <v>0.2531751341068329</v>
      </c>
      <c r="BC187" s="44">
        <f>Table1[[#This Row],[RPS]]</f>
        <v>2.4</v>
      </c>
      <c r="BD187" s="47">
        <f>Table1[[#This Row],[PPS]]/Table1[[#This Row],[RPS success]]</f>
        <v>5411.6466049382716</v>
      </c>
      <c r="BE187" s="4">
        <f>ABS(Table1[[#This Row],[est-In-Tok3]]-Table1[[#This Row],[In-Tok]])/Table1[[#This Row],[In-Tok]]</f>
        <v>8.2329320987654317E-2</v>
      </c>
      <c r="BF187" s="47">
        <f>Table1[[#This Row],[GPS]]/Table1[[#This Row],[RPS success]]</f>
        <v>483.48611111111126</v>
      </c>
      <c r="BG187" s="4">
        <f>ABS(Table1[[#This Row],[est-Out-Tok3]]-Table1[[#This Row],[Out-Tok]])/Table1[[#This Row],[Out-Tok]]</f>
        <v>3.3027777777777489E-2</v>
      </c>
      <c r="BH187" s="162">
        <f>Table1[[#This Row],[est-In-Tok3]]+AvgOutLoad*Table1[[#This Row],[est-Out-Tok3]]</f>
        <v>5653.3896604938273</v>
      </c>
      <c r="BI187" s="4">
        <f>ABS(Table1[[#This Row],[est-Tok/Req3]]-Table1[[#This Row],[tok/req]])/Table1[[#This Row],[tok/req]]</f>
        <v>7.6836125808348046E-2</v>
      </c>
      <c r="BJ187" s="162">
        <f>MaxTok/Table1[[#This Row],[est-Tok/Req3]]</f>
        <v>68.615872120633355</v>
      </c>
      <c r="BK187" s="4">
        <f>ABS(Table1[[#This Row],[est-N-max3]]-Table1[[#This Row],[N-max]])/Table1[[#This Row],[N-max]]</f>
        <v>7.1353592219679324E-2</v>
      </c>
      <c r="BL187" s="44">
        <f>MaxTok*Table1[[#This Row],[Kvcache]]/Table1[[#This Row],[Run]]</f>
        <v>5243.8018183497188</v>
      </c>
      <c r="BM187" s="170">
        <f>ABS(Table1[[#This Row],[est-Tok/Req]]-Table1[[#This Row],[tok/req]])/Table1[[#This Row],[tok/req]]</f>
        <v>1.1806060286249876E-3</v>
      </c>
      <c r="BN187" s="44">
        <f>MaxTok/Table1[[#This Row],[est-Tok/Req]]</f>
        <v>73.975385689658935</v>
      </c>
      <c r="BO187" s="180">
        <f>Table1[[#This Row],[Run]]/Table1[[#This Row],[Kvcache]]</f>
        <v>73.975385689658935</v>
      </c>
      <c r="BP187" s="4" cm="1">
        <f t="array" aca="1" ref="BP187" ca="1">_xlfn.CEILING.MATH(INDIRECT("Table1"&amp;BP$3)/BP$2)*BP$2</f>
        <v>6000</v>
      </c>
      <c r="BQ187" s="4" cm="1">
        <f t="array" aca="1" ref="BQ187" ca="1">_xlfn.CEILING.MATH(INDIRECT("Table1"&amp;BQ$3)/BQ$2)*BQ$2</f>
        <v>0.02</v>
      </c>
      <c r="BR187" s="4" cm="1">
        <f t="array" aca="1" ref="BR187" ca="1">_xlfn.CEILING.MATH(INDIRECT("Table1"&amp;BR$3)/BR$2)*BR$2</f>
        <v>0.30000000000000004</v>
      </c>
      <c r="BS187" s="4" cm="1">
        <f t="array" aca="1" ref="BS187" ca="1">_xlfn.CEILING.MATH(INDIRECT("Table1"&amp;BS$3)/BS$2)*BS$2</f>
        <v>0.24</v>
      </c>
      <c r="BT187" s="3" cm="1">
        <f t="array" aca="1" ref="BT187" ca="1">_xlfn.CEILING.MATH(INDIRECT("Table1"&amp;BT$3)/BT$2)*BT$2</f>
        <v>18</v>
      </c>
      <c r="BU187" s="135" cm="1">
        <f t="array" aca="1" ref="BU187" ca="1">_xlfn.CEILING.MATH(INDIRECT("Table1"&amp;BU$3)/BU$2)*BU$2</f>
        <v>10</v>
      </c>
      <c r="BV187" s="135" cm="1">
        <f t="array" aca="1" ref="BV187" ca="1">_xlfn.CEILING.MATH(INDIRECT("Table1"&amp;BV$3)/BV$2)*BV$2</f>
        <v>5000</v>
      </c>
      <c r="BW187" s="4"/>
      <c r="BX187" s="4"/>
      <c r="BY187" s="217"/>
      <c r="BZ187" s="4"/>
      <c r="CA187" s="3"/>
      <c r="CF187" s="5"/>
      <c r="CH187" s="8"/>
      <c r="CI187" s="8"/>
      <c r="CJ187" s="14"/>
      <c r="CK187" s="8"/>
      <c r="CL187" s="8"/>
      <c r="CM187" s="8"/>
      <c r="CN187" s="8"/>
      <c r="CO187" s="8"/>
      <c r="CP187" s="8"/>
      <c r="CQ187" s="8">
        <f>Table1[[#This Row],[In-Tok]]+AvgOutLoad*Table1[[#This Row],[Out-Tok]]</f>
        <v>5250</v>
      </c>
      <c r="CR187" s="8"/>
      <c r="CS187" s="8"/>
      <c r="CT187" s="8"/>
      <c r="CU187" s="8"/>
      <c r="CV187" s="8"/>
      <c r="CW187" s="8"/>
      <c r="CX187" s="8"/>
      <c r="CY187" s="8"/>
    </row>
    <row r="188" spans="1:103" hidden="1" x14ac:dyDescent="0.25">
      <c r="A188" s="26">
        <v>5000</v>
      </c>
      <c r="B188" s="3">
        <v>500</v>
      </c>
      <c r="C188" s="123">
        <v>2.6</v>
      </c>
      <c r="D188" s="216">
        <f>Table1[[#This Row],[Kvcache]]</f>
        <v>0.21848719937936381</v>
      </c>
      <c r="E188" s="170" t="s">
        <v>155</v>
      </c>
      <c r="F188" s="218">
        <v>46104</v>
      </c>
      <c r="G188" s="10">
        <v>0</v>
      </c>
      <c r="H188" s="10">
        <v>0.18288024435956377</v>
      </c>
      <c r="I188" s="10">
        <v>0.16065442648565262</v>
      </c>
      <c r="J188" s="10">
        <v>0.2034072220091393</v>
      </c>
      <c r="K188" s="10">
        <v>0.35264429648717233</v>
      </c>
      <c r="L188" s="10">
        <v>0.4216444667180374</v>
      </c>
      <c r="M188" s="10">
        <v>1.503680506743626E-2</v>
      </c>
      <c r="N188" s="10">
        <v>7.698146970311357</v>
      </c>
      <c r="O188" s="47">
        <v>12216.892592592589</v>
      </c>
      <c r="P188" s="47">
        <v>1095.6518518518517</v>
      </c>
      <c r="Q188" s="5">
        <v>16.133333333333333</v>
      </c>
      <c r="R188" s="5">
        <v>30</v>
      </c>
      <c r="S188" s="170">
        <v>0.21848719937936381</v>
      </c>
      <c r="T188" s="170">
        <v>0.40630980087923457</v>
      </c>
      <c r="U188" s="3">
        <f>(Table1[[#This Row],[In-Tok]]+Table1[[#This Row],[Out-Tok]])*Table1[[#This Row],[RPS]]</f>
        <v>14300</v>
      </c>
      <c r="V188" s="3">
        <f>Table1[[#This Row],[In-Tok]]+$V$2*Table1[[#This Row],[Out-Tok]]</f>
        <v>5250</v>
      </c>
      <c r="W188" s="3">
        <f>Table1[[#This Row],[In-Tok]]*Table1[[#This Row],[RPS]]</f>
        <v>13000</v>
      </c>
      <c r="X188" s="3">
        <f>Table1[[#This Row],[Out-Tok]]*Table1[[#This Row],[RPS]]</f>
        <v>1300</v>
      </c>
      <c r="Y188" s="75">
        <f>Table1[[#This Row],[In-Tok]]/Table1[[#This Row],[Out-Tok]]</f>
        <v>10</v>
      </c>
      <c r="Z188" s="26">
        <f>Table1[[#This Row],[In-Tok]]*Table1[[#This Row],[N]]+AvgOutLoad*Table1[[#This Row],[Out-Tok]]*Table1[[#This Row],[Ndecode]]</f>
        <v>88456.990292776973</v>
      </c>
      <c r="AA188" s="3">
        <f>Table1[[#This Row],[tok(N)]]/Table1[[#This Row],[Kvcache]]</f>
        <v>404861.20259698731</v>
      </c>
      <c r="AB188" s="3">
        <f>Table1[[#This Row],[tok/req]]*Table1[[#This Row],[Run]]</f>
        <v>84700</v>
      </c>
      <c r="AC188" s="3">
        <f>Table1[[#This Row],[tok(Run)]]/Table1[[#This Row],[Kvcache]]</f>
        <v>387665.73163370386</v>
      </c>
      <c r="AD188" s="3">
        <f>Table1[[#This Row],[tok/req]]*Table1[[#This Row],[MaxRun]]</f>
        <v>157500</v>
      </c>
      <c r="AE188" s="3">
        <f>Table1[[#This Row],[tok(MaxRun)]]/Table1[[#This Row],[MaxKvcache]]</f>
        <v>387635.24694501015</v>
      </c>
      <c r="AF188" s="75">
        <f>Table1[[#This Row],[PPS]]*Table1[[#This Row],[Prefill]]/Table1[[#This Row],[In-Tok]]</f>
        <v>0.39253957457995603</v>
      </c>
      <c r="AG188" s="5">
        <f>Table1[[#This Row],[GPS]]*Table1[[#This Row],[ITL]]</f>
        <v>16.475103318071845</v>
      </c>
      <c r="AH188" s="5">
        <f>Table1[[#This Row],[Nprefill]]+Table1[[#This Row],[Ndecode]]</f>
        <v>16.867642892651801</v>
      </c>
      <c r="AI188" s="4">
        <f>Table1[[#This Row],[Run]]/Table1[[#This Row],[ITL]]/Table1[[#This Row],[GPS]]</f>
        <v>0.97925536622501064</v>
      </c>
      <c r="AJ188" s="10">
        <f>Table1[[#This Row],[Prefill]]+Table1[[#This Row],[ITL]]</f>
        <v>0.17569123155308888</v>
      </c>
      <c r="AK188" s="4">
        <f>Table1[[#This Row],[TTFT]]/Table1[[#This Row],[estTTFT]]</f>
        <v>1.0409184496171202</v>
      </c>
      <c r="AL188" s="5">
        <f>Table1[[#This Row],[In-Tok]]*Table1[[#This Row],[RPS]]/Table1[[#This Row],[PPS]]</f>
        <v>1.0641003758911844</v>
      </c>
      <c r="AM188" s="4">
        <f>Table1[[#This Row],[Prefill]]/Table1[[#This Row],[estPrefill]]</f>
        <v>0.15097675945382924</v>
      </c>
      <c r="AN188" s="4">
        <f>Table1[[#This Row],[Prefill]]/Table1[[#This Row],[TTFT]]</f>
        <v>0.87846791242135147</v>
      </c>
      <c r="AO188" s="10">
        <f>Table1[[#This Row],[Run]]/(Table1[[#This Row],[Out-Tok]]*Table1[[#This Row],[RPS]])</f>
        <v>1.241025641025641E-2</v>
      </c>
      <c r="AP188" s="4">
        <f>Table1[[#This Row],[ITL]]/Table1[[#This Row],[estITL]]</f>
        <v>1.2116433835330871</v>
      </c>
      <c r="AQ188" s="44">
        <f>Table1[[#This Row],[E2E]]-Table1[[#This Row],[TTFT]]+Table1[[#This Row],[ITL]]</f>
        <v>7.5303035310192294</v>
      </c>
      <c r="AR188" s="4">
        <f>Table1[[#This Row],[estDecode]]/Table1[[#This Row],[Run]]</f>
        <v>0.46675435109623326</v>
      </c>
      <c r="AS188" s="44">
        <f>Table1[[#This Row],[Prefill]]+Table1[[#This Row],[Out-Tok]]*Table1[[#This Row],[ITL]]</f>
        <v>7.6790569602037824</v>
      </c>
      <c r="AT188" s="5">
        <f>Table1[[#This Row],[estPrefill]]+Table1[[#This Row],[Out-Tok]]*Table1[[#This Row],[ITL]]</f>
        <v>8.5825029096093139</v>
      </c>
      <c r="AU188" s="4">
        <f>Table1[[#This Row],[E2E]]/Table1[[#This Row],[estE2E]]</f>
        <v>0.89695827095988556</v>
      </c>
      <c r="AV188" s="5">
        <f>Table1[[#This Row],[N]]/Table1[[#This Row],[estE2E]]</f>
        <v>1.9653524234481894</v>
      </c>
      <c r="AW188" s="5">
        <f>Table1[[#This Row],[PPS]]/Table1[[#This Row],[In-Tok]]</f>
        <v>2.443378518518518</v>
      </c>
      <c r="AX188" s="4">
        <f>Table1[[#This Row],[RPS]]/Table1[[#This Row],[RPS(IL)]]</f>
        <v>1.0641003758911844</v>
      </c>
      <c r="AY188" s="5">
        <f>Table1[[#This Row],[GPS]]/Table1[[#This Row],[Out-Tok]]</f>
        <v>2.1913037037037033</v>
      </c>
      <c r="AZ188" s="89">
        <f>Table1[[#This Row],[RPS]]/Table1[[#This Row],[RPS(OL)]]</f>
        <v>1.1865082852758042</v>
      </c>
      <c r="BA188" s="135">
        <f>MaxTok/Table1[[#This Row],[tok/req]]</f>
        <v>73.88804990334387</v>
      </c>
      <c r="BB188" s="4">
        <f>Table1[[#This Row],[N]]/Table1[[#This Row],[N-max]]</f>
        <v>0.22828648089531514</v>
      </c>
      <c r="BC188" s="44">
        <f>Table1[[#This Row],[RPS]]</f>
        <v>2.6</v>
      </c>
      <c r="BD188" s="47">
        <f>Table1[[#This Row],[PPS]]/Table1[[#This Row],[RPS success]]</f>
        <v>4698.8048433048416</v>
      </c>
      <c r="BE188" s="4">
        <f>ABS(Table1[[#This Row],[est-In-Tok3]]-Table1[[#This Row],[In-Tok]])/Table1[[#This Row],[In-Tok]]</f>
        <v>6.0239031339031683E-2</v>
      </c>
      <c r="BF188" s="47">
        <f>Table1[[#This Row],[GPS]]/Table1[[#This Row],[RPS success]]</f>
        <v>421.40455840455832</v>
      </c>
      <c r="BG188" s="4">
        <f>ABS(Table1[[#This Row],[est-Out-Tok3]]-Table1[[#This Row],[Out-Tok]])/Table1[[#This Row],[Out-Tok]]</f>
        <v>0.15719088319088337</v>
      </c>
      <c r="BH188" s="162">
        <f>Table1[[#This Row],[est-In-Tok3]]+AvgOutLoad*Table1[[#This Row],[est-Out-Tok3]]</f>
        <v>4909.5071225071206</v>
      </c>
      <c r="BI188" s="4">
        <f>ABS(Table1[[#This Row],[est-Tok/Req3]]-Table1[[#This Row],[tok/req]])/Table1[[#This Row],[tok/req]]</f>
        <v>6.4855786189119885E-2</v>
      </c>
      <c r="BJ188" s="162">
        <f>MaxTok/Table1[[#This Row],[est-Tok/Req3]]</f>
        <v>79.012465470151213</v>
      </c>
      <c r="BK188" s="4">
        <f>ABS(Table1[[#This Row],[est-N-max3]]-Table1[[#This Row],[N-max]])/Table1[[#This Row],[N-max]]</f>
        <v>6.9353780124266531E-2</v>
      </c>
      <c r="BL188" s="44">
        <f>MaxTok*Table1[[#This Row],[Kvcache]]/Table1[[#This Row],[Run]]</f>
        <v>5253.3386608058336</v>
      </c>
      <c r="BM188" s="170">
        <f>ABS(Table1[[#This Row],[est-Tok/Req]]-Table1[[#This Row],[tok/req]])/Table1[[#This Row],[tok/req]]</f>
        <v>6.3593539158734655E-4</v>
      </c>
      <c r="BN188" s="44">
        <f>MaxTok/Table1[[#This Row],[est-Tok/Req]]</f>
        <v>73.841091739753111</v>
      </c>
      <c r="BO188" s="180">
        <f>Table1[[#This Row],[Run]]/Table1[[#This Row],[Kvcache]]</f>
        <v>73.841091739753111</v>
      </c>
      <c r="BP188" s="4" cm="1">
        <f t="array" aca="1" ref="BP188" ca="1">_xlfn.CEILING.MATH(INDIRECT("Table1"&amp;BP$3)/BP$2)*BP$2</f>
        <v>6000</v>
      </c>
      <c r="BQ188" s="4" cm="1">
        <f t="array" aca="1" ref="BQ188" ca="1">_xlfn.CEILING.MATH(INDIRECT("Table1"&amp;BQ$3)/BQ$2)*BQ$2</f>
        <v>0.02</v>
      </c>
      <c r="BR188" s="4" cm="1">
        <f t="array" aca="1" ref="BR188" ca="1">_xlfn.CEILING.MATH(INDIRECT("Table1"&amp;BR$3)/BR$2)*BR$2</f>
        <v>0.30000000000000004</v>
      </c>
      <c r="BS188" s="4" cm="1">
        <f t="array" aca="1" ref="BS188" ca="1">_xlfn.CEILING.MATH(INDIRECT("Table1"&amp;BS$3)/BS$2)*BS$2</f>
        <v>0.22</v>
      </c>
      <c r="BT188" s="3" cm="1">
        <f t="array" aca="1" ref="BT188" ca="1">_xlfn.CEILING.MATH(INDIRECT("Table1"&amp;BT$3)/BT$2)*BT$2</f>
        <v>17</v>
      </c>
      <c r="BU188" s="135" cm="1">
        <f t="array" aca="1" ref="BU188" ca="1">_xlfn.CEILING.MATH(INDIRECT("Table1"&amp;BU$3)/BU$2)*BU$2</f>
        <v>10</v>
      </c>
      <c r="BV188" s="135" cm="1">
        <f t="array" aca="1" ref="BV188" ca="1">_xlfn.CEILING.MATH(INDIRECT("Table1"&amp;BV$3)/BV$2)*BV$2</f>
        <v>5000</v>
      </c>
      <c r="BW188" s="4"/>
      <c r="BX188" s="4"/>
      <c r="BY188" s="217"/>
      <c r="BZ188" s="4"/>
      <c r="CA188" s="3"/>
      <c r="CF188" s="5"/>
      <c r="CH188" s="8"/>
      <c r="CI188" s="8"/>
      <c r="CJ188" s="14"/>
      <c r="CK188" s="8"/>
      <c r="CL188" s="8"/>
      <c r="CM188" s="8"/>
      <c r="CN188" s="8"/>
      <c r="CO188" s="8"/>
      <c r="CP188" s="8"/>
      <c r="CQ188" s="8">
        <f>Table1[[#This Row],[In-Tok]]+AvgOutLoad*Table1[[#This Row],[Out-Tok]]</f>
        <v>5250</v>
      </c>
      <c r="CR188" s="8"/>
      <c r="CS188" s="8"/>
      <c r="CT188" s="8"/>
      <c r="CU188" s="8"/>
      <c r="CV188" s="8"/>
      <c r="CW188" s="8"/>
      <c r="CX188" s="8"/>
      <c r="CY188" s="8"/>
    </row>
    <row r="189" spans="1:103" hidden="1" x14ac:dyDescent="0.25">
      <c r="A189" s="26">
        <v>5000</v>
      </c>
      <c r="B189" s="3">
        <v>500</v>
      </c>
      <c r="C189" s="123">
        <v>2.7999999999999994</v>
      </c>
      <c r="D189" s="216">
        <f>Table1[[#This Row],[Kvcache]]</f>
        <v>0.2799327644168606</v>
      </c>
      <c r="E189" s="170" t="s">
        <v>155</v>
      </c>
      <c r="F189" s="218">
        <v>46104</v>
      </c>
      <c r="G189" s="10">
        <v>0</v>
      </c>
      <c r="H189" s="10">
        <v>0.18908251302975335</v>
      </c>
      <c r="I189" s="10">
        <v>0.16331143727170164</v>
      </c>
      <c r="J189" s="10">
        <v>0.21130477665542324</v>
      </c>
      <c r="K189" s="10">
        <v>0.35677328507105494</v>
      </c>
      <c r="L189" s="10">
        <v>0.42689373334248853</v>
      </c>
      <c r="M189" s="10">
        <v>1.7185741715384034E-2</v>
      </c>
      <c r="N189" s="10">
        <v>8.7422255202514219</v>
      </c>
      <c r="O189" s="47">
        <v>13896.33333333333</v>
      </c>
      <c r="P189" s="47">
        <v>1248.3444444444447</v>
      </c>
      <c r="Q189" s="5">
        <v>20.666666666666668</v>
      </c>
      <c r="R189" s="5">
        <v>32.666666666666664</v>
      </c>
      <c r="S189" s="170">
        <v>0.2799327644168606</v>
      </c>
      <c r="T189" s="170">
        <v>0.44075510731833462</v>
      </c>
      <c r="U189" s="3">
        <f>(Table1[[#This Row],[In-Tok]]+Table1[[#This Row],[Out-Tok]])*Table1[[#This Row],[RPS]]</f>
        <v>15399.999999999996</v>
      </c>
      <c r="V189" s="3">
        <f>Table1[[#This Row],[In-Tok]]+$V$2*Table1[[#This Row],[Out-Tok]]</f>
        <v>5250</v>
      </c>
      <c r="W189" s="3">
        <f>Table1[[#This Row],[In-Tok]]*Table1[[#This Row],[RPS]]</f>
        <v>13999.999999999996</v>
      </c>
      <c r="X189" s="3">
        <f>Table1[[#This Row],[Out-Tok]]*Table1[[#This Row],[RPS]]</f>
        <v>1399.9999999999998</v>
      </c>
      <c r="Y189" s="75">
        <f>Table1[[#This Row],[In-Tok]]/Table1[[#This Row],[Out-Tok]]</f>
        <v>10</v>
      </c>
      <c r="Z189" s="26">
        <f>Table1[[#This Row],[In-Tok]]*Table1[[#This Row],[N]]+AvgOutLoad*Table1[[#This Row],[Out-Tok]]*Table1[[#This Row],[Ndecode]]</f>
        <v>114901.48743827154</v>
      </c>
      <c r="AA189" s="3">
        <f>Table1[[#This Row],[tok(N)]]/Table1[[#This Row],[Kvcache]]</f>
        <v>410461.01794346055</v>
      </c>
      <c r="AB189" s="3">
        <f>Table1[[#This Row],[tok/req]]*Table1[[#This Row],[Run]]</f>
        <v>108500</v>
      </c>
      <c r="AC189" s="3">
        <f>Table1[[#This Row],[tok(Run)]]/Table1[[#This Row],[Kvcache]]</f>
        <v>387593.0715935335</v>
      </c>
      <c r="AD189" s="3">
        <f>Table1[[#This Row],[tok/req]]*Table1[[#This Row],[MaxRun]]</f>
        <v>171500</v>
      </c>
      <c r="AE189" s="3">
        <f>Table1[[#This Row],[tok(MaxRun)]]/Table1[[#This Row],[MaxKvcache]]</f>
        <v>389104.96362356254</v>
      </c>
      <c r="AF189" s="75">
        <f>Table1[[#This Row],[PPS]]*Table1[[#This Row],[Prefill]]/Table1[[#This Row],[In-Tok]]</f>
        <v>0.45388603389466453</v>
      </c>
      <c r="AG189" s="5">
        <f>Table1[[#This Row],[GPS]]*Table1[[#This Row],[ITL]]</f>
        <v>21.453725194056801</v>
      </c>
      <c r="AH189" s="5">
        <f>Table1[[#This Row],[Nprefill]]+Table1[[#This Row],[Ndecode]]</f>
        <v>21.907611227951467</v>
      </c>
      <c r="AI189" s="4">
        <f>Table1[[#This Row],[Run]]/Table1[[#This Row],[ITL]]/Table1[[#This Row],[GPS]]</f>
        <v>0.96331366602905089</v>
      </c>
      <c r="AJ189" s="10">
        <f>Table1[[#This Row],[Prefill]]+Table1[[#This Row],[ITL]]</f>
        <v>0.18049717898708567</v>
      </c>
      <c r="AK189" s="4">
        <f>Table1[[#This Row],[TTFT]]/Table1[[#This Row],[estTTFT]]</f>
        <v>1.0475649209081652</v>
      </c>
      <c r="AL189" s="5">
        <f>Table1[[#This Row],[In-Tok]]*Table1[[#This Row],[RPS]]/Table1[[#This Row],[PPS]]</f>
        <v>1.0074600014392285</v>
      </c>
      <c r="AM189" s="4">
        <f>Table1[[#This Row],[Prefill]]/Table1[[#This Row],[estPrefill]]</f>
        <v>0.16210215496238023</v>
      </c>
      <c r="AN189" s="4">
        <f>Table1[[#This Row],[Prefill]]/Table1[[#This Row],[TTFT]]</f>
        <v>0.86370460522704995</v>
      </c>
      <c r="AO189" s="10">
        <f>Table1[[#This Row],[Run]]/(Table1[[#This Row],[Out-Tok]]*Table1[[#This Row],[RPS]])</f>
        <v>1.4761904761904766E-2</v>
      </c>
      <c r="AP189" s="4">
        <f>Table1[[#This Row],[ITL]]/Table1[[#This Row],[estITL]]</f>
        <v>1.1641954065260149</v>
      </c>
      <c r="AQ189" s="44">
        <f>Table1[[#This Row],[E2E]]-Table1[[#This Row],[TTFT]]+Table1[[#This Row],[ITL]]</f>
        <v>8.5703287489370528</v>
      </c>
      <c r="AR189" s="4">
        <f>Table1[[#This Row],[estDecode]]/Table1[[#This Row],[Run]]</f>
        <v>0.41469332656147029</v>
      </c>
      <c r="AS189" s="44">
        <f>Table1[[#This Row],[Prefill]]+Table1[[#This Row],[Out-Tok]]*Table1[[#This Row],[ITL]]</f>
        <v>8.7561822949637182</v>
      </c>
      <c r="AT189" s="5">
        <f>Table1[[#This Row],[estPrefill]]+Table1[[#This Row],[Out-Tok]]*Table1[[#This Row],[ITL]]</f>
        <v>9.6003308591312457</v>
      </c>
      <c r="AU189" s="4">
        <f>Table1[[#This Row],[E2E]]/Table1[[#This Row],[estE2E]]</f>
        <v>0.91061710773606863</v>
      </c>
      <c r="AV189" s="5">
        <f>Table1[[#This Row],[N]]/Table1[[#This Row],[estE2E]]</f>
        <v>2.2819641895064784</v>
      </c>
      <c r="AW189" s="5">
        <f>Table1[[#This Row],[PPS]]/Table1[[#This Row],[In-Tok]]</f>
        <v>2.7792666666666661</v>
      </c>
      <c r="AX189" s="4">
        <f>Table1[[#This Row],[RPS]]/Table1[[#This Row],[RPS(IL)]]</f>
        <v>1.0074600014392285</v>
      </c>
      <c r="AY189" s="5">
        <f>Table1[[#This Row],[GPS]]/Table1[[#This Row],[Out-Tok]]</f>
        <v>2.4966888888888894</v>
      </c>
      <c r="AZ189" s="89">
        <f>Table1[[#This Row],[RPS]]/Table1[[#This Row],[RPS(OL)]]</f>
        <v>1.1214853450347566</v>
      </c>
      <c r="BA189" s="135">
        <f>MaxTok/Table1[[#This Row],[tok/req]]</f>
        <v>73.88804990334387</v>
      </c>
      <c r="BB189" s="4">
        <f>Table1[[#This Row],[N]]/Table1[[#This Row],[N-max]]</f>
        <v>0.29649735317970571</v>
      </c>
      <c r="BC189" s="44">
        <f>Table1[[#This Row],[RPS]]</f>
        <v>2.7999999999999994</v>
      </c>
      <c r="BD189" s="47">
        <f>Table1[[#This Row],[PPS]]/Table1[[#This Row],[RPS success]]</f>
        <v>4962.9761904761908</v>
      </c>
      <c r="BE189" s="4">
        <f>ABS(Table1[[#This Row],[est-In-Tok3]]-Table1[[#This Row],[In-Tok]])/Table1[[#This Row],[In-Tok]]</f>
        <v>7.4047619047618351E-3</v>
      </c>
      <c r="BF189" s="47">
        <f>Table1[[#This Row],[GPS]]/Table1[[#This Row],[RPS success]]</f>
        <v>445.83730158730174</v>
      </c>
      <c r="BG189" s="4">
        <f>ABS(Table1[[#This Row],[est-Out-Tok3]]-Table1[[#This Row],[Out-Tok]])/Table1[[#This Row],[Out-Tok]]</f>
        <v>0.10832539682539652</v>
      </c>
      <c r="BH189" s="162">
        <f>Table1[[#This Row],[est-In-Tok3]]+AvgOutLoad*Table1[[#This Row],[est-Out-Tok3]]</f>
        <v>5185.8948412698419</v>
      </c>
      <c r="BI189" s="4">
        <f>ABS(Table1[[#This Row],[est-Tok/Req3]]-Table1[[#This Row],[tok/req]])/Table1[[#This Row],[tok/req]]</f>
        <v>1.221050642479202E-2</v>
      </c>
      <c r="BJ189" s="162">
        <f>MaxTok/Table1[[#This Row],[est-Tok/Req3]]</f>
        <v>74.801413037825753</v>
      </c>
      <c r="BK189" s="4">
        <f>ABS(Table1[[#This Row],[est-N-max3]]-Table1[[#This Row],[N-max]])/Table1[[#This Row],[N-max]]</f>
        <v>1.2361445939860279E-2</v>
      </c>
      <c r="BL189" s="44">
        <f>MaxTok*Table1[[#This Row],[Kvcache]]/Table1[[#This Row],[Run]]</f>
        <v>5254.3234766503292</v>
      </c>
      <c r="BM189" s="170">
        <f>ABS(Table1[[#This Row],[est-Tok/Req]]-Table1[[#This Row],[tok/req]])/Table1[[#This Row],[tok/req]]</f>
        <v>8.2351936196746901E-4</v>
      </c>
      <c r="BN189" s="44">
        <f>MaxTok/Table1[[#This Row],[est-Tok/Req]]</f>
        <v>73.827251732101629</v>
      </c>
      <c r="BO189" s="180">
        <f>Table1[[#This Row],[Run]]/Table1[[#This Row],[Kvcache]]</f>
        <v>73.827251732101629</v>
      </c>
      <c r="BP189" s="4" cm="1">
        <f t="array" aca="1" ref="BP189" ca="1">_xlfn.CEILING.MATH(INDIRECT("Table1"&amp;BP$3)/BP$2)*BP$2</f>
        <v>6000</v>
      </c>
      <c r="BQ189" s="4" cm="1">
        <f t="array" aca="1" ref="BQ189" ca="1">_xlfn.CEILING.MATH(INDIRECT("Table1"&amp;BQ$3)/BQ$2)*BQ$2</f>
        <v>0.02</v>
      </c>
      <c r="BR189" s="4" cm="1">
        <f t="array" aca="1" ref="BR189" ca="1">_xlfn.CEILING.MATH(INDIRECT("Table1"&amp;BR$3)/BR$2)*BR$2</f>
        <v>0.30000000000000004</v>
      </c>
      <c r="BS189" s="4" cm="1">
        <f t="array" aca="1" ref="BS189" ca="1">_xlfn.CEILING.MATH(INDIRECT("Table1"&amp;BS$3)/BS$2)*BS$2</f>
        <v>0.28000000000000003</v>
      </c>
      <c r="BT189" s="3" cm="1">
        <f t="array" aca="1" ref="BT189" ca="1">_xlfn.CEILING.MATH(INDIRECT("Table1"&amp;BT$3)/BT$2)*BT$2</f>
        <v>21</v>
      </c>
      <c r="BU189" s="135" cm="1">
        <f t="array" aca="1" ref="BU189" ca="1">_xlfn.CEILING.MATH(INDIRECT("Table1"&amp;BU$3)/BU$2)*BU$2</f>
        <v>10</v>
      </c>
      <c r="BV189" s="135" cm="1">
        <f t="array" aca="1" ref="BV189" ca="1">_xlfn.CEILING.MATH(INDIRECT("Table1"&amp;BV$3)/BV$2)*BV$2</f>
        <v>5000</v>
      </c>
      <c r="BW189" s="4"/>
      <c r="BX189" s="4"/>
      <c r="BY189" s="217"/>
      <c r="BZ189" s="4"/>
      <c r="CA189" s="3"/>
      <c r="CF189" s="5"/>
      <c r="CH189" s="8"/>
      <c r="CI189" s="8"/>
      <c r="CJ189" s="14"/>
      <c r="CK189" s="8"/>
      <c r="CL189" s="8"/>
      <c r="CM189" s="8"/>
      <c r="CN189" s="8"/>
      <c r="CO189" s="8"/>
      <c r="CP189" s="8"/>
      <c r="CQ189" s="8">
        <f>Table1[[#This Row],[In-Tok]]+AvgOutLoad*Table1[[#This Row],[Out-Tok]]</f>
        <v>5250</v>
      </c>
      <c r="CR189" s="8"/>
      <c r="CS189" s="8"/>
      <c r="CT189" s="8"/>
      <c r="CU189" s="8"/>
      <c r="CV189" s="8"/>
      <c r="CW189" s="8"/>
      <c r="CX189" s="8"/>
      <c r="CY189" s="8"/>
    </row>
    <row r="190" spans="1:103" hidden="1" x14ac:dyDescent="0.25">
      <c r="A190" s="26">
        <v>5000</v>
      </c>
      <c r="B190" s="3">
        <v>500</v>
      </c>
      <c r="C190" s="123">
        <v>3</v>
      </c>
      <c r="D190" s="216">
        <f>Table1[[#This Row],[Kvcache]]</f>
        <v>0.39383242823894493</v>
      </c>
      <c r="E190" s="170" t="s">
        <v>155</v>
      </c>
      <c r="F190" s="218">
        <v>46104</v>
      </c>
      <c r="G190" s="10">
        <v>0</v>
      </c>
      <c r="H190" s="10">
        <v>0.22686245294864218</v>
      </c>
      <c r="I190" s="10">
        <v>0.18832897591354758</v>
      </c>
      <c r="J190" s="10">
        <v>0.24919586473603514</v>
      </c>
      <c r="K190" s="10">
        <v>0.49531302849451686</v>
      </c>
      <c r="L190" s="10">
        <v>0.60852866649627602</v>
      </c>
      <c r="M190" s="10">
        <v>2.1036300817882225E-2</v>
      </c>
      <c r="N190" s="10">
        <v>10.620929496077506</v>
      </c>
      <c r="O190" s="47">
        <v>15256.714814814814</v>
      </c>
      <c r="P190" s="47">
        <v>1356.8222222222223</v>
      </c>
      <c r="Q190" s="5">
        <v>29.066666666666666</v>
      </c>
      <c r="R190" s="5">
        <v>48.666666666666664</v>
      </c>
      <c r="S190" s="170">
        <v>0.39383242823894493</v>
      </c>
      <c r="T190" s="170">
        <v>0.6597103697957073</v>
      </c>
      <c r="U190" s="3">
        <f>(Table1[[#This Row],[In-Tok]]+Table1[[#This Row],[Out-Tok]])*Table1[[#This Row],[RPS]]</f>
        <v>16500</v>
      </c>
      <c r="V190" s="3">
        <f>Table1[[#This Row],[In-Tok]]+$V$2*Table1[[#This Row],[Out-Tok]]</f>
        <v>5250</v>
      </c>
      <c r="W190" s="3">
        <f>Table1[[#This Row],[In-Tok]]*Table1[[#This Row],[RPS]]</f>
        <v>15000</v>
      </c>
      <c r="X190" s="3">
        <f>Table1[[#This Row],[Out-Tok]]*Table1[[#This Row],[RPS]]</f>
        <v>1500</v>
      </c>
      <c r="Y190" s="75">
        <f>Table1[[#This Row],[In-Tok]]/Table1[[#This Row],[Out-Tok]]</f>
        <v>10</v>
      </c>
      <c r="Z190" s="26">
        <f>Table1[[#This Row],[In-Tok]]*Table1[[#This Row],[N]]+AvgOutLoad*Table1[[#This Row],[Out-Tok]]*Table1[[#This Row],[Ndecode]]</f>
        <v>152721.51369791321</v>
      </c>
      <c r="AA190" s="3">
        <f>Table1[[#This Row],[tok(N)]]/Table1[[#This Row],[Kvcache]]</f>
        <v>387782.98267824313</v>
      </c>
      <c r="AB190" s="3">
        <f>Table1[[#This Row],[tok/req]]*Table1[[#This Row],[Run]]</f>
        <v>152600</v>
      </c>
      <c r="AC190" s="3">
        <f>Table1[[#This Row],[tok(Run)]]/Table1[[#This Row],[Kvcache]]</f>
        <v>387474.4410519058</v>
      </c>
      <c r="AD190" s="3">
        <f>Table1[[#This Row],[tok/req]]*Table1[[#This Row],[MaxRun]]</f>
        <v>255500</v>
      </c>
      <c r="AE190" s="3">
        <f>Table1[[#This Row],[tok(MaxRun)]]/Table1[[#This Row],[MaxKvcache]]</f>
        <v>387291.16851554229</v>
      </c>
      <c r="AF190" s="75">
        <f>Table1[[#This Row],[PPS]]*Table1[[#This Row],[Prefill]]/Table1[[#This Row],[In-Tok]]</f>
        <v>0.57465629537582474</v>
      </c>
      <c r="AG190" s="5">
        <f>Table1[[#This Row],[GPS]]*Table1[[#This Row],[ITL]]</f>
        <v>28.542520423054114</v>
      </c>
      <c r="AH190" s="5">
        <f>Table1[[#This Row],[Nprefill]]+Table1[[#This Row],[Ndecode]]</f>
        <v>29.117176718429938</v>
      </c>
      <c r="AI190" s="4">
        <f>Table1[[#This Row],[Run]]/Table1[[#This Row],[ITL]]/Table1[[#This Row],[GPS]]</f>
        <v>1.0183636986448188</v>
      </c>
      <c r="AJ190" s="10">
        <f>Table1[[#This Row],[Prefill]]+Table1[[#This Row],[ITL]]</f>
        <v>0.20936527673142979</v>
      </c>
      <c r="AK190" s="4">
        <f>Table1[[#This Row],[TTFT]]/Table1[[#This Row],[estTTFT]]</f>
        <v>1.0835724838921474</v>
      </c>
      <c r="AL190" s="5">
        <f>Table1[[#This Row],[In-Tok]]*Table1[[#This Row],[RPS]]/Table1[[#This Row],[PPS]]</f>
        <v>0.98317365055775086</v>
      </c>
      <c r="AM190" s="4">
        <f>Table1[[#This Row],[Prefill]]/Table1[[#This Row],[estPrefill]]</f>
        <v>0.19155209845860824</v>
      </c>
      <c r="AN190" s="4">
        <f>Table1[[#This Row],[Prefill]]/Table1[[#This Row],[TTFT]]</f>
        <v>0.83014607955500719</v>
      </c>
      <c r="AO190" s="10">
        <f>Table1[[#This Row],[Run]]/(Table1[[#This Row],[Out-Tok]]*Table1[[#This Row],[RPS]])</f>
        <v>1.9377777777777778E-2</v>
      </c>
      <c r="AP190" s="4">
        <f>Table1[[#This Row],[ITL]]/Table1[[#This Row],[estITL]]</f>
        <v>1.0855889183540139</v>
      </c>
      <c r="AQ190" s="44">
        <f>Table1[[#This Row],[E2E]]-Table1[[#This Row],[TTFT]]+Table1[[#This Row],[ITL]]</f>
        <v>10.415103343946747</v>
      </c>
      <c r="AR190" s="4">
        <f>Table1[[#This Row],[estDecode]]/Table1[[#This Row],[Run]]</f>
        <v>0.35831777559449818</v>
      </c>
      <c r="AS190" s="44">
        <f>Table1[[#This Row],[Prefill]]+Table1[[#This Row],[Out-Tok]]*Table1[[#This Row],[ITL]]</f>
        <v>10.70647938485466</v>
      </c>
      <c r="AT190" s="5">
        <f>Table1[[#This Row],[estPrefill]]+Table1[[#This Row],[Out-Tok]]*Table1[[#This Row],[ITL]]</f>
        <v>11.501324059498863</v>
      </c>
      <c r="AU190" s="4">
        <f>Table1[[#This Row],[E2E]]/Table1[[#This Row],[estE2E]]</f>
        <v>0.92345276431940504</v>
      </c>
      <c r="AV190" s="5">
        <f>Table1[[#This Row],[N]]/Table1[[#This Row],[estE2E]]</f>
        <v>2.5316369287397191</v>
      </c>
      <c r="AW190" s="5">
        <f>Table1[[#This Row],[PPS]]/Table1[[#This Row],[In-Tok]]</f>
        <v>3.0513429629629627</v>
      </c>
      <c r="AX190" s="4">
        <f>Table1[[#This Row],[RPS]]/Table1[[#This Row],[RPS(IL)]]</f>
        <v>0.98317365055775086</v>
      </c>
      <c r="AY190" s="5">
        <f>Table1[[#This Row],[GPS]]/Table1[[#This Row],[Out-Tok]]</f>
        <v>2.7136444444444447</v>
      </c>
      <c r="AZ190" s="89">
        <f>Table1[[#This Row],[RPS]]/Table1[[#This Row],[RPS(OL)]]</f>
        <v>1.1055243461028219</v>
      </c>
      <c r="BA190" s="135">
        <f>MaxTok/Table1[[#This Row],[tok/req]]</f>
        <v>73.88804990334387</v>
      </c>
      <c r="BB190" s="4">
        <f>Table1[[#This Row],[N]]/Table1[[#This Row],[N-max]]</f>
        <v>0.39407152789279681</v>
      </c>
      <c r="BC190" s="44">
        <f>Table1[[#This Row],[RPS]]</f>
        <v>3</v>
      </c>
      <c r="BD190" s="47">
        <f>Table1[[#This Row],[PPS]]/Table1[[#This Row],[RPS success]]</f>
        <v>5085.5716049382709</v>
      </c>
      <c r="BE190" s="4">
        <f>ABS(Table1[[#This Row],[est-In-Tok3]]-Table1[[#This Row],[In-Tok]])/Table1[[#This Row],[In-Tok]]</f>
        <v>1.7114320987654173E-2</v>
      </c>
      <c r="BF190" s="47">
        <f>Table1[[#This Row],[GPS]]/Table1[[#This Row],[RPS success]]</f>
        <v>452.27407407407412</v>
      </c>
      <c r="BG190" s="4">
        <f>ABS(Table1[[#This Row],[est-Out-Tok3]]-Table1[[#This Row],[Out-Tok]])/Table1[[#This Row],[Out-Tok]]</f>
        <v>9.545185185185176E-2</v>
      </c>
      <c r="BH190" s="162">
        <f>Table1[[#This Row],[est-In-Tok3]]+AvgOutLoad*Table1[[#This Row],[est-Out-Tok3]]</f>
        <v>5311.7086419753077</v>
      </c>
      <c r="BI190" s="4">
        <f>ABS(Table1[[#This Row],[est-Tok/Req3]]-Table1[[#This Row],[tok/req]])/Table1[[#This Row],[tok/req]]</f>
        <v>1.1754027042915758E-2</v>
      </c>
      <c r="BJ190" s="162">
        <f>MaxTok/Table1[[#This Row],[est-Tok/Req3]]</f>
        <v>73.029657336080703</v>
      </c>
      <c r="BK190" s="4">
        <f>ABS(Table1[[#This Row],[est-N-max3]]-Table1[[#This Row],[N-max]])/Table1[[#This Row],[N-max]]</f>
        <v>1.1617474928436556E-2</v>
      </c>
      <c r="BL190" s="44">
        <f>MaxTok*Table1[[#This Row],[Kvcache]]/Table1[[#This Row],[Run]]</f>
        <v>5255.9321588597422</v>
      </c>
      <c r="BM190" s="170">
        <f>ABS(Table1[[#This Row],[est-Tok/Req]]-Table1[[#This Row],[tok/req]])/Table1[[#This Row],[tok/req]]</f>
        <v>1.129935020903282E-3</v>
      </c>
      <c r="BN190" s="44">
        <f>MaxTok/Table1[[#This Row],[est-Tok/Req]]</f>
        <v>73.804655438458255</v>
      </c>
      <c r="BO190" s="180">
        <f>Table1[[#This Row],[Run]]/Table1[[#This Row],[Kvcache]]</f>
        <v>73.804655438458255</v>
      </c>
      <c r="BP190" s="4" cm="1">
        <f t="array" aca="1" ref="BP190" ca="1">_xlfn.CEILING.MATH(INDIRECT("Table1"&amp;BP$3)/BP$2)*BP$2</f>
        <v>6000</v>
      </c>
      <c r="BQ190" s="4" cm="1">
        <f t="array" aca="1" ref="BQ190" ca="1">_xlfn.CEILING.MATH(INDIRECT("Table1"&amp;BQ$3)/BQ$2)*BQ$2</f>
        <v>2.5000000000000001E-2</v>
      </c>
      <c r="BR190" s="4" cm="1">
        <f t="array" aca="1" ref="BR190" ca="1">_xlfn.CEILING.MATH(INDIRECT("Table1"&amp;BR$3)/BR$2)*BR$2</f>
        <v>0.4</v>
      </c>
      <c r="BS190" s="4" cm="1">
        <f t="array" aca="1" ref="BS190" ca="1">_xlfn.CEILING.MATH(INDIRECT("Table1"&amp;BS$3)/BS$2)*BS$2</f>
        <v>0.4</v>
      </c>
      <c r="BT190" s="3" cm="1">
        <f t="array" aca="1" ref="BT190" ca="1">_xlfn.CEILING.MATH(INDIRECT("Table1"&amp;BT$3)/BT$2)*BT$2</f>
        <v>30</v>
      </c>
      <c r="BU190" s="135" cm="1">
        <f t="array" aca="1" ref="BU190" ca="1">_xlfn.CEILING.MATH(INDIRECT("Table1"&amp;BU$3)/BU$2)*BU$2</f>
        <v>10</v>
      </c>
      <c r="BV190" s="135" cm="1">
        <f t="array" aca="1" ref="BV190" ca="1">_xlfn.CEILING.MATH(INDIRECT("Table1"&amp;BV$3)/BV$2)*BV$2</f>
        <v>5000</v>
      </c>
      <c r="BW190" s="4"/>
      <c r="BX190" s="4"/>
      <c r="BY190" s="217"/>
      <c r="BZ190" s="4"/>
      <c r="CA190" s="3"/>
      <c r="CF190" s="5"/>
      <c r="CH190" s="8"/>
      <c r="CI190" s="8"/>
      <c r="CJ190" s="14"/>
      <c r="CK190" s="8"/>
      <c r="CL190" s="8"/>
      <c r="CM190" s="8"/>
      <c r="CN190" s="8"/>
      <c r="CO190" s="8"/>
      <c r="CP190" s="8"/>
      <c r="CQ190" s="8">
        <f>Table1[[#This Row],[In-Tok]]+AvgOutLoad*Table1[[#This Row],[Out-Tok]]</f>
        <v>5250</v>
      </c>
      <c r="CR190" s="8"/>
      <c r="CS190" s="8"/>
      <c r="CT190" s="8"/>
      <c r="CU190" s="8"/>
      <c r="CV190" s="8"/>
      <c r="CW190" s="8"/>
      <c r="CX190" s="8"/>
      <c r="CY190" s="8"/>
    </row>
    <row r="191" spans="1:103" hidden="1" x14ac:dyDescent="0.25">
      <c r="A191" s="26">
        <v>5000</v>
      </c>
      <c r="B191" s="3">
        <v>500</v>
      </c>
      <c r="C191" s="123">
        <v>3.2000000000000006</v>
      </c>
      <c r="D191" s="216">
        <f>Table1[[#This Row],[Kvcache]]</f>
        <v>0.50254460822342895</v>
      </c>
      <c r="E191" s="170" t="s">
        <v>155</v>
      </c>
      <c r="F191" s="218">
        <v>46104</v>
      </c>
      <c r="G191" s="10">
        <v>0</v>
      </c>
      <c r="H191" s="10">
        <v>0.26805244904639208</v>
      </c>
      <c r="I191" s="10">
        <v>0.18566078006176104</v>
      </c>
      <c r="J191" s="10">
        <v>0.29003154487630928</v>
      </c>
      <c r="K191" s="10">
        <v>0.7263122042020157</v>
      </c>
      <c r="L191" s="10">
        <v>0.90442577203114827</v>
      </c>
      <c r="M191" s="10">
        <v>2.5932778876334803E-2</v>
      </c>
      <c r="N191" s="10">
        <v>12.766892296615231</v>
      </c>
      <c r="O191" s="47">
        <v>16580.507407407407</v>
      </c>
      <c r="P191" s="47">
        <v>1449.0925925925924</v>
      </c>
      <c r="Q191" s="5">
        <v>37.06666666666667</v>
      </c>
      <c r="R191" s="5">
        <v>57.666666666666664</v>
      </c>
      <c r="S191" s="170">
        <v>0.50254460822342895</v>
      </c>
      <c r="T191" s="170">
        <v>0.78057926040858538</v>
      </c>
      <c r="U191" s="3">
        <f>(Table1[[#This Row],[In-Tok]]+Table1[[#This Row],[Out-Tok]])*Table1[[#This Row],[RPS]]</f>
        <v>17600.000000000004</v>
      </c>
      <c r="V191" s="3">
        <f>Table1[[#This Row],[In-Tok]]+$V$2*Table1[[#This Row],[Out-Tok]]</f>
        <v>5250</v>
      </c>
      <c r="W191" s="3">
        <f>Table1[[#This Row],[In-Tok]]*Table1[[#This Row],[RPS]]</f>
        <v>16000.000000000004</v>
      </c>
      <c r="X191" s="3">
        <f>Table1[[#This Row],[Out-Tok]]*Table1[[#This Row],[RPS]]</f>
        <v>1600.0000000000002</v>
      </c>
      <c r="Y191" s="75">
        <f>Table1[[#This Row],[In-Tok]]/Table1[[#This Row],[Out-Tok]]</f>
        <v>10</v>
      </c>
      <c r="Z191" s="26">
        <f>Table1[[#This Row],[In-Tok]]*Table1[[#This Row],[N]]+AvgOutLoad*Table1[[#This Row],[Out-Tok]]*Table1[[#This Row],[Ndecode]]</f>
        <v>200368.08825803077</v>
      </c>
      <c r="AA191" s="3">
        <f>Table1[[#This Row],[tok(N)]]/Table1[[#This Row],[Kvcache]]</f>
        <v>398707.06993825326</v>
      </c>
      <c r="AB191" s="3">
        <f>Table1[[#This Row],[tok/req]]*Table1[[#This Row],[Run]]</f>
        <v>194600.00000000003</v>
      </c>
      <c r="AC191" s="3">
        <f>Table1[[#This Row],[tok(Run)]]/Table1[[#This Row],[Kvcache]]</f>
        <v>387229.30624594778</v>
      </c>
      <c r="AD191" s="3">
        <f>Table1[[#This Row],[tok/req]]*Table1[[#This Row],[MaxRun]]</f>
        <v>302750</v>
      </c>
      <c r="AE191" s="3">
        <f>Table1[[#This Row],[tok(MaxRun)]]/Table1[[#This Row],[MaxKvcache]]</f>
        <v>387852.98989564355</v>
      </c>
      <c r="AF191" s="75">
        <f>Table1[[#This Row],[PPS]]*Table1[[#This Row],[Prefill]]/Table1[[#This Row],[In-Tok]]</f>
        <v>0.61566998781581328</v>
      </c>
      <c r="AG191" s="5">
        <f>Table1[[#This Row],[GPS]]*Table1[[#This Row],[ITL]]</f>
        <v>37.578997775038417</v>
      </c>
      <c r="AH191" s="5">
        <f>Table1[[#This Row],[Nprefill]]+Table1[[#This Row],[Ndecode]]</f>
        <v>38.19466776285423</v>
      </c>
      <c r="AI191" s="4">
        <f>Table1[[#This Row],[Run]]/Table1[[#This Row],[ITL]]/Table1[[#This Row],[GPS]]</f>
        <v>0.98636655742021784</v>
      </c>
      <c r="AJ191" s="10">
        <f>Table1[[#This Row],[Prefill]]+Table1[[#This Row],[ITL]]</f>
        <v>0.21159355893809584</v>
      </c>
      <c r="AK191" s="4">
        <f>Table1[[#This Row],[TTFT]]/Table1[[#This Row],[estTTFT]]</f>
        <v>1.2668270735254941</v>
      </c>
      <c r="AL191" s="5">
        <f>Table1[[#This Row],[In-Tok]]*Table1[[#This Row],[RPS]]/Table1[[#This Row],[PPS]]</f>
        <v>0.96498856198163996</v>
      </c>
      <c r="AM191" s="4">
        <f>Table1[[#This Row],[Prefill]]/Table1[[#This Row],[estPrefill]]</f>
        <v>0.19239687119244162</v>
      </c>
      <c r="AN191" s="4">
        <f>Table1[[#This Row],[Prefill]]/Table1[[#This Row],[TTFT]]</f>
        <v>0.69262855356202535</v>
      </c>
      <c r="AO191" s="10">
        <f>Table1[[#This Row],[Run]]/(Table1[[#This Row],[Out-Tok]]*Table1[[#This Row],[RPS]])</f>
        <v>2.3166666666666665E-2</v>
      </c>
      <c r="AP191" s="4">
        <f>Table1[[#This Row],[ITL]]/Table1[[#This Row],[estITL]]</f>
        <v>1.1194005270360348</v>
      </c>
      <c r="AQ191" s="44">
        <f>Table1[[#This Row],[E2E]]-Table1[[#This Row],[TTFT]]+Table1[[#This Row],[ITL]]</f>
        <v>12.524772626445174</v>
      </c>
      <c r="AR191" s="4">
        <f>Table1[[#This Row],[estDecode]]/Table1[[#This Row],[Run]]</f>
        <v>0.33789854208035536</v>
      </c>
      <c r="AS191" s="44">
        <f>Table1[[#This Row],[Prefill]]+Table1[[#This Row],[Out-Tok]]*Table1[[#This Row],[ITL]]</f>
        <v>13.152050218229164</v>
      </c>
      <c r="AT191" s="5">
        <f>Table1[[#This Row],[estPrefill]]+Table1[[#This Row],[Out-Tok]]*Table1[[#This Row],[ITL]]</f>
        <v>13.931378000149042</v>
      </c>
      <c r="AU191" s="4">
        <f>Table1[[#This Row],[E2E]]/Table1[[#This Row],[estE2E]]</f>
        <v>0.91641274082712032</v>
      </c>
      <c r="AV191" s="5">
        <f>Table1[[#This Row],[N]]/Table1[[#This Row],[estE2E]]</f>
        <v>2.741628844070243</v>
      </c>
      <c r="AW191" s="5">
        <f>Table1[[#This Row],[PPS]]/Table1[[#This Row],[In-Tok]]</f>
        <v>3.3161014814814815</v>
      </c>
      <c r="AX191" s="4">
        <f>Table1[[#This Row],[RPS]]/Table1[[#This Row],[RPS(IL)]]</f>
        <v>0.96498856198163996</v>
      </c>
      <c r="AY191" s="5">
        <f>Table1[[#This Row],[GPS]]/Table1[[#This Row],[Out-Tok]]</f>
        <v>2.8981851851851848</v>
      </c>
      <c r="AZ191" s="89">
        <f>Table1[[#This Row],[RPS]]/Table1[[#This Row],[RPS(OL)]]</f>
        <v>1.1041392442269111</v>
      </c>
      <c r="BA191" s="135">
        <f>MaxTok/Table1[[#This Row],[tok/req]]</f>
        <v>73.88804990334387</v>
      </c>
      <c r="BB191" s="4">
        <f>Table1[[#This Row],[N]]/Table1[[#This Row],[N-max]]</f>
        <v>0.51692618512490607</v>
      </c>
      <c r="BC191" s="44">
        <f>Table1[[#This Row],[RPS]]</f>
        <v>3.2000000000000006</v>
      </c>
      <c r="BD191" s="47">
        <f>Table1[[#This Row],[PPS]]/Table1[[#This Row],[RPS success]]</f>
        <v>5181.4085648148139</v>
      </c>
      <c r="BE191" s="4">
        <f>ABS(Table1[[#This Row],[est-In-Tok3]]-Table1[[#This Row],[In-Tok]])/Table1[[#This Row],[In-Tok]]</f>
        <v>3.6281712962962773E-2</v>
      </c>
      <c r="BF191" s="47">
        <f>Table1[[#This Row],[GPS]]/Table1[[#This Row],[RPS success]]</f>
        <v>452.84143518518505</v>
      </c>
      <c r="BG191" s="4">
        <f>ABS(Table1[[#This Row],[est-Out-Tok3]]-Table1[[#This Row],[Out-Tok]])/Table1[[#This Row],[Out-Tok]]</f>
        <v>9.4317129629629903E-2</v>
      </c>
      <c r="BH191" s="162">
        <f>Table1[[#This Row],[est-In-Tok3]]+AvgOutLoad*Table1[[#This Row],[est-Out-Tok3]]</f>
        <v>5407.829282407406</v>
      </c>
      <c r="BI191" s="4">
        <f>ABS(Table1[[#This Row],[est-Tok/Req3]]-Table1[[#This Row],[tok/req]])/Table1[[#This Row],[tok/req]]</f>
        <v>3.006272045855353E-2</v>
      </c>
      <c r="BJ191" s="162">
        <f>MaxTok/Table1[[#This Row],[est-Tok/Req3]]</f>
        <v>71.731602780897731</v>
      </c>
      <c r="BK191" s="4">
        <f>ABS(Table1[[#This Row],[est-N-max3]]-Table1[[#This Row],[N-max]])/Table1[[#This Row],[N-max]]</f>
        <v>2.9185330040068451E-2</v>
      </c>
      <c r="BL191" s="44">
        <f>MaxTok*Table1[[#This Row],[Kvcache]]/Table1[[#This Row],[Run]]</f>
        <v>5259.259417125345</v>
      </c>
      <c r="BM191" s="170">
        <f>ABS(Table1[[#This Row],[est-Tok/Req]]-Table1[[#This Row],[tok/req]])/Table1[[#This Row],[tok/req]]</f>
        <v>1.7636985000657054E-3</v>
      </c>
      <c r="BN191" s="44">
        <f>MaxTok/Table1[[#This Row],[est-Tok/Req]]</f>
        <v>73.757963094466248</v>
      </c>
      <c r="BO191" s="180">
        <f>Table1[[#This Row],[Run]]/Table1[[#This Row],[Kvcache]]</f>
        <v>73.757963094466248</v>
      </c>
      <c r="BP191" s="4" cm="1">
        <f t="array" aca="1" ref="BP191" ca="1">_xlfn.CEILING.MATH(INDIRECT("Table1"&amp;BP$3)/BP$2)*BP$2</f>
        <v>6000</v>
      </c>
      <c r="BQ191" s="4" cm="1">
        <f t="array" aca="1" ref="BQ191" ca="1">_xlfn.CEILING.MATH(INDIRECT("Table1"&amp;BQ$3)/BQ$2)*BQ$2</f>
        <v>0.03</v>
      </c>
      <c r="BR191" s="4" cm="1">
        <f t="array" aca="1" ref="BR191" ca="1">_xlfn.CEILING.MATH(INDIRECT("Table1"&amp;BR$3)/BR$2)*BR$2</f>
        <v>0.60000000000000009</v>
      </c>
      <c r="BS191" s="4" cm="1">
        <f t="array" aca="1" ref="BS191" ca="1">_xlfn.CEILING.MATH(INDIRECT("Table1"&amp;BS$3)/BS$2)*BS$2</f>
        <v>0.51</v>
      </c>
      <c r="BT191" s="3" cm="1">
        <f t="array" aca="1" ref="BT191" ca="1">_xlfn.CEILING.MATH(INDIRECT("Table1"&amp;BT$3)/BT$2)*BT$2</f>
        <v>38</v>
      </c>
      <c r="BU191" s="135" cm="1">
        <f t="array" aca="1" ref="BU191" ca="1">_xlfn.CEILING.MATH(INDIRECT("Table1"&amp;BU$3)/BU$2)*BU$2</f>
        <v>10</v>
      </c>
      <c r="BV191" s="135" cm="1">
        <f t="array" aca="1" ref="BV191" ca="1">_xlfn.CEILING.MATH(INDIRECT("Table1"&amp;BV$3)/BV$2)*BV$2</f>
        <v>5000</v>
      </c>
      <c r="BW191" s="4"/>
      <c r="BX191" s="4"/>
      <c r="BY191" s="217"/>
      <c r="BZ191" s="4"/>
      <c r="CA191" s="3"/>
      <c r="CF191" s="5"/>
      <c r="CH191" s="8"/>
      <c r="CI191" s="8"/>
      <c r="CJ191" s="14"/>
      <c r="CK191" s="8"/>
      <c r="CL191" s="8"/>
      <c r="CM191" s="8"/>
      <c r="CN191" s="8"/>
      <c r="CO191" s="8"/>
      <c r="CP191" s="8"/>
      <c r="CQ191" s="8">
        <f>Table1[[#This Row],[In-Tok]]+AvgOutLoad*Table1[[#This Row],[Out-Tok]]</f>
        <v>5250</v>
      </c>
      <c r="CR191" s="8"/>
      <c r="CS191" s="8"/>
      <c r="CT191" s="8"/>
      <c r="CU191" s="8"/>
      <c r="CV191" s="8"/>
      <c r="CW191" s="8"/>
      <c r="CX191" s="8"/>
      <c r="CY191" s="8"/>
    </row>
    <row r="192" spans="1:103" hidden="1" x14ac:dyDescent="0.25">
      <c r="A192" s="26">
        <v>5000</v>
      </c>
      <c r="B192" s="3">
        <v>500</v>
      </c>
      <c r="C192" s="123">
        <v>3.4</v>
      </c>
      <c r="D192" s="216">
        <f>Table1[[#This Row],[Kvcache]]</f>
        <v>0.51102146366692525</v>
      </c>
      <c r="E192" s="170" t="s">
        <v>155</v>
      </c>
      <c r="F192" s="218">
        <v>46104</v>
      </c>
      <c r="G192" s="10">
        <v>0</v>
      </c>
      <c r="H192" s="10">
        <v>0.23680504453183179</v>
      </c>
      <c r="I192" s="10">
        <v>0.19187203165454392</v>
      </c>
      <c r="J192" s="10">
        <v>0.26055080007221315</v>
      </c>
      <c r="K192" s="10">
        <v>0.47659329573313397</v>
      </c>
      <c r="L192" s="10">
        <v>0.58563027222951358</v>
      </c>
      <c r="M192" s="10">
        <v>2.6226145819888858E-2</v>
      </c>
      <c r="N192" s="10">
        <v>13.408025524415068</v>
      </c>
      <c r="O192" s="47">
        <v>16817.514814814818</v>
      </c>
      <c r="P192" s="47">
        <v>1431.7481481481482</v>
      </c>
      <c r="Q192" s="5">
        <v>37.733333333333327</v>
      </c>
      <c r="R192" s="5">
        <v>60</v>
      </c>
      <c r="S192" s="170">
        <v>0.51102146366692525</v>
      </c>
      <c r="T192" s="170">
        <v>0.81049909490561156</v>
      </c>
      <c r="U192" s="3">
        <f>(Table1[[#This Row],[In-Tok]]+Table1[[#This Row],[Out-Tok]])*Table1[[#This Row],[RPS]]</f>
        <v>18700</v>
      </c>
      <c r="V192" s="3">
        <f>Table1[[#This Row],[In-Tok]]+$V$2*Table1[[#This Row],[Out-Tok]]</f>
        <v>5250</v>
      </c>
      <c r="W192" s="3">
        <f>Table1[[#This Row],[In-Tok]]*Table1[[#This Row],[RPS]]</f>
        <v>17000</v>
      </c>
      <c r="X192" s="3">
        <f>Table1[[#This Row],[Out-Tok]]*Table1[[#This Row],[RPS]]</f>
        <v>1700</v>
      </c>
      <c r="Y192" s="75">
        <f>Table1[[#This Row],[In-Tok]]/Table1[[#This Row],[Out-Tok]]</f>
        <v>10</v>
      </c>
      <c r="Z192" s="26">
        <f>Table1[[#This Row],[In-Tok]]*Table1[[#This Row],[N]]+AvgOutLoad*Table1[[#This Row],[Out-Tok]]*Table1[[#This Row],[Ndecode]]</f>
        <v>200360.29821601708</v>
      </c>
      <c r="AA192" s="3">
        <f>Table1[[#This Row],[tok(N)]]/Table1[[#This Row],[Kvcache]]</f>
        <v>392078.04849975614</v>
      </c>
      <c r="AB192" s="3">
        <f>Table1[[#This Row],[tok/req]]*Table1[[#This Row],[Run]]</f>
        <v>198099.99999999997</v>
      </c>
      <c r="AC192" s="3">
        <f>Table1[[#This Row],[tok(Run)]]/Table1[[#This Row],[Kvcache]]</f>
        <v>387654.95010424464</v>
      </c>
      <c r="AD192" s="3">
        <f>Table1[[#This Row],[tok/req]]*Table1[[#This Row],[MaxRun]]</f>
        <v>315000</v>
      </c>
      <c r="AE192" s="3">
        <f>Table1[[#This Row],[tok(MaxRun)]]/Table1[[#This Row],[MaxKvcache]]</f>
        <v>388649.41611894581</v>
      </c>
      <c r="AF192" s="75">
        <f>Table1[[#This Row],[PPS]]*Table1[[#This Row],[Prefill]]/Table1[[#This Row],[In-Tok]]</f>
        <v>0.645362146979782</v>
      </c>
      <c r="AG192" s="5">
        <f>Table1[[#This Row],[GPS]]*Table1[[#This Row],[ITL]]</f>
        <v>37.549235710689167</v>
      </c>
      <c r="AH192" s="5">
        <f>Table1[[#This Row],[Nprefill]]+Table1[[#This Row],[Ndecode]]</f>
        <v>38.194597857668953</v>
      </c>
      <c r="AI192" s="4">
        <f>Table1[[#This Row],[Run]]/Table1[[#This Row],[ITL]]/Table1[[#This Row],[GPS]]</f>
        <v>1.0049028327517129</v>
      </c>
      <c r="AJ192" s="10">
        <f>Table1[[#This Row],[Prefill]]+Table1[[#This Row],[ITL]]</f>
        <v>0.21809817747443278</v>
      </c>
      <c r="AK192" s="4">
        <f>Table1[[#This Row],[TTFT]]/Table1[[#This Row],[estTTFT]]</f>
        <v>1.0857726885846719</v>
      </c>
      <c r="AL192" s="5">
        <f>Table1[[#This Row],[In-Tok]]*Table1[[#This Row],[RPS]]/Table1[[#This Row],[PPS]]</f>
        <v>1.0108509008135036</v>
      </c>
      <c r="AM192" s="4">
        <f>Table1[[#This Row],[Prefill]]/Table1[[#This Row],[estPrefill]]</f>
        <v>0.18981239617052412</v>
      </c>
      <c r="AN192" s="4">
        <f>Table1[[#This Row],[Prefill]]/Table1[[#This Row],[TTFT]]</f>
        <v>0.81025314318737884</v>
      </c>
      <c r="AO192" s="10">
        <f>Table1[[#This Row],[Run]]/(Table1[[#This Row],[Out-Tok]]*Table1[[#This Row],[RPS]])</f>
        <v>2.2196078431372546E-2</v>
      </c>
      <c r="AP192" s="4">
        <f>Table1[[#This Row],[ITL]]/Table1[[#This Row],[estITL]]</f>
        <v>1.1815666402953462</v>
      </c>
      <c r="AQ192" s="44">
        <f>Table1[[#This Row],[E2E]]-Table1[[#This Row],[TTFT]]+Table1[[#This Row],[ITL]]</f>
        <v>13.197446625703126</v>
      </c>
      <c r="AR192" s="4">
        <f>Table1[[#This Row],[estDecode]]/Table1[[#This Row],[Run]]</f>
        <v>0.3497556526246412</v>
      </c>
      <c r="AS192" s="44">
        <f>Table1[[#This Row],[Prefill]]+Table1[[#This Row],[Out-Tok]]*Table1[[#This Row],[ITL]]</f>
        <v>13.304944941598972</v>
      </c>
      <c r="AT192" s="5">
        <f>Table1[[#This Row],[estPrefill]]+Table1[[#This Row],[Out-Tok]]*Table1[[#This Row],[ITL]]</f>
        <v>14.123923810757931</v>
      </c>
      <c r="AU192" s="4">
        <f>Table1[[#This Row],[E2E]]/Table1[[#This Row],[estE2E]]</f>
        <v>0.94931307362352257</v>
      </c>
      <c r="AV192" s="5">
        <f>Table1[[#This Row],[N]]/Table1[[#This Row],[estE2E]]</f>
        <v>2.7042483639409634</v>
      </c>
      <c r="AW192" s="5">
        <f>Table1[[#This Row],[PPS]]/Table1[[#This Row],[In-Tok]]</f>
        <v>3.3635029629629636</v>
      </c>
      <c r="AX192" s="4">
        <f>Table1[[#This Row],[RPS]]/Table1[[#This Row],[RPS(IL)]]</f>
        <v>1.0108509008135036</v>
      </c>
      <c r="AY192" s="5">
        <f>Table1[[#This Row],[GPS]]/Table1[[#This Row],[Out-Tok]]</f>
        <v>2.8634962962962964</v>
      </c>
      <c r="AZ192" s="89">
        <f>Table1[[#This Row],[RPS]]/Table1[[#This Row],[RPS(OL)]]</f>
        <v>1.1873596639177177</v>
      </c>
      <c r="BA192" s="135">
        <f>MaxTok/Table1[[#This Row],[tok/req]]</f>
        <v>73.88804990334387</v>
      </c>
      <c r="BB192" s="4">
        <f>Table1[[#This Row],[N]]/Table1[[#This Row],[N-max]]</f>
        <v>0.51692523902894916</v>
      </c>
      <c r="BC192" s="44">
        <f>Table1[[#This Row],[RPS]]</f>
        <v>3.4</v>
      </c>
      <c r="BD192" s="47">
        <f>Table1[[#This Row],[PPS]]/Table1[[#This Row],[RPS success]]</f>
        <v>4946.3278867102408</v>
      </c>
      <c r="BE192" s="4">
        <f>ABS(Table1[[#This Row],[est-In-Tok3]]-Table1[[#This Row],[In-Tok]])/Table1[[#This Row],[In-Tok]]</f>
        <v>1.0734422657951836E-2</v>
      </c>
      <c r="BF192" s="47">
        <f>Table1[[#This Row],[GPS]]/Table1[[#This Row],[RPS success]]</f>
        <v>421.10239651416123</v>
      </c>
      <c r="BG192" s="4">
        <f>ABS(Table1[[#This Row],[est-Out-Tok3]]-Table1[[#This Row],[Out-Tok]])/Table1[[#This Row],[Out-Tok]]</f>
        <v>0.15779520697167754</v>
      </c>
      <c r="BH192" s="162">
        <f>Table1[[#This Row],[est-In-Tok3]]+AvgOutLoad*Table1[[#This Row],[est-Out-Tok3]]</f>
        <v>5156.8790849673214</v>
      </c>
      <c r="BI192" s="4">
        <f>ABS(Table1[[#This Row],[est-Tok/Req3]]-Table1[[#This Row],[tok/req]])/Table1[[#This Row],[tok/req]]</f>
        <v>1.7737317149081631E-2</v>
      </c>
      <c r="BJ192" s="162">
        <f>MaxTok/Table1[[#This Row],[est-Tok/Req3]]</f>
        <v>75.22229154516107</v>
      </c>
      <c r="BK192" s="4">
        <f>ABS(Table1[[#This Row],[est-N-max3]]-Table1[[#This Row],[N-max]])/Table1[[#This Row],[N-max]]</f>
        <v>1.805761071732952E-2</v>
      </c>
      <c r="BL192" s="44">
        <f>MaxTok*Table1[[#This Row],[Kvcache]]/Table1[[#This Row],[Run]]</f>
        <v>5253.4847676091013</v>
      </c>
      <c r="BM192" s="170">
        <f>ABS(Table1[[#This Row],[est-Tok/Req]]-Table1[[#This Row],[tok/req]])/Table1[[#This Row],[tok/req]]</f>
        <v>6.6376525887642938E-4</v>
      </c>
      <c r="BN192" s="44">
        <f>MaxTok/Table1[[#This Row],[est-Tok/Req]]</f>
        <v>73.839038115094212</v>
      </c>
      <c r="BO192" s="180">
        <f>Table1[[#This Row],[Run]]/Table1[[#This Row],[Kvcache]]</f>
        <v>73.839038115094212</v>
      </c>
      <c r="BP192" s="4" cm="1">
        <f t="array" aca="1" ref="BP192" ca="1">_xlfn.CEILING.MATH(INDIRECT("Table1"&amp;BP$3)/BP$2)*BP$2</f>
        <v>6000</v>
      </c>
      <c r="BQ192" s="4" cm="1">
        <f t="array" aca="1" ref="BQ192" ca="1">_xlfn.CEILING.MATH(INDIRECT("Table1"&amp;BQ$3)/BQ$2)*BQ$2</f>
        <v>0.03</v>
      </c>
      <c r="BR192" s="4" cm="1">
        <f t="array" aca="1" ref="BR192" ca="1">_xlfn.CEILING.MATH(INDIRECT("Table1"&amp;BR$3)/BR$2)*BR$2</f>
        <v>0.60000000000000009</v>
      </c>
      <c r="BS192" s="4" cm="1">
        <f t="array" aca="1" ref="BS192" ca="1">_xlfn.CEILING.MATH(INDIRECT("Table1"&amp;BS$3)/BS$2)*BS$2</f>
        <v>0.52</v>
      </c>
      <c r="BT192" s="3" cm="1">
        <f t="array" aca="1" ref="BT192" ca="1">_xlfn.CEILING.MATH(INDIRECT("Table1"&amp;BT$3)/BT$2)*BT$2</f>
        <v>38</v>
      </c>
      <c r="BU192" s="135" cm="1">
        <f t="array" aca="1" ref="BU192" ca="1">_xlfn.CEILING.MATH(INDIRECT("Table1"&amp;BU$3)/BU$2)*BU$2</f>
        <v>10</v>
      </c>
      <c r="BV192" s="135" cm="1">
        <f t="array" aca="1" ref="BV192" ca="1">_xlfn.CEILING.MATH(INDIRECT("Table1"&amp;BV$3)/BV$2)*BV$2</f>
        <v>5000</v>
      </c>
      <c r="BW192" s="4"/>
      <c r="BX192" s="4"/>
      <c r="BY192" s="217"/>
      <c r="BZ192" s="4"/>
      <c r="CA192" s="3"/>
      <c r="CF192" s="5"/>
      <c r="CH192" s="8"/>
      <c r="CI192" s="8"/>
      <c r="CJ192" s="14"/>
      <c r="CK192" s="8"/>
      <c r="CL192" s="8"/>
      <c r="CM192" s="8"/>
      <c r="CN192" s="8"/>
      <c r="CO192" s="8"/>
      <c r="CP192" s="8"/>
      <c r="CQ192" s="8">
        <f>Table1[[#This Row],[In-Tok]]+AvgOutLoad*Table1[[#This Row],[Out-Tok]]</f>
        <v>5250</v>
      </c>
      <c r="CR192" s="8"/>
      <c r="CS192" s="8"/>
      <c r="CT192" s="8"/>
      <c r="CU192" s="8"/>
      <c r="CV192" s="8"/>
      <c r="CW192" s="8"/>
      <c r="CX192" s="8"/>
      <c r="CY192" s="8"/>
    </row>
    <row r="193" spans="1:103" hidden="1" x14ac:dyDescent="0.25">
      <c r="A193" s="26">
        <v>5000</v>
      </c>
      <c r="B193" s="3">
        <v>500</v>
      </c>
      <c r="C193" s="123">
        <v>3.7999999999999994</v>
      </c>
      <c r="D193" s="216">
        <f>Table1[[#This Row],[Kvcache]]</f>
        <v>0.6677059971319087</v>
      </c>
      <c r="E193" s="170" t="s">
        <v>155</v>
      </c>
      <c r="F193" s="218">
        <v>46104</v>
      </c>
      <c r="G193" s="10">
        <v>0</v>
      </c>
      <c r="H193" s="10">
        <v>0.5408071478588049</v>
      </c>
      <c r="I193" s="10">
        <v>0.2141179992798363</v>
      </c>
      <c r="J193" s="10">
        <v>0.56704193177321172</v>
      </c>
      <c r="K193" s="10">
        <v>2.0538033127784723</v>
      </c>
      <c r="L193" s="10">
        <v>2.3278027168909707</v>
      </c>
      <c r="M193" s="10">
        <v>3.2075457319147974E-2</v>
      </c>
      <c r="N193" s="10">
        <v>16.311486048264765</v>
      </c>
      <c r="O193" s="47">
        <v>17724.684074074074</v>
      </c>
      <c r="P193" s="47">
        <v>1550.5062962962959</v>
      </c>
      <c r="Q193" s="5">
        <v>49.257575757575758</v>
      </c>
      <c r="R193" s="5">
        <v>71.333333333333329</v>
      </c>
      <c r="S193" s="170">
        <v>0.6677059971319087</v>
      </c>
      <c r="T193" s="170">
        <v>0.9674683216964054</v>
      </c>
      <c r="U193" s="3">
        <f>(Table1[[#This Row],[In-Tok]]+Table1[[#This Row],[Out-Tok]])*Table1[[#This Row],[RPS]]</f>
        <v>20899.999999999996</v>
      </c>
      <c r="V193" s="3">
        <f>Table1[[#This Row],[In-Tok]]+$V$2*Table1[[#This Row],[Out-Tok]]</f>
        <v>5250</v>
      </c>
      <c r="W193" s="3">
        <f>Table1[[#This Row],[In-Tok]]*Table1[[#This Row],[RPS]]</f>
        <v>18999.999999999996</v>
      </c>
      <c r="X193" s="3">
        <f>Table1[[#This Row],[Out-Tok]]*Table1[[#This Row],[RPS]]</f>
        <v>1899.9999999999998</v>
      </c>
      <c r="Y193" s="75">
        <f>Table1[[#This Row],[In-Tok]]/Table1[[#This Row],[Out-Tok]]</f>
        <v>10</v>
      </c>
      <c r="Z193" s="26">
        <f>Table1[[#This Row],[In-Tok]]*Table1[[#This Row],[N]]+AvgOutLoad*Table1[[#This Row],[Out-Tok]]*Table1[[#This Row],[Ndecode]]</f>
        <v>264894.4661738986</v>
      </c>
      <c r="AA193" s="3">
        <f>Table1[[#This Row],[tok(N)]]/Table1[[#This Row],[Kvcache]]</f>
        <v>396723.2094840199</v>
      </c>
      <c r="AB193" s="3">
        <f>Table1[[#This Row],[tok/req]]*Table1[[#This Row],[Run]]</f>
        <v>258602.27272727274</v>
      </c>
      <c r="AC193" s="3">
        <f>Table1[[#This Row],[tok(Run)]]/Table1[[#This Row],[Kvcache]]</f>
        <v>387299.61066409975</v>
      </c>
      <c r="AD193" s="3">
        <f>Table1[[#This Row],[tok/req]]*Table1[[#This Row],[MaxRun]]</f>
        <v>374500</v>
      </c>
      <c r="AE193" s="3">
        <f>Table1[[#This Row],[tok(MaxRun)]]/Table1[[#This Row],[MaxKvcache]]</f>
        <v>387092.77771837916</v>
      </c>
      <c r="AF193" s="75">
        <f>Table1[[#This Row],[PPS]]*Table1[[#This Row],[Prefill]]/Table1[[#This Row],[In-Tok]]</f>
        <v>0.75903477836158362</v>
      </c>
      <c r="AG193" s="5">
        <f>Table1[[#This Row],[GPS]]*Table1[[#This Row],[ITL]]</f>
        <v>49.733198529922042</v>
      </c>
      <c r="AH193" s="5">
        <f>Table1[[#This Row],[Nprefill]]+Table1[[#This Row],[Ndecode]]</f>
        <v>50.492233308283623</v>
      </c>
      <c r="AI193" s="4">
        <f>Table1[[#This Row],[Run]]/Table1[[#This Row],[ITL]]/Table1[[#This Row],[GPS]]</f>
        <v>0.99043651350797146</v>
      </c>
      <c r="AJ193" s="10">
        <f>Table1[[#This Row],[Prefill]]+Table1[[#This Row],[ITL]]</f>
        <v>0.24619345659898428</v>
      </c>
      <c r="AK193" s="4">
        <f>Table1[[#This Row],[TTFT]]/Table1[[#This Row],[estTTFT]]</f>
        <v>2.1966755547841643</v>
      </c>
      <c r="AL193" s="5">
        <f>Table1[[#This Row],[In-Tok]]*Table1[[#This Row],[RPS]]/Table1[[#This Row],[PPS]]</f>
        <v>1.0719514052039625</v>
      </c>
      <c r="AM193" s="4">
        <f>Table1[[#This Row],[Prefill]]/Table1[[#This Row],[estPrefill]]</f>
        <v>0.19974599430567994</v>
      </c>
      <c r="AN193" s="4">
        <f>Table1[[#This Row],[Prefill]]/Table1[[#This Row],[TTFT]]</f>
        <v>0.39592302011462815</v>
      </c>
      <c r="AO193" s="10">
        <f>Table1[[#This Row],[Run]]/(Table1[[#This Row],[Out-Tok]]*Table1[[#This Row],[RPS]])</f>
        <v>2.5925039872408295E-2</v>
      </c>
      <c r="AP193" s="4">
        <f>Table1[[#This Row],[ITL]]/Table1[[#This Row],[estITL]]</f>
        <v>1.2372384951772242</v>
      </c>
      <c r="AQ193" s="44">
        <f>Table1[[#This Row],[E2E]]-Table1[[#This Row],[TTFT]]+Table1[[#This Row],[ITL]]</f>
        <v>15.802754357725108</v>
      </c>
      <c r="AR193" s="4">
        <f>Table1[[#This Row],[estDecode]]/Table1[[#This Row],[Run]]</f>
        <v>0.32081875964621875</v>
      </c>
      <c r="AS193" s="44">
        <f>Table1[[#This Row],[Prefill]]+Table1[[#This Row],[Out-Tok]]*Table1[[#This Row],[ITL]]</f>
        <v>16.251846658853822</v>
      </c>
      <c r="AT193" s="5">
        <f>Table1[[#This Row],[estPrefill]]+Table1[[#This Row],[Out-Tok]]*Table1[[#This Row],[ITL]]</f>
        <v>17.109680064777947</v>
      </c>
      <c r="AU193" s="4">
        <f>Table1[[#This Row],[E2E]]/Table1[[#This Row],[estE2E]]</f>
        <v>0.95334839614234823</v>
      </c>
      <c r="AV193" s="5">
        <f>Table1[[#This Row],[N]]/Table1[[#This Row],[estE2E]]</f>
        <v>2.951091611129955</v>
      </c>
      <c r="AW193" s="5">
        <f>Table1[[#This Row],[PPS]]/Table1[[#This Row],[In-Tok]]</f>
        <v>3.5449368148148146</v>
      </c>
      <c r="AX193" s="4">
        <f>Table1[[#This Row],[RPS]]/Table1[[#This Row],[RPS(IL)]]</f>
        <v>1.0719514052039625</v>
      </c>
      <c r="AY193" s="5">
        <f>Table1[[#This Row],[GPS]]/Table1[[#This Row],[Out-Tok]]</f>
        <v>3.1010125925925918</v>
      </c>
      <c r="AZ193" s="89">
        <f>Table1[[#This Row],[RPS]]/Table1[[#This Row],[RPS(OL)]]</f>
        <v>1.225406181541179</v>
      </c>
      <c r="BA193" s="135">
        <f>MaxTok/Table1[[#This Row],[tok/req]]</f>
        <v>73.88804990334387</v>
      </c>
      <c r="BB193" s="4">
        <f>Table1[[#This Row],[N]]/Table1[[#This Row],[N-max]]</f>
        <v>0.68336129285229052</v>
      </c>
      <c r="BC193" s="44">
        <f>Table1[[#This Row],[RPS]]</f>
        <v>3.7999999999999994</v>
      </c>
      <c r="BD193" s="47">
        <f>Table1[[#This Row],[PPS]]/Table1[[#This Row],[RPS success]]</f>
        <v>4664.3905458089675</v>
      </c>
      <c r="BE193" s="4">
        <f>ABS(Table1[[#This Row],[est-In-Tok3]]-Table1[[#This Row],[In-Tok]])/Table1[[#This Row],[In-Tok]]</f>
        <v>6.7121890838206494E-2</v>
      </c>
      <c r="BF193" s="47">
        <f>Table1[[#This Row],[GPS]]/Table1[[#This Row],[RPS success]]</f>
        <v>408.02797270955159</v>
      </c>
      <c r="BG193" s="4">
        <f>ABS(Table1[[#This Row],[est-Out-Tok3]]-Table1[[#This Row],[Out-Tok]])/Table1[[#This Row],[Out-Tok]]</f>
        <v>0.18394405458089683</v>
      </c>
      <c r="BH193" s="162">
        <f>Table1[[#This Row],[est-In-Tok3]]+AvgOutLoad*Table1[[#This Row],[est-Out-Tok3]]</f>
        <v>4868.4045321637432</v>
      </c>
      <c r="BI193" s="4">
        <f>ABS(Table1[[#This Row],[est-Tok/Req3]]-Table1[[#This Row],[tok/req]])/Table1[[#This Row],[tok/req]]</f>
        <v>7.2684851016429866E-2</v>
      </c>
      <c r="BJ193" s="162">
        <f>MaxTok/Table1[[#This Row],[est-Tok/Req3]]</f>
        <v>79.679545820353027</v>
      </c>
      <c r="BK193" s="4">
        <f>ABS(Table1[[#This Row],[est-N-max3]]-Table1[[#This Row],[N-max]])/Table1[[#This Row],[N-max]]</f>
        <v>7.8382037752860748E-2</v>
      </c>
      <c r="BL193" s="44">
        <f>MaxTok*Table1[[#This Row],[Kvcache]]/Table1[[#This Row],[Run]]</f>
        <v>5258.3047320106425</v>
      </c>
      <c r="BM193" s="170">
        <f>ABS(Table1[[#This Row],[est-Tok/Req]]-Table1[[#This Row],[tok/req]])/Table1[[#This Row],[tok/req]]</f>
        <v>1.5818537163128591E-3</v>
      </c>
      <c r="BN193" s="44">
        <f>MaxTok/Table1[[#This Row],[est-Tok/Req]]</f>
        <v>73.771354412209476</v>
      </c>
      <c r="BO193" s="180">
        <f>Table1[[#This Row],[Run]]/Table1[[#This Row],[Kvcache]]</f>
        <v>73.771354412209476</v>
      </c>
      <c r="BP193" s="4" cm="1">
        <f t="array" aca="1" ref="BP193" ca="1">_xlfn.CEILING.MATH(INDIRECT("Table1"&amp;BP$3)/BP$2)*BP$2</f>
        <v>6000</v>
      </c>
      <c r="BQ193" s="4" cm="1">
        <f t="array" aca="1" ref="BQ193" ca="1">_xlfn.CEILING.MATH(INDIRECT("Table1"&amp;BQ$3)/BQ$2)*BQ$2</f>
        <v>3.5000000000000003E-2</v>
      </c>
      <c r="BR193" s="4" cm="1">
        <f t="array" aca="1" ref="BR193" ca="1">_xlfn.CEILING.MATH(INDIRECT("Table1"&amp;BR$3)/BR$2)*BR$2</f>
        <v>0.70000000000000007</v>
      </c>
      <c r="BS193" s="4" cm="1">
        <f t="array" aca="1" ref="BS193" ca="1">_xlfn.CEILING.MATH(INDIRECT("Table1"&amp;BS$3)/BS$2)*BS$2</f>
        <v>0.67</v>
      </c>
      <c r="BT193" s="3" cm="1">
        <f t="array" aca="1" ref="BT193" ca="1">_xlfn.CEILING.MATH(INDIRECT("Table1"&amp;BT$3)/BT$2)*BT$2</f>
        <v>50</v>
      </c>
      <c r="BU193" s="135" cm="1">
        <f t="array" aca="1" ref="BU193" ca="1">_xlfn.CEILING.MATH(INDIRECT("Table1"&amp;BU$3)/BU$2)*BU$2</f>
        <v>10</v>
      </c>
      <c r="BV193" s="135" cm="1">
        <f t="array" aca="1" ref="BV193" ca="1">_xlfn.CEILING.MATH(INDIRECT("Table1"&amp;BV$3)/BV$2)*BV$2</f>
        <v>5000</v>
      </c>
      <c r="BW193" s="4"/>
      <c r="BX193" s="4"/>
      <c r="BY193" s="217"/>
      <c r="BZ193" s="4"/>
      <c r="CA193" s="3"/>
      <c r="CF193" s="5"/>
      <c r="CH193" s="8"/>
      <c r="CI193" s="8"/>
      <c r="CJ193" s="14"/>
      <c r="CK193" s="8"/>
      <c r="CL193" s="8"/>
      <c r="CM193" s="8"/>
      <c r="CN193" s="8"/>
      <c r="CO193" s="8"/>
      <c r="CP193" s="8"/>
      <c r="CQ193" s="8">
        <f>Table1[[#This Row],[In-Tok]]+AvgOutLoad*Table1[[#This Row],[Out-Tok]]</f>
        <v>5250</v>
      </c>
      <c r="CR193" s="8"/>
      <c r="CS193" s="8"/>
      <c r="CT193" s="8"/>
      <c r="CU193" s="8"/>
      <c r="CV193" s="8"/>
      <c r="CW193" s="8"/>
      <c r="CX193" s="8"/>
      <c r="CY193" s="8"/>
    </row>
    <row r="194" spans="1:103" hidden="1" x14ac:dyDescent="0.25">
      <c r="A194" s="26">
        <v>5000</v>
      </c>
      <c r="B194" s="3">
        <v>500</v>
      </c>
      <c r="C194" s="123">
        <v>4</v>
      </c>
      <c r="D194" s="216">
        <f>Table1[[#This Row],[Kvcache]]</f>
        <v>0.73148623551261249</v>
      </c>
      <c r="E194" s="170" t="s">
        <v>155</v>
      </c>
      <c r="F194" s="218">
        <v>46104</v>
      </c>
      <c r="G194" s="10">
        <v>0</v>
      </c>
      <c r="H194" s="10">
        <v>1.149897804509137</v>
      </c>
      <c r="I194" s="10">
        <v>0.22371002404670326</v>
      </c>
      <c r="J194" s="10">
        <v>1.1751349602912449</v>
      </c>
      <c r="K194" s="10">
        <v>3.1835436304410294</v>
      </c>
      <c r="L194" s="10">
        <v>3.5025482034683226</v>
      </c>
      <c r="M194" s="10">
        <v>3.5467753659058965E-2</v>
      </c>
      <c r="N194" s="10">
        <v>18.734429960703881</v>
      </c>
      <c r="O194" s="47">
        <v>17681.234814814812</v>
      </c>
      <c r="P194" s="47">
        <v>1595.5107407407406</v>
      </c>
      <c r="Q194" s="5">
        <v>54.021212121212123</v>
      </c>
      <c r="R194" s="5">
        <v>73.333333333333329</v>
      </c>
      <c r="S194" s="170">
        <v>0.73148623551261249</v>
      </c>
      <c r="T194" s="170">
        <v>0.99200930954228073</v>
      </c>
      <c r="U194" s="3">
        <f>(Table1[[#This Row],[In-Tok]]+Table1[[#This Row],[Out-Tok]])*Table1[[#This Row],[RPS]]</f>
        <v>22000</v>
      </c>
      <c r="V194" s="3">
        <f>Table1[[#This Row],[In-Tok]]+$V$2*Table1[[#This Row],[Out-Tok]]</f>
        <v>5250</v>
      </c>
      <c r="W194" s="3">
        <f>Table1[[#This Row],[In-Tok]]*Table1[[#This Row],[RPS]]</f>
        <v>20000</v>
      </c>
      <c r="X194" s="3">
        <f>Table1[[#This Row],[Out-Tok]]*Table1[[#This Row],[RPS]]</f>
        <v>2000</v>
      </c>
      <c r="Y194" s="75">
        <f>Table1[[#This Row],[In-Tok]]/Table1[[#This Row],[Out-Tok]]</f>
        <v>10</v>
      </c>
      <c r="Z194" s="26">
        <f>Table1[[#This Row],[In-Tok]]*Table1[[#This Row],[N]]+AvgOutLoad*Table1[[#This Row],[Out-Tok]]*Table1[[#This Row],[Ndecode]]</f>
        <v>301048.6745087179</v>
      </c>
      <c r="AA194" s="3">
        <f>Table1[[#This Row],[tok(N)]]/Table1[[#This Row],[Kvcache]]</f>
        <v>411557.53846516111</v>
      </c>
      <c r="AB194" s="3">
        <f>Table1[[#This Row],[tok/req]]*Table1[[#This Row],[Run]]</f>
        <v>283611.36363636365</v>
      </c>
      <c r="AC194" s="3">
        <f>Table1[[#This Row],[tok(Run)]]/Table1[[#This Row],[Kvcache]]</f>
        <v>387719.34435323154</v>
      </c>
      <c r="AD194" s="3">
        <f>Table1[[#This Row],[tok/req]]*Table1[[#This Row],[MaxRun]]</f>
        <v>385000</v>
      </c>
      <c r="AE194" s="3">
        <f>Table1[[#This Row],[tok(MaxRun)]]/Table1[[#This Row],[MaxKvcache]]</f>
        <v>388101.19652772351</v>
      </c>
      <c r="AF194" s="75">
        <f>Table1[[#This Row],[PPS]]*Table1[[#This Row],[Prefill]]/Table1[[#This Row],[In-Tok]]</f>
        <v>0.79109389311952572</v>
      </c>
      <c r="AG194" s="5">
        <f>Table1[[#This Row],[GPS]]*Table1[[#This Row],[ITL]]</f>
        <v>56.589181912975285</v>
      </c>
      <c r="AH194" s="5">
        <f>Table1[[#This Row],[Nprefill]]+Table1[[#This Row],[Ndecode]]</f>
        <v>57.380275806094808</v>
      </c>
      <c r="AI194" s="4">
        <f>Table1[[#This Row],[Run]]/Table1[[#This Row],[ITL]]/Table1[[#This Row],[GPS]]</f>
        <v>0.9546208355563035</v>
      </c>
      <c r="AJ194" s="10">
        <f>Table1[[#This Row],[Prefill]]+Table1[[#This Row],[ITL]]</f>
        <v>0.25917777770576222</v>
      </c>
      <c r="AK194" s="4">
        <f>Table1[[#This Row],[TTFT]]/Table1[[#This Row],[estTTFT]]</f>
        <v>4.4367145003248929</v>
      </c>
      <c r="AL194" s="5">
        <f>Table1[[#This Row],[In-Tok]]*Table1[[#This Row],[RPS]]/Table1[[#This Row],[PPS]]</f>
        <v>1.1311427176591951</v>
      </c>
      <c r="AM194" s="4">
        <f>Table1[[#This Row],[Prefill]]/Table1[[#This Row],[estPrefill]]</f>
        <v>0.1977734732798814</v>
      </c>
      <c r="AN194" s="4">
        <f>Table1[[#This Row],[Prefill]]/Table1[[#This Row],[TTFT]]</f>
        <v>0.1945477443034162</v>
      </c>
      <c r="AO194" s="10">
        <f>Table1[[#This Row],[Run]]/(Table1[[#This Row],[Out-Tok]]*Table1[[#This Row],[RPS]])</f>
        <v>2.7010606060606061E-2</v>
      </c>
      <c r="AP194" s="4">
        <f>Table1[[#This Row],[ITL]]/Table1[[#This Row],[estITL]]</f>
        <v>1.3131046959656092</v>
      </c>
      <c r="AQ194" s="44">
        <f>Table1[[#This Row],[E2E]]-Table1[[#This Row],[TTFT]]+Table1[[#This Row],[ITL]]</f>
        <v>17.619999909853803</v>
      </c>
      <c r="AR194" s="4">
        <f>Table1[[#This Row],[estDecode]]/Table1[[#This Row],[Run]]</f>
        <v>0.32616817020540501</v>
      </c>
      <c r="AS194" s="44">
        <f>Table1[[#This Row],[Prefill]]+Table1[[#This Row],[Out-Tok]]*Table1[[#This Row],[ITL]]</f>
        <v>17.957586853576185</v>
      </c>
      <c r="AT194" s="5">
        <f>Table1[[#This Row],[estPrefill]]+Table1[[#This Row],[Out-Tok]]*Table1[[#This Row],[ITL]]</f>
        <v>18.865019547188677</v>
      </c>
      <c r="AU194" s="4">
        <f>Table1[[#This Row],[E2E]]/Table1[[#This Row],[estE2E]]</f>
        <v>0.9930776861291799</v>
      </c>
      <c r="AV194" s="5">
        <f>Table1[[#This Row],[N]]/Table1[[#This Row],[estE2E]]</f>
        <v>3.0416229181509538</v>
      </c>
      <c r="AW194" s="5">
        <f>Table1[[#This Row],[PPS]]/Table1[[#This Row],[In-Tok]]</f>
        <v>3.5362469629629625</v>
      </c>
      <c r="AX194" s="4">
        <f>Table1[[#This Row],[RPS]]/Table1[[#This Row],[RPS(IL)]]</f>
        <v>1.1311427176591951</v>
      </c>
      <c r="AY194" s="5">
        <f>Table1[[#This Row],[GPS]]/Table1[[#This Row],[Out-Tok]]</f>
        <v>3.1910214814814815</v>
      </c>
      <c r="AZ194" s="89">
        <f>Table1[[#This Row],[RPS]]/Table1[[#This Row],[RPS(OL)]]</f>
        <v>1.2535171020355957</v>
      </c>
      <c r="BA194" s="135">
        <f>MaxTok/Table1[[#This Row],[tok/req]]</f>
        <v>73.88804990334387</v>
      </c>
      <c r="BB194" s="4">
        <f>Table1[[#This Row],[N]]/Table1[[#This Row],[N-max]]</f>
        <v>0.77658397915706812</v>
      </c>
      <c r="BC194" s="44">
        <f>Table1[[#This Row],[RPS]]</f>
        <v>4</v>
      </c>
      <c r="BD194" s="47">
        <f>Table1[[#This Row],[PPS]]/Table1[[#This Row],[RPS success]]</f>
        <v>4420.308703703703</v>
      </c>
      <c r="BE194" s="4">
        <f>ABS(Table1[[#This Row],[est-In-Tok3]]-Table1[[#This Row],[In-Tok]])/Table1[[#This Row],[In-Tok]]</f>
        <v>0.11593825925925939</v>
      </c>
      <c r="BF194" s="47">
        <f>Table1[[#This Row],[GPS]]/Table1[[#This Row],[RPS success]]</f>
        <v>398.87768518518516</v>
      </c>
      <c r="BG194" s="4">
        <f>ABS(Table1[[#This Row],[est-Out-Tok3]]-Table1[[#This Row],[Out-Tok]])/Table1[[#This Row],[Out-Tok]]</f>
        <v>0.20224462962962969</v>
      </c>
      <c r="BH194" s="162">
        <f>Table1[[#This Row],[est-In-Tok3]]+AvgOutLoad*Table1[[#This Row],[est-Out-Tok3]]</f>
        <v>4619.7475462962957</v>
      </c>
      <c r="BI194" s="4">
        <f>ABS(Table1[[#This Row],[est-Tok/Req3]]-Table1[[#This Row],[tok/req]])/Table1[[#This Row],[tok/req]]</f>
        <v>0.1200480864197532</v>
      </c>
      <c r="BJ194" s="162">
        <f>MaxTok/Table1[[#This Row],[est-Tok/Req3]]</f>
        <v>83.968281406101724</v>
      </c>
      <c r="BK194" s="4">
        <f>ABS(Table1[[#This Row],[est-N-max3]]-Table1[[#This Row],[N-max]])/Table1[[#This Row],[N-max]]</f>
        <v>0.13642573482375348</v>
      </c>
      <c r="BL194" s="44">
        <f>MaxTok*Table1[[#This Row],[Kvcache]]/Table1[[#This Row],[Run]]</f>
        <v>5252.6122441946745</v>
      </c>
      <c r="BM194" s="170">
        <f>ABS(Table1[[#This Row],[est-Tok/Req]]-Table1[[#This Row],[tok/req]])/Table1[[#This Row],[tok/req]]</f>
        <v>4.9757032279514881E-4</v>
      </c>
      <c r="BN194" s="44">
        <f>MaxTok/Table1[[#This Row],[est-Tok/Req]]</f>
        <v>73.851303686329814</v>
      </c>
      <c r="BO194" s="180">
        <f>Table1[[#This Row],[Run]]/Table1[[#This Row],[Kvcache]]</f>
        <v>73.851303686329828</v>
      </c>
      <c r="BP194" s="4" cm="1">
        <f t="array" aca="1" ref="BP194" ca="1">_xlfn.CEILING.MATH(INDIRECT("Table1"&amp;BP$3)/BP$2)*BP$2</f>
        <v>6000</v>
      </c>
      <c r="BQ194" s="4" cm="1">
        <f t="array" aca="1" ref="BQ194" ca="1">_xlfn.CEILING.MATH(INDIRECT("Table1"&amp;BQ$3)/BQ$2)*BQ$2</f>
        <v>0.04</v>
      </c>
      <c r="BR194" s="4" cm="1">
        <f t="array" aca="1" ref="BR194" ca="1">_xlfn.CEILING.MATH(INDIRECT("Table1"&amp;BR$3)/BR$2)*BR$2</f>
        <v>0.8</v>
      </c>
      <c r="BS194" s="4" cm="1">
        <f t="array" aca="1" ref="BS194" ca="1">_xlfn.CEILING.MATH(INDIRECT("Table1"&amp;BS$3)/BS$2)*BS$2</f>
        <v>0.74</v>
      </c>
      <c r="BT194" s="3" cm="1">
        <f t="array" aca="1" ref="BT194" ca="1">_xlfn.CEILING.MATH(INDIRECT("Table1"&amp;BT$3)/BT$2)*BT$2</f>
        <v>55</v>
      </c>
      <c r="BU194" s="135" cm="1">
        <f t="array" aca="1" ref="BU194" ca="1">_xlfn.CEILING.MATH(INDIRECT("Table1"&amp;BU$3)/BU$2)*BU$2</f>
        <v>10</v>
      </c>
      <c r="BV194" s="135" cm="1">
        <f t="array" aca="1" ref="BV194" ca="1">_xlfn.CEILING.MATH(INDIRECT("Table1"&amp;BV$3)/BV$2)*BV$2</f>
        <v>5000</v>
      </c>
      <c r="BW194" s="4"/>
      <c r="BX194" s="4"/>
      <c r="BY194" s="217"/>
      <c r="BZ194" s="4"/>
      <c r="CA194" s="3"/>
      <c r="CF194" s="5"/>
      <c r="CH194" s="8"/>
      <c r="CI194" s="8"/>
      <c r="CJ194" s="14"/>
      <c r="CK194" s="8"/>
      <c r="CL194" s="8"/>
      <c r="CM194" s="8"/>
      <c r="CN194" s="8"/>
      <c r="CO194" s="8"/>
      <c r="CP194" s="8"/>
      <c r="CQ194" s="8">
        <f>Table1[[#This Row],[In-Tok]]+AvgOutLoad*Table1[[#This Row],[Out-Tok]]</f>
        <v>5250</v>
      </c>
      <c r="CR194" s="8"/>
      <c r="CS194" s="8"/>
      <c r="CT194" s="8"/>
      <c r="CU194" s="8"/>
      <c r="CV194" s="8"/>
      <c r="CW194" s="8"/>
      <c r="CX194" s="8"/>
      <c r="CY194" s="8"/>
    </row>
    <row r="195" spans="1:103" hidden="1" x14ac:dyDescent="0.25">
      <c r="A195" s="26">
        <v>5000</v>
      </c>
      <c r="B195" s="3">
        <v>500</v>
      </c>
      <c r="C195" s="123">
        <v>4.2</v>
      </c>
      <c r="D195" s="216">
        <f>Table1[[#This Row],[Kvcache]]</f>
        <v>0.74013270799539244</v>
      </c>
      <c r="E195" s="170" t="s">
        <v>155</v>
      </c>
      <c r="F195" s="218">
        <v>46104</v>
      </c>
      <c r="G195" s="10">
        <v>0</v>
      </c>
      <c r="H195" s="10">
        <v>2.4315640648223229</v>
      </c>
      <c r="I195" s="10">
        <v>0.22094525694475095</v>
      </c>
      <c r="J195" s="10">
        <v>2.4870183761505129</v>
      </c>
      <c r="K195" s="10">
        <v>7.6289049784342451</v>
      </c>
      <c r="L195" s="10">
        <v>8.0361394373575852</v>
      </c>
      <c r="M195" s="10">
        <v>3.6406629601579137E-2</v>
      </c>
      <c r="N195" s="10">
        <v>20.132399597274041</v>
      </c>
      <c r="O195" s="47">
        <v>17488.774276094275</v>
      </c>
      <c r="P195" s="47">
        <v>1560.2615824915822</v>
      </c>
      <c r="Q195" s="5">
        <v>54.597979797979797</v>
      </c>
      <c r="R195" s="5">
        <v>73.666666666666671</v>
      </c>
      <c r="S195" s="170">
        <v>0.74013270799539244</v>
      </c>
      <c r="T195" s="170">
        <v>0.99627618308766486</v>
      </c>
      <c r="U195" s="3">
        <f>(Table1[[#This Row],[In-Tok]]+Table1[[#This Row],[Out-Tok]])*Table1[[#This Row],[RPS]]</f>
        <v>23100</v>
      </c>
      <c r="V195" s="3">
        <f>Table1[[#This Row],[In-Tok]]+$V$2*Table1[[#This Row],[Out-Tok]]</f>
        <v>5250</v>
      </c>
      <c r="W195" s="3">
        <f>Table1[[#This Row],[In-Tok]]*Table1[[#This Row],[RPS]]</f>
        <v>21000</v>
      </c>
      <c r="X195" s="3">
        <f>Table1[[#This Row],[Out-Tok]]*Table1[[#This Row],[RPS]]</f>
        <v>2100</v>
      </c>
      <c r="Y195" s="75">
        <f>Table1[[#This Row],[In-Tok]]/Table1[[#This Row],[Out-Tok]]</f>
        <v>10</v>
      </c>
      <c r="Z195" s="26">
        <f>Table1[[#This Row],[In-Tok]]*Table1[[#This Row],[N]]+AvgOutLoad*Table1[[#This Row],[Out-Tok]]*Table1[[#This Row],[Ndecode]]</f>
        <v>302084.35568164033</v>
      </c>
      <c r="AA195" s="3">
        <f>Table1[[#This Row],[tok(N)]]/Table1[[#This Row],[Kvcache]]</f>
        <v>408148.90683566564</v>
      </c>
      <c r="AB195" s="3">
        <f>Table1[[#This Row],[tok/req]]*Table1[[#This Row],[Run]]</f>
        <v>286639.39393939392</v>
      </c>
      <c r="AC195" s="3">
        <f>Table1[[#This Row],[tok(Run)]]/Table1[[#This Row],[Kvcache]]</f>
        <v>387281.07924826146</v>
      </c>
      <c r="AD195" s="3">
        <f>Table1[[#This Row],[tok/req]]*Table1[[#This Row],[MaxRun]]</f>
        <v>386750</v>
      </c>
      <c r="AE195" s="3">
        <f>Table1[[#This Row],[tok(MaxRun)]]/Table1[[#This Row],[MaxKvcache]]</f>
        <v>388195.56922597723</v>
      </c>
      <c r="AF195" s="75">
        <f>Table1[[#This Row],[PPS]]*Table1[[#This Row],[Prefill]]/Table1[[#This Row],[In-Tok]]</f>
        <v>0.77281234521608</v>
      </c>
      <c r="AG195" s="5">
        <f>Table1[[#This Row],[GPS]]*Table1[[#This Row],[ITL]]</f>
        <v>56.803865515344746</v>
      </c>
      <c r="AH195" s="5">
        <f>Table1[[#This Row],[Nprefill]]+Table1[[#This Row],[Ndecode]]</f>
        <v>57.576677860560828</v>
      </c>
      <c r="AI195" s="4">
        <f>Table1[[#This Row],[Run]]/Table1[[#This Row],[ITL]]/Table1[[#This Row],[GPS]]</f>
        <v>0.9611666266485146</v>
      </c>
      <c r="AJ195" s="10">
        <f>Table1[[#This Row],[Prefill]]+Table1[[#This Row],[ITL]]</f>
        <v>0.25735188654633007</v>
      </c>
      <c r="AK195" s="4">
        <f>Table1[[#This Row],[TTFT]]/Table1[[#This Row],[estTTFT]]</f>
        <v>9.4484019427795332</v>
      </c>
      <c r="AL195" s="5">
        <f>Table1[[#This Row],[In-Tok]]*Table1[[#This Row],[RPS]]/Table1[[#This Row],[PPS]]</f>
        <v>1.2007702580223294</v>
      </c>
      <c r="AM195" s="4">
        <f>Table1[[#This Row],[Prefill]]/Table1[[#This Row],[estPrefill]]</f>
        <v>0.18400293933716191</v>
      </c>
      <c r="AN195" s="4">
        <f>Table1[[#This Row],[Prefill]]/Table1[[#This Row],[TTFT]]</f>
        <v>9.0865488654478729E-2</v>
      </c>
      <c r="AO195" s="10">
        <f>Table1[[#This Row],[Run]]/(Table1[[#This Row],[Out-Tok]]*Table1[[#This Row],[RPS]])</f>
        <v>2.5999037999037997E-2</v>
      </c>
      <c r="AP195" s="4">
        <f>Table1[[#This Row],[ITL]]/Table1[[#This Row],[estITL]]</f>
        <v>1.4003067960793871</v>
      </c>
      <c r="AQ195" s="44">
        <f>Table1[[#This Row],[E2E]]-Table1[[#This Row],[TTFT]]+Table1[[#This Row],[ITL]]</f>
        <v>17.737242162053299</v>
      </c>
      <c r="AR195" s="4">
        <f>Table1[[#This Row],[estDecode]]/Table1[[#This Row],[Run]]</f>
        <v>0.32486993525554592</v>
      </c>
      <c r="AS195" s="44">
        <f>Table1[[#This Row],[Prefill]]+Table1[[#This Row],[Out-Tok]]*Table1[[#This Row],[ITL]]</f>
        <v>18.424260057734319</v>
      </c>
      <c r="AT195" s="5">
        <f>Table1[[#This Row],[estPrefill]]+Table1[[#This Row],[Out-Tok]]*Table1[[#This Row],[ITL]]</f>
        <v>19.404085058811898</v>
      </c>
      <c r="AU195" s="4">
        <f>Table1[[#This Row],[E2E]]/Table1[[#This Row],[estE2E]]</f>
        <v>1.0375340829652464</v>
      </c>
      <c r="AV195" s="5">
        <f>Table1[[#This Row],[N]]/Table1[[#This Row],[estE2E]]</f>
        <v>2.9672451798707082</v>
      </c>
      <c r="AW195" s="5">
        <f>Table1[[#This Row],[PPS]]/Table1[[#This Row],[In-Tok]]</f>
        <v>3.4977548552188549</v>
      </c>
      <c r="AX195" s="4">
        <f>Table1[[#This Row],[RPS]]/Table1[[#This Row],[RPS(IL)]]</f>
        <v>1.2007702580223296</v>
      </c>
      <c r="AY195" s="5">
        <f>Table1[[#This Row],[GPS]]/Table1[[#This Row],[Out-Tok]]</f>
        <v>3.1205231649831644</v>
      </c>
      <c r="AZ195" s="89">
        <f>Table1[[#This Row],[RPS]]/Table1[[#This Row],[RPS(OL)]]</f>
        <v>1.3459281594606138</v>
      </c>
      <c r="BA195" s="135">
        <f>MaxTok/Table1[[#This Row],[tok/req]]</f>
        <v>73.88804990334387</v>
      </c>
      <c r="BB195" s="4">
        <f>Table1[[#This Row],[N]]/Table1[[#This Row],[N-max]]</f>
        <v>0.7792420822565943</v>
      </c>
      <c r="BC195" s="44">
        <f>Table1[[#This Row],[RPS]]</f>
        <v>4.2</v>
      </c>
      <c r="BD195" s="47">
        <f>Table1[[#This Row],[PPS]]/Table1[[#This Row],[RPS success]]</f>
        <v>4163.9938752605412</v>
      </c>
      <c r="BE195" s="4">
        <f>ABS(Table1[[#This Row],[est-In-Tok3]]-Table1[[#This Row],[In-Tok]])/Table1[[#This Row],[In-Tok]]</f>
        <v>0.16720122494789175</v>
      </c>
      <c r="BF195" s="47">
        <f>Table1[[#This Row],[GPS]]/Table1[[#This Row],[RPS success]]</f>
        <v>371.49085297418623</v>
      </c>
      <c r="BG195" s="4">
        <f>ABS(Table1[[#This Row],[est-Out-Tok3]]-Table1[[#This Row],[Out-Tok]])/Table1[[#This Row],[Out-Tok]]</f>
        <v>0.25701829405162757</v>
      </c>
      <c r="BH195" s="162">
        <f>Table1[[#This Row],[est-In-Tok3]]+AvgOutLoad*Table1[[#This Row],[est-Out-Tok3]]</f>
        <v>4349.7393017476343</v>
      </c>
      <c r="BI195" s="4">
        <f>ABS(Table1[[#This Row],[est-Tok/Req3]]-Table1[[#This Row],[tok/req]])/Table1[[#This Row],[tok/req]]</f>
        <v>0.17147822823854586</v>
      </c>
      <c r="BJ195" s="162">
        <f>MaxTok/Table1[[#This Row],[est-Tok/Req3]]</f>
        <v>89.180577290390772</v>
      </c>
      <c r="BK195" s="4">
        <f>ABS(Table1[[#This Row],[est-N-max3]]-Table1[[#This Row],[N-max]])/Table1[[#This Row],[N-max]]</f>
        <v>0.20696888613316652</v>
      </c>
      <c r="BL195" s="44">
        <f>MaxTok*Table1[[#This Row],[Kvcache]]/Table1[[#This Row],[Run]]</f>
        <v>5258.5563421119741</v>
      </c>
      <c r="BM195" s="170">
        <f>ABS(Table1[[#This Row],[est-Tok/Req]]-Table1[[#This Row],[tok/req]])/Table1[[#This Row],[tok/req]]</f>
        <v>1.6297794498998321E-3</v>
      </c>
      <c r="BN195" s="44">
        <f>MaxTok/Table1[[#This Row],[est-Tok/Req]]</f>
        <v>73.76782461871646</v>
      </c>
      <c r="BO195" s="180">
        <f>Table1[[#This Row],[Run]]/Table1[[#This Row],[Kvcache]]</f>
        <v>73.76782461871646</v>
      </c>
      <c r="BP195" s="4" cm="1">
        <f t="array" aca="1" ref="BP195" ca="1">_xlfn.CEILING.MATH(INDIRECT("Table1"&amp;BP$3)/BP$2)*BP$2</f>
        <v>6000</v>
      </c>
      <c r="BQ195" s="4" cm="1">
        <f t="array" aca="1" ref="BQ195" ca="1">_xlfn.CEILING.MATH(INDIRECT("Table1"&amp;BQ$3)/BQ$2)*BQ$2</f>
        <v>0.04</v>
      </c>
      <c r="BR195" s="4" cm="1">
        <f t="array" aca="1" ref="BR195" ca="1">_xlfn.CEILING.MATH(INDIRECT("Table1"&amp;BR$3)/BR$2)*BR$2</f>
        <v>0.8</v>
      </c>
      <c r="BS195" s="4" cm="1">
        <f t="array" aca="1" ref="BS195" ca="1">_xlfn.CEILING.MATH(INDIRECT("Table1"&amp;BS$3)/BS$2)*BS$2</f>
        <v>0.75</v>
      </c>
      <c r="BT195" s="3" cm="1">
        <f t="array" aca="1" ref="BT195" ca="1">_xlfn.CEILING.MATH(INDIRECT("Table1"&amp;BT$3)/BT$2)*BT$2</f>
        <v>55</v>
      </c>
      <c r="BU195" s="135" cm="1">
        <f t="array" aca="1" ref="BU195" ca="1">_xlfn.CEILING.MATH(INDIRECT("Table1"&amp;BU$3)/BU$2)*BU$2</f>
        <v>10</v>
      </c>
      <c r="BV195" s="135" cm="1">
        <f t="array" aca="1" ref="BV195" ca="1">_xlfn.CEILING.MATH(INDIRECT("Table1"&amp;BV$3)/BV$2)*BV$2</f>
        <v>5000</v>
      </c>
      <c r="BW195" s="4"/>
      <c r="BX195" s="4"/>
      <c r="BY195" s="217"/>
      <c r="BZ195" s="4"/>
      <c r="CA195" s="3"/>
      <c r="CF195" s="5"/>
      <c r="CH195" s="8"/>
      <c r="CI195" s="8"/>
      <c r="CJ195" s="14"/>
      <c r="CK195" s="8"/>
      <c r="CL195" s="8"/>
      <c r="CM195" s="8"/>
      <c r="CN195" s="8"/>
      <c r="CO195" s="8"/>
      <c r="CP195" s="8"/>
      <c r="CQ195" s="8">
        <f>Table1[[#This Row],[In-Tok]]+AvgOutLoad*Table1[[#This Row],[Out-Tok]]</f>
        <v>5250</v>
      </c>
      <c r="CR195" s="8"/>
      <c r="CS195" s="8"/>
      <c r="CT195" s="8"/>
      <c r="CU195" s="8"/>
      <c r="CV195" s="8"/>
      <c r="CW195" s="8"/>
      <c r="CX195" s="8"/>
      <c r="CY195" s="8"/>
    </row>
    <row r="196" spans="1:103" hidden="1" x14ac:dyDescent="0.25">
      <c r="A196" s="26">
        <v>5000</v>
      </c>
      <c r="B196" s="3">
        <v>500</v>
      </c>
      <c r="C196" s="123">
        <v>4.4000000000000004</v>
      </c>
      <c r="D196" s="216">
        <f>Table1[[#This Row],[Kvcache]]</f>
        <v>0.8100524249476927</v>
      </c>
      <c r="E196" s="170" t="s">
        <v>155</v>
      </c>
      <c r="F196" s="218">
        <v>46104</v>
      </c>
      <c r="G196" s="10">
        <v>0</v>
      </c>
      <c r="H196" s="10">
        <v>2.7778853095319236</v>
      </c>
      <c r="I196" s="10">
        <v>0.25435601002728703</v>
      </c>
      <c r="J196" s="10">
        <v>2.8458177344469866</v>
      </c>
      <c r="K196" s="10">
        <v>8.3186555544535317</v>
      </c>
      <c r="L196" s="10">
        <v>9.7766709915796941</v>
      </c>
      <c r="M196" s="10">
        <v>3.8827688708399657E-2</v>
      </c>
      <c r="N196" s="10">
        <v>21.401213790635577</v>
      </c>
      <c r="O196" s="47">
        <v>18153.696666666667</v>
      </c>
      <c r="P196" s="47">
        <v>1576.6599999999999</v>
      </c>
      <c r="Q196" s="5">
        <v>59.787878787878789</v>
      </c>
      <c r="R196" s="5">
        <v>74</v>
      </c>
      <c r="S196" s="170">
        <v>0.8100524249476927</v>
      </c>
      <c r="T196" s="170">
        <v>0.99738815619343157</v>
      </c>
      <c r="U196" s="3">
        <f>(Table1[[#This Row],[In-Tok]]+Table1[[#This Row],[Out-Tok]])*Table1[[#This Row],[RPS]]</f>
        <v>24200.000000000004</v>
      </c>
      <c r="V196" s="3">
        <f>Table1[[#This Row],[In-Tok]]+$V$2*Table1[[#This Row],[Out-Tok]]</f>
        <v>5250</v>
      </c>
      <c r="W196" s="3">
        <f>Table1[[#This Row],[In-Tok]]*Table1[[#This Row],[RPS]]</f>
        <v>22000</v>
      </c>
      <c r="X196" s="3">
        <f>Table1[[#This Row],[Out-Tok]]*Table1[[#This Row],[RPS]]</f>
        <v>2200</v>
      </c>
      <c r="Y196" s="75">
        <f>Table1[[#This Row],[In-Tok]]/Table1[[#This Row],[Out-Tok]]</f>
        <v>10</v>
      </c>
      <c r="Z196" s="26">
        <f>Table1[[#This Row],[In-Tok]]*Table1[[#This Row],[N]]+AvgOutLoad*Table1[[#This Row],[Out-Tok]]*Table1[[#This Row],[Ndecode]]</f>
        <v>326012.33616605232</v>
      </c>
      <c r="AA196" s="3">
        <f>Table1[[#This Row],[tok(N)]]/Table1[[#This Row],[Kvcache]]</f>
        <v>402458.31766641996</v>
      </c>
      <c r="AB196" s="3">
        <f>Table1[[#This Row],[tok/req]]*Table1[[#This Row],[Run]]</f>
        <v>313886.36363636365</v>
      </c>
      <c r="AC196" s="3">
        <f>Table1[[#This Row],[tok(Run)]]/Table1[[#This Row],[Kvcache]]</f>
        <v>387488.95005978429</v>
      </c>
      <c r="AD196" s="3">
        <f>Table1[[#This Row],[tok/req]]*Table1[[#This Row],[MaxRun]]</f>
        <v>388500</v>
      </c>
      <c r="AE196" s="3">
        <f>Table1[[#This Row],[tok(MaxRun)]]/Table1[[#This Row],[MaxKvcache]]</f>
        <v>389517.35850035003</v>
      </c>
      <c r="AF196" s="75">
        <f>Table1[[#This Row],[PPS]]*Table1[[#This Row],[Prefill]]/Table1[[#This Row],[In-Tok]]</f>
        <v>0.92350037027579879</v>
      </c>
      <c r="AG196" s="5">
        <f>Table1[[#This Row],[GPS]]*Table1[[#This Row],[ITL]]</f>
        <v>61.218063678985395</v>
      </c>
      <c r="AH196" s="5">
        <f>Table1[[#This Row],[Nprefill]]+Table1[[#This Row],[Ndecode]]</f>
        <v>62.141564049261191</v>
      </c>
      <c r="AI196" s="4">
        <f>Table1[[#This Row],[Run]]/Table1[[#This Row],[ITL]]/Table1[[#This Row],[GPS]]</f>
        <v>0.97663786135729147</v>
      </c>
      <c r="AJ196" s="10">
        <f>Table1[[#This Row],[Prefill]]+Table1[[#This Row],[ITL]]</f>
        <v>0.29318369873568667</v>
      </c>
      <c r="AK196" s="4">
        <f>Table1[[#This Row],[TTFT]]/Table1[[#This Row],[estTTFT]]</f>
        <v>9.4748968701573855</v>
      </c>
      <c r="AL196" s="5">
        <f>Table1[[#This Row],[In-Tok]]*Table1[[#This Row],[RPS]]/Table1[[#This Row],[PPS]]</f>
        <v>1.211874385914788</v>
      </c>
      <c r="AM196" s="4">
        <f>Table1[[#This Row],[Prefill]]/Table1[[#This Row],[estPrefill]]</f>
        <v>0.20988644778995424</v>
      </c>
      <c r="AN196" s="4">
        <f>Table1[[#This Row],[Prefill]]/Table1[[#This Row],[TTFT]]</f>
        <v>9.1564619012347304E-2</v>
      </c>
      <c r="AO196" s="10">
        <f>Table1[[#This Row],[Run]]/(Table1[[#This Row],[Out-Tok]]*Table1[[#This Row],[RPS]])</f>
        <v>2.7176308539944904E-2</v>
      </c>
      <c r="AP196" s="4">
        <f>Table1[[#This Row],[ITL]]/Table1[[#This Row],[estITL]]</f>
        <v>1.4287329955548986</v>
      </c>
      <c r="AQ196" s="44">
        <f>Table1[[#This Row],[E2E]]-Table1[[#This Row],[TTFT]]+Table1[[#This Row],[ITL]]</f>
        <v>18.66215616981205</v>
      </c>
      <c r="AR196" s="4">
        <f>Table1[[#This Row],[estDecode]]/Table1[[#This Row],[Run]]</f>
        <v>0.31213945950521926</v>
      </c>
      <c r="AS196" s="44">
        <f>Table1[[#This Row],[Prefill]]+Table1[[#This Row],[Out-Tok]]*Table1[[#This Row],[ITL]]</f>
        <v>19.668200364227115</v>
      </c>
      <c r="AT196" s="5">
        <f>Table1[[#This Row],[estPrefill]]+Table1[[#This Row],[Out-Tok]]*Table1[[#This Row],[ITL]]</f>
        <v>20.625718740114614</v>
      </c>
      <c r="AU196" s="4">
        <f>Table1[[#This Row],[E2E]]/Table1[[#This Row],[estE2E]]</f>
        <v>1.0375984497942714</v>
      </c>
      <c r="AV196" s="5">
        <f>Table1[[#This Row],[N]]/Table1[[#This Row],[estE2E]]</f>
        <v>3.0128193267952939</v>
      </c>
      <c r="AW196" s="5">
        <f>Table1[[#This Row],[PPS]]/Table1[[#This Row],[In-Tok]]</f>
        <v>3.6307393333333335</v>
      </c>
      <c r="AX196" s="4">
        <f>Table1[[#This Row],[RPS]]/Table1[[#This Row],[RPS(IL)]]</f>
        <v>1.211874385914788</v>
      </c>
      <c r="AY196" s="5">
        <f>Table1[[#This Row],[GPS]]/Table1[[#This Row],[Out-Tok]]</f>
        <v>3.1533199999999999</v>
      </c>
      <c r="AZ196" s="89">
        <f>Table1[[#This Row],[RPS]]/Table1[[#This Row],[RPS(OL)]]</f>
        <v>1.3953547372293331</v>
      </c>
      <c r="BA196" s="135">
        <f>MaxTok/Table1[[#This Row],[tok/req]]</f>
        <v>73.88804990334387</v>
      </c>
      <c r="BB196" s="4">
        <f>Table1[[#This Row],[N]]/Table1[[#This Row],[N-max]]</f>
        <v>0.84102319834602812</v>
      </c>
      <c r="BC196" s="44">
        <f>Table1[[#This Row],[RPS]]</f>
        <v>4.4000000000000004</v>
      </c>
      <c r="BD196" s="47">
        <f>Table1[[#This Row],[PPS]]/Table1[[#This Row],[RPS success]]</f>
        <v>4125.8401515151509</v>
      </c>
      <c r="BE196" s="4">
        <f>ABS(Table1[[#This Row],[est-In-Tok3]]-Table1[[#This Row],[In-Tok]])/Table1[[#This Row],[In-Tok]]</f>
        <v>0.17483196969696982</v>
      </c>
      <c r="BF196" s="47">
        <f>Table1[[#This Row],[GPS]]/Table1[[#This Row],[RPS success]]</f>
        <v>358.33181818181811</v>
      </c>
      <c r="BG196" s="4">
        <f>ABS(Table1[[#This Row],[est-Out-Tok3]]-Table1[[#This Row],[Out-Tok]])/Table1[[#This Row],[Out-Tok]]</f>
        <v>0.28333636363636377</v>
      </c>
      <c r="BH196" s="162">
        <f>Table1[[#This Row],[est-In-Tok3]]+AvgOutLoad*Table1[[#This Row],[est-Out-Tok3]]</f>
        <v>4305.0060606060597</v>
      </c>
      <c r="BI196" s="4">
        <f>ABS(Table1[[#This Row],[est-Tok/Req3]]-Table1[[#This Row],[tok/req]])/Table1[[#This Row],[tok/req]]</f>
        <v>0.17999884559884577</v>
      </c>
      <c r="BJ196" s="162">
        <f>MaxTok/Table1[[#This Row],[est-Tok/Req3]]</f>
        <v>90.1072510773527</v>
      </c>
      <c r="BK196" s="4">
        <f>ABS(Table1[[#This Row],[est-N-max3]]-Table1[[#This Row],[N-max]])/Table1[[#This Row],[N-max]]</f>
        <v>0.21951047828743436</v>
      </c>
      <c r="BL196" s="44">
        <f>MaxTok*Table1[[#This Row],[Kvcache]]/Table1[[#This Row],[Run]]</f>
        <v>5255.7353574771741</v>
      </c>
      <c r="BM196" s="170">
        <f>ABS(Table1[[#This Row],[est-Tok/Req]]-Table1[[#This Row],[tok/req]])/Table1[[#This Row],[tok/req]]</f>
        <v>1.0924490432712662E-3</v>
      </c>
      <c r="BN196" s="44">
        <f>MaxTok/Table1[[#This Row],[est-Tok/Req]]</f>
        <v>73.807419059006534</v>
      </c>
      <c r="BO196" s="180">
        <f>Table1[[#This Row],[Run]]/Table1[[#This Row],[Kvcache]]</f>
        <v>73.807419059006534</v>
      </c>
      <c r="BP196" s="4" cm="1">
        <f t="array" aca="1" ref="BP196" ca="1">_xlfn.CEILING.MATH(INDIRECT("Table1"&amp;BP$3)/BP$2)*BP$2</f>
        <v>6000</v>
      </c>
      <c r="BQ196" s="4" cm="1">
        <f t="array" aca="1" ref="BQ196" ca="1">_xlfn.CEILING.MATH(INDIRECT("Table1"&amp;BQ$3)/BQ$2)*BQ$2</f>
        <v>0.04</v>
      </c>
      <c r="BR196" s="4" cm="1">
        <f t="array" aca="1" ref="BR196" ca="1">_xlfn.CEILING.MATH(INDIRECT("Table1"&amp;BR$3)/BR$2)*BR$2</f>
        <v>0.9</v>
      </c>
      <c r="BS196" s="4" cm="1">
        <f t="array" aca="1" ref="BS196" ca="1">_xlfn.CEILING.MATH(INDIRECT("Table1"&amp;BS$3)/BS$2)*BS$2</f>
        <v>0.82000000000000006</v>
      </c>
      <c r="BT196" s="3" cm="1">
        <f t="array" aca="1" ref="BT196" ca="1">_xlfn.CEILING.MATH(INDIRECT("Table1"&amp;BT$3)/BT$2)*BT$2</f>
        <v>60</v>
      </c>
      <c r="BU196" s="135" cm="1">
        <f t="array" aca="1" ref="BU196" ca="1">_xlfn.CEILING.MATH(INDIRECT("Table1"&amp;BU$3)/BU$2)*BU$2</f>
        <v>10</v>
      </c>
      <c r="BV196" s="135" cm="1">
        <f t="array" aca="1" ref="BV196" ca="1">_xlfn.CEILING.MATH(INDIRECT("Table1"&amp;BV$3)/BV$2)*BV$2</f>
        <v>5000</v>
      </c>
      <c r="BW196" s="4"/>
      <c r="BX196" s="4"/>
      <c r="BY196" s="217"/>
      <c r="BZ196" s="4"/>
      <c r="CA196" s="3"/>
      <c r="CF196" s="5"/>
      <c r="CH196" s="8"/>
      <c r="CI196" s="8"/>
      <c r="CJ196" s="14"/>
      <c r="CK196" s="8"/>
      <c r="CL196" s="8"/>
      <c r="CM196" s="8"/>
      <c r="CN196" s="8"/>
      <c r="CO196" s="8"/>
      <c r="CP196" s="8"/>
      <c r="CQ196" s="8">
        <f>Table1[[#This Row],[In-Tok]]+AvgOutLoad*Table1[[#This Row],[Out-Tok]]</f>
        <v>5250</v>
      </c>
      <c r="CR196" s="8"/>
      <c r="CS196" s="8"/>
      <c r="CT196" s="8"/>
      <c r="CU196" s="8"/>
      <c r="CV196" s="8"/>
      <c r="CW196" s="8"/>
      <c r="CX196" s="8"/>
      <c r="CY196" s="8"/>
    </row>
    <row r="197" spans="1:103" hidden="1" x14ac:dyDescent="0.25">
      <c r="A197" s="26">
        <v>5000</v>
      </c>
      <c r="B197" s="3">
        <v>200</v>
      </c>
      <c r="C197" s="123">
        <v>2</v>
      </c>
      <c r="D197" s="216">
        <f>Table1[[#This Row],[Kvcache]]</f>
        <v>5.9313421256788207E-2</v>
      </c>
      <c r="E197" s="170" t="s">
        <v>156</v>
      </c>
      <c r="F197" s="218">
        <v>46104</v>
      </c>
      <c r="G197" s="10">
        <v>0</v>
      </c>
      <c r="H197" s="10">
        <v>0.15897388613953234</v>
      </c>
      <c r="I197" s="10">
        <v>0.14335248590552421</v>
      </c>
      <c r="J197" s="10">
        <v>0.18036612207229291</v>
      </c>
      <c r="K197" s="10">
        <v>0.28608591556549068</v>
      </c>
      <c r="L197" s="10">
        <v>0.34058439731597911</v>
      </c>
      <c r="M197" s="10">
        <v>9.6212234184526301E-3</v>
      </c>
      <c r="N197" s="10">
        <v>2.0503256182586238</v>
      </c>
      <c r="O197" s="47">
        <v>10302.294444444444</v>
      </c>
      <c r="P197" s="47">
        <v>375.43333333333339</v>
      </c>
      <c r="Q197" s="5">
        <v>4.5</v>
      </c>
      <c r="R197" s="5">
        <v>10.5</v>
      </c>
      <c r="S197" s="170">
        <v>5.9313421256788207E-2</v>
      </c>
      <c r="T197" s="170">
        <v>0.13871217998448404</v>
      </c>
      <c r="U197" s="3">
        <f>(Table1[[#This Row],[In-Tok]]+Table1[[#This Row],[Out-Tok]])*Table1[[#This Row],[RPS]]</f>
        <v>10400</v>
      </c>
      <c r="V197" s="3">
        <f>Table1[[#This Row],[In-Tok]]+$V$2*Table1[[#This Row],[Out-Tok]]</f>
        <v>5100</v>
      </c>
      <c r="W197" s="3">
        <f>Table1[[#This Row],[In-Tok]]*Table1[[#This Row],[RPS]]</f>
        <v>10000</v>
      </c>
      <c r="X197" s="3">
        <f>Table1[[#This Row],[Out-Tok]]*Table1[[#This Row],[RPS]]</f>
        <v>400</v>
      </c>
      <c r="Y197" s="75">
        <f>Table1[[#This Row],[In-Tok]]/Table1[[#This Row],[Out-Tok]]</f>
        <v>25</v>
      </c>
      <c r="Z197" s="26">
        <f>Table1[[#This Row],[In-Tok]]*Table1[[#This Row],[N]]+AvgOutLoad*Table1[[#This Row],[Out-Tok]]*Table1[[#This Row],[Ndecode]]</f>
        <v>19898.712210687219</v>
      </c>
      <c r="AA197" s="3">
        <f>Table1[[#This Row],[tok(N)]]/Table1[[#This Row],[Kvcache]]</f>
        <v>335484.14151560824</v>
      </c>
      <c r="AB197" s="3">
        <f>Table1[[#This Row],[tok/req]]*Table1[[#This Row],[Run]]</f>
        <v>22950</v>
      </c>
      <c r="AC197" s="3">
        <f>Table1[[#This Row],[tok(Run)]]/Table1[[#This Row],[Kvcache]]</f>
        <v>386927.60447321954</v>
      </c>
      <c r="AD197" s="3">
        <f>Table1[[#This Row],[tok/req]]*Table1[[#This Row],[MaxRun]]</f>
        <v>53550</v>
      </c>
      <c r="AE197" s="3">
        <f>Table1[[#This Row],[tok(MaxRun)]]/Table1[[#This Row],[MaxKvcache]]</f>
        <v>386051.17449664447</v>
      </c>
      <c r="AF197" s="75">
        <f>Table1[[#This Row],[PPS]]*Table1[[#This Row],[Prefill]]/Table1[[#This Row],[In-Tok]]</f>
        <v>0.29537190382835654</v>
      </c>
      <c r="AG197" s="5">
        <f>Table1[[#This Row],[GPS]]*Table1[[#This Row],[ITL]]</f>
        <v>3.6121279787343998</v>
      </c>
      <c r="AH197" s="5">
        <f>Table1[[#This Row],[Nprefill]]+Table1[[#This Row],[Ndecode]]</f>
        <v>3.9074998825627563</v>
      </c>
      <c r="AI197" s="4">
        <f>Table1[[#This Row],[Run]]/Table1[[#This Row],[ITL]]/Table1[[#This Row],[GPS]]</f>
        <v>1.2458030353555438</v>
      </c>
      <c r="AJ197" s="10">
        <f>Table1[[#This Row],[Prefill]]+Table1[[#This Row],[ITL]]</f>
        <v>0.15297370932397683</v>
      </c>
      <c r="AK197" s="4">
        <f>Table1[[#This Row],[TTFT]]/Table1[[#This Row],[estTTFT]]</f>
        <v>1.0392235818956836</v>
      </c>
      <c r="AL197" s="5">
        <f>Table1[[#This Row],[In-Tok]]*Table1[[#This Row],[RPS]]/Table1[[#This Row],[PPS]]</f>
        <v>0.97065756117973723</v>
      </c>
      <c r="AM197" s="4">
        <f>Table1[[#This Row],[Prefill]]/Table1[[#This Row],[estPrefill]]</f>
        <v>0.14768595191417827</v>
      </c>
      <c r="AN197" s="4">
        <f>Table1[[#This Row],[Prefill]]/Table1[[#This Row],[TTFT]]</f>
        <v>0.90173606110190241</v>
      </c>
      <c r="AO197" s="10">
        <f>Table1[[#This Row],[Run]]/(Table1[[#This Row],[Out-Tok]]*Table1[[#This Row],[RPS]])</f>
        <v>1.125E-2</v>
      </c>
      <c r="AP197" s="4">
        <f>Table1[[#This Row],[ITL]]/Table1[[#This Row],[estITL]]</f>
        <v>0.8552198594180116</v>
      </c>
      <c r="AQ197" s="44">
        <f>Table1[[#This Row],[E2E]]-Table1[[#This Row],[TTFT]]+Table1[[#This Row],[ITL]]</f>
        <v>1.9009729555375441</v>
      </c>
      <c r="AR197" s="4">
        <f>Table1[[#This Row],[estDecode]]/Table1[[#This Row],[Run]]</f>
        <v>0.42243843456389868</v>
      </c>
      <c r="AS197" s="44">
        <f>Table1[[#This Row],[Prefill]]+Table1[[#This Row],[Out-Tok]]*Table1[[#This Row],[ITL]]</f>
        <v>2.0675971695960502</v>
      </c>
      <c r="AT197" s="5">
        <f>Table1[[#This Row],[estPrefill]]+Table1[[#This Row],[Out-Tok]]*Table1[[#This Row],[ITL]]</f>
        <v>2.8949022448702633</v>
      </c>
      <c r="AU197" s="4">
        <f>Table1[[#This Row],[E2E]]/Table1[[#This Row],[estE2E]]</f>
        <v>0.70825383547640663</v>
      </c>
      <c r="AV197" s="5">
        <f>Table1[[#This Row],[N]]/Table1[[#This Row],[estE2E]]</f>
        <v>1.3497864701603675</v>
      </c>
      <c r="AW197" s="5">
        <f>Table1[[#This Row],[PPS]]/Table1[[#This Row],[In-Tok]]</f>
        <v>2.0604588888888888</v>
      </c>
      <c r="AX197" s="4">
        <f>Table1[[#This Row],[RPS]]/Table1[[#This Row],[RPS(IL)]]</f>
        <v>0.97065756117973723</v>
      </c>
      <c r="AY197" s="5">
        <f>Table1[[#This Row],[GPS]]/Table1[[#This Row],[Out-Tok]]</f>
        <v>1.8771666666666669</v>
      </c>
      <c r="AZ197" s="89">
        <f>Table1[[#This Row],[RPS]]/Table1[[#This Row],[RPS(OL)]]</f>
        <v>1.0654354967593003</v>
      </c>
      <c r="BA197" s="135">
        <f>MaxTok/Table1[[#This Row],[tok/req]]</f>
        <v>76.061227841677507</v>
      </c>
      <c r="BB197" s="4">
        <f>Table1[[#This Row],[N]]/Table1[[#This Row],[N-max]]</f>
        <v>5.1373084466849142E-2</v>
      </c>
      <c r="BC197" s="44">
        <f>Table1[[#This Row],[RPS]]</f>
        <v>2</v>
      </c>
      <c r="BD197" s="47">
        <f>Table1[[#This Row],[PPS]]/Table1[[#This Row],[RPS success]]</f>
        <v>5151.1472222222219</v>
      </c>
      <c r="BE197" s="4">
        <f>ABS(Table1[[#This Row],[est-In-Tok3]]-Table1[[#This Row],[In-Tok]])/Table1[[#This Row],[In-Tok]]</f>
        <v>3.0229444444444378E-2</v>
      </c>
      <c r="BF197" s="47">
        <f>Table1[[#This Row],[GPS]]/Table1[[#This Row],[RPS success]]</f>
        <v>187.7166666666667</v>
      </c>
      <c r="BG197" s="4">
        <f>ABS(Table1[[#This Row],[est-Out-Tok3]]-Table1[[#This Row],[Out-Tok]])/Table1[[#This Row],[Out-Tok]]</f>
        <v>6.1416666666666515E-2</v>
      </c>
      <c r="BH197" s="162">
        <f>Table1[[#This Row],[est-In-Tok3]]+AvgOutLoad*Table1[[#This Row],[est-Out-Tok3]]</f>
        <v>5245.0055555555555</v>
      </c>
      <c r="BI197" s="4">
        <f>ABS(Table1[[#This Row],[est-Tok/Req3]]-Table1[[#This Row],[tok/req]])/Table1[[#This Row],[tok/req]]</f>
        <v>2.8432461873638327E-2</v>
      </c>
      <c r="BJ197" s="162">
        <f>MaxTok/Table1[[#This Row],[est-Tok/Req3]]</f>
        <v>73.95840821973492</v>
      </c>
      <c r="BK197" s="4">
        <f>ABS(Table1[[#This Row],[est-N-max3]]-Table1[[#This Row],[N-max]])/Table1[[#This Row],[N-max]]</f>
        <v>2.7646406475578259E-2</v>
      </c>
      <c r="BL197" s="44">
        <f>MaxTok*Table1[[#This Row],[Kvcache]]/Table1[[#This Row],[Run]]</f>
        <v>5112.9785347195611</v>
      </c>
      <c r="BM197" s="170">
        <f>ABS(Table1[[#This Row],[est-Tok/Req]]-Table1[[#This Row],[tok/req]])/Table1[[#This Row],[tok/req]]</f>
        <v>2.5448107293257138E-3</v>
      </c>
      <c r="BN197" s="44">
        <f>MaxTok/Table1[[#This Row],[est-Tok/Req]]</f>
        <v>75.868157739846964</v>
      </c>
      <c r="BO197" s="180">
        <f>Table1[[#This Row],[Run]]/Table1[[#This Row],[Kvcache]]</f>
        <v>75.868157739846964</v>
      </c>
      <c r="BP197" s="4" cm="1">
        <f t="array" aca="1" ref="BP197" ca="1">_xlfn.CEILING.MATH(INDIRECT("Table1"&amp;BP$3)/BP$2)*BP$2</f>
        <v>6000</v>
      </c>
      <c r="BQ197" s="4" cm="1">
        <f t="array" aca="1" ref="BQ197" ca="1">_xlfn.CEILING.MATH(INDIRECT("Table1"&amp;BQ$3)/BQ$2)*BQ$2</f>
        <v>0.01</v>
      </c>
      <c r="BR197" s="4" cm="1">
        <f t="array" aca="1" ref="BR197" ca="1">_xlfn.CEILING.MATH(INDIRECT("Table1"&amp;BR$3)/BR$2)*BR$2</f>
        <v>0.1</v>
      </c>
      <c r="BS197" s="4" cm="1">
        <f t="array" aca="1" ref="BS197" ca="1">_xlfn.CEILING.MATH(INDIRECT("Table1"&amp;BS$3)/BS$2)*BS$2</f>
        <v>0.06</v>
      </c>
      <c r="BT197" s="3" cm="1">
        <f t="array" aca="1" ref="BT197" ca="1">_xlfn.CEILING.MATH(INDIRECT("Table1"&amp;BT$3)/BT$2)*BT$2</f>
        <v>5</v>
      </c>
      <c r="BU197" s="135" cm="1">
        <f t="array" aca="1" ref="BU197" ca="1">_xlfn.CEILING.MATH(INDIRECT("Table1"&amp;BU$3)/BU$2)*BU$2</f>
        <v>25</v>
      </c>
      <c r="BV197" s="135" cm="1">
        <f t="array" aca="1" ref="BV197" ca="1">_xlfn.CEILING.MATH(INDIRECT("Table1"&amp;BV$3)/BV$2)*BV$2</f>
        <v>5000</v>
      </c>
      <c r="BW197" s="4"/>
      <c r="BX197" s="4"/>
      <c r="BY197" s="217"/>
      <c r="BZ197" s="4"/>
      <c r="CA197" s="3"/>
      <c r="CF197" s="5"/>
      <c r="CH197" s="8"/>
      <c r="CI197" s="8"/>
      <c r="CJ197" s="14"/>
      <c r="CK197" s="8"/>
      <c r="CL197" s="8"/>
      <c r="CM197" s="8"/>
      <c r="CN197" s="8"/>
      <c r="CO197" s="8"/>
      <c r="CP197" s="8"/>
      <c r="CQ197" s="8">
        <f>Table1[[#This Row],[In-Tok]]+AvgOutLoad*Table1[[#This Row],[Out-Tok]]</f>
        <v>5100</v>
      </c>
      <c r="CR197" s="8"/>
      <c r="CS197" s="8"/>
      <c r="CT197" s="8"/>
      <c r="CU197" s="8"/>
      <c r="CV197" s="8"/>
      <c r="CW197" s="8"/>
      <c r="CX197" s="8"/>
      <c r="CY197" s="8"/>
    </row>
    <row r="198" spans="1:103" hidden="1" x14ac:dyDescent="0.25">
      <c r="A198" s="26">
        <v>5000</v>
      </c>
      <c r="B198" s="3">
        <v>200</v>
      </c>
      <c r="C198" s="123">
        <v>2.2000000000000002</v>
      </c>
      <c r="D198" s="216">
        <f>Table1[[#This Row],[Kvcache]]</f>
        <v>6.355486595983105E-2</v>
      </c>
      <c r="E198" s="170" t="s">
        <v>156</v>
      </c>
      <c r="F198" s="218">
        <v>46104</v>
      </c>
      <c r="G198" s="10">
        <v>0</v>
      </c>
      <c r="H198" s="10">
        <v>0.17752558572089625</v>
      </c>
      <c r="I198" s="10">
        <v>0.1518575964048062</v>
      </c>
      <c r="J198" s="10">
        <v>0.19594697215130941</v>
      </c>
      <c r="K198" s="10">
        <v>0.35540273785591114</v>
      </c>
      <c r="L198" s="10">
        <v>0.45083345651626588</v>
      </c>
      <c r="M198" s="10">
        <v>1.086438303311912E-2</v>
      </c>
      <c r="N198" s="10">
        <v>2.3332289794432306</v>
      </c>
      <c r="O198" s="47">
        <v>12391.443749999999</v>
      </c>
      <c r="P198" s="47">
        <v>454.81875000000002</v>
      </c>
      <c r="Q198" s="5">
        <v>4.8333333333333339</v>
      </c>
      <c r="R198" s="5">
        <v>10.5</v>
      </c>
      <c r="S198" s="170">
        <v>6.355486595983105E-2</v>
      </c>
      <c r="T198" s="170">
        <v>0.13836307214895269</v>
      </c>
      <c r="U198" s="3">
        <f>(Table1[[#This Row],[In-Tok]]+Table1[[#This Row],[Out-Tok]])*Table1[[#This Row],[RPS]]</f>
        <v>11440.000000000002</v>
      </c>
      <c r="V198" s="3">
        <f>Table1[[#This Row],[In-Tok]]+$V$2*Table1[[#This Row],[Out-Tok]]</f>
        <v>5100</v>
      </c>
      <c r="W198" s="3">
        <f>Table1[[#This Row],[In-Tok]]*Table1[[#This Row],[RPS]]</f>
        <v>11000</v>
      </c>
      <c r="X198" s="3">
        <f>Table1[[#This Row],[Out-Tok]]*Table1[[#This Row],[RPS]]</f>
        <v>440.00000000000006</v>
      </c>
      <c r="Y198" s="75">
        <f>Table1[[#This Row],[In-Tok]]/Table1[[#This Row],[Out-Tok]]</f>
        <v>25</v>
      </c>
      <c r="Z198" s="26">
        <f>Table1[[#This Row],[In-Tok]]*Table1[[#This Row],[N]]+AvgOutLoad*Table1[[#This Row],[Out-Tok]]*Table1[[#This Row],[Ndecode]]</f>
        <v>27082.492928147039</v>
      </c>
      <c r="AA198" s="3">
        <f>Table1[[#This Row],[tok(N)]]/Table1[[#This Row],[Kvcache]]</f>
        <v>426127.76408440771</v>
      </c>
      <c r="AB198" s="3">
        <f>Table1[[#This Row],[tok/req]]*Table1[[#This Row],[Run]]</f>
        <v>24650.000000000004</v>
      </c>
      <c r="AC198" s="3">
        <f>Table1[[#This Row],[tok(Run)]]/Table1[[#This Row],[Kvcache]]</f>
        <v>387853.85867353866</v>
      </c>
      <c r="AD198" s="3">
        <f>Table1[[#This Row],[tok/req]]*Table1[[#This Row],[MaxRun]]</f>
        <v>53550</v>
      </c>
      <c r="AE198" s="3">
        <f>Table1[[#This Row],[tok(MaxRun)]]/Table1[[#This Row],[MaxKvcache]]</f>
        <v>387025.23128679558</v>
      </c>
      <c r="AF198" s="75">
        <f>Table1[[#This Row],[PPS]]*Table1[[#This Row],[Prefill]]/Table1[[#This Row],[In-Tok]]</f>
        <v>0.37634697277207163</v>
      </c>
      <c r="AG198" s="5">
        <f>Table1[[#This Row],[GPS]]*Table1[[#This Row],[ITL]]</f>
        <v>4.9413251106444473</v>
      </c>
      <c r="AH198" s="5">
        <f>Table1[[#This Row],[Nprefill]]+Table1[[#This Row],[Ndecode]]</f>
        <v>5.317672083416519</v>
      </c>
      <c r="AI198" s="4">
        <f>Table1[[#This Row],[Run]]/Table1[[#This Row],[ITL]]/Table1[[#This Row],[GPS]]</f>
        <v>0.97814517869336692</v>
      </c>
      <c r="AJ198" s="10">
        <f>Table1[[#This Row],[Prefill]]+Table1[[#This Row],[ITL]]</f>
        <v>0.16272197943792532</v>
      </c>
      <c r="AK198" s="4">
        <f>Table1[[#This Row],[TTFT]]/Table1[[#This Row],[estTTFT]]</f>
        <v>1.0909748414695148</v>
      </c>
      <c r="AL198" s="5">
        <f>Table1[[#This Row],[In-Tok]]*Table1[[#This Row],[RPS]]/Table1[[#This Row],[PPS]]</f>
        <v>0.88770931151585963</v>
      </c>
      <c r="AM198" s="4">
        <f>Table1[[#This Row],[Prefill]]/Table1[[#This Row],[estPrefill]]</f>
        <v>0.17106680580548708</v>
      </c>
      <c r="AN198" s="4">
        <f>Table1[[#This Row],[Prefill]]/Table1[[#This Row],[TTFT]]</f>
        <v>0.85541245104553565</v>
      </c>
      <c r="AO198" s="10">
        <f>Table1[[#This Row],[Run]]/(Table1[[#This Row],[Out-Tok]]*Table1[[#This Row],[RPS]])</f>
        <v>1.0984848484848484E-2</v>
      </c>
      <c r="AP198" s="4">
        <f>Table1[[#This Row],[ITL]]/Table1[[#This Row],[estITL]]</f>
        <v>0.98903348991153373</v>
      </c>
      <c r="AQ198" s="44">
        <f>Table1[[#This Row],[E2E]]-Table1[[#This Row],[TTFT]]+Table1[[#This Row],[ITL]]</f>
        <v>2.1665677767554534</v>
      </c>
      <c r="AR198" s="4">
        <f>Table1[[#This Row],[estDecode]]/Table1[[#This Row],[Run]]</f>
        <v>0.44825540208733511</v>
      </c>
      <c r="AS198" s="44">
        <f>Table1[[#This Row],[Prefill]]+Table1[[#This Row],[Out-Tok]]*Table1[[#This Row],[ITL]]</f>
        <v>2.3247342030286302</v>
      </c>
      <c r="AT198" s="5">
        <f>Table1[[#This Row],[estPrefill]]+Table1[[#This Row],[Out-Tok]]*Table1[[#This Row],[ITL]]</f>
        <v>3.0605859181396839</v>
      </c>
      <c r="AU198" s="4">
        <f>Table1[[#This Row],[E2E]]/Table1[[#This Row],[estE2E]]</f>
        <v>0.7623471589588432</v>
      </c>
      <c r="AV198" s="5">
        <f>Table1[[#This Row],[N]]/Table1[[#This Row],[estE2E]]</f>
        <v>1.7374686500056695</v>
      </c>
      <c r="AW198" s="5">
        <f>Table1[[#This Row],[PPS]]/Table1[[#This Row],[In-Tok]]</f>
        <v>2.4782887499999999</v>
      </c>
      <c r="AX198" s="4">
        <f>Table1[[#This Row],[RPS]]/Table1[[#This Row],[RPS(IL)]]</f>
        <v>0.88770931151585963</v>
      </c>
      <c r="AY198" s="5">
        <f>Table1[[#This Row],[GPS]]/Table1[[#This Row],[Out-Tok]]</f>
        <v>2.27409375</v>
      </c>
      <c r="AZ198" s="89">
        <f>Table1[[#This Row],[RPS]]/Table1[[#This Row],[RPS(OL)]]</f>
        <v>0.96741833972324143</v>
      </c>
      <c r="BA198" s="135">
        <f>MaxTok/Table1[[#This Row],[tok/req]]</f>
        <v>76.061227841677507</v>
      </c>
      <c r="BB198" s="4">
        <f>Table1[[#This Row],[N]]/Table1[[#This Row],[N-max]]</f>
        <v>6.9913045507039764E-2</v>
      </c>
      <c r="BC198" s="44">
        <f>Table1[[#This Row],[RPS]]</f>
        <v>2.2000000000000002</v>
      </c>
      <c r="BD198" s="47">
        <f>Table1[[#This Row],[PPS]]/Table1[[#This Row],[RPS success]]</f>
        <v>5632.4744318181811</v>
      </c>
      <c r="BE198" s="4">
        <f>ABS(Table1[[#This Row],[est-In-Tok3]]-Table1[[#This Row],[In-Tok]])/Table1[[#This Row],[In-Tok]]</f>
        <v>0.12649488636363621</v>
      </c>
      <c r="BF198" s="47">
        <f>Table1[[#This Row],[GPS]]/Table1[[#This Row],[RPS success]]</f>
        <v>206.73579545454544</v>
      </c>
      <c r="BG198" s="4">
        <f>ABS(Table1[[#This Row],[est-Out-Tok3]]-Table1[[#This Row],[Out-Tok]])/Table1[[#This Row],[Out-Tok]]</f>
        <v>3.3678977272727194E-2</v>
      </c>
      <c r="BH198" s="162">
        <f>Table1[[#This Row],[est-In-Tok3]]+AvgOutLoad*Table1[[#This Row],[est-Out-Tok3]]</f>
        <v>5735.842329545454</v>
      </c>
      <c r="BI198" s="4">
        <f>ABS(Table1[[#This Row],[est-Tok/Req3]]-Table1[[#This Row],[tok/req]])/Table1[[#This Row],[tok/req]]</f>
        <v>0.12467496657754001</v>
      </c>
      <c r="BJ198" s="162">
        <f>MaxTok/Table1[[#This Row],[est-Tok/Req3]]</f>
        <v>67.629519729719632</v>
      </c>
      <c r="BK198" s="4">
        <f>ABS(Table1[[#This Row],[est-N-max3]]-Table1[[#This Row],[N-max]])/Table1[[#This Row],[N-max]]</f>
        <v>0.11085422035926887</v>
      </c>
      <c r="BL198" s="44">
        <f>MaxTok*Table1[[#This Row],[Kvcache]]/Table1[[#This Row],[Run]]</f>
        <v>5100.7679617472513</v>
      </c>
      <c r="BM198" s="170">
        <f>ABS(Table1[[#This Row],[est-Tok/Req]]-Table1[[#This Row],[tok/req]])/Table1[[#This Row],[tok/req]]</f>
        <v>1.5058073475516081E-4</v>
      </c>
      <c r="BN198" s="44">
        <f>MaxTok/Table1[[#This Row],[est-Tok/Req]]</f>
        <v>76.049776210497768</v>
      </c>
      <c r="BO198" s="180">
        <f>Table1[[#This Row],[Run]]/Table1[[#This Row],[Kvcache]]</f>
        <v>76.049776210497768</v>
      </c>
      <c r="BP198" s="4" cm="1">
        <f t="array" aca="1" ref="BP198" ca="1">_xlfn.CEILING.MATH(INDIRECT("Table1"&amp;BP$3)/BP$2)*BP$2</f>
        <v>6000</v>
      </c>
      <c r="BQ198" s="4" cm="1">
        <f t="array" aca="1" ref="BQ198" ca="1">_xlfn.CEILING.MATH(INDIRECT("Table1"&amp;BQ$3)/BQ$2)*BQ$2</f>
        <v>1.4999999999999999E-2</v>
      </c>
      <c r="BR198" s="4" cm="1">
        <f t="array" aca="1" ref="BR198" ca="1">_xlfn.CEILING.MATH(INDIRECT("Table1"&amp;BR$3)/BR$2)*BR$2</f>
        <v>0.1</v>
      </c>
      <c r="BS198" s="4" cm="1">
        <f t="array" aca="1" ref="BS198" ca="1">_xlfn.CEILING.MATH(INDIRECT("Table1"&amp;BS$3)/BS$2)*BS$2</f>
        <v>7.0000000000000007E-2</v>
      </c>
      <c r="BT198" s="3" cm="1">
        <f t="array" aca="1" ref="BT198" ca="1">_xlfn.CEILING.MATH(INDIRECT("Table1"&amp;BT$3)/BT$2)*BT$2</f>
        <v>5</v>
      </c>
      <c r="BU198" s="135" cm="1">
        <f t="array" aca="1" ref="BU198" ca="1">_xlfn.CEILING.MATH(INDIRECT("Table1"&amp;BU$3)/BU$2)*BU$2</f>
        <v>25</v>
      </c>
      <c r="BV198" s="135" cm="1">
        <f t="array" aca="1" ref="BV198" ca="1">_xlfn.CEILING.MATH(INDIRECT("Table1"&amp;BV$3)/BV$2)*BV$2</f>
        <v>5000</v>
      </c>
      <c r="BW198" s="4"/>
      <c r="BX198" s="4"/>
      <c r="BY198" s="217"/>
      <c r="BZ198" s="4"/>
      <c r="CA198" s="3"/>
      <c r="CF198" s="5"/>
      <c r="CH198" s="8"/>
      <c r="CI198" s="8"/>
      <c r="CJ198" s="14"/>
      <c r="CK198" s="8"/>
      <c r="CL198" s="8"/>
      <c r="CM198" s="8"/>
      <c r="CN198" s="8"/>
      <c r="CO198" s="8"/>
      <c r="CP198" s="8"/>
      <c r="CQ198" s="8">
        <f>Table1[[#This Row],[In-Tok]]+AvgOutLoad*Table1[[#This Row],[Out-Tok]]</f>
        <v>5100</v>
      </c>
      <c r="CR198" s="8"/>
      <c r="CS198" s="8"/>
      <c r="CT198" s="8"/>
      <c r="CU198" s="8"/>
      <c r="CV198" s="8"/>
      <c r="CW198" s="8"/>
      <c r="CX198" s="8"/>
      <c r="CY198" s="8"/>
    </row>
    <row r="199" spans="1:103" hidden="1" x14ac:dyDescent="0.25">
      <c r="A199" s="26">
        <v>5000</v>
      </c>
      <c r="B199" s="3">
        <v>200</v>
      </c>
      <c r="C199" s="123">
        <v>2.4</v>
      </c>
      <c r="D199" s="216">
        <f>Table1[[#This Row],[Kvcache]]</f>
        <v>6.0624515128006207E-2</v>
      </c>
      <c r="E199" s="170" t="s">
        <v>156</v>
      </c>
      <c r="F199" s="218">
        <v>46104</v>
      </c>
      <c r="G199" s="10">
        <v>0</v>
      </c>
      <c r="H199" s="10">
        <v>0.17512113405281848</v>
      </c>
      <c r="I199" s="10">
        <v>0.1538078496688704</v>
      </c>
      <c r="J199" s="10">
        <v>0.19660316307908576</v>
      </c>
      <c r="K199" s="10">
        <v>0.36267546415328977</v>
      </c>
      <c r="L199" s="10">
        <v>0.40300796747207646</v>
      </c>
      <c r="M199" s="10">
        <v>1.1228162871936714E-2</v>
      </c>
      <c r="N199" s="10">
        <v>2.4212010491784239</v>
      </c>
      <c r="O199" s="47">
        <v>12463.516666666665</v>
      </c>
      <c r="P199" s="47">
        <v>459.47777777777782</v>
      </c>
      <c r="Q199" s="5">
        <v>4.5999999999999996</v>
      </c>
      <c r="R199" s="5">
        <v>10.5</v>
      </c>
      <c r="S199" s="170">
        <v>6.0624515128006207E-2</v>
      </c>
      <c r="T199" s="170">
        <v>0.13805275407292475</v>
      </c>
      <c r="U199" s="3">
        <f>(Table1[[#This Row],[In-Tok]]+Table1[[#This Row],[Out-Tok]])*Table1[[#This Row],[RPS]]</f>
        <v>12480</v>
      </c>
      <c r="V199" s="3">
        <f>Table1[[#This Row],[In-Tok]]+$V$2*Table1[[#This Row],[Out-Tok]]</f>
        <v>5100</v>
      </c>
      <c r="W199" s="3">
        <f>Table1[[#This Row],[In-Tok]]*Table1[[#This Row],[RPS]]</f>
        <v>12000</v>
      </c>
      <c r="X199" s="3">
        <f>Table1[[#This Row],[Out-Tok]]*Table1[[#This Row],[RPS]]</f>
        <v>480</v>
      </c>
      <c r="Y199" s="75">
        <f>Table1[[#This Row],[In-Tok]]/Table1[[#This Row],[Out-Tok]]</f>
        <v>25</v>
      </c>
      <c r="Z199" s="26">
        <f>Table1[[#This Row],[In-Tok]]*Table1[[#This Row],[N]]+AvgOutLoad*Table1[[#This Row],[Out-Tok]]*Table1[[#This Row],[Ndecode]]</f>
        <v>28228.352454926739</v>
      </c>
      <c r="AA199" s="3">
        <f>Table1[[#This Row],[tok(N)]]/Table1[[#This Row],[Kvcache]]</f>
        <v>465626.03255999187</v>
      </c>
      <c r="AB199" s="3">
        <f>Table1[[#This Row],[tok/req]]*Table1[[#This Row],[Run]]</f>
        <v>23460</v>
      </c>
      <c r="AC199" s="3">
        <f>Table1[[#This Row],[tok(Run)]]/Table1[[#This Row],[Kvcache]]</f>
        <v>386972.16712521593</v>
      </c>
      <c r="AD199" s="3">
        <f>Table1[[#This Row],[tok/req]]*Table1[[#This Row],[MaxRun]]</f>
        <v>53550</v>
      </c>
      <c r="AE199" s="3">
        <f>Table1[[#This Row],[tok(MaxRun)]]/Table1[[#This Row],[MaxKvcache]]</f>
        <v>387895.19527957292</v>
      </c>
      <c r="AF199" s="75">
        <f>Table1[[#This Row],[PPS]]*Table1[[#This Row],[Prefill]]/Table1[[#This Row],[In-Tok]]</f>
        <v>0.38339733956242539</v>
      </c>
      <c r="AG199" s="5">
        <f>Table1[[#This Row],[GPS]]*Table1[[#This Row],[ITL]]</f>
        <v>5.1590913249244332</v>
      </c>
      <c r="AH199" s="5">
        <f>Table1[[#This Row],[Nprefill]]+Table1[[#This Row],[Ndecode]]</f>
        <v>5.542488664486859</v>
      </c>
      <c r="AI199" s="4">
        <f>Table1[[#This Row],[Run]]/Table1[[#This Row],[ITL]]/Table1[[#This Row],[GPS]]</f>
        <v>0.89162988407990196</v>
      </c>
      <c r="AJ199" s="10">
        <f>Table1[[#This Row],[Prefill]]+Table1[[#This Row],[ITL]]</f>
        <v>0.1650360125408071</v>
      </c>
      <c r="AK199" s="4">
        <f>Table1[[#This Row],[TTFT]]/Table1[[#This Row],[estTTFT]]</f>
        <v>1.0611086111252095</v>
      </c>
      <c r="AL199" s="5">
        <f>Table1[[#This Row],[In-Tok]]*Table1[[#This Row],[RPS]]/Table1[[#This Row],[PPS]]</f>
        <v>0.96281012180885295</v>
      </c>
      <c r="AM199" s="4">
        <f>Table1[[#This Row],[Prefill]]/Table1[[#This Row],[estPrefill]]</f>
        <v>0.15974889148434393</v>
      </c>
      <c r="AN199" s="4">
        <f>Table1[[#This Row],[Prefill]]/Table1[[#This Row],[TTFT]]</f>
        <v>0.87829404772173436</v>
      </c>
      <c r="AO199" s="10">
        <f>Table1[[#This Row],[Run]]/(Table1[[#This Row],[Out-Tok]]*Table1[[#This Row],[RPS]])</f>
        <v>9.5833333333333326E-3</v>
      </c>
      <c r="AP199" s="4">
        <f>Table1[[#This Row],[ITL]]/Table1[[#This Row],[estITL]]</f>
        <v>1.1716343866368746</v>
      </c>
      <c r="AQ199" s="44">
        <f>Table1[[#This Row],[E2E]]-Table1[[#This Row],[TTFT]]+Table1[[#This Row],[ITL]]</f>
        <v>2.2573080779975423</v>
      </c>
      <c r="AR199" s="4">
        <f>Table1[[#This Row],[estDecode]]/Table1[[#This Row],[Run]]</f>
        <v>0.49071914739077011</v>
      </c>
      <c r="AS199" s="44">
        <f>Table1[[#This Row],[Prefill]]+Table1[[#This Row],[Out-Tok]]*Table1[[#This Row],[ITL]]</f>
        <v>2.3994404240562131</v>
      </c>
      <c r="AT199" s="5">
        <f>Table1[[#This Row],[estPrefill]]+Table1[[#This Row],[Out-Tok]]*Table1[[#This Row],[ITL]]</f>
        <v>3.2084426961961956</v>
      </c>
      <c r="AU199" s="4">
        <f>Table1[[#This Row],[E2E]]/Table1[[#This Row],[estE2E]]</f>
        <v>0.75463434396035978</v>
      </c>
      <c r="AV199" s="5">
        <f>Table1[[#This Row],[N]]/Table1[[#This Row],[estE2E]]</f>
        <v>1.7274700498961122</v>
      </c>
      <c r="AW199" s="5">
        <f>Table1[[#This Row],[PPS]]/Table1[[#This Row],[In-Tok]]</f>
        <v>2.492703333333333</v>
      </c>
      <c r="AX199" s="4">
        <f>Table1[[#This Row],[RPS]]/Table1[[#This Row],[RPS(IL)]]</f>
        <v>0.96281012180885284</v>
      </c>
      <c r="AY199" s="5">
        <f>Table1[[#This Row],[GPS]]/Table1[[#This Row],[Out-Tok]]</f>
        <v>2.2973888888888889</v>
      </c>
      <c r="AZ199" s="89">
        <f>Table1[[#This Row],[RPS]]/Table1[[#This Row],[RPS(OL)]]</f>
        <v>1.0446642323410635</v>
      </c>
      <c r="BA199" s="135">
        <f>MaxTok/Table1[[#This Row],[tok/req]]</f>
        <v>76.061227841677507</v>
      </c>
      <c r="BB199" s="4">
        <f>Table1[[#This Row],[N]]/Table1[[#This Row],[N-max]]</f>
        <v>7.2868777191233691E-2</v>
      </c>
      <c r="BC199" s="44">
        <f>Table1[[#This Row],[RPS]]</f>
        <v>2.4</v>
      </c>
      <c r="BD199" s="47">
        <f>Table1[[#This Row],[PPS]]/Table1[[#This Row],[RPS success]]</f>
        <v>5193.1319444444434</v>
      </c>
      <c r="BE199" s="4">
        <f>ABS(Table1[[#This Row],[est-In-Tok3]]-Table1[[#This Row],[In-Tok]])/Table1[[#This Row],[In-Tok]]</f>
        <v>3.8626388888888689E-2</v>
      </c>
      <c r="BF199" s="47">
        <f>Table1[[#This Row],[GPS]]/Table1[[#This Row],[RPS success]]</f>
        <v>191.4490740740741</v>
      </c>
      <c r="BG199" s="4">
        <f>ABS(Table1[[#This Row],[est-Out-Tok3]]-Table1[[#This Row],[Out-Tok]])/Table1[[#This Row],[Out-Tok]]</f>
        <v>4.2754629629629476E-2</v>
      </c>
      <c r="BH199" s="162">
        <f>Table1[[#This Row],[est-In-Tok3]]+AvgOutLoad*Table1[[#This Row],[est-Out-Tok3]]</f>
        <v>5288.8564814814808</v>
      </c>
      <c r="BI199" s="4">
        <f>ABS(Table1[[#This Row],[est-Tok/Req3]]-Table1[[#This Row],[tok/req]])/Table1[[#This Row],[tok/req]]</f>
        <v>3.7030682643427619E-2</v>
      </c>
      <c r="BJ199" s="162">
        <f>MaxTok/Table1[[#This Row],[est-Tok/Req3]]</f>
        <v>73.345204837907758</v>
      </c>
      <c r="BK199" s="4">
        <f>ABS(Table1[[#This Row],[est-N-max3]]-Table1[[#This Row],[N-max]])/Table1[[#This Row],[N-max]]</f>
        <v>3.5708377064635193E-2</v>
      </c>
      <c r="BL199" s="44">
        <f>MaxTok*Table1[[#This Row],[Kvcache]]/Table1[[#This Row],[Run]]</f>
        <v>5112.3897381536472</v>
      </c>
      <c r="BM199" s="170">
        <f>ABS(Table1[[#This Row],[est-Tok/Req]]-Table1[[#This Row],[tok/req]])/Table1[[#This Row],[tok/req]]</f>
        <v>2.4293604222837568E-3</v>
      </c>
      <c r="BN199" s="44">
        <f>MaxTok/Table1[[#This Row],[est-Tok/Req]]</f>
        <v>75.876895514748213</v>
      </c>
      <c r="BO199" s="180">
        <f>Table1[[#This Row],[Run]]/Table1[[#This Row],[Kvcache]]</f>
        <v>75.876895514748213</v>
      </c>
      <c r="BP199" s="4" cm="1">
        <f t="array" aca="1" ref="BP199" ca="1">_xlfn.CEILING.MATH(INDIRECT("Table1"&amp;BP$3)/BP$2)*BP$2</f>
        <v>6000</v>
      </c>
      <c r="BQ199" s="4" cm="1">
        <f t="array" aca="1" ref="BQ199" ca="1">_xlfn.CEILING.MATH(INDIRECT("Table1"&amp;BQ$3)/BQ$2)*BQ$2</f>
        <v>1.4999999999999999E-2</v>
      </c>
      <c r="BR199" s="4" cm="1">
        <f t="array" aca="1" ref="BR199" ca="1">_xlfn.CEILING.MATH(INDIRECT("Table1"&amp;BR$3)/BR$2)*BR$2</f>
        <v>0.1</v>
      </c>
      <c r="BS199" s="4" cm="1">
        <f t="array" aca="1" ref="BS199" ca="1">_xlfn.CEILING.MATH(INDIRECT("Table1"&amp;BS$3)/BS$2)*BS$2</f>
        <v>7.0000000000000007E-2</v>
      </c>
      <c r="BT199" s="3" cm="1">
        <f t="array" aca="1" ref="BT199" ca="1">_xlfn.CEILING.MATH(INDIRECT("Table1"&amp;BT$3)/BT$2)*BT$2</f>
        <v>5</v>
      </c>
      <c r="BU199" s="135" cm="1">
        <f t="array" aca="1" ref="BU199" ca="1">_xlfn.CEILING.MATH(INDIRECT("Table1"&amp;BU$3)/BU$2)*BU$2</f>
        <v>25</v>
      </c>
      <c r="BV199" s="135" cm="1">
        <f t="array" aca="1" ref="BV199" ca="1">_xlfn.CEILING.MATH(INDIRECT("Table1"&amp;BV$3)/BV$2)*BV$2</f>
        <v>5000</v>
      </c>
      <c r="BW199" s="4"/>
      <c r="BX199" s="4"/>
      <c r="BY199" s="217"/>
      <c r="BZ199" s="4"/>
      <c r="CA199" s="3"/>
      <c r="CF199" s="5"/>
      <c r="CH199" s="8"/>
      <c r="CI199" s="8"/>
      <c r="CJ199" s="14"/>
      <c r="CK199" s="8"/>
      <c r="CL199" s="8"/>
      <c r="CM199" s="8"/>
      <c r="CN199" s="8"/>
      <c r="CO199" s="8"/>
      <c r="CP199" s="8"/>
      <c r="CQ199" s="8">
        <f>Table1[[#This Row],[In-Tok]]+AvgOutLoad*Table1[[#This Row],[Out-Tok]]</f>
        <v>5100</v>
      </c>
      <c r="CR199" s="8"/>
      <c r="CS199" s="8"/>
      <c r="CT199" s="8"/>
      <c r="CU199" s="8"/>
      <c r="CV199" s="8"/>
      <c r="CW199" s="8"/>
      <c r="CX199" s="8"/>
      <c r="CY199" s="8"/>
    </row>
    <row r="200" spans="1:103" hidden="1" x14ac:dyDescent="0.25">
      <c r="A200" s="26">
        <v>5000</v>
      </c>
      <c r="B200" s="3">
        <v>200</v>
      </c>
      <c r="C200" s="123">
        <v>2.6</v>
      </c>
      <c r="D200" s="216">
        <f>Table1[[#This Row],[Kvcache]]</f>
        <v>7.1823118696664079E-2</v>
      </c>
      <c r="E200" s="170" t="s">
        <v>156</v>
      </c>
      <c r="F200" s="218">
        <v>46104</v>
      </c>
      <c r="G200" s="10">
        <v>0</v>
      </c>
      <c r="H200" s="10">
        <v>0.18269736869893843</v>
      </c>
      <c r="I200" s="10">
        <v>0.16247661777030895</v>
      </c>
      <c r="J200" s="10">
        <v>0.20221037043727796</v>
      </c>
      <c r="K200" s="10">
        <v>0.36628542542457565</v>
      </c>
      <c r="L200" s="10">
        <v>0.46218669652938793</v>
      </c>
      <c r="M200" s="10">
        <v>1.1404410581020489E-2</v>
      </c>
      <c r="N200" s="10">
        <v>2.446224418996005</v>
      </c>
      <c r="O200" s="47">
        <v>12640.916666666664</v>
      </c>
      <c r="P200" s="47">
        <v>466.4444444444444</v>
      </c>
      <c r="Q200" s="5">
        <v>5.4499999999999993</v>
      </c>
      <c r="R200" s="5">
        <v>12</v>
      </c>
      <c r="S200" s="170">
        <v>7.1823118696664079E-2</v>
      </c>
      <c r="T200" s="170">
        <v>0.1582234290147401</v>
      </c>
      <c r="U200" s="3">
        <f>(Table1[[#This Row],[In-Tok]]+Table1[[#This Row],[Out-Tok]])*Table1[[#This Row],[RPS]]</f>
        <v>13520</v>
      </c>
      <c r="V200" s="3">
        <f>Table1[[#This Row],[In-Tok]]+$V$2*Table1[[#This Row],[Out-Tok]]</f>
        <v>5100</v>
      </c>
      <c r="W200" s="3">
        <f>Table1[[#This Row],[In-Tok]]*Table1[[#This Row],[RPS]]</f>
        <v>13000</v>
      </c>
      <c r="X200" s="3">
        <f>Table1[[#This Row],[Out-Tok]]*Table1[[#This Row],[RPS]]</f>
        <v>520</v>
      </c>
      <c r="Y200" s="75">
        <f>Table1[[#This Row],[In-Tok]]/Table1[[#This Row],[Out-Tok]]</f>
        <v>25</v>
      </c>
      <c r="Z200" s="26">
        <f>Table1[[#This Row],[In-Tok]]*Table1[[#This Row],[N]]+AvgOutLoad*Table1[[#This Row],[Out-Tok]]*Table1[[#This Row],[Ndecode]]</f>
        <v>29183.425569686595</v>
      </c>
      <c r="AA200" s="3">
        <f>Table1[[#This Row],[tok(N)]]/Table1[[#This Row],[Kvcache]]</f>
        <v>406323.56404543121</v>
      </c>
      <c r="AB200" s="3">
        <f>Table1[[#This Row],[tok/req]]*Table1[[#This Row],[Run]]</f>
        <v>27794.999999999996</v>
      </c>
      <c r="AC200" s="3">
        <f>Table1[[#This Row],[tok(Run)]]/Table1[[#This Row],[Kvcache]]</f>
        <v>386992.38496435509</v>
      </c>
      <c r="AD200" s="3">
        <f>Table1[[#This Row],[tok/req]]*Table1[[#This Row],[MaxRun]]</f>
        <v>61200</v>
      </c>
      <c r="AE200" s="3">
        <f>Table1[[#This Row],[tok(MaxRun)]]/Table1[[#This Row],[MaxKvcache]]</f>
        <v>386794.80264770781</v>
      </c>
      <c r="AF200" s="75">
        <f>Table1[[#This Row],[PPS]]*Table1[[#This Row],[Prefill]]/Table1[[#This Row],[In-Tok]]</f>
        <v>0.41077067710326548</v>
      </c>
      <c r="AG200" s="5">
        <f>Table1[[#This Row],[GPS]]*Table1[[#This Row],[ITL]]</f>
        <v>5.3195239576804454</v>
      </c>
      <c r="AH200" s="5">
        <f>Table1[[#This Row],[Nprefill]]+Table1[[#This Row],[Ndecode]]</f>
        <v>5.7302946347837107</v>
      </c>
      <c r="AI200" s="4">
        <f>Table1[[#This Row],[Run]]/Table1[[#This Row],[ITL]]/Table1[[#This Row],[GPS]]</f>
        <v>1.0245277666493391</v>
      </c>
      <c r="AJ200" s="10">
        <f>Table1[[#This Row],[Prefill]]+Table1[[#This Row],[ITL]]</f>
        <v>0.17388102835132943</v>
      </c>
      <c r="AK200" s="4">
        <f>Table1[[#This Row],[TTFT]]/Table1[[#This Row],[estTTFT]]</f>
        <v>1.0507032908144265</v>
      </c>
      <c r="AL200" s="5">
        <f>Table1[[#This Row],[In-Tok]]*Table1[[#This Row],[RPS]]/Table1[[#This Row],[PPS]]</f>
        <v>1.0284064314956063</v>
      </c>
      <c r="AM200" s="4">
        <f>Table1[[#This Row],[Prefill]]/Table1[[#This Row],[estPrefill]]</f>
        <v>0.15798872196279443</v>
      </c>
      <c r="AN200" s="4">
        <f>Table1[[#This Row],[Prefill]]/Table1[[#This Row],[TTFT]]</f>
        <v>0.88932106098391239</v>
      </c>
      <c r="AO200" s="10">
        <f>Table1[[#This Row],[Run]]/(Table1[[#This Row],[Out-Tok]]*Table1[[#This Row],[RPS]])</f>
        <v>1.0480769230769229E-2</v>
      </c>
      <c r="AP200" s="4">
        <f>Table1[[#This Row],[ITL]]/Table1[[#This Row],[estITL]]</f>
        <v>1.0881272480973678</v>
      </c>
      <c r="AQ200" s="44">
        <f>Table1[[#This Row],[E2E]]-Table1[[#This Row],[TTFT]]+Table1[[#This Row],[ITL]]</f>
        <v>2.2749314608780868</v>
      </c>
      <c r="AR200" s="4">
        <f>Table1[[#This Row],[estDecode]]/Table1[[#This Row],[Run]]</f>
        <v>0.4174186166748784</v>
      </c>
      <c r="AS200" s="44">
        <f>Table1[[#This Row],[Prefill]]+Table1[[#This Row],[Out-Tok]]*Table1[[#This Row],[ITL]]</f>
        <v>2.4433587339744069</v>
      </c>
      <c r="AT200" s="5">
        <f>Table1[[#This Row],[estPrefill]]+Table1[[#This Row],[Out-Tok]]*Table1[[#This Row],[ITL]]</f>
        <v>3.3092885476997043</v>
      </c>
      <c r="AU200" s="4">
        <f>Table1[[#This Row],[E2E]]/Table1[[#This Row],[estE2E]]</f>
        <v>0.73919949370881621</v>
      </c>
      <c r="AV200" s="5">
        <f>Table1[[#This Row],[N]]/Table1[[#This Row],[estE2E]]</f>
        <v>1.7315790243697107</v>
      </c>
      <c r="AW200" s="5">
        <f>Table1[[#This Row],[PPS]]/Table1[[#This Row],[In-Tok]]</f>
        <v>2.5281833333333328</v>
      </c>
      <c r="AX200" s="4">
        <f>Table1[[#This Row],[RPS]]/Table1[[#This Row],[RPS(IL)]]</f>
        <v>1.0284064314956065</v>
      </c>
      <c r="AY200" s="5">
        <f>Table1[[#This Row],[GPS]]/Table1[[#This Row],[Out-Tok]]</f>
        <v>2.3322222222222222</v>
      </c>
      <c r="AZ200" s="89">
        <f>Table1[[#This Row],[RPS]]/Table1[[#This Row],[RPS(OL)]]</f>
        <v>1.1148165793234874</v>
      </c>
      <c r="BA200" s="135">
        <f>MaxTok/Table1[[#This Row],[tok/req]]</f>
        <v>76.061227841677507</v>
      </c>
      <c r="BB200" s="4">
        <f>Table1[[#This Row],[N]]/Table1[[#This Row],[N-max]]</f>
        <v>7.5337919165746281E-2</v>
      </c>
      <c r="BC200" s="44">
        <f>Table1[[#This Row],[RPS]]</f>
        <v>2.6</v>
      </c>
      <c r="BD200" s="47">
        <f>Table1[[#This Row],[PPS]]/Table1[[#This Row],[RPS success]]</f>
        <v>4861.8910256410245</v>
      </c>
      <c r="BE200" s="4">
        <f>ABS(Table1[[#This Row],[est-In-Tok3]]-Table1[[#This Row],[In-Tok]])/Table1[[#This Row],[In-Tok]]</f>
        <v>2.76217948717951E-2</v>
      </c>
      <c r="BF200" s="47">
        <f>Table1[[#This Row],[GPS]]/Table1[[#This Row],[RPS success]]</f>
        <v>179.40170940170938</v>
      </c>
      <c r="BG200" s="4">
        <f>ABS(Table1[[#This Row],[est-Out-Tok3]]-Table1[[#This Row],[Out-Tok]])/Table1[[#This Row],[Out-Tok]]</f>
        <v>0.10299145299145308</v>
      </c>
      <c r="BH200" s="162">
        <f>Table1[[#This Row],[est-In-Tok3]]+AvgOutLoad*Table1[[#This Row],[est-Out-Tok3]]</f>
        <v>4951.591880341879</v>
      </c>
      <c r="BI200" s="4">
        <f>ABS(Table1[[#This Row],[est-Tok/Req3]]-Table1[[#This Row],[tok/req]])/Table1[[#This Row],[tok/req]]</f>
        <v>2.9099631305513921E-2</v>
      </c>
      <c r="BJ200" s="162">
        <f>MaxTok/Table1[[#This Row],[est-Tok/Req3]]</f>
        <v>78.340919721714258</v>
      </c>
      <c r="BK200" s="4">
        <f>ABS(Table1[[#This Row],[est-N-max3]]-Table1[[#This Row],[N-max]])/Table1[[#This Row],[N-max]]</f>
        <v>2.997179962413913E-2</v>
      </c>
      <c r="BL200" s="44">
        <f>MaxTok*Table1[[#This Row],[Kvcache]]/Table1[[#This Row],[Run]]</f>
        <v>5112.1226489876617</v>
      </c>
      <c r="BM200" s="170">
        <f>ABS(Table1[[#This Row],[est-Tok/Req]]-Table1[[#This Row],[tok/req]])/Table1[[#This Row],[tok/req]]</f>
        <v>2.3769899975807267E-3</v>
      </c>
      <c r="BN200" s="44">
        <f>MaxTok/Table1[[#This Row],[est-Tok/Req]]</f>
        <v>75.88085979693237</v>
      </c>
      <c r="BO200" s="180">
        <f>Table1[[#This Row],[Run]]/Table1[[#This Row],[Kvcache]]</f>
        <v>75.88085979693237</v>
      </c>
      <c r="BP200" s="4" cm="1">
        <f t="array" aca="1" ref="BP200" ca="1">_xlfn.CEILING.MATH(INDIRECT("Table1"&amp;BP$3)/BP$2)*BP$2</f>
        <v>6000</v>
      </c>
      <c r="BQ200" s="4" cm="1">
        <f t="array" aca="1" ref="BQ200" ca="1">_xlfn.CEILING.MATH(INDIRECT("Table1"&amp;BQ$3)/BQ$2)*BQ$2</f>
        <v>1.4999999999999999E-2</v>
      </c>
      <c r="BR200" s="4" cm="1">
        <f t="array" aca="1" ref="BR200" ca="1">_xlfn.CEILING.MATH(INDIRECT("Table1"&amp;BR$3)/BR$2)*BR$2</f>
        <v>0.1</v>
      </c>
      <c r="BS200" s="4" cm="1">
        <f t="array" aca="1" ref="BS200" ca="1">_xlfn.CEILING.MATH(INDIRECT("Table1"&amp;BS$3)/BS$2)*BS$2</f>
        <v>0.08</v>
      </c>
      <c r="BT200" s="3" cm="1">
        <f t="array" aca="1" ref="BT200" ca="1">_xlfn.CEILING.MATH(INDIRECT("Table1"&amp;BT$3)/BT$2)*BT$2</f>
        <v>6</v>
      </c>
      <c r="BU200" s="135" cm="1">
        <f t="array" aca="1" ref="BU200" ca="1">_xlfn.CEILING.MATH(INDIRECT("Table1"&amp;BU$3)/BU$2)*BU$2</f>
        <v>25</v>
      </c>
      <c r="BV200" s="135" cm="1">
        <f t="array" aca="1" ref="BV200" ca="1">_xlfn.CEILING.MATH(INDIRECT("Table1"&amp;BV$3)/BV$2)*BV$2</f>
        <v>5000</v>
      </c>
      <c r="BW200" s="4"/>
      <c r="BX200" s="4"/>
      <c r="BY200" s="217"/>
      <c r="BZ200" s="4"/>
      <c r="CA200" s="3"/>
      <c r="CF200" s="5"/>
      <c r="CH200" s="8"/>
      <c r="CI200" s="8"/>
      <c r="CJ200" s="14"/>
      <c r="CK200" s="8"/>
      <c r="CL200" s="8"/>
      <c r="CM200" s="8"/>
      <c r="CN200" s="8"/>
      <c r="CO200" s="8"/>
      <c r="CP200" s="8"/>
      <c r="CQ200" s="8">
        <f>Table1[[#This Row],[In-Tok]]+AvgOutLoad*Table1[[#This Row],[Out-Tok]]</f>
        <v>5100</v>
      </c>
      <c r="CR200" s="8"/>
      <c r="CS200" s="8"/>
      <c r="CT200" s="8"/>
      <c r="CU200" s="8"/>
      <c r="CV200" s="8"/>
      <c r="CW200" s="8"/>
      <c r="CX200" s="8"/>
      <c r="CY200" s="8"/>
    </row>
    <row r="201" spans="1:103" hidden="1" x14ac:dyDescent="0.25">
      <c r="A201" s="26">
        <v>5000</v>
      </c>
      <c r="B201" s="3">
        <v>200</v>
      </c>
      <c r="C201" s="123">
        <v>2.8</v>
      </c>
      <c r="D201" s="216">
        <f>Table1[[#This Row],[Kvcache]]</f>
        <v>9.6761055081458491E-2</v>
      </c>
      <c r="E201" s="170" t="s">
        <v>156</v>
      </c>
      <c r="F201" s="218">
        <v>46104</v>
      </c>
      <c r="G201" s="10">
        <v>0</v>
      </c>
      <c r="H201" s="10">
        <v>0.1962321878838505</v>
      </c>
      <c r="I201" s="10">
        <v>0.16636100612474064</v>
      </c>
      <c r="J201" s="10">
        <v>0.21566905063602765</v>
      </c>
      <c r="K201" s="10">
        <v>0.41773403882980342</v>
      </c>
      <c r="L201" s="10">
        <v>0.47761176824569701</v>
      </c>
      <c r="M201" s="10">
        <v>1.3324501686882279E-2</v>
      </c>
      <c r="N201" s="10">
        <v>2.8548908975596232</v>
      </c>
      <c r="O201" s="47">
        <v>15602.761111111111</v>
      </c>
      <c r="P201" s="47">
        <v>580.86111111111109</v>
      </c>
      <c r="Q201" s="5">
        <v>7.35</v>
      </c>
      <c r="R201" s="5">
        <v>16</v>
      </c>
      <c r="S201" s="170">
        <v>9.6761055081458491E-2</v>
      </c>
      <c r="T201" s="170">
        <v>0.20950349107835531</v>
      </c>
      <c r="U201" s="3">
        <f>(Table1[[#This Row],[In-Tok]]+Table1[[#This Row],[Out-Tok]])*Table1[[#This Row],[RPS]]</f>
        <v>14559.999999999998</v>
      </c>
      <c r="V201" s="3">
        <f>Table1[[#This Row],[In-Tok]]+$V$2*Table1[[#This Row],[Out-Tok]]</f>
        <v>5100</v>
      </c>
      <c r="W201" s="3">
        <f>Table1[[#This Row],[In-Tok]]*Table1[[#This Row],[RPS]]</f>
        <v>14000</v>
      </c>
      <c r="X201" s="3">
        <f>Table1[[#This Row],[Out-Tok]]*Table1[[#This Row],[RPS]]</f>
        <v>560</v>
      </c>
      <c r="Y201" s="75">
        <f>Table1[[#This Row],[In-Tok]]/Table1[[#This Row],[Out-Tok]]</f>
        <v>25</v>
      </c>
      <c r="Z201" s="26">
        <f>Table1[[#This Row],[In-Tok]]*Table1[[#This Row],[N]]+AvgOutLoad*Table1[[#This Row],[Out-Tok]]*Table1[[#This Row],[Ndecode]]</f>
        <v>42068.083796474428</v>
      </c>
      <c r="AA201" s="3">
        <f>Table1[[#This Row],[tok(N)]]/Table1[[#This Row],[Kvcache]]</f>
        <v>434762.55773626408</v>
      </c>
      <c r="AB201" s="3">
        <f>Table1[[#This Row],[tok/req]]*Table1[[#This Row],[Run]]</f>
        <v>37485</v>
      </c>
      <c r="AC201" s="3">
        <f>Table1[[#This Row],[tok(Run)]]/Table1[[#This Row],[Kvcache]]</f>
        <v>387397.5947083584</v>
      </c>
      <c r="AD201" s="3">
        <f>Table1[[#This Row],[tok/req]]*Table1[[#This Row],[MaxRun]]</f>
        <v>81600</v>
      </c>
      <c r="AE201" s="3">
        <f>Table1[[#This Row],[tok(MaxRun)]]/Table1[[#This Row],[MaxKvcache]]</f>
        <v>389492.31623773376</v>
      </c>
      <c r="AF201" s="75">
        <f>Table1[[#This Row],[PPS]]*Table1[[#This Row],[Prefill]]/Table1[[#This Row],[In-Tok]]</f>
        <v>0.5191382073536841</v>
      </c>
      <c r="AG201" s="5">
        <f>Table1[[#This Row],[GPS]]*Table1[[#This Row],[ITL]]</f>
        <v>7.7396848548443149</v>
      </c>
      <c r="AH201" s="5">
        <f>Table1[[#This Row],[Nprefill]]+Table1[[#This Row],[Ndecode]]</f>
        <v>8.2588230621979992</v>
      </c>
      <c r="AI201" s="4">
        <f>Table1[[#This Row],[Run]]/Table1[[#This Row],[ITL]]/Table1[[#This Row],[GPS]]</f>
        <v>0.94965106950053535</v>
      </c>
      <c r="AJ201" s="10">
        <f>Table1[[#This Row],[Prefill]]+Table1[[#This Row],[ITL]]</f>
        <v>0.17968550781162293</v>
      </c>
      <c r="AK201" s="4">
        <f>Table1[[#This Row],[TTFT]]/Table1[[#This Row],[estTTFT]]</f>
        <v>1.0920868926701346</v>
      </c>
      <c r="AL201" s="5">
        <f>Table1[[#This Row],[In-Tok]]*Table1[[#This Row],[RPS]]/Table1[[#This Row],[PPS]]</f>
        <v>0.89727708450463006</v>
      </c>
      <c r="AM201" s="4">
        <f>Table1[[#This Row],[Prefill]]/Table1[[#This Row],[estPrefill]]</f>
        <v>0.18540650262631575</v>
      </c>
      <c r="AN201" s="4">
        <f>Table1[[#This Row],[Prefill]]/Table1[[#This Row],[TTFT]]</f>
        <v>0.84777634046056416</v>
      </c>
      <c r="AO201" s="10">
        <f>Table1[[#This Row],[Run]]/(Table1[[#This Row],[Out-Tok]]*Table1[[#This Row],[RPS]])</f>
        <v>1.3125E-2</v>
      </c>
      <c r="AP201" s="4">
        <f>Table1[[#This Row],[ITL]]/Table1[[#This Row],[estITL]]</f>
        <v>1.0152001285243641</v>
      </c>
      <c r="AQ201" s="44">
        <f>Table1[[#This Row],[E2E]]-Table1[[#This Row],[TTFT]]+Table1[[#This Row],[ITL]]</f>
        <v>2.6719832113626549</v>
      </c>
      <c r="AR201" s="4">
        <f>Table1[[#This Row],[estDecode]]/Table1[[#This Row],[Run]]</f>
        <v>0.36353513079764016</v>
      </c>
      <c r="AS201" s="44">
        <f>Table1[[#This Row],[Prefill]]+Table1[[#This Row],[Out-Tok]]*Table1[[#This Row],[ITL]]</f>
        <v>2.8312613435011964</v>
      </c>
      <c r="AT201" s="5">
        <f>Table1[[#This Row],[estPrefill]]+Table1[[#This Row],[Out-Tok]]*Table1[[#This Row],[ITL]]</f>
        <v>3.5621774218810858</v>
      </c>
      <c r="AU201" s="4">
        <f>Table1[[#This Row],[E2E]]/Table1[[#This Row],[estE2E]]</f>
        <v>0.80144545300386405</v>
      </c>
      <c r="AV201" s="5">
        <f>Table1[[#This Row],[N]]/Table1[[#This Row],[estE2E]]</f>
        <v>2.3184760566577132</v>
      </c>
      <c r="AW201" s="5">
        <f>Table1[[#This Row],[PPS]]/Table1[[#This Row],[In-Tok]]</f>
        <v>3.1205522222222224</v>
      </c>
      <c r="AX201" s="4">
        <f>Table1[[#This Row],[RPS]]/Table1[[#This Row],[RPS(IL)]]</f>
        <v>0.89727708450462995</v>
      </c>
      <c r="AY201" s="5">
        <f>Table1[[#This Row],[GPS]]/Table1[[#This Row],[Out-Tok]]</f>
        <v>2.9043055555555553</v>
      </c>
      <c r="AZ201" s="89">
        <f>Table1[[#This Row],[RPS]]/Table1[[#This Row],[RPS(OL)]]</f>
        <v>0.9640858878102434</v>
      </c>
      <c r="BA201" s="135">
        <f>MaxTok/Table1[[#This Row],[tok/req]]</f>
        <v>76.061227841677507</v>
      </c>
      <c r="BB201" s="4">
        <f>Table1[[#This Row],[N]]/Table1[[#This Row],[N-max]]</f>
        <v>0.10858124824633193</v>
      </c>
      <c r="BC201" s="44">
        <f>Table1[[#This Row],[RPS]]</f>
        <v>2.8</v>
      </c>
      <c r="BD201" s="47">
        <f>Table1[[#This Row],[PPS]]/Table1[[#This Row],[RPS success]]</f>
        <v>5572.4146825396829</v>
      </c>
      <c r="BE201" s="4">
        <f>ABS(Table1[[#This Row],[est-In-Tok3]]-Table1[[#This Row],[In-Tok]])/Table1[[#This Row],[In-Tok]]</f>
        <v>0.11448293650793658</v>
      </c>
      <c r="BF201" s="47">
        <f>Table1[[#This Row],[GPS]]/Table1[[#This Row],[RPS success]]</f>
        <v>207.45039682539684</v>
      </c>
      <c r="BG201" s="4">
        <f>ABS(Table1[[#This Row],[est-Out-Tok3]]-Table1[[#This Row],[Out-Tok]])/Table1[[#This Row],[Out-Tok]]</f>
        <v>3.7251984126984182E-2</v>
      </c>
      <c r="BH201" s="162">
        <f>Table1[[#This Row],[est-In-Tok3]]+AvgOutLoad*Table1[[#This Row],[est-Out-Tok3]]</f>
        <v>5676.1398809523816</v>
      </c>
      <c r="BI201" s="4">
        <f>ABS(Table1[[#This Row],[est-Tok/Req3]]-Table1[[#This Row],[tok/req]])/Table1[[#This Row],[tok/req]]</f>
        <v>0.11296860410831013</v>
      </c>
      <c r="BJ201" s="162">
        <f>MaxTok/Table1[[#This Row],[est-Tok/Req3]]</f>
        <v>68.34085666110623</v>
      </c>
      <c r="BK201" s="4">
        <f>ABS(Table1[[#This Row],[est-N-max3]]-Table1[[#This Row],[N-max]])/Table1[[#This Row],[N-max]]</f>
        <v>0.10150205827128292</v>
      </c>
      <c r="BL201" s="44">
        <f>MaxTok*Table1[[#This Row],[Kvcache]]/Table1[[#This Row],[Run]]</f>
        <v>5106.7754761135784</v>
      </c>
      <c r="BM201" s="170">
        <f>ABS(Table1[[#This Row],[est-Tok/Req]]-Table1[[#This Row],[tok/req]])/Table1[[#This Row],[tok/req]]</f>
        <v>1.3285247281526287E-3</v>
      </c>
      <c r="BN201" s="44">
        <f>MaxTok/Table1[[#This Row],[est-Tok/Req]]</f>
        <v>75.960312687913415</v>
      </c>
      <c r="BO201" s="180">
        <f>Table1[[#This Row],[Run]]/Table1[[#This Row],[Kvcache]]</f>
        <v>75.960312687913415</v>
      </c>
      <c r="BP201" s="4" cm="1">
        <f t="array" aca="1" ref="BP201" ca="1">_xlfn.CEILING.MATH(INDIRECT("Table1"&amp;BP$3)/BP$2)*BP$2</f>
        <v>6000</v>
      </c>
      <c r="BQ201" s="4" cm="1">
        <f t="array" aca="1" ref="BQ201" ca="1">_xlfn.CEILING.MATH(INDIRECT("Table1"&amp;BQ$3)/BQ$2)*BQ$2</f>
        <v>1.4999999999999999E-2</v>
      </c>
      <c r="BR201" s="4" cm="1">
        <f t="array" aca="1" ref="BR201" ca="1">_xlfn.CEILING.MATH(INDIRECT("Table1"&amp;BR$3)/BR$2)*BR$2</f>
        <v>0.1</v>
      </c>
      <c r="BS201" s="4" cm="1">
        <f t="array" aca="1" ref="BS201" ca="1">_xlfn.CEILING.MATH(INDIRECT("Table1"&amp;BS$3)/BS$2)*BS$2</f>
        <v>0.1</v>
      </c>
      <c r="BT201" s="3" cm="1">
        <f t="array" aca="1" ref="BT201" ca="1">_xlfn.CEILING.MATH(INDIRECT("Table1"&amp;BT$3)/BT$2)*BT$2</f>
        <v>8</v>
      </c>
      <c r="BU201" s="135" cm="1">
        <f t="array" aca="1" ref="BU201" ca="1">_xlfn.CEILING.MATH(INDIRECT("Table1"&amp;BU$3)/BU$2)*BU$2</f>
        <v>25</v>
      </c>
      <c r="BV201" s="135" cm="1">
        <f t="array" aca="1" ref="BV201" ca="1">_xlfn.CEILING.MATH(INDIRECT("Table1"&amp;BV$3)/BV$2)*BV$2</f>
        <v>5000</v>
      </c>
      <c r="BW201" s="4"/>
      <c r="BX201" s="4"/>
      <c r="BY201" s="217"/>
      <c r="BZ201" s="4"/>
      <c r="CA201" s="3"/>
      <c r="CF201" s="5"/>
      <c r="CH201" s="8"/>
      <c r="CI201" s="8"/>
      <c r="CJ201" s="14"/>
      <c r="CK201" s="8"/>
      <c r="CL201" s="8"/>
      <c r="CM201" s="8"/>
      <c r="CN201" s="8"/>
      <c r="CO201" s="8"/>
      <c r="CP201" s="8"/>
      <c r="CQ201" s="8">
        <f>Table1[[#This Row],[In-Tok]]+AvgOutLoad*Table1[[#This Row],[Out-Tok]]</f>
        <v>5100</v>
      </c>
      <c r="CR201" s="8"/>
      <c r="CS201" s="8"/>
      <c r="CT201" s="8"/>
      <c r="CU201" s="8"/>
      <c r="CV201" s="8"/>
      <c r="CW201" s="8"/>
      <c r="CX201" s="8"/>
      <c r="CY201" s="8"/>
    </row>
    <row r="202" spans="1:103" hidden="1" x14ac:dyDescent="0.25">
      <c r="A202" s="26">
        <v>5000</v>
      </c>
      <c r="B202" s="3">
        <v>200</v>
      </c>
      <c r="C202" s="123">
        <v>3</v>
      </c>
      <c r="D202" s="216">
        <f>Table1[[#This Row],[Kvcache]]</f>
        <v>8.9103956555469377E-2</v>
      </c>
      <c r="E202" s="170" t="s">
        <v>156</v>
      </c>
      <c r="F202" s="218">
        <v>46104</v>
      </c>
      <c r="G202" s="10">
        <v>0</v>
      </c>
      <c r="H202" s="10">
        <v>0.18698219941112554</v>
      </c>
      <c r="I202" s="10">
        <v>0.15744471102956686</v>
      </c>
      <c r="J202" s="10">
        <v>0.20741236069966423</v>
      </c>
      <c r="K202" s="10">
        <v>0.3844584763050079</v>
      </c>
      <c r="L202" s="10">
        <v>0.45043528079986572</v>
      </c>
      <c r="M202" s="10">
        <v>1.3399499060221923E-2</v>
      </c>
      <c r="N202" s="10">
        <v>2.8221898787400397</v>
      </c>
      <c r="O202" s="47">
        <v>14922.894444444446</v>
      </c>
      <c r="P202" s="47">
        <v>551.72777777777787</v>
      </c>
      <c r="Q202" s="5">
        <v>6.75</v>
      </c>
      <c r="R202" s="5">
        <v>18</v>
      </c>
      <c r="S202" s="170">
        <v>8.9103956555469377E-2</v>
      </c>
      <c r="T202" s="170">
        <v>0.23801396431342126</v>
      </c>
      <c r="U202" s="3">
        <f>(Table1[[#This Row],[In-Tok]]+Table1[[#This Row],[Out-Tok]])*Table1[[#This Row],[RPS]]</f>
        <v>15600</v>
      </c>
      <c r="V202" s="3">
        <f>Table1[[#This Row],[In-Tok]]+$V$2*Table1[[#This Row],[Out-Tok]]</f>
        <v>5100</v>
      </c>
      <c r="W202" s="3">
        <f>Table1[[#This Row],[In-Tok]]*Table1[[#This Row],[RPS]]</f>
        <v>15000</v>
      </c>
      <c r="X202" s="3">
        <f>Table1[[#This Row],[Out-Tok]]*Table1[[#This Row],[RPS]]</f>
        <v>600</v>
      </c>
      <c r="Y202" s="75">
        <f>Table1[[#This Row],[In-Tok]]/Table1[[#This Row],[Out-Tok]]</f>
        <v>25</v>
      </c>
      <c r="Z202" s="26">
        <f>Table1[[#This Row],[In-Tok]]*Table1[[#This Row],[N]]+AvgOutLoad*Table1[[#This Row],[Out-Tok]]*Table1[[#This Row],[Ndecode]]</f>
        <v>40053.197586671777</v>
      </c>
      <c r="AA202" s="3">
        <f>Table1[[#This Row],[tok(N)]]/Table1[[#This Row],[Kvcache]]</f>
        <v>449510.87622846116</v>
      </c>
      <c r="AB202" s="3">
        <f>Table1[[#This Row],[tok/req]]*Table1[[#This Row],[Run]]</f>
        <v>34425</v>
      </c>
      <c r="AC202" s="3">
        <f>Table1[[#This Row],[tok(Run)]]/Table1[[#This Row],[Kvcache]]</f>
        <v>386346.48034478247</v>
      </c>
      <c r="AD202" s="3">
        <f>Table1[[#This Row],[tok/req]]*Table1[[#This Row],[MaxRun]]</f>
        <v>91800</v>
      </c>
      <c r="AE202" s="3">
        <f>Table1[[#This Row],[tok(MaxRun)]]/Table1[[#This Row],[MaxKvcache]]</f>
        <v>385691.65580182528</v>
      </c>
      <c r="AF202" s="75">
        <f>Table1[[#This Row],[PPS]]*Table1[[#This Row],[Prefill]]/Table1[[#This Row],[In-Tok]]</f>
        <v>0.46990616070605695</v>
      </c>
      <c r="AG202" s="5">
        <f>Table1[[#This Row],[GPS]]*Table1[[#This Row],[ITL]]</f>
        <v>7.3928758398316647</v>
      </c>
      <c r="AH202" s="5">
        <f>Table1[[#This Row],[Nprefill]]+Table1[[#This Row],[Ndecode]]</f>
        <v>7.862782000537722</v>
      </c>
      <c r="AI202" s="4">
        <f>Table1[[#This Row],[Run]]/Table1[[#This Row],[ITL]]/Table1[[#This Row],[GPS]]</f>
        <v>0.91304116912555866</v>
      </c>
      <c r="AJ202" s="10">
        <f>Table1[[#This Row],[Prefill]]+Table1[[#This Row],[ITL]]</f>
        <v>0.17084421008978878</v>
      </c>
      <c r="AK202" s="4">
        <f>Table1[[#This Row],[TTFT]]/Table1[[#This Row],[estTTFT]]</f>
        <v>1.0944602647807338</v>
      </c>
      <c r="AL202" s="5">
        <f>Table1[[#This Row],[In-Tok]]*Table1[[#This Row],[RPS]]/Table1[[#This Row],[PPS]]</f>
        <v>1.0051669303058202</v>
      </c>
      <c r="AM202" s="4">
        <f>Table1[[#This Row],[Prefill]]/Table1[[#This Row],[estPrefill]]</f>
        <v>0.15663538690201895</v>
      </c>
      <c r="AN202" s="4">
        <f>Table1[[#This Row],[Prefill]]/Table1[[#This Row],[TTFT]]</f>
        <v>0.84203047950776655</v>
      </c>
      <c r="AO202" s="10">
        <f>Table1[[#This Row],[Run]]/(Table1[[#This Row],[Out-Tok]]*Table1[[#This Row],[RPS]])</f>
        <v>1.125E-2</v>
      </c>
      <c r="AP202" s="4">
        <f>Table1[[#This Row],[ITL]]/Table1[[#This Row],[estITL]]</f>
        <v>1.1910665831308376</v>
      </c>
      <c r="AQ202" s="44">
        <f>Table1[[#This Row],[E2E]]-Table1[[#This Row],[TTFT]]+Table1[[#This Row],[ITL]]</f>
        <v>2.6486071783891361</v>
      </c>
      <c r="AR202" s="4">
        <f>Table1[[#This Row],[estDecode]]/Table1[[#This Row],[Run]]</f>
        <v>0.39238624865024235</v>
      </c>
      <c r="AS202" s="44">
        <f>Table1[[#This Row],[Prefill]]+Table1[[#This Row],[Out-Tok]]*Table1[[#This Row],[ITL]]</f>
        <v>2.8373445230739516</v>
      </c>
      <c r="AT202" s="5">
        <f>Table1[[#This Row],[estPrefill]]+Table1[[#This Row],[Out-Tok]]*Table1[[#This Row],[ITL]]</f>
        <v>3.6850667423502053</v>
      </c>
      <c r="AU202" s="4">
        <f>Table1[[#This Row],[E2E]]/Table1[[#This Row],[estE2E]]</f>
        <v>0.76584498356742026</v>
      </c>
      <c r="AV202" s="5">
        <f>Table1[[#This Row],[N]]/Table1[[#This Row],[estE2E]]</f>
        <v>2.1336878136223709</v>
      </c>
      <c r="AW202" s="5">
        <f>Table1[[#This Row],[PPS]]/Table1[[#This Row],[In-Tok]]</f>
        <v>2.9845788888888891</v>
      </c>
      <c r="AX202" s="4">
        <f>Table1[[#This Row],[RPS]]/Table1[[#This Row],[RPS(IL)]]</f>
        <v>1.0051669303058202</v>
      </c>
      <c r="AY202" s="5">
        <f>Table1[[#This Row],[GPS]]/Table1[[#This Row],[Out-Tok]]</f>
        <v>2.7586388888888895</v>
      </c>
      <c r="AZ202" s="89">
        <f>Table1[[#This Row],[RPS]]/Table1[[#This Row],[RPS(OL)]]</f>
        <v>1.0874928255681644</v>
      </c>
      <c r="BA202" s="135">
        <f>MaxTok/Table1[[#This Row],[tok/req]]</f>
        <v>76.061227841677507</v>
      </c>
      <c r="BB202" s="4">
        <f>Table1[[#This Row],[N]]/Table1[[#This Row],[N-max]]</f>
        <v>0.1033743764550345</v>
      </c>
      <c r="BC202" s="44">
        <f>Table1[[#This Row],[RPS]]</f>
        <v>3</v>
      </c>
      <c r="BD202" s="47">
        <f>Table1[[#This Row],[PPS]]/Table1[[#This Row],[RPS success]]</f>
        <v>4974.2981481481484</v>
      </c>
      <c r="BE202" s="4">
        <f>ABS(Table1[[#This Row],[est-In-Tok3]]-Table1[[#This Row],[In-Tok]])/Table1[[#This Row],[In-Tok]]</f>
        <v>5.140370370370329E-3</v>
      </c>
      <c r="BF202" s="47">
        <f>Table1[[#This Row],[GPS]]/Table1[[#This Row],[RPS success]]</f>
        <v>183.9092592592593</v>
      </c>
      <c r="BG202" s="4">
        <f>ABS(Table1[[#This Row],[est-Out-Tok3]]-Table1[[#This Row],[Out-Tok]])/Table1[[#This Row],[Out-Tok]]</f>
        <v>8.04537037037035E-2</v>
      </c>
      <c r="BH202" s="162">
        <f>Table1[[#This Row],[est-In-Tok3]]+AvgOutLoad*Table1[[#This Row],[est-Out-Tok3]]</f>
        <v>5066.2527777777777</v>
      </c>
      <c r="BI202" s="4">
        <f>ABS(Table1[[#This Row],[est-Tok/Req3]]-Table1[[#This Row],[tok/req]])/Table1[[#This Row],[tok/req]]</f>
        <v>6.6171023965141693E-3</v>
      </c>
      <c r="BJ202" s="162">
        <f>MaxTok/Table1[[#This Row],[est-Tok/Req3]]</f>
        <v>76.567885379518344</v>
      </c>
      <c r="BK202" s="4">
        <f>ABS(Table1[[#This Row],[est-N-max3]]-Table1[[#This Row],[N-max]])/Table1[[#This Row],[N-max]]</f>
        <v>6.6611801073662913E-3</v>
      </c>
      <c r="BL202" s="44">
        <f>MaxTok*Table1[[#This Row],[Kvcache]]/Table1[[#This Row],[Run]]</f>
        <v>5120.6692355434816</v>
      </c>
      <c r="BM202" s="170">
        <f>ABS(Table1[[#This Row],[est-Tok/Req]]-Table1[[#This Row],[tok/req]])/Table1[[#This Row],[tok/req]]</f>
        <v>4.0527912830356063E-3</v>
      </c>
      <c r="BN202" s="44">
        <f>MaxTok/Table1[[#This Row],[est-Tok/Req]]</f>
        <v>75.75421183231029</v>
      </c>
      <c r="BO202" s="180">
        <f>Table1[[#This Row],[Run]]/Table1[[#This Row],[Kvcache]]</f>
        <v>75.75421183231029</v>
      </c>
      <c r="BP202" s="4" cm="1">
        <f t="array" aca="1" ref="BP202" ca="1">_xlfn.CEILING.MATH(INDIRECT("Table1"&amp;BP$3)/BP$2)*BP$2</f>
        <v>6000</v>
      </c>
      <c r="BQ202" s="4" cm="1">
        <f t="array" aca="1" ref="BQ202" ca="1">_xlfn.CEILING.MATH(INDIRECT("Table1"&amp;BQ$3)/BQ$2)*BQ$2</f>
        <v>1.4999999999999999E-2</v>
      </c>
      <c r="BR202" s="4" cm="1">
        <f t="array" aca="1" ref="BR202" ca="1">_xlfn.CEILING.MATH(INDIRECT("Table1"&amp;BR$3)/BR$2)*BR$2</f>
        <v>0.1</v>
      </c>
      <c r="BS202" s="4" cm="1">
        <f t="array" aca="1" ref="BS202" ca="1">_xlfn.CEILING.MATH(INDIRECT("Table1"&amp;BS$3)/BS$2)*BS$2</f>
        <v>0.09</v>
      </c>
      <c r="BT202" s="3" cm="1">
        <f t="array" aca="1" ref="BT202" ca="1">_xlfn.CEILING.MATH(INDIRECT("Table1"&amp;BT$3)/BT$2)*BT$2</f>
        <v>7</v>
      </c>
      <c r="BU202" s="135" cm="1">
        <f t="array" aca="1" ref="BU202" ca="1">_xlfn.CEILING.MATH(INDIRECT("Table1"&amp;BU$3)/BU$2)*BU$2</f>
        <v>25</v>
      </c>
      <c r="BV202" s="135" cm="1">
        <f t="array" aca="1" ref="BV202" ca="1">_xlfn.CEILING.MATH(INDIRECT("Table1"&amp;BV$3)/BV$2)*BV$2</f>
        <v>5000</v>
      </c>
      <c r="BW202" s="4"/>
      <c r="BX202" s="4"/>
      <c r="BY202" s="217"/>
      <c r="BZ202" s="4"/>
      <c r="CA202" s="3"/>
      <c r="CF202" s="5"/>
      <c r="CH202" s="8"/>
      <c r="CI202" s="8"/>
      <c r="CJ202" s="14"/>
      <c r="CK202" s="8"/>
      <c r="CL202" s="8"/>
      <c r="CM202" s="8"/>
      <c r="CN202" s="8"/>
      <c r="CO202" s="8"/>
      <c r="CP202" s="8"/>
      <c r="CQ202" s="8">
        <f>Table1[[#This Row],[In-Tok]]+AvgOutLoad*Table1[[#This Row],[Out-Tok]]</f>
        <v>5100</v>
      </c>
      <c r="CR202" s="8"/>
      <c r="CS202" s="8"/>
      <c r="CT202" s="8"/>
      <c r="CU202" s="8"/>
      <c r="CV202" s="8"/>
      <c r="CW202" s="8"/>
      <c r="CX202" s="8"/>
      <c r="CY202" s="8"/>
    </row>
    <row r="203" spans="1:103" hidden="1" x14ac:dyDescent="0.25">
      <c r="A203" s="26">
        <v>5000</v>
      </c>
      <c r="B203" s="3">
        <v>200</v>
      </c>
      <c r="C203" s="123">
        <v>3.2</v>
      </c>
      <c r="D203" s="216">
        <f>Table1[[#This Row],[Kvcache]]</f>
        <v>0.13169209550900782</v>
      </c>
      <c r="E203" s="170" t="s">
        <v>156</v>
      </c>
      <c r="F203" s="218">
        <v>46104</v>
      </c>
      <c r="G203" s="10">
        <v>0</v>
      </c>
      <c r="H203" s="10">
        <v>0.2161787155717752</v>
      </c>
      <c r="I203" s="10">
        <v>0.18370497780114689</v>
      </c>
      <c r="J203" s="10">
        <v>0.23735317915797055</v>
      </c>
      <c r="K203" s="10">
        <v>0.47217763662338219</v>
      </c>
      <c r="L203" s="10">
        <v>0.57438341379165681</v>
      </c>
      <c r="M203" s="10">
        <v>1.5942548324487743E-2</v>
      </c>
      <c r="N203" s="10">
        <v>3.3992678352894252</v>
      </c>
      <c r="O203" s="47">
        <v>17739.197222222218</v>
      </c>
      <c r="P203" s="47">
        <v>648.86597222222224</v>
      </c>
      <c r="Q203" s="5">
        <v>9.9944444444444436</v>
      </c>
      <c r="R203" s="5">
        <v>17.5</v>
      </c>
      <c r="S203" s="170">
        <v>0.13169209550900782</v>
      </c>
      <c r="T203" s="170">
        <v>0.2321955003878976</v>
      </c>
      <c r="U203" s="3">
        <f>(Table1[[#This Row],[In-Tok]]+Table1[[#This Row],[Out-Tok]])*Table1[[#This Row],[RPS]]</f>
        <v>16640</v>
      </c>
      <c r="V203" s="3">
        <f>Table1[[#This Row],[In-Tok]]+$V$2*Table1[[#This Row],[Out-Tok]]</f>
        <v>5100</v>
      </c>
      <c r="W203" s="3">
        <f>Table1[[#This Row],[In-Tok]]*Table1[[#This Row],[RPS]]</f>
        <v>16000</v>
      </c>
      <c r="X203" s="3">
        <f>Table1[[#This Row],[Out-Tok]]*Table1[[#This Row],[RPS]]</f>
        <v>640</v>
      </c>
      <c r="Y203" s="75">
        <f>Table1[[#This Row],[In-Tok]]/Table1[[#This Row],[Out-Tok]]</f>
        <v>25</v>
      </c>
      <c r="Z203" s="26">
        <f>Table1[[#This Row],[In-Tok]]*Table1[[#This Row],[N]]+AvgOutLoad*Table1[[#This Row],[Out-Tok]]*Table1[[#This Row],[Ndecode]]</f>
        <v>56016.122135087848</v>
      </c>
      <c r="AA203" s="3">
        <f>Table1[[#This Row],[tok(N)]]/Table1[[#This Row],[Kvcache]]</f>
        <v>425356.75295148074</v>
      </c>
      <c r="AB203" s="3">
        <f>Table1[[#This Row],[tok/req]]*Table1[[#This Row],[Run]]</f>
        <v>50971.666666666664</v>
      </c>
      <c r="AC203" s="3">
        <f>Table1[[#This Row],[tok(Run)]]/Table1[[#This Row],[Kvcache]]</f>
        <v>387051.8307849401</v>
      </c>
      <c r="AD203" s="3">
        <f>Table1[[#This Row],[tok/req]]*Table1[[#This Row],[MaxRun]]</f>
        <v>89250</v>
      </c>
      <c r="AE203" s="3">
        <f>Table1[[#This Row],[tok(MaxRun)]]/Table1[[#This Row],[MaxKvcache]]</f>
        <v>384374.37353825592</v>
      </c>
      <c r="AF203" s="75">
        <f>Table1[[#This Row],[PPS]]*Table1[[#This Row],[Prefill]]/Table1[[#This Row],[In-Tok]]</f>
        <v>0.65175576638369981</v>
      </c>
      <c r="AG203" s="5">
        <f>Table1[[#This Row],[GPS]]*Table1[[#This Row],[ITL]]</f>
        <v>10.3445771182685</v>
      </c>
      <c r="AH203" s="5">
        <f>Table1[[#This Row],[Nprefill]]+Table1[[#This Row],[Ndecode]]</f>
        <v>10.996332884652199</v>
      </c>
      <c r="AI203" s="4">
        <f>Table1[[#This Row],[Run]]/Table1[[#This Row],[ITL]]/Table1[[#This Row],[GPS]]</f>
        <v>0.96615302203067122</v>
      </c>
      <c r="AJ203" s="10">
        <f>Table1[[#This Row],[Prefill]]+Table1[[#This Row],[ITL]]</f>
        <v>0.19964752612563463</v>
      </c>
      <c r="AK203" s="4">
        <f>Table1[[#This Row],[TTFT]]/Table1[[#This Row],[estTTFT]]</f>
        <v>1.0828018747186368</v>
      </c>
      <c r="AL203" s="5">
        <f>Table1[[#This Row],[In-Tok]]*Table1[[#This Row],[RPS]]/Table1[[#This Row],[PPS]]</f>
        <v>0.90195738846380868</v>
      </c>
      <c r="AM203" s="4">
        <f>Table1[[#This Row],[Prefill]]/Table1[[#This Row],[estPrefill]]</f>
        <v>0.20367367699490618</v>
      </c>
      <c r="AN203" s="4">
        <f>Table1[[#This Row],[Prefill]]/Table1[[#This Row],[TTFT]]</f>
        <v>0.84978290908641074</v>
      </c>
      <c r="AO203" s="10">
        <f>Table1[[#This Row],[Run]]/(Table1[[#This Row],[Out-Tok]]*Table1[[#This Row],[RPS]])</f>
        <v>1.5616319444444443E-2</v>
      </c>
      <c r="AP203" s="4">
        <f>Table1[[#This Row],[ITL]]/Table1[[#This Row],[estITL]]</f>
        <v>1.0208902540194487</v>
      </c>
      <c r="AQ203" s="44">
        <f>Table1[[#This Row],[E2E]]-Table1[[#This Row],[TTFT]]+Table1[[#This Row],[ITL]]</f>
        <v>3.1990316680421378</v>
      </c>
      <c r="AR203" s="4">
        <f>Table1[[#This Row],[estDecode]]/Table1[[#This Row],[Run]]</f>
        <v>0.32008098957620057</v>
      </c>
      <c r="AS203" s="44">
        <f>Table1[[#This Row],[Prefill]]+Table1[[#This Row],[Out-Tok]]*Table1[[#This Row],[ITL]]</f>
        <v>3.3722146426986952</v>
      </c>
      <c r="AT203" s="5">
        <f>Table1[[#This Row],[estPrefill]]+Table1[[#This Row],[Out-Tok]]*Table1[[#This Row],[ITL]]</f>
        <v>4.0904670533613574</v>
      </c>
      <c r="AU203" s="4">
        <f>Table1[[#This Row],[E2E]]/Table1[[#This Row],[estE2E]]</f>
        <v>0.83102193244560263</v>
      </c>
      <c r="AV203" s="5">
        <f>Table1[[#This Row],[N]]/Table1[[#This Row],[estE2E]]</f>
        <v>2.6882829616280417</v>
      </c>
      <c r="AW203" s="5">
        <f>Table1[[#This Row],[PPS]]/Table1[[#This Row],[In-Tok]]</f>
        <v>3.5478394444444437</v>
      </c>
      <c r="AX203" s="4">
        <f>Table1[[#This Row],[RPS]]/Table1[[#This Row],[RPS(IL)]]</f>
        <v>0.90195738846380868</v>
      </c>
      <c r="AY203" s="5">
        <f>Table1[[#This Row],[GPS]]/Table1[[#This Row],[Out-Tok]]</f>
        <v>3.2443298611111113</v>
      </c>
      <c r="AZ203" s="89">
        <f>Table1[[#This Row],[RPS]]/Table1[[#This Row],[RPS(OL)]]</f>
        <v>0.98633620408254996</v>
      </c>
      <c r="BA203" s="135">
        <f>MaxTok/Table1[[#This Row],[tok/req]]</f>
        <v>76.061227841677507</v>
      </c>
      <c r="BB203" s="4">
        <f>Table1[[#This Row],[N]]/Table1[[#This Row],[N-max]]</f>
        <v>0.14457211902417902</v>
      </c>
      <c r="BC203" s="44">
        <f>Table1[[#This Row],[RPS]]</f>
        <v>3.2</v>
      </c>
      <c r="BD203" s="47">
        <f>Table1[[#This Row],[PPS]]/Table1[[#This Row],[RPS success]]</f>
        <v>5543.4991319444425</v>
      </c>
      <c r="BE203" s="4">
        <f>ABS(Table1[[#This Row],[est-In-Tok3]]-Table1[[#This Row],[In-Tok]])/Table1[[#This Row],[In-Tok]]</f>
        <v>0.1086998263888885</v>
      </c>
      <c r="BF203" s="47">
        <f>Table1[[#This Row],[GPS]]/Table1[[#This Row],[RPS success]]</f>
        <v>202.77061631944443</v>
      </c>
      <c r="BG203" s="4">
        <f>ABS(Table1[[#This Row],[est-Out-Tok3]]-Table1[[#This Row],[Out-Tok]])/Table1[[#This Row],[Out-Tok]]</f>
        <v>1.3853081597222143E-2</v>
      </c>
      <c r="BH203" s="162">
        <f>Table1[[#This Row],[est-In-Tok3]]+AvgOutLoad*Table1[[#This Row],[est-Out-Tok3]]</f>
        <v>5644.8844401041652</v>
      </c>
      <c r="BI203" s="4">
        <f>ABS(Table1[[#This Row],[est-Tok/Req3]]-Table1[[#This Row],[tok/req]])/Table1[[#This Row],[tok/req]]</f>
        <v>0.10684008629493434</v>
      </c>
      <c r="BJ203" s="162">
        <f>MaxTok/Table1[[#This Row],[est-Tok/Req3]]</f>
        <v>68.719256542547953</v>
      </c>
      <c r="BK203" s="4">
        <f>ABS(Table1[[#This Row],[est-N-max3]]-Table1[[#This Row],[N-max]])/Table1[[#This Row],[N-max]]</f>
        <v>9.6527120419512141E-2</v>
      </c>
      <c r="BL203" s="44">
        <f>MaxTok*Table1[[#This Row],[Kvcache]]/Table1[[#This Row],[Run]]</f>
        <v>5111.3374974869339</v>
      </c>
      <c r="BM203" s="170">
        <f>ABS(Table1[[#This Row],[est-Tok/Req]]-Table1[[#This Row],[tok/req]])/Table1[[#This Row],[tok/req]]</f>
        <v>2.2230387229282152E-3</v>
      </c>
      <c r="BN203" s="44">
        <f>MaxTok/Table1[[#This Row],[est-Tok/Req]]</f>
        <v>75.892515840184331</v>
      </c>
      <c r="BO203" s="180">
        <f>Table1[[#This Row],[Run]]/Table1[[#This Row],[Kvcache]]</f>
        <v>75.892515840184331</v>
      </c>
      <c r="BP203" s="4" cm="1">
        <f t="array" aca="1" ref="BP203" ca="1">_xlfn.CEILING.MATH(INDIRECT("Table1"&amp;BP$3)/BP$2)*BP$2</f>
        <v>6000</v>
      </c>
      <c r="BQ203" s="4" cm="1">
        <f t="array" aca="1" ref="BQ203" ca="1">_xlfn.CEILING.MATH(INDIRECT("Table1"&amp;BQ$3)/BQ$2)*BQ$2</f>
        <v>0.02</v>
      </c>
      <c r="BR203" s="4" cm="1">
        <f t="array" aca="1" ref="BR203" ca="1">_xlfn.CEILING.MATH(INDIRECT("Table1"&amp;BR$3)/BR$2)*BR$2</f>
        <v>0.2</v>
      </c>
      <c r="BS203" s="4" cm="1">
        <f t="array" aca="1" ref="BS203" ca="1">_xlfn.CEILING.MATH(INDIRECT("Table1"&amp;BS$3)/BS$2)*BS$2</f>
        <v>0.14000000000000001</v>
      </c>
      <c r="BT203" s="3" cm="1">
        <f t="array" aca="1" ref="BT203" ca="1">_xlfn.CEILING.MATH(INDIRECT("Table1"&amp;BT$3)/BT$2)*BT$2</f>
        <v>10</v>
      </c>
      <c r="BU203" s="135" cm="1">
        <f t="array" aca="1" ref="BU203" ca="1">_xlfn.CEILING.MATH(INDIRECT("Table1"&amp;BU$3)/BU$2)*BU$2</f>
        <v>25</v>
      </c>
      <c r="BV203" s="135" cm="1">
        <f t="array" aca="1" ref="BV203" ca="1">_xlfn.CEILING.MATH(INDIRECT("Table1"&amp;BV$3)/BV$2)*BV$2</f>
        <v>5000</v>
      </c>
      <c r="BW203" s="4"/>
      <c r="BX203" s="4"/>
      <c r="BY203" s="217"/>
      <c r="BZ203" s="4"/>
      <c r="CA203" s="3"/>
      <c r="CF203" s="5"/>
      <c r="CH203" s="8"/>
      <c r="CI203" s="8"/>
      <c r="CJ203" s="14"/>
      <c r="CK203" s="8"/>
      <c r="CL203" s="8"/>
      <c r="CM203" s="8"/>
      <c r="CN203" s="8"/>
      <c r="CO203" s="8"/>
      <c r="CP203" s="8"/>
      <c r="CQ203" s="8">
        <f>Table1[[#This Row],[In-Tok]]+AvgOutLoad*Table1[[#This Row],[Out-Tok]]</f>
        <v>5100</v>
      </c>
      <c r="CR203" s="8"/>
      <c r="CS203" s="8"/>
      <c r="CT203" s="8"/>
      <c r="CU203" s="8"/>
      <c r="CV203" s="8"/>
      <c r="CW203" s="8"/>
      <c r="CX203" s="8"/>
      <c r="CY203" s="8"/>
    </row>
    <row r="204" spans="1:103" hidden="1" x14ac:dyDescent="0.25">
      <c r="A204" s="26">
        <v>5000</v>
      </c>
      <c r="B204" s="3">
        <v>200</v>
      </c>
      <c r="C204" s="123">
        <v>3.4</v>
      </c>
      <c r="D204" s="216">
        <f>Table1[[#This Row],[Kvcache]]</f>
        <v>0.15862684251357639</v>
      </c>
      <c r="E204" s="170" t="s">
        <v>156</v>
      </c>
      <c r="F204" s="218">
        <v>46104</v>
      </c>
      <c r="G204" s="10">
        <v>0</v>
      </c>
      <c r="H204" s="10">
        <v>0.20801129573506111</v>
      </c>
      <c r="I204" s="10">
        <v>0.17401289876308371</v>
      </c>
      <c r="J204" s="10">
        <v>0.22498377145894186</v>
      </c>
      <c r="K204" s="10">
        <v>0.44401783943176254</v>
      </c>
      <c r="L204" s="10">
        <v>0.50354958534240701</v>
      </c>
      <c r="M204" s="10">
        <v>1.6929177718728747E-2</v>
      </c>
      <c r="N204" s="10">
        <v>3.5860699584768501</v>
      </c>
      <c r="O204" s="47">
        <v>18026.683333333331</v>
      </c>
      <c r="P204" s="47">
        <v>663.16666666666674</v>
      </c>
      <c r="Q204" s="5">
        <v>12.05</v>
      </c>
      <c r="R204" s="5">
        <v>22.5</v>
      </c>
      <c r="S204" s="170">
        <v>0.15862684251357639</v>
      </c>
      <c r="T204" s="170">
        <v>0.29608223429014735</v>
      </c>
      <c r="U204" s="3">
        <f>(Table1[[#This Row],[In-Tok]]+Table1[[#This Row],[Out-Tok]])*Table1[[#This Row],[RPS]]</f>
        <v>17680</v>
      </c>
      <c r="V204" s="3">
        <f>Table1[[#This Row],[In-Tok]]+$V$2*Table1[[#This Row],[Out-Tok]]</f>
        <v>5100</v>
      </c>
      <c r="W204" s="3">
        <f>Table1[[#This Row],[In-Tok]]*Table1[[#This Row],[RPS]]</f>
        <v>17000</v>
      </c>
      <c r="X204" s="3">
        <f>Table1[[#This Row],[Out-Tok]]*Table1[[#This Row],[RPS]]</f>
        <v>680</v>
      </c>
      <c r="Y204" s="75">
        <f>Table1[[#This Row],[In-Tok]]/Table1[[#This Row],[Out-Tok]]</f>
        <v>25</v>
      </c>
      <c r="Z204" s="26">
        <f>Table1[[#This Row],[In-Tok]]*Table1[[#This Row],[N]]+AvgOutLoad*Table1[[#This Row],[Out-Tok]]*Table1[[#This Row],[Ndecode]]</f>
        <v>60393.893843315942</v>
      </c>
      <c r="AA204" s="3">
        <f>Table1[[#This Row],[tok(N)]]/Table1[[#This Row],[Kvcache]]</f>
        <v>380729.3449603084</v>
      </c>
      <c r="AB204" s="3">
        <f>Table1[[#This Row],[tok/req]]*Table1[[#This Row],[Run]]</f>
        <v>61455</v>
      </c>
      <c r="AC204" s="3">
        <f>Table1[[#This Row],[tok(Run)]]/Table1[[#This Row],[Kvcache]]</f>
        <v>387418.66777522379</v>
      </c>
      <c r="AD204" s="3">
        <f>Table1[[#This Row],[tok/req]]*Table1[[#This Row],[MaxRun]]</f>
        <v>114750</v>
      </c>
      <c r="AE204" s="3">
        <f>Table1[[#This Row],[tok(MaxRun)]]/Table1[[#This Row],[MaxKvcache]]</f>
        <v>387561.24721603573</v>
      </c>
      <c r="AF204" s="75">
        <f>Table1[[#This Row],[PPS]]*Table1[[#This Row],[Prefill]]/Table1[[#This Row],[In-Tok]]</f>
        <v>0.6273750843835002</v>
      </c>
      <c r="AG204" s="5">
        <f>Table1[[#This Row],[GPS]]*Table1[[#This Row],[ITL]]</f>
        <v>11.226866357136949</v>
      </c>
      <c r="AH204" s="5">
        <f>Table1[[#This Row],[Nprefill]]+Table1[[#This Row],[Ndecode]]</f>
        <v>11.854241441520449</v>
      </c>
      <c r="AI204" s="4">
        <f>Table1[[#This Row],[Run]]/Table1[[#This Row],[ITL]]/Table1[[#This Row],[GPS]]</f>
        <v>1.0733182008833466</v>
      </c>
      <c r="AJ204" s="10">
        <f>Table1[[#This Row],[Prefill]]+Table1[[#This Row],[ITL]]</f>
        <v>0.19094207648181244</v>
      </c>
      <c r="AK204" s="4">
        <f>Table1[[#This Row],[TTFT]]/Table1[[#This Row],[estTTFT]]</f>
        <v>1.0893947503230099</v>
      </c>
      <c r="AL204" s="5">
        <f>Table1[[#This Row],[In-Tok]]*Table1[[#This Row],[RPS]]/Table1[[#This Row],[PPS]]</f>
        <v>0.9430464653786379</v>
      </c>
      <c r="AM204" s="4">
        <f>Table1[[#This Row],[Prefill]]/Table1[[#This Row],[estPrefill]]</f>
        <v>0.18452208364220596</v>
      </c>
      <c r="AN204" s="4">
        <f>Table1[[#This Row],[Prefill]]/Table1[[#This Row],[TTFT]]</f>
        <v>0.83655504451411944</v>
      </c>
      <c r="AO204" s="10">
        <f>Table1[[#This Row],[Run]]/(Table1[[#This Row],[Out-Tok]]*Table1[[#This Row],[RPS]])</f>
        <v>1.772058823529412E-2</v>
      </c>
      <c r="AP204" s="4">
        <f>Table1[[#This Row],[ITL]]/Table1[[#This Row],[estITL]]</f>
        <v>0.95533948952162207</v>
      </c>
      <c r="AQ204" s="44">
        <f>Table1[[#This Row],[E2E]]-Table1[[#This Row],[TTFT]]+Table1[[#This Row],[ITL]]</f>
        <v>3.3949878404605176</v>
      </c>
      <c r="AR204" s="4">
        <f>Table1[[#This Row],[estDecode]]/Table1[[#This Row],[Run]]</f>
        <v>0.28174172949879811</v>
      </c>
      <c r="AS204" s="44">
        <f>Table1[[#This Row],[Prefill]]+Table1[[#This Row],[Out-Tok]]*Table1[[#This Row],[ITL]]</f>
        <v>3.5598484425088333</v>
      </c>
      <c r="AT204" s="5">
        <f>Table1[[#This Row],[estPrefill]]+Table1[[#This Row],[Out-Tok]]*Table1[[#This Row],[ITL]]</f>
        <v>4.3288820091243876</v>
      </c>
      <c r="AU204" s="4">
        <f>Table1[[#This Row],[E2E]]/Table1[[#This Row],[estE2E]]</f>
        <v>0.82840556774662755</v>
      </c>
      <c r="AV204" s="5">
        <f>Table1[[#This Row],[N]]/Table1[[#This Row],[estE2E]]</f>
        <v>2.7384071491286113</v>
      </c>
      <c r="AW204" s="5">
        <f>Table1[[#This Row],[PPS]]/Table1[[#This Row],[In-Tok]]</f>
        <v>3.6053366666666662</v>
      </c>
      <c r="AX204" s="4">
        <f>Table1[[#This Row],[RPS]]/Table1[[#This Row],[RPS(IL)]]</f>
        <v>0.9430464653786379</v>
      </c>
      <c r="AY204" s="5">
        <f>Table1[[#This Row],[GPS]]/Table1[[#This Row],[Out-Tok]]</f>
        <v>3.3158333333333339</v>
      </c>
      <c r="AZ204" s="89">
        <f>Table1[[#This Row],[RPS]]/Table1[[#This Row],[RPS(OL)]]</f>
        <v>1.0253832621261623</v>
      </c>
      <c r="BA204" s="135">
        <f>MaxTok/Table1[[#This Row],[tok/req]]</f>
        <v>76.061227841677507</v>
      </c>
      <c r="BB204" s="4">
        <f>Table1[[#This Row],[N]]/Table1[[#This Row],[N-max]]</f>
        <v>0.15585130266625744</v>
      </c>
      <c r="BC204" s="44">
        <f>Table1[[#This Row],[RPS]]</f>
        <v>3.4</v>
      </c>
      <c r="BD204" s="47">
        <f>Table1[[#This Row],[PPS]]/Table1[[#This Row],[RPS success]]</f>
        <v>5301.9656862745096</v>
      </c>
      <c r="BE204" s="4">
        <f>ABS(Table1[[#This Row],[est-In-Tok3]]-Table1[[#This Row],[In-Tok]])/Table1[[#This Row],[In-Tok]]</f>
        <v>6.0393137254901919E-2</v>
      </c>
      <c r="BF204" s="47">
        <f>Table1[[#This Row],[GPS]]/Table1[[#This Row],[RPS success]]</f>
        <v>195.04901960784318</v>
      </c>
      <c r="BG204" s="4">
        <f>ABS(Table1[[#This Row],[est-Out-Tok3]]-Table1[[#This Row],[Out-Tok]])/Table1[[#This Row],[Out-Tok]]</f>
        <v>2.4754901960784111E-2</v>
      </c>
      <c r="BH204" s="162">
        <f>Table1[[#This Row],[est-In-Tok3]]+AvgOutLoad*Table1[[#This Row],[est-Out-Tok3]]</f>
        <v>5399.4901960784309</v>
      </c>
      <c r="BI204" s="4">
        <f>ABS(Table1[[#This Row],[est-Tok/Req3]]-Table1[[#This Row],[tok/req]])/Table1[[#This Row],[tok/req]]</f>
        <v>5.8723567858515867E-2</v>
      </c>
      <c r="BJ204" s="162">
        <f>MaxTok/Table1[[#This Row],[est-Tok/Req3]]</f>
        <v>71.842386578327364</v>
      </c>
      <c r="BK204" s="4">
        <f>ABS(Table1[[#This Row],[est-N-max3]]-Table1[[#This Row],[N-max]])/Table1[[#This Row],[N-max]]</f>
        <v>5.5466383899714568E-2</v>
      </c>
      <c r="BL204" s="44">
        <f>MaxTok*Table1[[#This Row],[Kvcache]]/Table1[[#This Row],[Run]]</f>
        <v>5106.4977005957053</v>
      </c>
      <c r="BM204" s="170">
        <f>ABS(Table1[[#This Row],[est-Tok/Req]]-Table1[[#This Row],[tok/req]])/Table1[[#This Row],[tok/req]]</f>
        <v>1.2740589403343692E-3</v>
      </c>
      <c r="BN204" s="44">
        <f>MaxTok/Table1[[#This Row],[est-Tok/Req]]</f>
        <v>75.964444661808599</v>
      </c>
      <c r="BO204" s="180">
        <f>Table1[[#This Row],[Run]]/Table1[[#This Row],[Kvcache]]</f>
        <v>75.964444661808599</v>
      </c>
      <c r="BP204" s="4" cm="1">
        <f t="array" aca="1" ref="BP204" ca="1">_xlfn.CEILING.MATH(INDIRECT("Table1"&amp;BP$3)/BP$2)*BP$2</f>
        <v>6000</v>
      </c>
      <c r="BQ204" s="4" cm="1">
        <f t="array" aca="1" ref="BQ204" ca="1">_xlfn.CEILING.MATH(INDIRECT("Table1"&amp;BQ$3)/BQ$2)*BQ$2</f>
        <v>0.02</v>
      </c>
      <c r="BR204" s="4" cm="1">
        <f t="array" aca="1" ref="BR204" ca="1">_xlfn.CEILING.MATH(INDIRECT("Table1"&amp;BR$3)/BR$2)*BR$2</f>
        <v>0.2</v>
      </c>
      <c r="BS204" s="4" cm="1">
        <f t="array" aca="1" ref="BS204" ca="1">_xlfn.CEILING.MATH(INDIRECT("Table1"&amp;BS$3)/BS$2)*BS$2</f>
        <v>0.16</v>
      </c>
      <c r="BT204" s="3" cm="1">
        <f t="array" aca="1" ref="BT204" ca="1">_xlfn.CEILING.MATH(INDIRECT("Table1"&amp;BT$3)/BT$2)*BT$2</f>
        <v>13</v>
      </c>
      <c r="BU204" s="135" cm="1">
        <f t="array" aca="1" ref="BU204" ca="1">_xlfn.CEILING.MATH(INDIRECT("Table1"&amp;BU$3)/BU$2)*BU$2</f>
        <v>25</v>
      </c>
      <c r="BV204" s="135" cm="1">
        <f t="array" aca="1" ref="BV204" ca="1">_xlfn.CEILING.MATH(INDIRECT("Table1"&amp;BV$3)/BV$2)*BV$2</f>
        <v>5000</v>
      </c>
      <c r="BW204" s="4"/>
      <c r="BX204" s="4"/>
      <c r="BY204" s="217"/>
      <c r="BZ204" s="4"/>
      <c r="CA204" s="3"/>
      <c r="CF204" s="5"/>
      <c r="CH204" s="8"/>
      <c r="CI204" s="8"/>
      <c r="CJ204" s="14"/>
      <c r="CK204" s="8"/>
      <c r="CL204" s="8"/>
      <c r="CM204" s="8"/>
      <c r="CN204" s="8"/>
      <c r="CO204" s="8"/>
      <c r="CP204" s="8"/>
      <c r="CQ204" s="8">
        <f>Table1[[#This Row],[In-Tok]]+AvgOutLoad*Table1[[#This Row],[Out-Tok]]</f>
        <v>5100</v>
      </c>
      <c r="CR204" s="8"/>
      <c r="CS204" s="8"/>
      <c r="CT204" s="8"/>
      <c r="CU204" s="8"/>
      <c r="CV204" s="8"/>
      <c r="CW204" s="8"/>
      <c r="CX204" s="8"/>
      <c r="CY204" s="8"/>
    </row>
    <row r="205" spans="1:103" hidden="1" x14ac:dyDescent="0.25">
      <c r="A205" s="26">
        <v>5000</v>
      </c>
      <c r="B205" s="3">
        <v>200</v>
      </c>
      <c r="C205" s="123">
        <v>3.8</v>
      </c>
      <c r="D205" s="216">
        <f>Table1[[#This Row],[Kvcache]]</f>
        <v>0.18175717610550809</v>
      </c>
      <c r="E205" s="170" t="s">
        <v>156</v>
      </c>
      <c r="F205" s="218">
        <v>46104</v>
      </c>
      <c r="G205" s="10">
        <v>0</v>
      </c>
      <c r="H205" s="10">
        <v>0.22927821392779871</v>
      </c>
      <c r="I205" s="10">
        <v>0.18666512909385616</v>
      </c>
      <c r="J205" s="10">
        <v>0.24923354294304034</v>
      </c>
      <c r="K205" s="10">
        <v>0.5135504364967346</v>
      </c>
      <c r="L205" s="10">
        <v>0.65341941833496087</v>
      </c>
      <c r="M205" s="10">
        <v>1.8620865082390158E-2</v>
      </c>
      <c r="N205" s="10">
        <v>3.8986974395250265</v>
      </c>
      <c r="O205" s="47">
        <v>20278.32777777778</v>
      </c>
      <c r="P205" s="47">
        <v>739.21111111111111</v>
      </c>
      <c r="Q205" s="5">
        <v>13.8</v>
      </c>
      <c r="R205" s="5">
        <v>24.5</v>
      </c>
      <c r="S205" s="170">
        <v>0.18175717610550809</v>
      </c>
      <c r="T205" s="170">
        <v>0.32292474786656322</v>
      </c>
      <c r="U205" s="3">
        <f>(Table1[[#This Row],[In-Tok]]+Table1[[#This Row],[Out-Tok]])*Table1[[#This Row],[RPS]]</f>
        <v>19760</v>
      </c>
      <c r="V205" s="3">
        <f>Table1[[#This Row],[In-Tok]]+$V$2*Table1[[#This Row],[Out-Tok]]</f>
        <v>5100</v>
      </c>
      <c r="W205" s="3">
        <f>Table1[[#This Row],[In-Tok]]*Table1[[#This Row],[RPS]]</f>
        <v>19000</v>
      </c>
      <c r="X205" s="3">
        <f>Table1[[#This Row],[Out-Tok]]*Table1[[#This Row],[RPS]]</f>
        <v>760</v>
      </c>
      <c r="Y205" s="75">
        <f>Table1[[#This Row],[In-Tok]]/Table1[[#This Row],[Out-Tok]]</f>
        <v>25</v>
      </c>
      <c r="Z205" s="26">
        <f>Table1[[#This Row],[In-Tok]]*Table1[[#This Row],[N]]+AvgOutLoad*Table1[[#This Row],[Out-Tok]]*Table1[[#This Row],[Ndecode]]</f>
        <v>73985.483546205389</v>
      </c>
      <c r="AA205" s="3">
        <f>Table1[[#This Row],[tok(N)]]/Table1[[#This Row],[Kvcache]]</f>
        <v>407056.73982994544</v>
      </c>
      <c r="AB205" s="3">
        <f>Table1[[#This Row],[tok/req]]*Table1[[#This Row],[Run]]</f>
        <v>70380</v>
      </c>
      <c r="AC205" s="3">
        <f>Table1[[#This Row],[tok(Run)]]/Table1[[#This Row],[Kvcache]]</f>
        <v>387219.92445098929</v>
      </c>
      <c r="AD205" s="3">
        <f>Table1[[#This Row],[tok/req]]*Table1[[#This Row],[MaxRun]]</f>
        <v>124950</v>
      </c>
      <c r="AE205" s="3">
        <f>Table1[[#This Row],[tok(MaxRun)]]/Table1[[#This Row],[MaxKvcache]]</f>
        <v>386932.25225225225</v>
      </c>
      <c r="AF205" s="75">
        <f>Table1[[#This Row],[PPS]]*Table1[[#This Row],[Prefill]]/Table1[[#This Row],[In-Tok]]</f>
        <v>0.75705133448928374</v>
      </c>
      <c r="AG205" s="5">
        <f>Table1[[#This Row],[GPS]]*Table1[[#This Row],[ITL]]</f>
        <v>13.764750367403719</v>
      </c>
      <c r="AH205" s="5">
        <f>Table1[[#This Row],[Nprefill]]+Table1[[#This Row],[Ndecode]]</f>
        <v>14.521801701893002</v>
      </c>
      <c r="AI205" s="4">
        <f>Table1[[#This Row],[Run]]/Table1[[#This Row],[ITL]]/Table1[[#This Row],[GPS]]</f>
        <v>1.0025608624679279</v>
      </c>
      <c r="AJ205" s="10">
        <f>Table1[[#This Row],[Prefill]]+Table1[[#This Row],[ITL]]</f>
        <v>0.20528599417624632</v>
      </c>
      <c r="AK205" s="4">
        <f>Table1[[#This Row],[TTFT]]/Table1[[#This Row],[estTTFT]]</f>
        <v>1.1168721706896092</v>
      </c>
      <c r="AL205" s="5">
        <f>Table1[[#This Row],[In-Tok]]*Table1[[#This Row],[RPS]]/Table1[[#This Row],[PPS]]</f>
        <v>0.93696088791016341</v>
      </c>
      <c r="AM205" s="4">
        <f>Table1[[#This Row],[Prefill]]/Table1[[#This Row],[estPrefill]]</f>
        <v>0.19922403539191677</v>
      </c>
      <c r="AN205" s="4">
        <f>Table1[[#This Row],[Prefill]]/Table1[[#This Row],[TTFT]]</f>
        <v>0.81414245992267842</v>
      </c>
      <c r="AO205" s="10">
        <f>Table1[[#This Row],[Run]]/(Table1[[#This Row],[Out-Tok]]*Table1[[#This Row],[RPS]])</f>
        <v>1.8157894736842106E-2</v>
      </c>
      <c r="AP205" s="4">
        <f>Table1[[#This Row],[ITL]]/Table1[[#This Row],[estITL]]</f>
        <v>1.0254969175809072</v>
      </c>
      <c r="AQ205" s="44">
        <f>Table1[[#This Row],[E2E]]-Table1[[#This Row],[TTFT]]+Table1[[#This Row],[ITL]]</f>
        <v>3.6880400906796176</v>
      </c>
      <c r="AR205" s="4">
        <f>Table1[[#This Row],[estDecode]]/Table1[[#This Row],[Run]]</f>
        <v>0.2672492819333056</v>
      </c>
      <c r="AS205" s="44">
        <f>Table1[[#This Row],[Prefill]]+Table1[[#This Row],[Out-Tok]]*Table1[[#This Row],[ITL]]</f>
        <v>3.9108381455718875</v>
      </c>
      <c r="AT205" s="5">
        <f>Table1[[#This Row],[estPrefill]]+Table1[[#This Row],[Out-Tok]]*Table1[[#This Row],[ITL]]</f>
        <v>4.661133904388195</v>
      </c>
      <c r="AU205" s="4">
        <f>Table1[[#This Row],[E2E]]/Table1[[#This Row],[estE2E]]</f>
        <v>0.83642682649700806</v>
      </c>
      <c r="AV205" s="5">
        <f>Table1[[#This Row],[N]]/Table1[[#This Row],[estE2E]]</f>
        <v>3.1155083719481955</v>
      </c>
      <c r="AW205" s="5">
        <f>Table1[[#This Row],[PPS]]/Table1[[#This Row],[In-Tok]]</f>
        <v>4.0556655555555556</v>
      </c>
      <c r="AX205" s="4">
        <f>Table1[[#This Row],[RPS]]/Table1[[#This Row],[RPS(IL)]]</f>
        <v>0.93696088791016352</v>
      </c>
      <c r="AY205" s="5">
        <f>Table1[[#This Row],[GPS]]/Table1[[#This Row],[Out-Tok]]</f>
        <v>3.6960555555555556</v>
      </c>
      <c r="AZ205" s="89">
        <f>Table1[[#This Row],[RPS]]/Table1[[#This Row],[RPS(OL)]]</f>
        <v>1.0281230741481158</v>
      </c>
      <c r="BA205" s="135">
        <f>MaxTok/Table1[[#This Row],[tok/req]]</f>
        <v>76.061227841677507</v>
      </c>
      <c r="BB205" s="4">
        <f>Table1[[#This Row],[N]]/Table1[[#This Row],[N-max]]</f>
        <v>0.19092252536496429</v>
      </c>
      <c r="BC205" s="44">
        <f>Table1[[#This Row],[RPS]]</f>
        <v>3.8</v>
      </c>
      <c r="BD205" s="47">
        <f>Table1[[#This Row],[PPS]]/Table1[[#This Row],[RPS success]]</f>
        <v>5336.4020467836262</v>
      </c>
      <c r="BE205" s="4">
        <f>ABS(Table1[[#This Row],[est-In-Tok3]]-Table1[[#This Row],[In-Tok]])/Table1[[#This Row],[In-Tok]]</f>
        <v>6.7280409356725246E-2</v>
      </c>
      <c r="BF205" s="47">
        <f>Table1[[#This Row],[GPS]]/Table1[[#This Row],[RPS success]]</f>
        <v>194.52923976608187</v>
      </c>
      <c r="BG205" s="4">
        <f>ABS(Table1[[#This Row],[est-Out-Tok3]]-Table1[[#This Row],[Out-Tok]])/Table1[[#This Row],[Out-Tok]]</f>
        <v>2.7353801169590641E-2</v>
      </c>
      <c r="BH205" s="162">
        <f>Table1[[#This Row],[est-In-Tok3]]+AvgOutLoad*Table1[[#This Row],[est-Out-Tok3]]</f>
        <v>5433.666666666667</v>
      </c>
      <c r="BI205" s="4">
        <f>ABS(Table1[[#This Row],[est-Tok/Req3]]-Table1[[#This Row],[tok/req]])/Table1[[#This Row],[tok/req]]</f>
        <v>6.5424836601307254E-2</v>
      </c>
      <c r="BJ205" s="162">
        <f>MaxTok/Table1[[#This Row],[est-Tok/Req3]]</f>
        <v>71.39051505905563</v>
      </c>
      <c r="BK205" s="4">
        <f>ABS(Table1[[#This Row],[est-N-max3]]-Table1[[#This Row],[N-max]])/Table1[[#This Row],[N-max]]</f>
        <v>6.1407275627262149E-2</v>
      </c>
      <c r="BL205" s="44">
        <f>MaxTok*Table1[[#This Row],[Kvcache]]/Table1[[#This Row],[Run]]</f>
        <v>5109.1186461207863</v>
      </c>
      <c r="BM205" s="170">
        <f>ABS(Table1[[#This Row],[est-Tok/Req]]-Table1[[#This Row],[tok/req]])/Table1[[#This Row],[tok/req]]</f>
        <v>1.7879698276051475E-3</v>
      </c>
      <c r="BN205" s="44">
        <f>MaxTok/Table1[[#This Row],[est-Tok/Req]]</f>
        <v>75.925475382546935</v>
      </c>
      <c r="BO205" s="180">
        <f>Table1[[#This Row],[Run]]/Table1[[#This Row],[Kvcache]]</f>
        <v>75.925475382546921</v>
      </c>
      <c r="BP205" s="4" cm="1">
        <f t="array" aca="1" ref="BP205" ca="1">_xlfn.CEILING.MATH(INDIRECT("Table1"&amp;BP$3)/BP$2)*BP$2</f>
        <v>6000</v>
      </c>
      <c r="BQ205" s="4" cm="1">
        <f t="array" aca="1" ref="BQ205" ca="1">_xlfn.CEILING.MATH(INDIRECT("Table1"&amp;BQ$3)/BQ$2)*BQ$2</f>
        <v>0.02</v>
      </c>
      <c r="BR205" s="4" cm="1">
        <f t="array" aca="1" ref="BR205" ca="1">_xlfn.CEILING.MATH(INDIRECT("Table1"&amp;BR$3)/BR$2)*BR$2</f>
        <v>0.2</v>
      </c>
      <c r="BS205" s="4" cm="1">
        <f t="array" aca="1" ref="BS205" ca="1">_xlfn.CEILING.MATH(INDIRECT("Table1"&amp;BS$3)/BS$2)*BS$2</f>
        <v>0.19</v>
      </c>
      <c r="BT205" s="3" cm="1">
        <f t="array" aca="1" ref="BT205" ca="1">_xlfn.CEILING.MATH(INDIRECT("Table1"&amp;BT$3)/BT$2)*BT$2</f>
        <v>14</v>
      </c>
      <c r="BU205" s="135" cm="1">
        <f t="array" aca="1" ref="BU205" ca="1">_xlfn.CEILING.MATH(INDIRECT("Table1"&amp;BU$3)/BU$2)*BU$2</f>
        <v>25</v>
      </c>
      <c r="BV205" s="135" cm="1">
        <f t="array" aca="1" ref="BV205" ca="1">_xlfn.CEILING.MATH(INDIRECT("Table1"&amp;BV$3)/BV$2)*BV$2</f>
        <v>5000</v>
      </c>
      <c r="BW205" s="4"/>
      <c r="BX205" s="4"/>
      <c r="BY205" s="217"/>
      <c r="BZ205" s="4"/>
      <c r="CA205" s="3"/>
      <c r="CF205" s="5"/>
      <c r="CH205" s="8"/>
      <c r="CI205" s="8"/>
      <c r="CJ205" s="14"/>
      <c r="CK205" s="8"/>
      <c r="CL205" s="8"/>
      <c r="CM205" s="8"/>
      <c r="CN205" s="8"/>
      <c r="CO205" s="8"/>
      <c r="CP205" s="8"/>
      <c r="CQ205" s="8">
        <f>Table1[[#This Row],[In-Tok]]+AvgOutLoad*Table1[[#This Row],[Out-Tok]]</f>
        <v>5100</v>
      </c>
      <c r="CR205" s="8"/>
      <c r="CS205" s="8"/>
      <c r="CT205" s="8"/>
      <c r="CU205" s="8"/>
      <c r="CV205" s="8"/>
      <c r="CW205" s="8"/>
      <c r="CX205" s="8"/>
      <c r="CY205" s="8"/>
    </row>
    <row r="206" spans="1:103" hidden="1" x14ac:dyDescent="0.25">
      <c r="A206" s="26">
        <v>5000</v>
      </c>
      <c r="B206" s="3">
        <v>200</v>
      </c>
      <c r="C206" s="123">
        <v>4</v>
      </c>
      <c r="D206" s="216">
        <f>Table1[[#This Row],[Kvcache]]</f>
        <v>0.20157098525989142</v>
      </c>
      <c r="E206" s="170" t="s">
        <v>156</v>
      </c>
      <c r="F206" s="218">
        <v>46104</v>
      </c>
      <c r="G206" s="10">
        <v>0</v>
      </c>
      <c r="H206" s="10">
        <v>0.25456379431977494</v>
      </c>
      <c r="I206" s="10">
        <v>0.20479113765244134</v>
      </c>
      <c r="J206" s="10">
        <v>0.27635655578319313</v>
      </c>
      <c r="K206" s="10">
        <v>0.57976590991020205</v>
      </c>
      <c r="L206" s="10">
        <v>0.69905272960662823</v>
      </c>
      <c r="M206" s="10">
        <v>2.3321659898174307E-2</v>
      </c>
      <c r="N206" s="10">
        <v>4.9286135527274428</v>
      </c>
      <c r="O206" s="47">
        <v>21640</v>
      </c>
      <c r="P206" s="47">
        <v>800.44444444444434</v>
      </c>
      <c r="Q206" s="5">
        <v>15.3</v>
      </c>
      <c r="R206" s="5">
        <v>32</v>
      </c>
      <c r="S206" s="170">
        <v>0.20157098525989142</v>
      </c>
      <c r="T206" s="170">
        <v>0.42211016291698988</v>
      </c>
      <c r="U206" s="3">
        <f>(Table1[[#This Row],[In-Tok]]+Table1[[#This Row],[Out-Tok]])*Table1[[#This Row],[RPS]]</f>
        <v>20800</v>
      </c>
      <c r="V206" s="3">
        <f>Table1[[#This Row],[In-Tok]]+$V$2*Table1[[#This Row],[Out-Tok]]</f>
        <v>5100</v>
      </c>
      <c r="W206" s="3">
        <f>Table1[[#This Row],[In-Tok]]*Table1[[#This Row],[RPS]]</f>
        <v>20000</v>
      </c>
      <c r="X206" s="3">
        <f>Table1[[#This Row],[Out-Tok]]*Table1[[#This Row],[RPS]]</f>
        <v>800</v>
      </c>
      <c r="Y206" s="75">
        <f>Table1[[#This Row],[In-Tok]]/Table1[[#This Row],[Out-Tok]]</f>
        <v>25</v>
      </c>
      <c r="Z206" s="26">
        <f>Table1[[#This Row],[In-Tok]]*Table1[[#This Row],[N]]+AvgOutLoad*Table1[[#This Row],[Out-Tok]]*Table1[[#This Row],[Ndecode]]</f>
        <v>99636.915032452511</v>
      </c>
      <c r="AA206" s="3">
        <f>Table1[[#This Row],[tok(N)]]/Table1[[#This Row],[Kvcache]]</f>
        <v>494301.87040058221</v>
      </c>
      <c r="AB206" s="3">
        <f>Table1[[#This Row],[tok/req]]*Table1[[#This Row],[Run]]</f>
        <v>78030</v>
      </c>
      <c r="AC206" s="3">
        <f>Table1[[#This Row],[tok(Run)]]/Table1[[#This Row],[Kvcache]]</f>
        <v>387109.28509573743</v>
      </c>
      <c r="AD206" s="3">
        <f>Table1[[#This Row],[tok/req]]*Table1[[#This Row],[MaxRun]]</f>
        <v>163200</v>
      </c>
      <c r="AE206" s="3">
        <f>Table1[[#This Row],[tok(MaxRun)]]/Table1[[#This Row],[MaxKvcache]]</f>
        <v>386628.92850578943</v>
      </c>
      <c r="AF206" s="75">
        <f>Table1[[#This Row],[PPS]]*Table1[[#This Row],[Prefill]]/Table1[[#This Row],[In-Tok]]</f>
        <v>0.88633604375976616</v>
      </c>
      <c r="AG206" s="5">
        <f>Table1[[#This Row],[GPS]]*Table1[[#This Row],[ITL]]</f>
        <v>18.667693100716409</v>
      </c>
      <c r="AH206" s="5">
        <f>Table1[[#This Row],[Nprefill]]+Table1[[#This Row],[Ndecode]]</f>
        <v>19.554029144476175</v>
      </c>
      <c r="AI206" s="4">
        <f>Table1[[#This Row],[Run]]/Table1[[#This Row],[ITL]]/Table1[[#This Row],[GPS]]</f>
        <v>0.81959778947795281</v>
      </c>
      <c r="AJ206" s="10">
        <f>Table1[[#This Row],[Prefill]]+Table1[[#This Row],[ITL]]</f>
        <v>0.22811279755061564</v>
      </c>
      <c r="AK206" s="4">
        <f>Table1[[#This Row],[TTFT]]/Table1[[#This Row],[estTTFT]]</f>
        <v>1.1159557773749635</v>
      </c>
      <c r="AL206" s="5">
        <f>Table1[[#This Row],[In-Tok]]*Table1[[#This Row],[RPS]]/Table1[[#This Row],[PPS]]</f>
        <v>0.92421441774491686</v>
      </c>
      <c r="AM206" s="4">
        <f>Table1[[#This Row],[Prefill]]/Table1[[#This Row],[estPrefill]]</f>
        <v>0.22158401093994151</v>
      </c>
      <c r="AN206" s="4">
        <f>Table1[[#This Row],[Prefill]]/Table1[[#This Row],[TTFT]]</f>
        <v>0.80447865023251985</v>
      </c>
      <c r="AO206" s="10">
        <f>Table1[[#This Row],[Run]]/(Table1[[#This Row],[Out-Tok]]*Table1[[#This Row],[RPS]])</f>
        <v>1.9125E-2</v>
      </c>
      <c r="AP206" s="4">
        <f>Table1[[#This Row],[ITL]]/Table1[[#This Row],[estITL]]</f>
        <v>1.21943319729016</v>
      </c>
      <c r="AQ206" s="44">
        <f>Table1[[#This Row],[E2E]]-Table1[[#This Row],[TTFT]]+Table1[[#This Row],[ITL]]</f>
        <v>4.6973714183058419</v>
      </c>
      <c r="AR206" s="4">
        <f>Table1[[#This Row],[estDecode]]/Table1[[#This Row],[Run]]</f>
        <v>0.30701773975855173</v>
      </c>
      <c r="AS206" s="44">
        <f>Table1[[#This Row],[Prefill]]+Table1[[#This Row],[Out-Tok]]*Table1[[#This Row],[ITL]]</f>
        <v>4.8691231172873026</v>
      </c>
      <c r="AT206" s="5">
        <f>Table1[[#This Row],[estPrefill]]+Table1[[#This Row],[Out-Tok]]*Table1[[#This Row],[ITL]]</f>
        <v>5.588546397379778</v>
      </c>
      <c r="AU206" s="4">
        <f>Table1[[#This Row],[E2E]]/Table1[[#This Row],[estE2E]]</f>
        <v>0.88191332813095213</v>
      </c>
      <c r="AV206" s="5">
        <f>Table1[[#This Row],[N]]/Table1[[#This Row],[estE2E]]</f>
        <v>3.4989472671541555</v>
      </c>
      <c r="AW206" s="5">
        <f>Table1[[#This Row],[PPS]]/Table1[[#This Row],[In-Tok]]</f>
        <v>4.3280000000000003</v>
      </c>
      <c r="AX206" s="4">
        <f>Table1[[#This Row],[RPS]]/Table1[[#This Row],[RPS(IL)]]</f>
        <v>0.92421441774491675</v>
      </c>
      <c r="AY206" s="5">
        <f>Table1[[#This Row],[GPS]]/Table1[[#This Row],[Out-Tok]]</f>
        <v>4.0022222222222217</v>
      </c>
      <c r="AZ206" s="89">
        <f>Table1[[#This Row],[RPS]]/Table1[[#This Row],[RPS(OL)]]</f>
        <v>0.99944475291504731</v>
      </c>
      <c r="BA206" s="135">
        <f>MaxTok/Table1[[#This Row],[tok/req]]</f>
        <v>76.061227841677507</v>
      </c>
      <c r="BB206" s="4">
        <f>Table1[[#This Row],[N]]/Table1[[#This Row],[N-max]]</f>
        <v>0.25708274372296691</v>
      </c>
      <c r="BC206" s="44">
        <f>Table1[[#This Row],[RPS]]</f>
        <v>4</v>
      </c>
      <c r="BD206" s="47">
        <f>Table1[[#This Row],[PPS]]/Table1[[#This Row],[RPS success]]</f>
        <v>5410</v>
      </c>
      <c r="BE206" s="4">
        <f>ABS(Table1[[#This Row],[est-In-Tok3]]-Table1[[#This Row],[In-Tok]])/Table1[[#This Row],[In-Tok]]</f>
        <v>8.2000000000000003E-2</v>
      </c>
      <c r="BF206" s="47">
        <f>Table1[[#This Row],[GPS]]/Table1[[#This Row],[RPS success]]</f>
        <v>200.11111111111109</v>
      </c>
      <c r="BG206" s="4">
        <f>ABS(Table1[[#This Row],[est-Out-Tok3]]-Table1[[#This Row],[Out-Tok]])/Table1[[#This Row],[Out-Tok]]</f>
        <v>5.5555555555542925E-4</v>
      </c>
      <c r="BH206" s="162">
        <f>Table1[[#This Row],[est-In-Tok3]]+AvgOutLoad*Table1[[#This Row],[est-Out-Tok3]]</f>
        <v>5510.0555555555557</v>
      </c>
      <c r="BI206" s="4">
        <f>ABS(Table1[[#This Row],[est-Tok/Req3]]-Table1[[#This Row],[tok/req]])/Table1[[#This Row],[tok/req]]</f>
        <v>8.0403050108932478E-2</v>
      </c>
      <c r="BJ206" s="162">
        <f>MaxTok/Table1[[#This Row],[est-Tok/Req3]]</f>
        <v>70.400789625694387</v>
      </c>
      <c r="BK206" s="4">
        <f>ABS(Table1[[#This Row],[est-N-max3]]-Table1[[#This Row],[N-max]])/Table1[[#This Row],[N-max]]</f>
        <v>7.44194956695335E-2</v>
      </c>
      <c r="BL206" s="44">
        <f>MaxTok*Table1[[#This Row],[Kvcache]]/Table1[[#This Row],[Run]]</f>
        <v>5110.5788787080064</v>
      </c>
      <c r="BM206" s="170">
        <f>ABS(Table1[[#This Row],[est-Tok/Req]]-Table1[[#This Row],[tok/req]])/Table1[[#This Row],[tok/req]]</f>
        <v>2.0742899427463558E-3</v>
      </c>
      <c r="BN206" s="44">
        <f>MaxTok/Table1[[#This Row],[est-Tok/Req]]</f>
        <v>75.903781391321075</v>
      </c>
      <c r="BO206" s="180">
        <f>Table1[[#This Row],[Run]]/Table1[[#This Row],[Kvcache]]</f>
        <v>75.903781391321075</v>
      </c>
      <c r="BP206" s="4" cm="1">
        <f t="array" aca="1" ref="BP206" ca="1">_xlfn.CEILING.MATH(INDIRECT("Table1"&amp;BP$3)/BP$2)*BP$2</f>
        <v>6000</v>
      </c>
      <c r="BQ206" s="4" cm="1">
        <f t="array" aca="1" ref="BQ206" ca="1">_xlfn.CEILING.MATH(INDIRECT("Table1"&amp;BQ$3)/BQ$2)*BQ$2</f>
        <v>2.5000000000000001E-2</v>
      </c>
      <c r="BR206" s="4" cm="1">
        <f t="array" aca="1" ref="BR206" ca="1">_xlfn.CEILING.MATH(INDIRECT("Table1"&amp;BR$3)/BR$2)*BR$2</f>
        <v>0.30000000000000004</v>
      </c>
      <c r="BS206" s="4" cm="1">
        <f t="array" aca="1" ref="BS206" ca="1">_xlfn.CEILING.MATH(INDIRECT("Table1"&amp;BS$3)/BS$2)*BS$2</f>
        <v>0.21</v>
      </c>
      <c r="BT206" s="3" cm="1">
        <f t="array" aca="1" ref="BT206" ca="1">_xlfn.CEILING.MATH(INDIRECT("Table1"&amp;BT$3)/BT$2)*BT$2</f>
        <v>16</v>
      </c>
      <c r="BU206" s="135" cm="1">
        <f t="array" aca="1" ref="BU206" ca="1">_xlfn.CEILING.MATH(INDIRECT("Table1"&amp;BU$3)/BU$2)*BU$2</f>
        <v>25</v>
      </c>
      <c r="BV206" s="135" cm="1">
        <f t="array" aca="1" ref="BV206" ca="1">_xlfn.CEILING.MATH(INDIRECT("Table1"&amp;BV$3)/BV$2)*BV$2</f>
        <v>5000</v>
      </c>
      <c r="BW206" s="4"/>
      <c r="BX206" s="4"/>
      <c r="BY206" s="217"/>
      <c r="BZ206" s="4"/>
      <c r="CA206" s="3"/>
      <c r="CF206" s="5"/>
      <c r="CH206" s="8"/>
      <c r="CI206" s="8"/>
      <c r="CJ206" s="14"/>
      <c r="CK206" s="8"/>
      <c r="CL206" s="8"/>
      <c r="CM206" s="8"/>
      <c r="CN206" s="8"/>
      <c r="CO206" s="8"/>
      <c r="CP206" s="8"/>
      <c r="CQ206" s="8">
        <f>Table1[[#This Row],[In-Tok]]+AvgOutLoad*Table1[[#This Row],[Out-Tok]]</f>
        <v>5100</v>
      </c>
      <c r="CR206" s="8"/>
      <c r="CS206" s="8"/>
      <c r="CT206" s="8"/>
      <c r="CU206" s="8"/>
      <c r="CV206" s="8"/>
      <c r="CW206" s="8"/>
      <c r="CX206" s="8"/>
      <c r="CY206" s="8"/>
    </row>
    <row r="207" spans="1:103" hidden="1" x14ac:dyDescent="0.25">
      <c r="A207" s="26">
        <v>5000</v>
      </c>
      <c r="B207" s="3">
        <v>200</v>
      </c>
      <c r="C207" s="123">
        <v>4.2</v>
      </c>
      <c r="D207" s="216">
        <f>Table1[[#This Row],[Kvcache]]</f>
        <v>0.18389449185415049</v>
      </c>
      <c r="E207" s="170" t="s">
        <v>156</v>
      </c>
      <c r="F207" s="218">
        <v>46104</v>
      </c>
      <c r="G207" s="10">
        <v>0</v>
      </c>
      <c r="H207" s="10">
        <v>0.23426858785896187</v>
      </c>
      <c r="I207" s="10">
        <v>0.18760349416758715</v>
      </c>
      <c r="J207" s="10">
        <v>0.25721968175343379</v>
      </c>
      <c r="K207" s="10">
        <v>0.49146270751953103</v>
      </c>
      <c r="L207" s="10">
        <v>0.55424608469009395</v>
      </c>
      <c r="M207" s="10">
        <v>1.9950350457762972E-2</v>
      </c>
      <c r="N207" s="10">
        <v>4.175078843507972</v>
      </c>
      <c r="O207" s="47">
        <v>20483.655555555553</v>
      </c>
      <c r="P207" s="47">
        <v>754.47777777777787</v>
      </c>
      <c r="Q207" s="5">
        <v>13.95</v>
      </c>
      <c r="R207" s="5">
        <v>27.5</v>
      </c>
      <c r="S207" s="170">
        <v>0.18389449185415049</v>
      </c>
      <c r="T207" s="170">
        <v>0.36291698991466259</v>
      </c>
      <c r="U207" s="3">
        <f>(Table1[[#This Row],[In-Tok]]+Table1[[#This Row],[Out-Tok]])*Table1[[#This Row],[RPS]]</f>
        <v>21840</v>
      </c>
      <c r="V207" s="3">
        <f>Table1[[#This Row],[In-Tok]]+$V$2*Table1[[#This Row],[Out-Tok]]</f>
        <v>5100</v>
      </c>
      <c r="W207" s="3">
        <f>Table1[[#This Row],[In-Tok]]*Table1[[#This Row],[RPS]]</f>
        <v>21000</v>
      </c>
      <c r="X207" s="3">
        <f>Table1[[#This Row],[Out-Tok]]*Table1[[#This Row],[RPS]]</f>
        <v>840</v>
      </c>
      <c r="Y207" s="75">
        <f>Table1[[#This Row],[In-Tok]]/Table1[[#This Row],[Out-Tok]]</f>
        <v>25</v>
      </c>
      <c r="Z207" s="26">
        <f>Table1[[#This Row],[In-Tok]]*Table1[[#This Row],[N]]+AvgOutLoad*Table1[[#This Row],[Out-Tok]]*Table1[[#This Row],[Ndecode]]</f>
        <v>80608.495359778026</v>
      </c>
      <c r="AA207" s="3">
        <f>Table1[[#This Row],[tok(N)]]/Table1[[#This Row],[Kvcache]]</f>
        <v>438340.99948849931</v>
      </c>
      <c r="AB207" s="3">
        <f>Table1[[#This Row],[tok/req]]*Table1[[#This Row],[Run]]</f>
        <v>71145</v>
      </c>
      <c r="AC207" s="3">
        <f>Table1[[#This Row],[tok(Run)]]/Table1[[#This Row],[Kvcache]]</f>
        <v>386879.45072561596</v>
      </c>
      <c r="AD207" s="3">
        <f>Table1[[#This Row],[tok/req]]*Table1[[#This Row],[MaxRun]]</f>
        <v>140250</v>
      </c>
      <c r="AE207" s="3">
        <f>Table1[[#This Row],[tok(MaxRun)]]/Table1[[#This Row],[MaxKvcache]]</f>
        <v>386452.0094057289</v>
      </c>
      <c r="AF207" s="75">
        <f>Table1[[#This Row],[PPS]]*Table1[[#This Row],[Prefill]]/Table1[[#This Row],[In-Tok]]</f>
        <v>0.76856107110950611</v>
      </c>
      <c r="AG207" s="5">
        <f>Table1[[#This Row],[GPS]]*Table1[[#This Row],[ITL]]</f>
        <v>15.052096079260881</v>
      </c>
      <c r="AH207" s="5">
        <f>Table1[[#This Row],[Nprefill]]+Table1[[#This Row],[Ndecode]]</f>
        <v>15.820657150370387</v>
      </c>
      <c r="AI207" s="4">
        <f>Table1[[#This Row],[Run]]/Table1[[#This Row],[ITL]]/Table1[[#This Row],[GPS]]</f>
        <v>0.926781222132951</v>
      </c>
      <c r="AJ207" s="10">
        <f>Table1[[#This Row],[Prefill]]+Table1[[#This Row],[ITL]]</f>
        <v>0.20755384462535012</v>
      </c>
      <c r="AK207" s="4">
        <f>Table1[[#This Row],[TTFT]]/Table1[[#This Row],[estTTFT]]</f>
        <v>1.1287123506762007</v>
      </c>
      <c r="AL207" s="5">
        <f>Table1[[#This Row],[In-Tok]]*Table1[[#This Row],[RPS]]/Table1[[#This Row],[PPS]]</f>
        <v>1.0252076316673078</v>
      </c>
      <c r="AM207" s="4">
        <f>Table1[[#This Row],[Prefill]]/Table1[[#This Row],[estPrefill]]</f>
        <v>0.18299073121654907</v>
      </c>
      <c r="AN207" s="4">
        <f>Table1[[#This Row],[Prefill]]/Table1[[#This Row],[TTFT]]</f>
        <v>0.80080516078635011</v>
      </c>
      <c r="AO207" s="10">
        <f>Table1[[#This Row],[Run]]/(Table1[[#This Row],[Out-Tok]]*Table1[[#This Row],[RPS]])</f>
        <v>1.6607142857142855E-2</v>
      </c>
      <c r="AP207" s="4">
        <f>Table1[[#This Row],[ITL]]/Table1[[#This Row],[estITL]]</f>
        <v>1.2013114254136845</v>
      </c>
      <c r="AQ207" s="44">
        <f>Table1[[#This Row],[E2E]]-Table1[[#This Row],[TTFT]]+Table1[[#This Row],[ITL]]</f>
        <v>3.9607606061067733</v>
      </c>
      <c r="AR207" s="4">
        <f>Table1[[#This Row],[estDecode]]/Table1[[#This Row],[Run]]</f>
        <v>0.28392549147718804</v>
      </c>
      <c r="AS207" s="44">
        <f>Table1[[#This Row],[Prefill]]+Table1[[#This Row],[Out-Tok]]*Table1[[#This Row],[ITL]]</f>
        <v>4.1776735857201812</v>
      </c>
      <c r="AT207" s="5">
        <f>Table1[[#This Row],[estPrefill]]+Table1[[#This Row],[Out-Tok]]*Table1[[#This Row],[ITL]]</f>
        <v>5.015277723219902</v>
      </c>
      <c r="AU207" s="4">
        <f>Table1[[#This Row],[E2E]]/Table1[[#This Row],[estE2E]]</f>
        <v>0.83247211299546808</v>
      </c>
      <c r="AV207" s="5">
        <f>Table1[[#This Row],[N]]/Table1[[#This Row],[estE2E]]</f>
        <v>3.1544927366880153</v>
      </c>
      <c r="AW207" s="5">
        <f>Table1[[#This Row],[PPS]]/Table1[[#This Row],[In-Tok]]</f>
        <v>4.0967311111111107</v>
      </c>
      <c r="AX207" s="4">
        <f>Table1[[#This Row],[RPS]]/Table1[[#This Row],[RPS(IL)]]</f>
        <v>1.0252076316673078</v>
      </c>
      <c r="AY207" s="5">
        <f>Table1[[#This Row],[GPS]]/Table1[[#This Row],[Out-Tok]]</f>
        <v>3.7723888888888895</v>
      </c>
      <c r="AZ207" s="89">
        <f>Table1[[#This Row],[RPS]]/Table1[[#This Row],[RPS(OL)]]</f>
        <v>1.1133528710071718</v>
      </c>
      <c r="BA207" s="135">
        <f>MaxTok/Table1[[#This Row],[tok/req]]</f>
        <v>76.061227841677507</v>
      </c>
      <c r="BB207" s="4">
        <f>Table1[[#This Row],[N]]/Table1[[#This Row],[N-max]]</f>
        <v>0.20799897134583867</v>
      </c>
      <c r="BC207" s="44">
        <f>Table1[[#This Row],[RPS]]</f>
        <v>4.2</v>
      </c>
      <c r="BD207" s="47">
        <f>Table1[[#This Row],[PPS]]/Table1[[#This Row],[RPS success]]</f>
        <v>4877.0608465608457</v>
      </c>
      <c r="BE207" s="4">
        <f>ABS(Table1[[#This Row],[est-In-Tok3]]-Table1[[#This Row],[In-Tok]])/Table1[[#This Row],[In-Tok]]</f>
        <v>2.4587830687830863E-2</v>
      </c>
      <c r="BF207" s="47">
        <f>Table1[[#This Row],[GPS]]/Table1[[#This Row],[RPS success]]</f>
        <v>179.63756613756615</v>
      </c>
      <c r="BG207" s="4">
        <f>ABS(Table1[[#This Row],[est-Out-Tok3]]-Table1[[#This Row],[Out-Tok]])/Table1[[#This Row],[Out-Tok]]</f>
        <v>0.10181216931216923</v>
      </c>
      <c r="BH207" s="162">
        <f>Table1[[#This Row],[est-In-Tok3]]+AvgOutLoad*Table1[[#This Row],[est-Out-Tok3]]</f>
        <v>4966.8796296296287</v>
      </c>
      <c r="BI207" s="4">
        <f>ABS(Table1[[#This Row],[est-Tok/Req3]]-Table1[[#This Row],[tok/req]])/Table1[[#This Row],[tok/req]]</f>
        <v>2.6102033405955165E-2</v>
      </c>
      <c r="BJ207" s="162">
        <f>MaxTok/Table1[[#This Row],[est-Tok/Req3]]</f>
        <v>78.099791200593529</v>
      </c>
      <c r="BK207" s="4">
        <f>ABS(Table1[[#This Row],[est-N-max3]]-Table1[[#This Row],[N-max]])/Table1[[#This Row],[N-max]]</f>
        <v>2.6801609923512146E-2</v>
      </c>
      <c r="BL207" s="44">
        <f>MaxTok*Table1[[#This Row],[Kvcache]]/Table1[[#This Row],[Run]]</f>
        <v>5113.6149321229432</v>
      </c>
      <c r="BM207" s="170">
        <f>ABS(Table1[[#This Row],[est-Tok/Req]]-Table1[[#This Row],[tok/req]])/Table1[[#This Row],[tok/req]]</f>
        <v>2.6695945339104262E-3</v>
      </c>
      <c r="BN207" s="44">
        <f>MaxTok/Table1[[#This Row],[est-Tok/Req]]</f>
        <v>75.858715828552135</v>
      </c>
      <c r="BO207" s="180">
        <f>Table1[[#This Row],[Run]]/Table1[[#This Row],[Kvcache]]</f>
        <v>75.85871582855215</v>
      </c>
      <c r="BP207" s="4" cm="1">
        <f t="array" aca="1" ref="BP207" ca="1">_xlfn.CEILING.MATH(INDIRECT("Table1"&amp;BP$3)/BP$2)*BP$2</f>
        <v>6000</v>
      </c>
      <c r="BQ207" s="4" cm="1">
        <f t="array" aca="1" ref="BQ207" ca="1">_xlfn.CEILING.MATH(INDIRECT("Table1"&amp;BQ$3)/BQ$2)*BQ$2</f>
        <v>0.02</v>
      </c>
      <c r="BR207" s="4" cm="1">
        <f t="array" aca="1" ref="BR207" ca="1">_xlfn.CEILING.MATH(INDIRECT("Table1"&amp;BR$3)/BR$2)*BR$2</f>
        <v>0.2</v>
      </c>
      <c r="BS207" s="4" cm="1">
        <f t="array" aca="1" ref="BS207" ca="1">_xlfn.CEILING.MATH(INDIRECT("Table1"&amp;BS$3)/BS$2)*BS$2</f>
        <v>0.19</v>
      </c>
      <c r="BT207" s="3" cm="1">
        <f t="array" aca="1" ref="BT207" ca="1">_xlfn.CEILING.MATH(INDIRECT("Table1"&amp;BT$3)/BT$2)*BT$2</f>
        <v>14</v>
      </c>
      <c r="BU207" s="135" cm="1">
        <f t="array" aca="1" ref="BU207" ca="1">_xlfn.CEILING.MATH(INDIRECT("Table1"&amp;BU$3)/BU$2)*BU$2</f>
        <v>25</v>
      </c>
      <c r="BV207" s="135" cm="1">
        <f t="array" aca="1" ref="BV207" ca="1">_xlfn.CEILING.MATH(INDIRECT("Table1"&amp;BV$3)/BV$2)*BV$2</f>
        <v>5000</v>
      </c>
      <c r="BW207" s="4"/>
      <c r="BX207" s="4"/>
      <c r="BY207" s="217"/>
      <c r="BZ207" s="4"/>
      <c r="CA207" s="3"/>
      <c r="CF207" s="5"/>
      <c r="CH207" s="8"/>
      <c r="CI207" s="8"/>
      <c r="CJ207" s="14"/>
      <c r="CK207" s="8"/>
      <c r="CL207" s="8"/>
      <c r="CM207" s="8"/>
      <c r="CN207" s="8"/>
      <c r="CO207" s="8"/>
      <c r="CP207" s="8"/>
      <c r="CQ207" s="8">
        <f>Table1[[#This Row],[In-Tok]]+AvgOutLoad*Table1[[#This Row],[Out-Tok]]</f>
        <v>5100</v>
      </c>
      <c r="CR207" s="8"/>
      <c r="CS207" s="8"/>
      <c r="CT207" s="8"/>
      <c r="CU207" s="8"/>
      <c r="CV207" s="8"/>
      <c r="CW207" s="8"/>
      <c r="CX207" s="8"/>
      <c r="CY207" s="8"/>
    </row>
    <row r="208" spans="1:103" hidden="1" x14ac:dyDescent="0.25">
      <c r="A208" s="26">
        <v>5000</v>
      </c>
      <c r="B208" s="3">
        <v>200</v>
      </c>
      <c r="C208" s="123">
        <v>4.4000000000000004</v>
      </c>
      <c r="D208" s="216">
        <f>Table1[[#This Row],[Kvcache]]</f>
        <v>0.25623739332816142</v>
      </c>
      <c r="E208" s="170" t="s">
        <v>156</v>
      </c>
      <c r="F208" s="218">
        <v>46104</v>
      </c>
      <c r="G208" s="10">
        <v>0</v>
      </c>
      <c r="H208" s="10">
        <v>0.26773352355389124</v>
      </c>
      <c r="I208" s="10">
        <v>0.21398528934232625</v>
      </c>
      <c r="J208" s="10">
        <v>0.28652833997557037</v>
      </c>
      <c r="K208" s="10">
        <v>0.57967132329940751</v>
      </c>
      <c r="L208" s="10">
        <v>0.74709239006042527</v>
      </c>
      <c r="M208" s="10">
        <v>2.4031371159684622E-2</v>
      </c>
      <c r="N208" s="10">
        <v>5.0406386422978953</v>
      </c>
      <c r="O208" s="47">
        <v>21760.944444444449</v>
      </c>
      <c r="P208" s="47">
        <v>793.86111111111109</v>
      </c>
      <c r="Q208" s="5">
        <v>19.450000000000003</v>
      </c>
      <c r="R208" s="5">
        <v>36</v>
      </c>
      <c r="S208" s="170">
        <v>0.25623739332816142</v>
      </c>
      <c r="T208" s="170">
        <v>0.47579519006982157</v>
      </c>
      <c r="U208" s="3">
        <f>(Table1[[#This Row],[In-Tok]]+Table1[[#This Row],[Out-Tok]])*Table1[[#This Row],[RPS]]</f>
        <v>22880.000000000004</v>
      </c>
      <c r="V208" s="3">
        <f>Table1[[#This Row],[In-Tok]]+$V$2*Table1[[#This Row],[Out-Tok]]</f>
        <v>5100</v>
      </c>
      <c r="W208" s="3">
        <f>Table1[[#This Row],[In-Tok]]*Table1[[#This Row],[RPS]]</f>
        <v>22000</v>
      </c>
      <c r="X208" s="3">
        <f>Table1[[#This Row],[Out-Tok]]*Table1[[#This Row],[RPS]]</f>
        <v>880.00000000000011</v>
      </c>
      <c r="Y208" s="75">
        <f>Table1[[#This Row],[In-Tok]]/Table1[[#This Row],[Out-Tok]]</f>
        <v>25</v>
      </c>
      <c r="Z208" s="26">
        <f>Table1[[#This Row],[In-Tok]]*Table1[[#This Row],[N]]+AvgOutLoad*Table1[[#This Row],[Out-Tok]]*Table1[[#This Row],[Ndecode]]</f>
        <v>101952.13414609554</v>
      </c>
      <c r="AA208" s="3">
        <f>Table1[[#This Row],[tok(N)]]/Table1[[#This Row],[Kvcache]]</f>
        <v>397881.56139851984</v>
      </c>
      <c r="AB208" s="3">
        <f>Table1[[#This Row],[tok/req]]*Table1[[#This Row],[Run]]</f>
        <v>99195.000000000015</v>
      </c>
      <c r="AC208" s="3">
        <f>Table1[[#This Row],[tok(Run)]]/Table1[[#This Row],[Kvcache]]</f>
        <v>387121.48415029212</v>
      </c>
      <c r="AD208" s="3">
        <f>Table1[[#This Row],[tok/req]]*Table1[[#This Row],[MaxRun]]</f>
        <v>183600</v>
      </c>
      <c r="AE208" s="3">
        <f>Table1[[#This Row],[tok(MaxRun)]]/Table1[[#This Row],[MaxKvcache]]</f>
        <v>385880.319582586</v>
      </c>
      <c r="AF208" s="75">
        <f>Table1[[#This Row],[PPS]]*Table1[[#This Row],[Prefill]]/Table1[[#This Row],[In-Tok]]</f>
        <v>0.9313043986613464</v>
      </c>
      <c r="AG208" s="5">
        <f>Table1[[#This Row],[GPS]]*Table1[[#This Row],[ITL]]</f>
        <v>19.077571010350745</v>
      </c>
      <c r="AH208" s="5">
        <f>Table1[[#This Row],[Nprefill]]+Table1[[#This Row],[Ndecode]]</f>
        <v>20.008875409012091</v>
      </c>
      <c r="AI208" s="4">
        <f>Table1[[#This Row],[Run]]/Table1[[#This Row],[ITL]]/Table1[[#This Row],[GPS]]</f>
        <v>1.019521824316481</v>
      </c>
      <c r="AJ208" s="10">
        <f>Table1[[#This Row],[Prefill]]+Table1[[#This Row],[ITL]]</f>
        <v>0.23801666050201087</v>
      </c>
      <c r="AK208" s="4">
        <f>Table1[[#This Row],[TTFT]]/Table1[[#This Row],[estTTFT]]</f>
        <v>1.1248520292201534</v>
      </c>
      <c r="AL208" s="5">
        <f>Table1[[#This Row],[In-Tok]]*Table1[[#This Row],[RPS]]/Table1[[#This Row],[PPS]]</f>
        <v>1.0109855321843157</v>
      </c>
      <c r="AM208" s="4">
        <f>Table1[[#This Row],[Prefill]]/Table1[[#This Row],[estPrefill]]</f>
        <v>0.21166009060485147</v>
      </c>
      <c r="AN208" s="4">
        <f>Table1[[#This Row],[Prefill]]/Table1[[#This Row],[TTFT]]</f>
        <v>0.79924727580576516</v>
      </c>
      <c r="AO208" s="10">
        <f>Table1[[#This Row],[Run]]/(Table1[[#This Row],[Out-Tok]]*Table1[[#This Row],[RPS]])</f>
        <v>2.2102272727272727E-2</v>
      </c>
      <c r="AP208" s="4">
        <f>Table1[[#This Row],[ITL]]/Table1[[#This Row],[estITL]]</f>
        <v>1.0872805460422863</v>
      </c>
      <c r="AQ208" s="44">
        <f>Table1[[#This Row],[E2E]]-Table1[[#This Row],[TTFT]]+Table1[[#This Row],[ITL]]</f>
        <v>4.7969364899036879</v>
      </c>
      <c r="AR208" s="4">
        <f>Table1[[#This Row],[estDecode]]/Table1[[#This Row],[Run]]</f>
        <v>0.24662912544491966</v>
      </c>
      <c r="AS208" s="44">
        <f>Table1[[#This Row],[Prefill]]+Table1[[#This Row],[Out-Tok]]*Table1[[#This Row],[ITL]]</f>
        <v>5.0202595212792511</v>
      </c>
      <c r="AT208" s="5">
        <f>Table1[[#This Row],[estPrefill]]+Table1[[#This Row],[Out-Tok]]*Table1[[#This Row],[ITL]]</f>
        <v>5.8172597641212409</v>
      </c>
      <c r="AU208" s="4">
        <f>Table1[[#This Row],[E2E]]/Table1[[#This Row],[estE2E]]</f>
        <v>0.86649708740646847</v>
      </c>
      <c r="AV208" s="5">
        <f>Table1[[#This Row],[N]]/Table1[[#This Row],[estE2E]]</f>
        <v>3.4395705573300361</v>
      </c>
      <c r="AW208" s="5">
        <f>Table1[[#This Row],[PPS]]/Table1[[#This Row],[In-Tok]]</f>
        <v>4.3521888888888896</v>
      </c>
      <c r="AX208" s="4">
        <f>Table1[[#This Row],[RPS]]/Table1[[#This Row],[RPS(IL)]]</f>
        <v>1.010985532184316</v>
      </c>
      <c r="AY208" s="5">
        <f>Table1[[#This Row],[GPS]]/Table1[[#This Row],[Out-Tok]]</f>
        <v>3.9693055555555556</v>
      </c>
      <c r="AZ208" s="89">
        <f>Table1[[#This Row],[RPS]]/Table1[[#This Row],[RPS(OL)]]</f>
        <v>1.1085062458448511</v>
      </c>
      <c r="BA208" s="135">
        <f>MaxTok/Table1[[#This Row],[tok/req]]</f>
        <v>76.061227841677507</v>
      </c>
      <c r="BB208" s="4">
        <f>Table1[[#This Row],[N]]/Table1[[#This Row],[N-max]]</f>
        <v>0.26306274532749907</v>
      </c>
      <c r="BC208" s="44">
        <f>Table1[[#This Row],[RPS]]</f>
        <v>4.4000000000000004</v>
      </c>
      <c r="BD208" s="47">
        <f>Table1[[#This Row],[PPS]]/Table1[[#This Row],[RPS success]]</f>
        <v>4945.6691919191926</v>
      </c>
      <c r="BE208" s="4">
        <f>ABS(Table1[[#This Row],[est-In-Tok3]]-Table1[[#This Row],[In-Tok]])/Table1[[#This Row],[In-Tok]]</f>
        <v>1.086616161616148E-2</v>
      </c>
      <c r="BF208" s="47">
        <f>Table1[[#This Row],[GPS]]/Table1[[#This Row],[RPS success]]</f>
        <v>180.42297979797976</v>
      </c>
      <c r="BG208" s="4">
        <f>ABS(Table1[[#This Row],[est-Out-Tok3]]-Table1[[#This Row],[Out-Tok]])/Table1[[#This Row],[Out-Tok]]</f>
        <v>9.7885101010101186E-2</v>
      </c>
      <c r="BH208" s="162">
        <f>Table1[[#This Row],[est-In-Tok3]]+AvgOutLoad*Table1[[#This Row],[est-Out-Tok3]]</f>
        <v>5035.8806818181829</v>
      </c>
      <c r="BI208" s="4">
        <f>ABS(Table1[[#This Row],[est-Tok/Req3]]-Table1[[#This Row],[tok/req]])/Table1[[#This Row],[tok/req]]</f>
        <v>1.257241532976806E-2</v>
      </c>
      <c r="BJ208" s="162">
        <f>MaxTok/Table1[[#This Row],[est-Tok/Req3]]</f>
        <v>77.029676932794459</v>
      </c>
      <c r="BK208" s="4">
        <f>ABS(Table1[[#This Row],[est-N-max3]]-Table1[[#This Row],[N-max]])/Table1[[#This Row],[N-max]]</f>
        <v>1.2732493526567728E-2</v>
      </c>
      <c r="BL208" s="44">
        <f>MaxTok*Table1[[#This Row],[Kvcache]]/Table1[[#This Row],[Run]]</f>
        <v>5110.4178330592895</v>
      </c>
      <c r="BM208" s="170">
        <f>ABS(Table1[[#This Row],[est-Tok/Req]]-Table1[[#This Row],[tok/req]])/Table1[[#This Row],[tok/req]]</f>
        <v>2.0427123645665644E-3</v>
      </c>
      <c r="BN208" s="44">
        <f>MaxTok/Table1[[#This Row],[est-Tok/Req]]</f>
        <v>75.906173362802377</v>
      </c>
      <c r="BO208" s="180">
        <f>Table1[[#This Row],[Run]]/Table1[[#This Row],[Kvcache]]</f>
        <v>75.906173362802377</v>
      </c>
      <c r="BP208" s="4" cm="1">
        <f t="array" aca="1" ref="BP208" ca="1">_xlfn.CEILING.MATH(INDIRECT("Table1"&amp;BP$3)/BP$2)*BP$2</f>
        <v>6000</v>
      </c>
      <c r="BQ208" s="4" cm="1">
        <f t="array" aca="1" ref="BQ208" ca="1">_xlfn.CEILING.MATH(INDIRECT("Table1"&amp;BQ$3)/BQ$2)*BQ$2</f>
        <v>2.5000000000000001E-2</v>
      </c>
      <c r="BR208" s="4" cm="1">
        <f t="array" aca="1" ref="BR208" ca="1">_xlfn.CEILING.MATH(INDIRECT("Table1"&amp;BR$3)/BR$2)*BR$2</f>
        <v>0.30000000000000004</v>
      </c>
      <c r="BS208" s="4" cm="1">
        <f t="array" aca="1" ref="BS208" ca="1">_xlfn.CEILING.MATH(INDIRECT("Table1"&amp;BS$3)/BS$2)*BS$2</f>
        <v>0.26</v>
      </c>
      <c r="BT208" s="3" cm="1">
        <f t="array" aca="1" ref="BT208" ca="1">_xlfn.CEILING.MATH(INDIRECT("Table1"&amp;BT$3)/BT$2)*BT$2</f>
        <v>20</v>
      </c>
      <c r="BU208" s="135" cm="1">
        <f t="array" aca="1" ref="BU208" ca="1">_xlfn.CEILING.MATH(INDIRECT("Table1"&amp;BU$3)/BU$2)*BU$2</f>
        <v>25</v>
      </c>
      <c r="BV208" s="135" cm="1">
        <f t="array" aca="1" ref="BV208" ca="1">_xlfn.CEILING.MATH(INDIRECT("Table1"&amp;BV$3)/BV$2)*BV$2</f>
        <v>5000</v>
      </c>
      <c r="BW208" s="4"/>
      <c r="BX208" s="4"/>
      <c r="BY208" s="217"/>
      <c r="BZ208" s="4"/>
      <c r="CA208" s="3"/>
      <c r="CF208" s="5"/>
      <c r="CH208" s="8"/>
      <c r="CI208" s="8"/>
      <c r="CJ208" s="14"/>
      <c r="CK208" s="8"/>
      <c r="CL208" s="8"/>
      <c r="CM208" s="8"/>
      <c r="CN208" s="8"/>
      <c r="CO208" s="8"/>
      <c r="CP208" s="8"/>
      <c r="CQ208" s="8">
        <f>Table1[[#This Row],[In-Tok]]+AvgOutLoad*Table1[[#This Row],[Out-Tok]]</f>
        <v>5100</v>
      </c>
      <c r="CR208" s="8"/>
      <c r="CS208" s="8"/>
      <c r="CT208" s="8"/>
      <c r="CU208" s="8"/>
      <c r="CV208" s="8"/>
      <c r="CW208" s="8"/>
      <c r="CX208" s="8"/>
      <c r="CY208" s="8"/>
    </row>
    <row r="209" spans="1:103" hidden="1" x14ac:dyDescent="0.25">
      <c r="A209" s="26">
        <v>5000</v>
      </c>
      <c r="B209" s="3">
        <v>200</v>
      </c>
      <c r="C209" s="123">
        <v>4.5999999999999996</v>
      </c>
      <c r="D209" s="216">
        <f>Table1[[#This Row],[Kvcache]]</f>
        <v>0.29388673390224984</v>
      </c>
      <c r="E209" s="170" t="s">
        <v>156</v>
      </c>
      <c r="F209" s="218">
        <v>46104</v>
      </c>
      <c r="G209" s="10">
        <v>0</v>
      </c>
      <c r="H209" s="10">
        <v>0.29045582898953587</v>
      </c>
      <c r="I209" s="10">
        <v>0.22962988056941785</v>
      </c>
      <c r="J209" s="10">
        <v>0.31213514237176804</v>
      </c>
      <c r="K209" s="10">
        <v>0.69013125896453853</v>
      </c>
      <c r="L209" s="10">
        <v>0.80190755367279032</v>
      </c>
      <c r="M209" s="10">
        <v>2.7285715660388569E-2</v>
      </c>
      <c r="N209" s="10">
        <v>5.7058562758013451</v>
      </c>
      <c r="O209" s="47">
        <v>23180.35</v>
      </c>
      <c r="P209" s="47">
        <v>841.92777777777781</v>
      </c>
      <c r="Q209" s="5">
        <v>22.25</v>
      </c>
      <c r="R209" s="5">
        <v>42</v>
      </c>
      <c r="S209" s="170">
        <v>0.29388673390224984</v>
      </c>
      <c r="T209" s="170">
        <v>0.55162916989914668</v>
      </c>
      <c r="U209" s="3">
        <f>(Table1[[#This Row],[In-Tok]]+Table1[[#This Row],[Out-Tok]])*Table1[[#This Row],[RPS]]</f>
        <v>23919.999999999996</v>
      </c>
      <c r="V209" s="3">
        <f>Table1[[#This Row],[In-Tok]]+$V$2*Table1[[#This Row],[Out-Tok]]</f>
        <v>5100</v>
      </c>
      <c r="W209" s="3">
        <f>Table1[[#This Row],[In-Tok]]*Table1[[#This Row],[RPS]]</f>
        <v>23000</v>
      </c>
      <c r="X209" s="3">
        <f>Table1[[#This Row],[Out-Tok]]*Table1[[#This Row],[RPS]]</f>
        <v>919.99999999999989</v>
      </c>
      <c r="Y209" s="75">
        <f>Table1[[#This Row],[In-Tok]]/Table1[[#This Row],[Out-Tok]]</f>
        <v>25</v>
      </c>
      <c r="Z209" s="26">
        <f>Table1[[#This Row],[In-Tok]]*Table1[[#This Row],[N]]+AvgOutLoad*Table1[[#This Row],[Out-Tok]]*Table1[[#This Row],[Ndecode]]</f>
        <v>122483.17095229634</v>
      </c>
      <c r="AA209" s="3">
        <f>Table1[[#This Row],[tok(N)]]/Table1[[#This Row],[Kvcache]]</f>
        <v>416769.9893287312</v>
      </c>
      <c r="AB209" s="3">
        <f>Table1[[#This Row],[tok/req]]*Table1[[#This Row],[Run]]</f>
        <v>113475</v>
      </c>
      <c r="AC209" s="3">
        <f>Table1[[#This Row],[tok(Run)]]/Table1[[#This Row],[Kvcache]]</f>
        <v>386118.14318145817</v>
      </c>
      <c r="AD209" s="3">
        <f>Table1[[#This Row],[tok/req]]*Table1[[#This Row],[MaxRun]]</f>
        <v>214200</v>
      </c>
      <c r="AE209" s="3">
        <f>Table1[[#This Row],[tok(MaxRun)]]/Table1[[#This Row],[MaxKvcache]]</f>
        <v>388304.33865410305</v>
      </c>
      <c r="AF209" s="75">
        <f>Table1[[#This Row],[PPS]]*Table1[[#This Row],[Prefill]]/Table1[[#This Row],[In-Tok]]</f>
        <v>1.0645802004114611</v>
      </c>
      <c r="AG209" s="5">
        <f>Table1[[#This Row],[GPS]]*Table1[[#This Row],[ITL]]</f>
        <v>22.972601951027258</v>
      </c>
      <c r="AH209" s="5">
        <f>Table1[[#This Row],[Nprefill]]+Table1[[#This Row],[Ndecode]]</f>
        <v>24.037182151438721</v>
      </c>
      <c r="AI209" s="4">
        <f>Table1[[#This Row],[Run]]/Table1[[#This Row],[ITL]]/Table1[[#This Row],[GPS]]</f>
        <v>0.96854505412283309</v>
      </c>
      <c r="AJ209" s="10">
        <f>Table1[[#This Row],[Prefill]]+Table1[[#This Row],[ITL]]</f>
        <v>0.25691559622980642</v>
      </c>
      <c r="AK209" s="4">
        <f>Table1[[#This Row],[TTFT]]/Table1[[#This Row],[estTTFT]]</f>
        <v>1.1305496172748046</v>
      </c>
      <c r="AL209" s="5">
        <f>Table1[[#This Row],[In-Tok]]*Table1[[#This Row],[RPS]]/Table1[[#This Row],[PPS]]</f>
        <v>0.99221970332630882</v>
      </c>
      <c r="AM209" s="4">
        <f>Table1[[#This Row],[Prefill]]/Table1[[#This Row],[estPrefill]]</f>
        <v>0.23143047835031758</v>
      </c>
      <c r="AN209" s="4">
        <f>Table1[[#This Row],[Prefill]]/Table1[[#This Row],[TTFT]]</f>
        <v>0.79058451458273415</v>
      </c>
      <c r="AO209" s="10">
        <f>Table1[[#This Row],[Run]]/(Table1[[#This Row],[Out-Tok]]*Table1[[#This Row],[RPS]])</f>
        <v>2.4184782608695655E-2</v>
      </c>
      <c r="AP209" s="4">
        <f>Table1[[#This Row],[ITL]]/Table1[[#This Row],[estITL]]</f>
        <v>1.1282183553958418</v>
      </c>
      <c r="AQ209" s="44">
        <f>Table1[[#This Row],[E2E]]-Table1[[#This Row],[TTFT]]+Table1[[#This Row],[ITL]]</f>
        <v>5.4426861624721976</v>
      </c>
      <c r="AR209" s="4">
        <f>Table1[[#This Row],[estDecode]]/Table1[[#This Row],[Run]]</f>
        <v>0.24461510842571674</v>
      </c>
      <c r="AS209" s="44">
        <f>Table1[[#This Row],[Prefill]]+Table1[[#This Row],[Out-Tok]]*Table1[[#This Row],[ITL]]</f>
        <v>5.686773012647131</v>
      </c>
      <c r="AT209" s="5">
        <f>Table1[[#This Row],[estPrefill]]+Table1[[#This Row],[Out-Tok]]*Table1[[#This Row],[ITL]]</f>
        <v>6.4493628354040222</v>
      </c>
      <c r="AU209" s="4">
        <f>Table1[[#This Row],[E2E]]/Table1[[#This Row],[estE2E]]</f>
        <v>0.884716276851231</v>
      </c>
      <c r="AV209" s="5">
        <f>Table1[[#This Row],[N]]/Table1[[#This Row],[estE2E]]</f>
        <v>3.7270630859045015</v>
      </c>
      <c r="AW209" s="5">
        <f>Table1[[#This Row],[PPS]]/Table1[[#This Row],[In-Tok]]</f>
        <v>4.6360700000000001</v>
      </c>
      <c r="AX209" s="4">
        <f>Table1[[#This Row],[RPS]]/Table1[[#This Row],[RPS(IL)]]</f>
        <v>0.9922197033263086</v>
      </c>
      <c r="AY209" s="5">
        <f>Table1[[#This Row],[GPS]]/Table1[[#This Row],[Out-Tok]]</f>
        <v>4.2096388888888887</v>
      </c>
      <c r="AZ209" s="89">
        <f>Table1[[#This Row],[RPS]]/Table1[[#This Row],[RPS(OL)]]</f>
        <v>1.0927303080892397</v>
      </c>
      <c r="BA209" s="135">
        <f>MaxTok/Table1[[#This Row],[tok/req]]</f>
        <v>76.061227841677507</v>
      </c>
      <c r="BB209" s="4">
        <f>Table1[[#This Row],[N]]/Table1[[#This Row],[N-max]]</f>
        <v>0.31602411417118387</v>
      </c>
      <c r="BC209" s="44">
        <f>Table1[[#This Row],[RPS]]</f>
        <v>4.5999999999999996</v>
      </c>
      <c r="BD209" s="47">
        <f>Table1[[#This Row],[PPS]]/Table1[[#This Row],[RPS success]]</f>
        <v>5039.2065217391309</v>
      </c>
      <c r="BE209" s="4">
        <f>ABS(Table1[[#This Row],[est-In-Tok3]]-Table1[[#This Row],[In-Tok]])/Table1[[#This Row],[In-Tok]]</f>
        <v>7.8413043478261901E-3</v>
      </c>
      <c r="BF209" s="47">
        <f>Table1[[#This Row],[GPS]]/Table1[[#This Row],[RPS success]]</f>
        <v>183.0277777777778</v>
      </c>
      <c r="BG209" s="4">
        <f>ABS(Table1[[#This Row],[est-Out-Tok3]]-Table1[[#This Row],[Out-Tok]])/Table1[[#This Row],[Out-Tok]]</f>
        <v>8.4861111111110998E-2</v>
      </c>
      <c r="BH209" s="162">
        <f>Table1[[#This Row],[est-In-Tok3]]+AvgOutLoad*Table1[[#This Row],[est-Out-Tok3]]</f>
        <v>5130.7204106280196</v>
      </c>
      <c r="BI209" s="4">
        <f>ABS(Table1[[#This Row],[est-Tok/Req3]]-Table1[[#This Row],[tok/req]])/Table1[[#This Row],[tok/req]]</f>
        <v>6.0236099270626732E-3</v>
      </c>
      <c r="BJ209" s="162">
        <f>MaxTok/Table1[[#This Row],[est-Tok/Req3]]</f>
        <v>75.605807946388055</v>
      </c>
      <c r="BK209" s="4">
        <f>ABS(Table1[[#This Row],[est-N-max3]]-Table1[[#This Row],[N-max]])/Table1[[#This Row],[N-max]]</f>
        <v>5.9875433017912245E-3</v>
      </c>
      <c r="BL209" s="44">
        <f>MaxTok*Table1[[#This Row],[Kvcache]]/Table1[[#This Row],[Run]]</f>
        <v>5123.6974255112773</v>
      </c>
      <c r="BM209" s="170">
        <f>ABS(Table1[[#This Row],[est-Tok/Req]]-Table1[[#This Row],[tok/req]])/Table1[[#This Row],[tok/req]]</f>
        <v>4.6465540218190758E-3</v>
      </c>
      <c r="BN209" s="44">
        <f>MaxTok/Table1[[#This Row],[est-Tok/Req]]</f>
        <v>75.709439839501599</v>
      </c>
      <c r="BO209" s="180">
        <f>Table1[[#This Row],[Run]]/Table1[[#This Row],[Kvcache]]</f>
        <v>75.709439839501599</v>
      </c>
      <c r="BP209" s="4" cm="1">
        <f t="array" aca="1" ref="BP209" ca="1">_xlfn.CEILING.MATH(INDIRECT("Table1"&amp;BP$3)/BP$2)*BP$2</f>
        <v>6000</v>
      </c>
      <c r="BQ209" s="4" cm="1">
        <f t="array" aca="1" ref="BQ209" ca="1">_xlfn.CEILING.MATH(INDIRECT("Table1"&amp;BQ$3)/BQ$2)*BQ$2</f>
        <v>0.03</v>
      </c>
      <c r="BR209" s="4" cm="1">
        <f t="array" aca="1" ref="BR209" ca="1">_xlfn.CEILING.MATH(INDIRECT("Table1"&amp;BR$3)/BR$2)*BR$2</f>
        <v>0.30000000000000004</v>
      </c>
      <c r="BS209" s="4" cm="1">
        <f t="array" aca="1" ref="BS209" ca="1">_xlfn.CEILING.MATH(INDIRECT("Table1"&amp;BS$3)/BS$2)*BS$2</f>
        <v>0.3</v>
      </c>
      <c r="BT209" s="3" cm="1">
        <f t="array" aca="1" ref="BT209" ca="1">_xlfn.CEILING.MATH(INDIRECT("Table1"&amp;BT$3)/BT$2)*BT$2</f>
        <v>23</v>
      </c>
      <c r="BU209" s="135" cm="1">
        <f t="array" aca="1" ref="BU209" ca="1">_xlfn.CEILING.MATH(INDIRECT("Table1"&amp;BU$3)/BU$2)*BU$2</f>
        <v>25</v>
      </c>
      <c r="BV209" s="135" cm="1">
        <f t="array" aca="1" ref="BV209" ca="1">_xlfn.CEILING.MATH(INDIRECT("Table1"&amp;BV$3)/BV$2)*BV$2</f>
        <v>5000</v>
      </c>
      <c r="BW209" s="4"/>
      <c r="BX209" s="4"/>
      <c r="BY209" s="217"/>
      <c r="BZ209" s="4"/>
      <c r="CA209" s="3"/>
      <c r="CF209" s="5"/>
      <c r="CH209" s="8"/>
      <c r="CI209" s="8"/>
      <c r="CJ209" s="14"/>
      <c r="CK209" s="8"/>
      <c r="CL209" s="8"/>
      <c r="CM209" s="8"/>
      <c r="CN209" s="8"/>
      <c r="CO209" s="8"/>
      <c r="CP209" s="8"/>
      <c r="CQ209" s="8">
        <f>Table1[[#This Row],[In-Tok]]+AvgOutLoad*Table1[[#This Row],[Out-Tok]]</f>
        <v>5100</v>
      </c>
      <c r="CR209" s="8"/>
      <c r="CS209" s="8"/>
      <c r="CT209" s="8"/>
      <c r="CU209" s="8"/>
      <c r="CV209" s="8"/>
      <c r="CW209" s="8"/>
      <c r="CX209" s="8"/>
      <c r="CY209" s="8"/>
    </row>
    <row r="210" spans="1:103" hidden="1" x14ac:dyDescent="0.25">
      <c r="A210" s="26">
        <v>5000</v>
      </c>
      <c r="B210" s="3">
        <v>200</v>
      </c>
      <c r="C210" s="123">
        <v>4.8</v>
      </c>
      <c r="D210" s="216">
        <f>Table1[[#This Row],[Kvcache]]</f>
        <v>0.4969550038789759</v>
      </c>
      <c r="E210" s="170" t="s">
        <v>156</v>
      </c>
      <c r="F210" s="218">
        <v>46104</v>
      </c>
      <c r="G210" s="10">
        <v>0</v>
      </c>
      <c r="H210" s="10">
        <v>0.3271283484961538</v>
      </c>
      <c r="I210" s="10">
        <v>0.25079316509162963</v>
      </c>
      <c r="J210" s="10">
        <v>0.3494704504606847</v>
      </c>
      <c r="K210" s="10">
        <v>0.71865006089210481</v>
      </c>
      <c r="L210" s="10">
        <v>0.8697062611579901</v>
      </c>
      <c r="M210" s="10">
        <v>4.0983470643534484E-2</v>
      </c>
      <c r="N210" s="10">
        <v>8.3067052978386009</v>
      </c>
      <c r="O210" s="47">
        <v>25790.550000000003</v>
      </c>
      <c r="P210" s="47">
        <v>917.35555555555561</v>
      </c>
      <c r="Q210" s="5">
        <v>37.599999999999994</v>
      </c>
      <c r="R210" s="5">
        <v>64</v>
      </c>
      <c r="S210" s="170">
        <v>0.4969550038789759</v>
      </c>
      <c r="T210" s="170">
        <v>0.84511249030256019</v>
      </c>
      <c r="U210" s="3">
        <f>(Table1[[#This Row],[In-Tok]]+Table1[[#This Row],[Out-Tok]])*Table1[[#This Row],[RPS]]</f>
        <v>24960</v>
      </c>
      <c r="V210" s="3">
        <f>Table1[[#This Row],[In-Tok]]+$V$2*Table1[[#This Row],[Out-Tok]]</f>
        <v>5100</v>
      </c>
      <c r="W210" s="3">
        <f>Table1[[#This Row],[In-Tok]]*Table1[[#This Row],[RPS]]</f>
        <v>24000</v>
      </c>
      <c r="X210" s="3">
        <f>Table1[[#This Row],[Out-Tok]]*Table1[[#This Row],[RPS]]</f>
        <v>960</v>
      </c>
      <c r="Y210" s="75">
        <f>Table1[[#This Row],[In-Tok]]/Table1[[#This Row],[Out-Tok]]</f>
        <v>25</v>
      </c>
      <c r="Z210" s="26">
        <f>Table1[[#This Row],[In-Tok]]*Table1[[#This Row],[N]]+AvgOutLoad*Table1[[#This Row],[Out-Tok]]*Table1[[#This Row],[Ndecode]]</f>
        <v>198209.80751600524</v>
      </c>
      <c r="AA210" s="3">
        <f>Table1[[#This Row],[tok(N)]]/Table1[[#This Row],[Kvcache]]</f>
        <v>398848.59991122159</v>
      </c>
      <c r="AB210" s="3">
        <f>Table1[[#This Row],[tok/req]]*Table1[[#This Row],[Run]]</f>
        <v>191759.99999999997</v>
      </c>
      <c r="AC210" s="3">
        <f>Table1[[#This Row],[tok(Run)]]/Table1[[#This Row],[Kvcache]]</f>
        <v>385869.94497131481</v>
      </c>
      <c r="AD210" s="3">
        <f>Table1[[#This Row],[tok/req]]*Table1[[#This Row],[MaxRun]]</f>
        <v>326400</v>
      </c>
      <c r="AE210" s="3">
        <f>Table1[[#This Row],[tok(MaxRun)]]/Table1[[#This Row],[MaxKvcache]]</f>
        <v>386220.77385596914</v>
      </c>
      <c r="AF210" s="75">
        <f>Table1[[#This Row],[PPS]]*Table1[[#This Row],[Prefill]]/Table1[[#This Row],[In-Tok]]</f>
        <v>1.293618732790786</v>
      </c>
      <c r="AG210" s="5">
        <f>Table1[[#This Row],[GPS]]*Table1[[#This Row],[ITL]]</f>
        <v>37.59641448079438</v>
      </c>
      <c r="AH210" s="5">
        <f>Table1[[#This Row],[Nprefill]]+Table1[[#This Row],[Ndecode]]</f>
        <v>38.890033213585163</v>
      </c>
      <c r="AI210" s="4">
        <f>Table1[[#This Row],[Run]]/Table1[[#This Row],[ITL]]/Table1[[#This Row],[GPS]]</f>
        <v>1.0000953686476524</v>
      </c>
      <c r="AJ210" s="10">
        <f>Table1[[#This Row],[Prefill]]+Table1[[#This Row],[ITL]]</f>
        <v>0.2917766357351641</v>
      </c>
      <c r="AK210" s="4">
        <f>Table1[[#This Row],[TTFT]]/Table1[[#This Row],[estTTFT]]</f>
        <v>1.1211601904721298</v>
      </c>
      <c r="AL210" s="5">
        <f>Table1[[#This Row],[In-Tok]]*Table1[[#This Row],[RPS]]/Table1[[#This Row],[PPS]]</f>
        <v>0.93057340770165808</v>
      </c>
      <c r="AM210" s="4">
        <f>Table1[[#This Row],[Prefill]]/Table1[[#This Row],[estPrefill]]</f>
        <v>0.26950390266474705</v>
      </c>
      <c r="AN210" s="4">
        <f>Table1[[#This Row],[Prefill]]/Table1[[#This Row],[TTFT]]</f>
        <v>0.76665066248325564</v>
      </c>
      <c r="AO210" s="10">
        <f>Table1[[#This Row],[Run]]/(Table1[[#This Row],[Out-Tok]]*Table1[[#This Row],[RPS]])</f>
        <v>3.9166666666666662E-2</v>
      </c>
      <c r="AP210" s="4">
        <f>Table1[[#This Row],[ITL]]/Table1[[#This Row],[estITL]]</f>
        <v>1.0463864845157742</v>
      </c>
      <c r="AQ210" s="44">
        <f>Table1[[#This Row],[E2E]]-Table1[[#This Row],[TTFT]]+Table1[[#This Row],[ITL]]</f>
        <v>8.0205604199859817</v>
      </c>
      <c r="AR210" s="4">
        <f>Table1[[#This Row],[estDecode]]/Table1[[#This Row],[Run]]</f>
        <v>0.21331277712728677</v>
      </c>
      <c r="AS210" s="44">
        <f>Table1[[#This Row],[Prefill]]+Table1[[#This Row],[Out-Tok]]*Table1[[#This Row],[ITL]]</f>
        <v>8.4474872937985257</v>
      </c>
      <c r="AT210" s="5">
        <f>Table1[[#This Row],[estPrefill]]+Table1[[#This Row],[Out-Tok]]*Table1[[#This Row],[ITL]]</f>
        <v>9.1272675364085547</v>
      </c>
      <c r="AU210" s="4">
        <f>Table1[[#This Row],[E2E]]/Table1[[#This Row],[estE2E]]</f>
        <v>0.91009771157723363</v>
      </c>
      <c r="AV210" s="5">
        <f>Table1[[#This Row],[N]]/Table1[[#This Row],[estE2E]]</f>
        <v>4.2608626358823507</v>
      </c>
      <c r="AW210" s="5">
        <f>Table1[[#This Row],[PPS]]/Table1[[#This Row],[In-Tok]]</f>
        <v>5.1581100000000006</v>
      </c>
      <c r="AX210" s="4">
        <f>Table1[[#This Row],[RPS]]/Table1[[#This Row],[RPS(IL)]]</f>
        <v>0.93057340770165797</v>
      </c>
      <c r="AY210" s="5">
        <f>Table1[[#This Row],[GPS]]/Table1[[#This Row],[Out-Tok]]</f>
        <v>4.5867777777777778</v>
      </c>
      <c r="AZ210" s="89">
        <f>Table1[[#This Row],[RPS]]/Table1[[#This Row],[RPS(OL)]]</f>
        <v>1.0464862769797243</v>
      </c>
      <c r="BA210" s="135">
        <f>MaxTok/Table1[[#This Row],[tok/req]]</f>
        <v>76.061227841677507</v>
      </c>
      <c r="BB210" s="4">
        <f>Table1[[#This Row],[N]]/Table1[[#This Row],[N-max]]</f>
        <v>0.51129904574424312</v>
      </c>
      <c r="BC210" s="44">
        <f>Table1[[#This Row],[RPS]]</f>
        <v>4.8</v>
      </c>
      <c r="BD210" s="47">
        <f>Table1[[#This Row],[PPS]]/Table1[[#This Row],[RPS success]]</f>
        <v>5373.0312500000009</v>
      </c>
      <c r="BE210" s="4">
        <f>ABS(Table1[[#This Row],[est-In-Tok3]]-Table1[[#This Row],[In-Tok]])/Table1[[#This Row],[In-Tok]]</f>
        <v>7.4606250000000179E-2</v>
      </c>
      <c r="BF210" s="47">
        <f>Table1[[#This Row],[GPS]]/Table1[[#This Row],[RPS success]]</f>
        <v>191.11574074074076</v>
      </c>
      <c r="BG210" s="4">
        <f>ABS(Table1[[#This Row],[est-Out-Tok3]]-Table1[[#This Row],[Out-Tok]])/Table1[[#This Row],[Out-Tok]]</f>
        <v>4.4421296296296188E-2</v>
      </c>
      <c r="BH210" s="162">
        <f>Table1[[#This Row],[est-In-Tok3]]+AvgOutLoad*Table1[[#This Row],[est-Out-Tok3]]</f>
        <v>5468.5891203703713</v>
      </c>
      <c r="BI210" s="4">
        <f>ABS(Table1[[#This Row],[est-Tok/Req3]]-Table1[[#This Row],[tok/req]])/Table1[[#This Row],[tok/req]]</f>
        <v>7.2272376543210073E-2</v>
      </c>
      <c r="BJ210" s="162">
        <f>MaxTok/Table1[[#This Row],[est-Tok/Req3]]</f>
        <v>70.934614660953557</v>
      </c>
      <c r="BK210" s="4">
        <f>ABS(Table1[[#This Row],[est-N-max3]]-Table1[[#This Row],[N-max]])/Table1[[#This Row],[N-max]]</f>
        <v>6.7401136245066495E-2</v>
      </c>
      <c r="BL210" s="44">
        <f>MaxTok*Table1[[#This Row],[Kvcache]]/Table1[[#This Row],[Run]]</f>
        <v>5126.9930761492733</v>
      </c>
      <c r="BM210" s="170">
        <f>ABS(Table1[[#This Row],[est-Tok/Req]]-Table1[[#This Row],[tok/req]])/Table1[[#This Row],[tok/req]]</f>
        <v>5.2927600292692733E-3</v>
      </c>
      <c r="BN210" s="44">
        <f>MaxTok/Table1[[#This Row],[est-Tok/Req]]</f>
        <v>75.660773523787213</v>
      </c>
      <c r="BO210" s="180">
        <f>Table1[[#This Row],[Run]]/Table1[[#This Row],[Kvcache]]</f>
        <v>75.660773523787213</v>
      </c>
      <c r="BP210" s="4" cm="1">
        <f t="array" aca="1" ref="BP210" ca="1">_xlfn.CEILING.MATH(INDIRECT("Table1"&amp;BP$3)/BP$2)*BP$2</f>
        <v>6000</v>
      </c>
      <c r="BQ210" s="4" cm="1">
        <f t="array" aca="1" ref="BQ210" ca="1">_xlfn.CEILING.MATH(INDIRECT("Table1"&amp;BQ$3)/BQ$2)*BQ$2</f>
        <v>4.4999999999999998E-2</v>
      </c>
      <c r="BR210" s="4" cm="1">
        <f t="array" aca="1" ref="BR210" ca="1">_xlfn.CEILING.MATH(INDIRECT("Table1"&amp;BR$3)/BR$2)*BR$2</f>
        <v>0.5</v>
      </c>
      <c r="BS210" s="4" cm="1">
        <f t="array" aca="1" ref="BS210" ca="1">_xlfn.CEILING.MATH(INDIRECT("Table1"&amp;BS$3)/BS$2)*BS$2</f>
        <v>0.5</v>
      </c>
      <c r="BT210" s="3" cm="1">
        <f t="array" aca="1" ref="BT210" ca="1">_xlfn.CEILING.MATH(INDIRECT("Table1"&amp;BT$3)/BT$2)*BT$2</f>
        <v>38</v>
      </c>
      <c r="BU210" s="135" cm="1">
        <f t="array" aca="1" ref="BU210" ca="1">_xlfn.CEILING.MATH(INDIRECT("Table1"&amp;BU$3)/BU$2)*BU$2</f>
        <v>25</v>
      </c>
      <c r="BV210" s="135" cm="1">
        <f t="array" aca="1" ref="BV210" ca="1">_xlfn.CEILING.MATH(INDIRECT("Table1"&amp;BV$3)/BV$2)*BV$2</f>
        <v>5000</v>
      </c>
      <c r="BW210" s="4"/>
      <c r="BX210" s="4"/>
      <c r="BY210" s="217"/>
      <c r="BZ210" s="4"/>
      <c r="CA210" s="3"/>
      <c r="CF210" s="5"/>
      <c r="CH210" s="8"/>
      <c r="CI210" s="8"/>
      <c r="CJ210" s="14"/>
      <c r="CK210" s="8"/>
      <c r="CL210" s="8"/>
      <c r="CM210" s="8"/>
      <c r="CN210" s="8"/>
      <c r="CO210" s="8"/>
      <c r="CP210" s="8"/>
      <c r="CQ210" s="8">
        <f>Table1[[#This Row],[In-Tok]]+AvgOutLoad*Table1[[#This Row],[Out-Tok]]</f>
        <v>5100</v>
      </c>
      <c r="CR210" s="8"/>
      <c r="CS210" s="8"/>
      <c r="CT210" s="8"/>
      <c r="CU210" s="8"/>
      <c r="CV210" s="8"/>
      <c r="CW210" s="8"/>
      <c r="CX210" s="8"/>
      <c r="CY210" s="8"/>
    </row>
    <row r="211" spans="1:103" hidden="1" x14ac:dyDescent="0.25">
      <c r="A211" s="26">
        <v>5000</v>
      </c>
      <c r="B211" s="3">
        <v>200</v>
      </c>
      <c r="C211" s="123">
        <v>5</v>
      </c>
      <c r="D211" s="216">
        <f>Table1[[#This Row],[Kvcache]]</f>
        <v>0.44471683475562451</v>
      </c>
      <c r="E211" s="170" t="s">
        <v>156</v>
      </c>
      <c r="F211" s="218">
        <v>46104</v>
      </c>
      <c r="G211" s="10">
        <v>0</v>
      </c>
      <c r="H211" s="10">
        <v>0.30402247977359381</v>
      </c>
      <c r="I211" s="10">
        <v>0.233589265452812</v>
      </c>
      <c r="J211" s="10">
        <v>0.3255837336412456</v>
      </c>
      <c r="K211" s="10">
        <v>0.64308524131774869</v>
      </c>
      <c r="L211" s="10">
        <v>0.73265768051147462</v>
      </c>
      <c r="M211" s="10">
        <v>3.6565374451086839E-2</v>
      </c>
      <c r="N211" s="10">
        <v>7.4836271676924557</v>
      </c>
      <c r="O211" s="47">
        <v>25341.133333333331</v>
      </c>
      <c r="P211" s="47">
        <v>887.16666666666663</v>
      </c>
      <c r="Q211" s="5">
        <v>33.700000000000003</v>
      </c>
      <c r="R211" s="5">
        <v>56.5</v>
      </c>
      <c r="S211" s="170">
        <v>0.44471683475562451</v>
      </c>
      <c r="T211" s="170">
        <v>0.74530643910007766</v>
      </c>
      <c r="U211" s="3">
        <f>(Table1[[#This Row],[In-Tok]]+Table1[[#This Row],[Out-Tok]])*Table1[[#This Row],[RPS]]</f>
        <v>26000</v>
      </c>
      <c r="V211" s="3">
        <f>Table1[[#This Row],[In-Tok]]+$V$2*Table1[[#This Row],[Out-Tok]]</f>
        <v>5100</v>
      </c>
      <c r="W211" s="3">
        <f>Table1[[#This Row],[In-Tok]]*Table1[[#This Row],[RPS]]</f>
        <v>25000</v>
      </c>
      <c r="X211" s="3">
        <f>Table1[[#This Row],[Out-Tok]]*Table1[[#This Row],[RPS]]</f>
        <v>1000</v>
      </c>
      <c r="Y211" s="75">
        <f>Table1[[#This Row],[In-Tok]]/Table1[[#This Row],[Out-Tok]]</f>
        <v>25</v>
      </c>
      <c r="Z211" s="26">
        <f>Table1[[#This Row],[In-Tok]]*Table1[[#This Row],[N]]+AvgOutLoad*Table1[[#This Row],[Out-Tok]]*Table1[[#This Row],[Ndecode]]</f>
        <v>171361.28169374005</v>
      </c>
      <c r="AA211" s="3">
        <f>Table1[[#This Row],[tok(N)]]/Table1[[#This Row],[Kvcache]]</f>
        <v>385326.72546094295</v>
      </c>
      <c r="AB211" s="3">
        <f>Table1[[#This Row],[tok/req]]*Table1[[#This Row],[Run]]</f>
        <v>171870</v>
      </c>
      <c r="AC211" s="3">
        <f>Table1[[#This Row],[tok(Run)]]/Table1[[#This Row],[Kvcache]]</f>
        <v>386470.64056939504</v>
      </c>
      <c r="AD211" s="3">
        <f>Table1[[#This Row],[tok/req]]*Table1[[#This Row],[MaxRun]]</f>
        <v>288150</v>
      </c>
      <c r="AE211" s="3">
        <f>Table1[[#This Row],[tok(MaxRun)]]/Table1[[#This Row],[MaxKvcache]]</f>
        <v>386619.49620068696</v>
      </c>
      <c r="AF211" s="75">
        <f>Table1[[#This Row],[PPS]]*Table1[[#This Row],[Prefill]]/Table1[[#This Row],[In-Tok]]</f>
        <v>1.1838833442150205</v>
      </c>
      <c r="AG211" s="5">
        <f>Table1[[#This Row],[GPS]]*Table1[[#This Row],[ITL]]</f>
        <v>32.439581367189206</v>
      </c>
      <c r="AH211" s="5">
        <f>Table1[[#This Row],[Nprefill]]+Table1[[#This Row],[Ndecode]]</f>
        <v>33.623464711404225</v>
      </c>
      <c r="AI211" s="4">
        <f>Table1[[#This Row],[Run]]/Table1[[#This Row],[ITL]]/Table1[[#This Row],[GPS]]</f>
        <v>1.0388543433573911</v>
      </c>
      <c r="AJ211" s="10">
        <f>Table1[[#This Row],[Prefill]]+Table1[[#This Row],[ITL]]</f>
        <v>0.27015463990389882</v>
      </c>
      <c r="AK211" s="4">
        <f>Table1[[#This Row],[TTFT]]/Table1[[#This Row],[estTTFT]]</f>
        <v>1.1253646425682071</v>
      </c>
      <c r="AL211" s="5">
        <f>Table1[[#This Row],[In-Tok]]*Table1[[#This Row],[RPS]]/Table1[[#This Row],[PPS]]</f>
        <v>0.98653835529586953</v>
      </c>
      <c r="AM211" s="4">
        <f>Table1[[#This Row],[Prefill]]/Table1[[#This Row],[estPrefill]]</f>
        <v>0.23677666884300408</v>
      </c>
      <c r="AN211" s="4">
        <f>Table1[[#This Row],[Prefill]]/Table1[[#This Row],[TTFT]]</f>
        <v>0.76832892629112959</v>
      </c>
      <c r="AO211" s="10">
        <f>Table1[[#This Row],[Run]]/(Table1[[#This Row],[Out-Tok]]*Table1[[#This Row],[RPS]])</f>
        <v>3.3700000000000001E-2</v>
      </c>
      <c r="AP211" s="4">
        <f>Table1[[#This Row],[ITL]]/Table1[[#This Row],[estITL]]</f>
        <v>1.085025948103467</v>
      </c>
      <c r="AQ211" s="44">
        <f>Table1[[#This Row],[E2E]]-Table1[[#This Row],[TTFT]]+Table1[[#This Row],[ITL]]</f>
        <v>7.2161700623699483</v>
      </c>
      <c r="AR211" s="4">
        <f>Table1[[#This Row],[estDecode]]/Table1[[#This Row],[Run]]</f>
        <v>0.21412967544124473</v>
      </c>
      <c r="AS211" s="44">
        <f>Table1[[#This Row],[Prefill]]+Table1[[#This Row],[Out-Tok]]*Table1[[#This Row],[ITL]]</f>
        <v>7.5466641556701797</v>
      </c>
      <c r="AT211" s="5">
        <f>Table1[[#This Row],[estPrefill]]+Table1[[#This Row],[Out-Tok]]*Table1[[#This Row],[ITL]]</f>
        <v>8.2996132455132372</v>
      </c>
      <c r="AU211" s="4">
        <f>Table1[[#This Row],[E2E]]/Table1[[#This Row],[estE2E]]</f>
        <v>0.90168384312824423</v>
      </c>
      <c r="AV211" s="5">
        <f>Table1[[#This Row],[N]]/Table1[[#This Row],[estE2E]]</f>
        <v>4.0512086186161795</v>
      </c>
      <c r="AW211" s="5">
        <f>Table1[[#This Row],[PPS]]/Table1[[#This Row],[In-Tok]]</f>
        <v>5.068226666666666</v>
      </c>
      <c r="AX211" s="4">
        <f>Table1[[#This Row],[RPS]]/Table1[[#This Row],[RPS(IL)]]</f>
        <v>0.98653835529586953</v>
      </c>
      <c r="AY211" s="5">
        <f>Table1[[#This Row],[GPS]]/Table1[[#This Row],[Out-Tok]]</f>
        <v>4.4358333333333331</v>
      </c>
      <c r="AZ211" s="89">
        <f>Table1[[#This Row],[RPS]]/Table1[[#This Row],[RPS(OL)]]</f>
        <v>1.1271839188427579</v>
      </c>
      <c r="BA211" s="135">
        <f>MaxTok/Table1[[#This Row],[tok/req]]</f>
        <v>76.061227841677507</v>
      </c>
      <c r="BB211" s="4">
        <f>Table1[[#This Row],[N]]/Table1[[#This Row],[N-max]]</f>
        <v>0.44205787449805478</v>
      </c>
      <c r="BC211" s="44">
        <f>Table1[[#This Row],[RPS]]</f>
        <v>5</v>
      </c>
      <c r="BD211" s="47">
        <f>Table1[[#This Row],[PPS]]/Table1[[#This Row],[RPS success]]</f>
        <v>5068.2266666666665</v>
      </c>
      <c r="BE211" s="4">
        <f>ABS(Table1[[#This Row],[est-In-Tok3]]-Table1[[#This Row],[In-Tok]])/Table1[[#This Row],[In-Tok]]</f>
        <v>1.3645333333333292E-2</v>
      </c>
      <c r="BF211" s="47">
        <f>Table1[[#This Row],[GPS]]/Table1[[#This Row],[RPS success]]</f>
        <v>177.43333333333334</v>
      </c>
      <c r="BG211" s="4">
        <f>ABS(Table1[[#This Row],[est-Out-Tok3]]-Table1[[#This Row],[Out-Tok]])/Table1[[#This Row],[Out-Tok]]</f>
        <v>0.11283333333333331</v>
      </c>
      <c r="BH211" s="162">
        <f>Table1[[#This Row],[est-In-Tok3]]+AvgOutLoad*Table1[[#This Row],[est-Out-Tok3]]</f>
        <v>5156.9433333333327</v>
      </c>
      <c r="BI211" s="4">
        <f>ABS(Table1[[#This Row],[est-Tok/Req3]]-Table1[[#This Row],[tok/req]])/Table1[[#This Row],[tok/req]]</f>
        <v>1.1165359477124059E-2</v>
      </c>
      <c r="BJ211" s="162">
        <f>MaxTok/Table1[[#This Row],[est-Tok/Req3]]</f>
        <v>75.22135437967232</v>
      </c>
      <c r="BK211" s="4">
        <f>ABS(Table1[[#This Row],[est-N-max3]]-Table1[[#This Row],[N-max]])/Table1[[#This Row],[N-max]]</f>
        <v>1.1042070787410836E-2</v>
      </c>
      <c r="BL211" s="44">
        <f>MaxTok*Table1[[#This Row],[Kvcache]]/Table1[[#This Row],[Run]]</f>
        <v>5119.0241340125731</v>
      </c>
      <c r="BM211" s="170">
        <f>ABS(Table1[[#This Row],[est-Tok/Req]]-Table1[[#This Row],[tok/req]])/Table1[[#This Row],[tok/req]]</f>
        <v>3.7302223554064873E-3</v>
      </c>
      <c r="BN211" s="44">
        <f>MaxTok/Table1[[#This Row],[est-Tok/Req]]</f>
        <v>75.778556974391194</v>
      </c>
      <c r="BO211" s="180">
        <f>Table1[[#This Row],[Run]]/Table1[[#This Row],[Kvcache]]</f>
        <v>75.778556974391194</v>
      </c>
      <c r="BP211" s="4" cm="1">
        <f t="array" aca="1" ref="BP211" ca="1">_xlfn.CEILING.MATH(INDIRECT("Table1"&amp;BP$3)/BP$2)*BP$2</f>
        <v>6000</v>
      </c>
      <c r="BQ211" s="4" cm="1">
        <f t="array" aca="1" ref="BQ211" ca="1">_xlfn.CEILING.MATH(INDIRECT("Table1"&amp;BQ$3)/BQ$2)*BQ$2</f>
        <v>0.04</v>
      </c>
      <c r="BR211" s="4" cm="1">
        <f t="array" aca="1" ref="BR211" ca="1">_xlfn.CEILING.MATH(INDIRECT("Table1"&amp;BR$3)/BR$2)*BR$2</f>
        <v>0.5</v>
      </c>
      <c r="BS211" s="4" cm="1">
        <f t="array" aca="1" ref="BS211" ca="1">_xlfn.CEILING.MATH(INDIRECT("Table1"&amp;BS$3)/BS$2)*BS$2</f>
        <v>0.45</v>
      </c>
      <c r="BT211" s="3" cm="1">
        <f t="array" aca="1" ref="BT211" ca="1">_xlfn.CEILING.MATH(INDIRECT("Table1"&amp;BT$3)/BT$2)*BT$2</f>
        <v>34</v>
      </c>
      <c r="BU211" s="135" cm="1">
        <f t="array" aca="1" ref="BU211" ca="1">_xlfn.CEILING.MATH(INDIRECT("Table1"&amp;BU$3)/BU$2)*BU$2</f>
        <v>25</v>
      </c>
      <c r="BV211" s="135" cm="1">
        <f t="array" aca="1" ref="BV211" ca="1">_xlfn.CEILING.MATH(INDIRECT("Table1"&amp;BV$3)/BV$2)*BV$2</f>
        <v>5000</v>
      </c>
      <c r="BW211" s="4"/>
      <c r="BX211" s="4"/>
      <c r="BY211" s="217"/>
      <c r="BZ211" s="4"/>
      <c r="CA211" s="3"/>
      <c r="CF211" s="5"/>
      <c r="CH211" s="8"/>
      <c r="CI211" s="8"/>
      <c r="CJ211" s="14"/>
      <c r="CK211" s="8"/>
      <c r="CL211" s="8"/>
      <c r="CM211" s="8"/>
      <c r="CN211" s="8"/>
      <c r="CO211" s="8"/>
      <c r="CP211" s="8"/>
      <c r="CQ211" s="8">
        <f>Table1[[#This Row],[In-Tok]]+AvgOutLoad*Table1[[#This Row],[Out-Tok]]</f>
        <v>5100</v>
      </c>
      <c r="CR211" s="8"/>
      <c r="CS211" s="8"/>
      <c r="CT211" s="8"/>
      <c r="CU211" s="8"/>
      <c r="CV211" s="8"/>
      <c r="CW211" s="8"/>
      <c r="CX211" s="8"/>
      <c r="CY211" s="8"/>
    </row>
    <row r="212" spans="1:103" hidden="1" x14ac:dyDescent="0.25">
      <c r="A212" s="26">
        <v>5000</v>
      </c>
      <c r="B212" s="3">
        <v>200</v>
      </c>
      <c r="C212" s="123">
        <v>5.2</v>
      </c>
      <c r="D212" s="216">
        <f>Table1[[#This Row],[Kvcache]]</f>
        <v>0.60624127230411173</v>
      </c>
      <c r="E212" s="170" t="s">
        <v>156</v>
      </c>
      <c r="F212" s="218">
        <v>46104</v>
      </c>
      <c r="G212" s="10">
        <v>0</v>
      </c>
      <c r="H212" s="10">
        <v>0.46296748587874703</v>
      </c>
      <c r="I212" s="10">
        <v>0.33392263269015754</v>
      </c>
      <c r="J212" s="10">
        <v>0.48565413989893425</v>
      </c>
      <c r="K212" s="10">
        <v>1.1779205560684196</v>
      </c>
      <c r="L212" s="10">
        <v>1.5340393543243409</v>
      </c>
      <c r="M212" s="10">
        <v>4.6968770324398397E-2</v>
      </c>
      <c r="N212" s="10">
        <v>9.9332828785946461</v>
      </c>
      <c r="O212" s="47">
        <v>26348.711111111108</v>
      </c>
      <c r="P212" s="47">
        <v>945.08888888888885</v>
      </c>
      <c r="Q212" s="5">
        <v>45.95</v>
      </c>
      <c r="R212" s="5">
        <v>70</v>
      </c>
      <c r="S212" s="170">
        <v>0.60624127230411173</v>
      </c>
      <c r="T212" s="170">
        <v>0.9289371605896044</v>
      </c>
      <c r="U212" s="3">
        <f>(Table1[[#This Row],[In-Tok]]+Table1[[#This Row],[Out-Tok]])*Table1[[#This Row],[RPS]]</f>
        <v>27040</v>
      </c>
      <c r="V212" s="3">
        <f>Table1[[#This Row],[In-Tok]]+$V$2*Table1[[#This Row],[Out-Tok]]</f>
        <v>5100</v>
      </c>
      <c r="W212" s="3">
        <f>Table1[[#This Row],[In-Tok]]*Table1[[#This Row],[RPS]]</f>
        <v>26000</v>
      </c>
      <c r="X212" s="3">
        <f>Table1[[#This Row],[Out-Tok]]*Table1[[#This Row],[RPS]]</f>
        <v>1040</v>
      </c>
      <c r="Y212" s="75">
        <f>Table1[[#This Row],[In-Tok]]/Table1[[#This Row],[Out-Tok]]</f>
        <v>25</v>
      </c>
      <c r="Z212" s="26">
        <f>Table1[[#This Row],[In-Tok]]*Table1[[#This Row],[N]]+AvgOutLoad*Table1[[#This Row],[Out-Tok]]*Table1[[#This Row],[Ndecode]]</f>
        <v>235185.71206986645</v>
      </c>
      <c r="AA212" s="3">
        <f>Table1[[#This Row],[tok(N)]]/Table1[[#This Row],[Kvcache]]</f>
        <v>387940.78003961616</v>
      </c>
      <c r="AB212" s="3">
        <f>Table1[[#This Row],[tok/req]]*Table1[[#This Row],[Run]]</f>
        <v>234345</v>
      </c>
      <c r="AC212" s="3">
        <f>Table1[[#This Row],[tok(Run)]]/Table1[[#This Row],[Kvcache]]</f>
        <v>386554.01851697813</v>
      </c>
      <c r="AD212" s="3">
        <f>Table1[[#This Row],[tok/req]]*Table1[[#This Row],[MaxRun]]</f>
        <v>357000</v>
      </c>
      <c r="AE212" s="3">
        <f>Table1[[#This Row],[tok(MaxRun)]]/Table1[[#This Row],[MaxKvcache]]</f>
        <v>384310.17203941871</v>
      </c>
      <c r="AF212" s="75">
        <f>Table1[[#This Row],[PPS]]*Table1[[#This Row],[Prefill]]/Table1[[#This Row],[In-Tok]]</f>
        <v>1.7596861964429256</v>
      </c>
      <c r="AG212" s="5">
        <f>Table1[[#This Row],[GPS]]*Table1[[#This Row],[ITL]]</f>
        <v>44.389662958363097</v>
      </c>
      <c r="AH212" s="5">
        <f>Table1[[#This Row],[Nprefill]]+Table1[[#This Row],[Ndecode]]</f>
        <v>46.149349154806025</v>
      </c>
      <c r="AI212" s="4">
        <f>Table1[[#This Row],[Run]]/Table1[[#This Row],[ITL]]/Table1[[#This Row],[GPS]]</f>
        <v>1.0351509098661209</v>
      </c>
      <c r="AJ212" s="10">
        <f>Table1[[#This Row],[Prefill]]+Table1[[#This Row],[ITL]]</f>
        <v>0.38089140301455593</v>
      </c>
      <c r="AK212" s="4">
        <f>Table1[[#This Row],[TTFT]]/Table1[[#This Row],[estTTFT]]</f>
        <v>1.2154842094481575</v>
      </c>
      <c r="AL212" s="5">
        <f>Table1[[#This Row],[In-Tok]]*Table1[[#This Row],[RPS]]/Table1[[#This Row],[PPS]]</f>
        <v>0.98676553438835735</v>
      </c>
      <c r="AM212" s="4">
        <f>Table1[[#This Row],[Prefill]]/Table1[[#This Row],[estPrefill]]</f>
        <v>0.33840119162363952</v>
      </c>
      <c r="AN212" s="4">
        <f>Table1[[#This Row],[Prefill]]/Table1[[#This Row],[TTFT]]</f>
        <v>0.72126584020548945</v>
      </c>
      <c r="AO212" s="10">
        <f>Table1[[#This Row],[Run]]/(Table1[[#This Row],[Out-Tok]]*Table1[[#This Row],[RPS]])</f>
        <v>4.4182692307692312E-2</v>
      </c>
      <c r="AP212" s="4">
        <f>Table1[[#This Row],[ITL]]/Table1[[#This Row],[estITL]]</f>
        <v>1.0630581313900833</v>
      </c>
      <c r="AQ212" s="44">
        <f>Table1[[#This Row],[E2E]]-Table1[[#This Row],[TTFT]]+Table1[[#This Row],[ITL]]</f>
        <v>9.517284163040296</v>
      </c>
      <c r="AR212" s="4">
        <f>Table1[[#This Row],[estDecode]]/Table1[[#This Row],[Run]]</f>
        <v>0.20712261508248739</v>
      </c>
      <c r="AS212" s="44">
        <f>Table1[[#This Row],[Prefill]]+Table1[[#This Row],[Out-Tok]]*Table1[[#This Row],[ITL]]</f>
        <v>9.7276766975698372</v>
      </c>
      <c r="AT212" s="5">
        <f>Table1[[#This Row],[estPrefill]]+Table1[[#This Row],[Out-Tok]]*Table1[[#This Row],[ITL]]</f>
        <v>10.380519599268037</v>
      </c>
      <c r="AU212" s="4">
        <f>Table1[[#This Row],[E2E]]/Table1[[#This Row],[estE2E]]</f>
        <v>0.95691576742411555</v>
      </c>
      <c r="AV212" s="5">
        <f>Table1[[#This Row],[N]]/Table1[[#This Row],[estE2E]]</f>
        <v>4.4457648495803772</v>
      </c>
      <c r="AW212" s="5">
        <f>Table1[[#This Row],[PPS]]/Table1[[#This Row],[In-Tok]]</f>
        <v>5.2697422222222219</v>
      </c>
      <c r="AX212" s="4">
        <f>Table1[[#This Row],[RPS]]/Table1[[#This Row],[RPS(IL)]]</f>
        <v>0.98676553438835723</v>
      </c>
      <c r="AY212" s="5">
        <f>Table1[[#This Row],[GPS]]/Table1[[#This Row],[Out-Tok]]</f>
        <v>4.7254444444444443</v>
      </c>
      <c r="AZ212" s="89">
        <f>Table1[[#This Row],[RPS]]/Table1[[#This Row],[RPS(OL)]]</f>
        <v>1.1004255919490231</v>
      </c>
      <c r="BA212" s="135">
        <f>MaxTok/Table1[[#This Row],[tok/req]]</f>
        <v>76.061227841677507</v>
      </c>
      <c r="BB212" s="4">
        <f>Table1[[#This Row],[N]]/Table1[[#This Row],[N-max]]</f>
        <v>0.60673947113852189</v>
      </c>
      <c r="BC212" s="44">
        <f>Table1[[#This Row],[RPS]]</f>
        <v>5.2</v>
      </c>
      <c r="BD212" s="47">
        <f>Table1[[#This Row],[PPS]]/Table1[[#This Row],[RPS success]]</f>
        <v>5067.0598290598282</v>
      </c>
      <c r="BE212" s="4">
        <f>ABS(Table1[[#This Row],[est-In-Tok3]]-Table1[[#This Row],[In-Tok]])/Table1[[#This Row],[In-Tok]]</f>
        <v>1.3411965811965638E-2</v>
      </c>
      <c r="BF212" s="47">
        <f>Table1[[#This Row],[GPS]]/Table1[[#This Row],[RPS success]]</f>
        <v>181.74786324786322</v>
      </c>
      <c r="BG212" s="4">
        <f>ABS(Table1[[#This Row],[est-Out-Tok3]]-Table1[[#This Row],[Out-Tok]])/Table1[[#This Row],[Out-Tok]]</f>
        <v>9.1260683760683886E-2</v>
      </c>
      <c r="BH212" s="162">
        <f>Table1[[#This Row],[est-In-Tok3]]+AvgOutLoad*Table1[[#This Row],[est-Out-Tok3]]</f>
        <v>5157.9337606837598</v>
      </c>
      <c r="BI212" s="4">
        <f>ABS(Table1[[#This Row],[est-Tok/Req3]]-Table1[[#This Row],[tok/req]])/Table1[[#This Row],[tok/req]]</f>
        <v>1.135956091838428E-2</v>
      </c>
      <c r="BJ212" s="162">
        <f>MaxTok/Table1[[#This Row],[est-Tok/Req3]]</f>
        <v>75.206910361937616</v>
      </c>
      <c r="BK212" s="4">
        <f>ABS(Table1[[#This Row],[est-N-max3]]-Table1[[#This Row],[N-max]])/Table1[[#This Row],[N-max]]</f>
        <v>1.1231970663399808E-2</v>
      </c>
      <c r="BL212" s="44">
        <f>MaxTok*Table1[[#This Row],[Kvcache]]/Table1[[#This Row],[Run]]</f>
        <v>5117.9199837373799</v>
      </c>
      <c r="BM212" s="170">
        <f>ABS(Table1[[#This Row],[est-Tok/Req]]-Table1[[#This Row],[tok/req]])/Table1[[#This Row],[tok/req]]</f>
        <v>3.5137223014470352E-3</v>
      </c>
      <c r="BN212" s="44">
        <f>MaxTok/Table1[[#This Row],[est-Tok/Req]]</f>
        <v>75.794905591564358</v>
      </c>
      <c r="BO212" s="180">
        <f>Table1[[#This Row],[Run]]/Table1[[#This Row],[Kvcache]]</f>
        <v>75.794905591564344</v>
      </c>
      <c r="BP212" s="4" cm="1">
        <f t="array" aca="1" ref="BP212" ca="1">_xlfn.CEILING.MATH(INDIRECT("Table1"&amp;BP$3)/BP$2)*BP$2</f>
        <v>6000</v>
      </c>
      <c r="BQ212" s="4" cm="1">
        <f t="array" aca="1" ref="BQ212" ca="1">_xlfn.CEILING.MATH(INDIRECT("Table1"&amp;BQ$3)/BQ$2)*BQ$2</f>
        <v>0.05</v>
      </c>
      <c r="BR212" s="4" cm="1">
        <f t="array" aca="1" ref="BR212" ca="1">_xlfn.CEILING.MATH(INDIRECT("Table1"&amp;BR$3)/BR$2)*BR$2</f>
        <v>0.70000000000000007</v>
      </c>
      <c r="BS212" s="4" cm="1">
        <f t="array" aca="1" ref="BS212" ca="1">_xlfn.CEILING.MATH(INDIRECT("Table1"&amp;BS$3)/BS$2)*BS$2</f>
        <v>0.61</v>
      </c>
      <c r="BT212" s="3" cm="1">
        <f t="array" aca="1" ref="BT212" ca="1">_xlfn.CEILING.MATH(INDIRECT("Table1"&amp;BT$3)/BT$2)*BT$2</f>
        <v>46</v>
      </c>
      <c r="BU212" s="135" cm="1">
        <f t="array" aca="1" ref="BU212" ca="1">_xlfn.CEILING.MATH(INDIRECT("Table1"&amp;BU$3)/BU$2)*BU$2</f>
        <v>25</v>
      </c>
      <c r="BV212" s="135" cm="1">
        <f t="array" aca="1" ref="BV212" ca="1">_xlfn.CEILING.MATH(INDIRECT("Table1"&amp;BV$3)/BV$2)*BV$2</f>
        <v>5000</v>
      </c>
      <c r="BW212" s="4"/>
      <c r="BX212" s="4"/>
      <c r="BY212" s="217"/>
      <c r="BZ212" s="4"/>
      <c r="CA212" s="3"/>
      <c r="CF212" s="5"/>
      <c r="CH212" s="8"/>
      <c r="CI212" s="8"/>
      <c r="CJ212" s="14"/>
      <c r="CK212" s="8"/>
      <c r="CL212" s="8"/>
      <c r="CM212" s="8"/>
      <c r="CN212" s="8"/>
      <c r="CO212" s="8"/>
      <c r="CP212" s="8"/>
      <c r="CQ212" s="8">
        <f>Table1[[#This Row],[In-Tok]]+AvgOutLoad*Table1[[#This Row],[Out-Tok]]</f>
        <v>5100</v>
      </c>
      <c r="CR212" s="8"/>
      <c r="CS212" s="8"/>
      <c r="CT212" s="8"/>
      <c r="CU212" s="8"/>
      <c r="CV212" s="8"/>
      <c r="CW212" s="8"/>
      <c r="CX212" s="8"/>
      <c r="CY212" s="8"/>
    </row>
    <row r="213" spans="1:103" hidden="1" x14ac:dyDescent="0.25">
      <c r="A213" s="26">
        <v>5000</v>
      </c>
      <c r="B213" s="3">
        <v>200</v>
      </c>
      <c r="C213" s="123">
        <v>5.4</v>
      </c>
      <c r="D213" s="216">
        <f>Table1[[#This Row],[Kvcache]]</f>
        <v>0.61581070597362297</v>
      </c>
      <c r="E213" s="170" t="s">
        <v>156</v>
      </c>
      <c r="F213" s="218">
        <v>46104</v>
      </c>
      <c r="G213" s="10">
        <v>0</v>
      </c>
      <c r="H213" s="10">
        <v>0.42499768955843065</v>
      </c>
      <c r="I213" s="10">
        <v>0.27550645379253225</v>
      </c>
      <c r="J213" s="10">
        <v>0.44875082983785985</v>
      </c>
      <c r="K213" s="10">
        <v>0.97234777808189399</v>
      </c>
      <c r="L213" s="10">
        <v>1.161385941505432</v>
      </c>
      <c r="M213" s="10">
        <v>4.943304710785449E-2</v>
      </c>
      <c r="N213" s="10">
        <v>10.204803114084182</v>
      </c>
      <c r="O213" s="47">
        <v>26410.005555555555</v>
      </c>
      <c r="P213" s="47">
        <v>935.66666666666663</v>
      </c>
      <c r="Q213" s="5">
        <v>46.7</v>
      </c>
      <c r="R213" s="5">
        <v>70.5</v>
      </c>
      <c r="S213" s="170">
        <v>0.61581070597362297</v>
      </c>
      <c r="T213" s="170">
        <v>0.92835531419705197</v>
      </c>
      <c r="U213" s="3">
        <f>(Table1[[#This Row],[In-Tok]]+Table1[[#This Row],[Out-Tok]])*Table1[[#This Row],[RPS]]</f>
        <v>28080.000000000004</v>
      </c>
      <c r="V213" s="3">
        <f>Table1[[#This Row],[In-Tok]]+$V$2*Table1[[#This Row],[Out-Tok]]</f>
        <v>5100</v>
      </c>
      <c r="W213" s="3">
        <f>Table1[[#This Row],[In-Tok]]*Table1[[#This Row],[RPS]]</f>
        <v>27000</v>
      </c>
      <c r="X213" s="3">
        <f>Table1[[#This Row],[Out-Tok]]*Table1[[#This Row],[RPS]]</f>
        <v>1080</v>
      </c>
      <c r="Y213" s="75">
        <f>Table1[[#This Row],[In-Tok]]/Table1[[#This Row],[Out-Tok]]</f>
        <v>25</v>
      </c>
      <c r="Z213" s="26">
        <f>Table1[[#This Row],[In-Tok]]*Table1[[#This Row],[N]]+AvgOutLoad*Table1[[#This Row],[Out-Tok]]*Table1[[#This Row],[Ndecode]]</f>
        <v>243165.68446922299</v>
      </c>
      <c r="AA213" s="3">
        <f>Table1[[#This Row],[tok(N)]]/Table1[[#This Row],[Kvcache]]</f>
        <v>394870.82980275195</v>
      </c>
      <c r="AB213" s="3">
        <f>Table1[[#This Row],[tok/req]]*Table1[[#This Row],[Run]]</f>
        <v>238170</v>
      </c>
      <c r="AC213" s="3">
        <f>Table1[[#This Row],[tok(Run)]]/Table1[[#This Row],[Kvcache]]</f>
        <v>386758.45952278969</v>
      </c>
      <c r="AD213" s="3">
        <f>Table1[[#This Row],[tok/req]]*Table1[[#This Row],[MaxRun]]</f>
        <v>359550</v>
      </c>
      <c r="AE213" s="3">
        <f>Table1[[#This Row],[tok(MaxRun)]]/Table1[[#This Row],[MaxKvcache]]</f>
        <v>387297.8314461204</v>
      </c>
      <c r="AF213" s="75">
        <f>Table1[[#This Row],[PPS]]*Table1[[#This Row],[Prefill]]/Table1[[#This Row],[In-Tok]]</f>
        <v>1.4552253950504372</v>
      </c>
      <c r="AG213" s="5">
        <f>Table1[[#This Row],[GPS]]*Table1[[#This Row],[ITL]]</f>
        <v>46.252854410582515</v>
      </c>
      <c r="AH213" s="5">
        <f>Table1[[#This Row],[Nprefill]]+Table1[[#This Row],[Ndecode]]</f>
        <v>47.708079805632948</v>
      </c>
      <c r="AI213" s="4">
        <f>Table1[[#This Row],[Run]]/Table1[[#This Row],[ITL]]/Table1[[#This Row],[GPS]]</f>
        <v>1.009667416100382</v>
      </c>
      <c r="AJ213" s="10">
        <f>Table1[[#This Row],[Prefill]]+Table1[[#This Row],[ITL]]</f>
        <v>0.32493950090038676</v>
      </c>
      <c r="AK213" s="4">
        <f>Table1[[#This Row],[TTFT]]/Table1[[#This Row],[estTTFT]]</f>
        <v>1.3079286709704083</v>
      </c>
      <c r="AL213" s="5">
        <f>Table1[[#This Row],[In-Tok]]*Table1[[#This Row],[RPS]]/Table1[[#This Row],[PPS]]</f>
        <v>1.02233980766128</v>
      </c>
      <c r="AM213" s="4">
        <f>Table1[[#This Row],[Prefill]]/Table1[[#This Row],[estPrefill]]</f>
        <v>0.26948618426859949</v>
      </c>
      <c r="AN213" s="4">
        <f>Table1[[#This Row],[Prefill]]/Table1[[#This Row],[TTFT]]</f>
        <v>0.64825400363654062</v>
      </c>
      <c r="AO213" s="10">
        <f>Table1[[#This Row],[Run]]/(Table1[[#This Row],[Out-Tok]]*Table1[[#This Row],[RPS]])</f>
        <v>4.3240740740740746E-2</v>
      </c>
      <c r="AP213" s="4">
        <f>Table1[[#This Row],[ITL]]/Table1[[#This Row],[estITL]]</f>
        <v>1.1432053720874271</v>
      </c>
      <c r="AQ213" s="44">
        <f>Table1[[#This Row],[E2E]]-Table1[[#This Row],[TTFT]]+Table1[[#This Row],[ITL]]</f>
        <v>9.8292384716336052</v>
      </c>
      <c r="AR213" s="4">
        <f>Table1[[#This Row],[estDecode]]/Table1[[#This Row],[Run]]</f>
        <v>0.21047619853605148</v>
      </c>
      <c r="AS213" s="44">
        <f>Table1[[#This Row],[Prefill]]+Table1[[#This Row],[Out-Tok]]*Table1[[#This Row],[ITL]]</f>
        <v>10.16211587536343</v>
      </c>
      <c r="AT213" s="5">
        <f>Table1[[#This Row],[estPrefill]]+Table1[[#This Row],[Out-Tok]]*Table1[[#This Row],[ITL]]</f>
        <v>10.908949229232178</v>
      </c>
      <c r="AU213" s="4">
        <f>Table1[[#This Row],[E2E]]/Table1[[#This Row],[estE2E]]</f>
        <v>0.93545243447818693</v>
      </c>
      <c r="AV213" s="5">
        <f>Table1[[#This Row],[N]]/Table1[[#This Row],[estE2E]]</f>
        <v>4.3732974462647549</v>
      </c>
      <c r="AW213" s="5">
        <f>Table1[[#This Row],[PPS]]/Table1[[#This Row],[In-Tok]]</f>
        <v>5.2820011111111107</v>
      </c>
      <c r="AX213" s="4">
        <f>Table1[[#This Row],[RPS]]/Table1[[#This Row],[RPS(IL)]]</f>
        <v>1.02233980766128</v>
      </c>
      <c r="AY213" s="5">
        <f>Table1[[#This Row],[GPS]]/Table1[[#This Row],[Out-Tok]]</f>
        <v>4.6783333333333328</v>
      </c>
      <c r="AZ213" s="89">
        <f>Table1[[#This Row],[RPS]]/Table1[[#This Row],[RPS(OL)]]</f>
        <v>1.1542572141075884</v>
      </c>
      <c r="BA213" s="135">
        <f>MaxTok/Table1[[#This Row],[tok/req]]</f>
        <v>76.061227841677507</v>
      </c>
      <c r="BB213" s="4">
        <f>Table1[[#This Row],[N]]/Table1[[#This Row],[N-max]]</f>
        <v>0.62723257511616792</v>
      </c>
      <c r="BC213" s="44">
        <f>Table1[[#This Row],[RPS]]</f>
        <v>5.4</v>
      </c>
      <c r="BD213" s="47">
        <f>Table1[[#This Row],[PPS]]/Table1[[#This Row],[RPS success]]</f>
        <v>4890.741769547325</v>
      </c>
      <c r="BE213" s="4">
        <f>ABS(Table1[[#This Row],[est-In-Tok3]]-Table1[[#This Row],[In-Tok]])/Table1[[#This Row],[In-Tok]]</f>
        <v>2.1851646090534995E-2</v>
      </c>
      <c r="BF213" s="47">
        <f>Table1[[#This Row],[GPS]]/Table1[[#This Row],[RPS success]]</f>
        <v>173.27160493827159</v>
      </c>
      <c r="BG213" s="4">
        <f>ABS(Table1[[#This Row],[est-Out-Tok3]]-Table1[[#This Row],[Out-Tok]])/Table1[[#This Row],[Out-Tok]]</f>
        <v>0.13364197530864202</v>
      </c>
      <c r="BH213" s="162">
        <f>Table1[[#This Row],[est-In-Tok3]]+AvgOutLoad*Table1[[#This Row],[est-Out-Tok3]]</f>
        <v>4977.3775720164613</v>
      </c>
      <c r="BI213" s="4">
        <f>ABS(Table1[[#This Row],[est-Tok/Req3]]-Table1[[#This Row],[tok/req]])/Table1[[#This Row],[tok/req]]</f>
        <v>2.4043613330105632E-2</v>
      </c>
      <c r="BJ213" s="162">
        <f>MaxTok/Table1[[#This Row],[est-Tok/Req3]]</f>
        <v>77.935068493387817</v>
      </c>
      <c r="BK213" s="4">
        <f>ABS(Table1[[#This Row],[est-N-max3]]-Table1[[#This Row],[N-max]])/Table1[[#This Row],[N-max]]</f>
        <v>2.4635950600360217E-2</v>
      </c>
      <c r="BL213" s="44">
        <f>MaxTok*Table1[[#This Row],[Kvcache]]/Table1[[#This Row],[Run]]</f>
        <v>5115.2146448278472</v>
      </c>
      <c r="BM213" s="170">
        <f>ABS(Table1[[#This Row],[est-Tok/Req]]-Table1[[#This Row],[tok/req]])/Table1[[#This Row],[tok/req]]</f>
        <v>2.9832636917347497E-3</v>
      </c>
      <c r="BN213" s="44">
        <f>MaxTok/Table1[[#This Row],[est-Tok/Req]]</f>
        <v>75.834992063292091</v>
      </c>
      <c r="BO213" s="180">
        <f>Table1[[#This Row],[Run]]/Table1[[#This Row],[Kvcache]]</f>
        <v>75.834992063292106</v>
      </c>
      <c r="BP213" s="4" cm="1">
        <f t="array" aca="1" ref="BP213" ca="1">_xlfn.CEILING.MATH(INDIRECT("Table1"&amp;BP$3)/BP$2)*BP$2</f>
        <v>6000</v>
      </c>
      <c r="BQ213" s="4" cm="1">
        <f t="array" aca="1" ref="BQ213" ca="1">_xlfn.CEILING.MATH(INDIRECT("Table1"&amp;BQ$3)/BQ$2)*BQ$2</f>
        <v>0.05</v>
      </c>
      <c r="BR213" s="4" cm="1">
        <f t="array" aca="1" ref="BR213" ca="1">_xlfn.CEILING.MATH(INDIRECT("Table1"&amp;BR$3)/BR$2)*BR$2</f>
        <v>0.70000000000000007</v>
      </c>
      <c r="BS213" s="4" cm="1">
        <f t="array" aca="1" ref="BS213" ca="1">_xlfn.CEILING.MATH(INDIRECT("Table1"&amp;BS$3)/BS$2)*BS$2</f>
        <v>0.62</v>
      </c>
      <c r="BT213" s="3" cm="1">
        <f t="array" aca="1" ref="BT213" ca="1">_xlfn.CEILING.MATH(INDIRECT("Table1"&amp;BT$3)/BT$2)*BT$2</f>
        <v>47</v>
      </c>
      <c r="BU213" s="135" cm="1">
        <f t="array" aca="1" ref="BU213" ca="1">_xlfn.CEILING.MATH(INDIRECT("Table1"&amp;BU$3)/BU$2)*BU$2</f>
        <v>25</v>
      </c>
      <c r="BV213" s="135" cm="1">
        <f t="array" aca="1" ref="BV213" ca="1">_xlfn.CEILING.MATH(INDIRECT("Table1"&amp;BV$3)/BV$2)*BV$2</f>
        <v>5000</v>
      </c>
      <c r="BW213" s="4"/>
      <c r="BX213" s="4"/>
      <c r="BY213" s="217"/>
      <c r="BZ213" s="4"/>
      <c r="CA213" s="3"/>
      <c r="CF213" s="5"/>
      <c r="CH213" s="8"/>
      <c r="CI213" s="8"/>
      <c r="CJ213" s="14"/>
      <c r="CK213" s="8"/>
      <c r="CL213" s="8"/>
      <c r="CM213" s="8"/>
      <c r="CN213" s="8"/>
      <c r="CO213" s="8"/>
      <c r="CP213" s="8"/>
      <c r="CQ213" s="8">
        <f>Table1[[#This Row],[In-Tok]]+AvgOutLoad*Table1[[#This Row],[Out-Tok]]</f>
        <v>5100</v>
      </c>
      <c r="CR213" s="8"/>
      <c r="CS213" s="8"/>
      <c r="CT213" s="8"/>
      <c r="CU213" s="8"/>
      <c r="CV213" s="8"/>
      <c r="CW213" s="8"/>
      <c r="CX213" s="8"/>
      <c r="CY213" s="8"/>
    </row>
    <row r="214" spans="1:103" hidden="1" x14ac:dyDescent="0.25">
      <c r="A214" s="26">
        <v>5000</v>
      </c>
      <c r="B214" s="3">
        <v>200</v>
      </c>
      <c r="C214" s="123">
        <v>5.6</v>
      </c>
      <c r="D214" s="216">
        <f>Table1[[#This Row],[Kvcache]]</f>
        <v>0.57991078355314196</v>
      </c>
      <c r="E214" s="170" t="s">
        <v>156</v>
      </c>
      <c r="F214" s="218">
        <v>46104</v>
      </c>
      <c r="G214" s="10">
        <v>0</v>
      </c>
      <c r="H214" s="10">
        <v>0.67078863442520575</v>
      </c>
      <c r="I214" s="10">
        <v>0.27738673965273308</v>
      </c>
      <c r="J214" s="10">
        <v>0.75452343058059945</v>
      </c>
      <c r="K214" s="10">
        <v>2.659781920909881</v>
      </c>
      <c r="L214" s="10">
        <v>3.4462504005432129</v>
      </c>
      <c r="M214" s="10">
        <v>4.4880637599709949E-2</v>
      </c>
      <c r="N214" s="10">
        <v>9.1970729238759681</v>
      </c>
      <c r="O214" s="47">
        <v>26227.566666666669</v>
      </c>
      <c r="P214" s="47">
        <v>932.23888888888882</v>
      </c>
      <c r="Q214" s="5">
        <v>43.900000000000006</v>
      </c>
      <c r="R214" s="5">
        <v>74.5</v>
      </c>
      <c r="S214" s="170">
        <v>0.57991078355314196</v>
      </c>
      <c r="T214" s="170">
        <v>0.98382467028704423</v>
      </c>
      <c r="U214" s="3">
        <f>(Table1[[#This Row],[In-Tok]]+Table1[[#This Row],[Out-Tok]])*Table1[[#This Row],[RPS]]</f>
        <v>29119.999999999996</v>
      </c>
      <c r="V214" s="3">
        <f>Table1[[#This Row],[In-Tok]]+$V$2*Table1[[#This Row],[Out-Tok]]</f>
        <v>5100</v>
      </c>
      <c r="W214" s="3">
        <f>Table1[[#This Row],[In-Tok]]*Table1[[#This Row],[RPS]]</f>
        <v>28000</v>
      </c>
      <c r="X214" s="3">
        <f>Table1[[#This Row],[Out-Tok]]*Table1[[#This Row],[RPS]]</f>
        <v>1120</v>
      </c>
      <c r="Y214" s="75">
        <f>Table1[[#This Row],[In-Tok]]/Table1[[#This Row],[Out-Tok]]</f>
        <v>25</v>
      </c>
      <c r="Z214" s="26">
        <f>Table1[[#This Row],[In-Tok]]*Table1[[#This Row],[N]]+AvgOutLoad*Table1[[#This Row],[Out-Tok]]*Table1[[#This Row],[Ndecode]]</f>
        <v>220656.50542244167</v>
      </c>
      <c r="AA214" s="3">
        <f>Table1[[#This Row],[tok(N)]]/Table1[[#This Row],[Kvcache]]</f>
        <v>380500.77991388325</v>
      </c>
      <c r="AB214" s="3">
        <f>Table1[[#This Row],[tok/req]]*Table1[[#This Row],[Run]]</f>
        <v>223890.00000000003</v>
      </c>
      <c r="AC214" s="3">
        <f>Table1[[#This Row],[tok(Run)]]/Table1[[#This Row],[Kvcache]]</f>
        <v>386076.6282499783</v>
      </c>
      <c r="AD214" s="3">
        <f>Table1[[#This Row],[tok/req]]*Table1[[#This Row],[MaxRun]]</f>
        <v>379950</v>
      </c>
      <c r="AE214" s="3">
        <f>Table1[[#This Row],[tok(MaxRun)]]/Table1[[#This Row],[MaxKvcache]]</f>
        <v>386196.86157000356</v>
      </c>
      <c r="AF214" s="75">
        <f>Table1[[#This Row],[PPS]]*Table1[[#This Row],[Prefill]]/Table1[[#This Row],[In-Tok]]</f>
        <v>1.4550358413382736</v>
      </c>
      <c r="AG214" s="5">
        <f>Table1[[#This Row],[GPS]]*Table1[[#This Row],[ITL]]</f>
        <v>41.839475728578492</v>
      </c>
      <c r="AH214" s="5">
        <f>Table1[[#This Row],[Nprefill]]+Table1[[#This Row],[Ndecode]]</f>
        <v>43.294511569916764</v>
      </c>
      <c r="AI214" s="4">
        <f>Table1[[#This Row],[Run]]/Table1[[#This Row],[ITL]]/Table1[[#This Row],[GPS]]</f>
        <v>1.0492483291327208</v>
      </c>
      <c r="AJ214" s="10">
        <f>Table1[[#This Row],[Prefill]]+Table1[[#This Row],[ITL]]</f>
        <v>0.32226737725244303</v>
      </c>
      <c r="AK214" s="4">
        <f>Table1[[#This Row],[TTFT]]/Table1[[#This Row],[estTTFT]]</f>
        <v>2.0814661420096336</v>
      </c>
      <c r="AL214" s="5">
        <f>Table1[[#This Row],[In-Tok]]*Table1[[#This Row],[RPS]]/Table1[[#This Row],[PPS]]</f>
        <v>1.0675790230889382</v>
      </c>
      <c r="AM214" s="4">
        <f>Table1[[#This Row],[Prefill]]/Table1[[#This Row],[estPrefill]]</f>
        <v>0.259827828810406</v>
      </c>
      <c r="AN214" s="4">
        <f>Table1[[#This Row],[Prefill]]/Table1[[#This Row],[TTFT]]</f>
        <v>0.41352331482244614</v>
      </c>
      <c r="AO214" s="10">
        <f>Table1[[#This Row],[Run]]/(Table1[[#This Row],[Out-Tok]]*Table1[[#This Row],[RPS]])</f>
        <v>3.9196428571428577E-2</v>
      </c>
      <c r="AP214" s="4">
        <f>Table1[[#This Row],[ITL]]/Table1[[#This Row],[estITL]]</f>
        <v>1.1450185446850829</v>
      </c>
      <c r="AQ214" s="44">
        <f>Table1[[#This Row],[E2E]]-Table1[[#This Row],[TTFT]]+Table1[[#This Row],[ITL]]</f>
        <v>8.5711649270504715</v>
      </c>
      <c r="AR214" s="4">
        <f>Table1[[#This Row],[estDecode]]/Table1[[#This Row],[Run]]</f>
        <v>0.19524293683486266</v>
      </c>
      <c r="AS214" s="44">
        <f>Table1[[#This Row],[Prefill]]+Table1[[#This Row],[Out-Tok]]*Table1[[#This Row],[ITL]]</f>
        <v>9.2535142595947235</v>
      </c>
      <c r="AT214" s="5">
        <f>Table1[[#This Row],[estPrefill]]+Table1[[#This Row],[Out-Tok]]*Table1[[#This Row],[ITL]]</f>
        <v>10.043706543030929</v>
      </c>
      <c r="AU214" s="4">
        <f>Table1[[#This Row],[E2E]]/Table1[[#This Row],[estE2E]]</f>
        <v>0.91570506211748903</v>
      </c>
      <c r="AV214" s="5">
        <f>Table1[[#This Row],[N]]/Table1[[#This Row],[estE2E]]</f>
        <v>4.3106109666214527</v>
      </c>
      <c r="AW214" s="5">
        <f>Table1[[#This Row],[PPS]]/Table1[[#This Row],[In-Tok]]</f>
        <v>5.2455133333333341</v>
      </c>
      <c r="AX214" s="4">
        <f>Table1[[#This Row],[RPS]]/Table1[[#This Row],[RPS(IL)]]</f>
        <v>1.0675790230889379</v>
      </c>
      <c r="AY214" s="5">
        <f>Table1[[#This Row],[GPS]]/Table1[[#This Row],[Out-Tok]]</f>
        <v>4.661194444444444</v>
      </c>
      <c r="AZ214" s="89">
        <f>Table1[[#This Row],[RPS]]/Table1[[#This Row],[RPS(OL)]]</f>
        <v>1.2014087948368026</v>
      </c>
      <c r="BA214" s="135">
        <f>MaxTok/Table1[[#This Row],[tok/req]]</f>
        <v>76.061227841677507</v>
      </c>
      <c r="BB214" s="4">
        <f>Table1[[#This Row],[N]]/Table1[[#This Row],[N-max]]</f>
        <v>0.56920605673149116</v>
      </c>
      <c r="BC214" s="44">
        <f>Table1[[#This Row],[RPS]]</f>
        <v>5.6</v>
      </c>
      <c r="BD214" s="47">
        <f>Table1[[#This Row],[PPS]]/Table1[[#This Row],[RPS success]]</f>
        <v>4683.4940476190486</v>
      </c>
      <c r="BE214" s="4">
        <f>ABS(Table1[[#This Row],[est-In-Tok3]]-Table1[[#This Row],[In-Tok]])/Table1[[#This Row],[In-Tok]]</f>
        <v>6.3301190476190275E-2</v>
      </c>
      <c r="BF214" s="47">
        <f>Table1[[#This Row],[GPS]]/Table1[[#This Row],[RPS success]]</f>
        <v>166.47123015873015</v>
      </c>
      <c r="BG214" s="4">
        <f>ABS(Table1[[#This Row],[est-Out-Tok3]]-Table1[[#This Row],[Out-Tok]])/Table1[[#This Row],[Out-Tok]]</f>
        <v>0.16764384920634925</v>
      </c>
      <c r="BH214" s="162">
        <f>Table1[[#This Row],[est-In-Tok3]]+AvgOutLoad*Table1[[#This Row],[est-Out-Tok3]]</f>
        <v>4766.7296626984134</v>
      </c>
      <c r="BI214" s="4">
        <f>ABS(Table1[[#This Row],[est-Tok/Req3]]-Table1[[#This Row],[tok/req]])/Table1[[#This Row],[tok/req]]</f>
        <v>6.5347124961095404E-2</v>
      </c>
      <c r="BJ214" s="162">
        <f>MaxTok/Table1[[#This Row],[est-Tok/Req3]]</f>
        <v>81.379119321182728</v>
      </c>
      <c r="BK214" s="4">
        <f>ABS(Table1[[#This Row],[est-N-max3]]-Table1[[#This Row],[N-max]])/Table1[[#This Row],[N-max]]</f>
        <v>6.9915929973869015E-2</v>
      </c>
      <c r="BL214" s="44">
        <f>MaxTok*Table1[[#This Row],[Kvcache]]/Table1[[#This Row],[Run]]</f>
        <v>5124.2483781770934</v>
      </c>
      <c r="BM214" s="170">
        <f>ABS(Table1[[#This Row],[est-Tok/Req]]-Table1[[#This Row],[tok/req]])/Table1[[#This Row],[tok/req]]</f>
        <v>4.7545839562928233E-3</v>
      </c>
      <c r="BN214" s="44">
        <f>MaxTok/Table1[[#This Row],[est-Tok/Req]]</f>
        <v>75.701299656858495</v>
      </c>
      <c r="BO214" s="180">
        <f>Table1[[#This Row],[Run]]/Table1[[#This Row],[Kvcache]]</f>
        <v>75.701299656858495</v>
      </c>
      <c r="BP214" s="4" cm="1">
        <f t="array" aca="1" ref="BP214" ca="1">_xlfn.CEILING.MATH(INDIRECT("Table1"&amp;BP$3)/BP$2)*BP$2</f>
        <v>6000</v>
      </c>
      <c r="BQ214" s="4" cm="1">
        <f t="array" aca="1" ref="BQ214" ca="1">_xlfn.CEILING.MATH(INDIRECT("Table1"&amp;BQ$3)/BQ$2)*BQ$2</f>
        <v>4.4999999999999998E-2</v>
      </c>
      <c r="BR214" s="4" cm="1">
        <f t="array" aca="1" ref="BR214" ca="1">_xlfn.CEILING.MATH(INDIRECT("Table1"&amp;BR$3)/BR$2)*BR$2</f>
        <v>0.60000000000000009</v>
      </c>
      <c r="BS214" s="4" cm="1">
        <f t="array" aca="1" ref="BS214" ca="1">_xlfn.CEILING.MATH(INDIRECT("Table1"&amp;BS$3)/BS$2)*BS$2</f>
        <v>0.57999999999999996</v>
      </c>
      <c r="BT214" s="3" cm="1">
        <f t="array" aca="1" ref="BT214" ca="1">_xlfn.CEILING.MATH(INDIRECT("Table1"&amp;BT$3)/BT$2)*BT$2</f>
        <v>44</v>
      </c>
      <c r="BU214" s="135" cm="1">
        <f t="array" aca="1" ref="BU214" ca="1">_xlfn.CEILING.MATH(INDIRECT("Table1"&amp;BU$3)/BU$2)*BU$2</f>
        <v>25</v>
      </c>
      <c r="BV214" s="135" cm="1">
        <f t="array" aca="1" ref="BV214" ca="1">_xlfn.CEILING.MATH(INDIRECT("Table1"&amp;BV$3)/BV$2)*BV$2</f>
        <v>5000</v>
      </c>
      <c r="BW214" s="4"/>
      <c r="BX214" s="4"/>
      <c r="BY214" s="217"/>
      <c r="BZ214" s="4"/>
      <c r="CA214" s="3"/>
      <c r="CF214" s="5"/>
      <c r="CH214" s="8"/>
      <c r="CI214" s="8"/>
      <c r="CJ214" s="14"/>
      <c r="CK214" s="8"/>
      <c r="CL214" s="8"/>
      <c r="CM214" s="8"/>
      <c r="CN214" s="8"/>
      <c r="CO214" s="8"/>
      <c r="CP214" s="8"/>
      <c r="CQ214" s="8">
        <f>Table1[[#This Row],[In-Tok]]+AvgOutLoad*Table1[[#This Row],[Out-Tok]]</f>
        <v>5100</v>
      </c>
      <c r="CR214" s="8"/>
      <c r="CS214" s="8"/>
      <c r="CT214" s="8"/>
      <c r="CU214" s="8"/>
      <c r="CV214" s="8"/>
      <c r="CW214" s="8"/>
      <c r="CX214" s="8"/>
      <c r="CY214" s="8"/>
    </row>
    <row r="215" spans="1:103" hidden="1" x14ac:dyDescent="0.25">
      <c r="A215" s="26">
        <v>5000</v>
      </c>
      <c r="B215" s="3">
        <v>200</v>
      </c>
      <c r="C215" s="123">
        <v>5.8</v>
      </c>
      <c r="D215" s="216">
        <f>Table1[[#This Row],[Kvcache]]</f>
        <v>0.78105896043444534</v>
      </c>
      <c r="E215" s="170" t="s">
        <v>156</v>
      </c>
      <c r="F215" s="218">
        <v>46104</v>
      </c>
      <c r="G215" s="10">
        <v>0</v>
      </c>
      <c r="H215" s="10">
        <v>0.88071801715954978</v>
      </c>
      <c r="I215" s="10">
        <v>0.32256835789510263</v>
      </c>
      <c r="J215" s="10">
        <v>0.91359544240563417</v>
      </c>
      <c r="K215" s="10">
        <v>2.3184520602226253</v>
      </c>
      <c r="L215" s="10">
        <v>2.8061714839935301</v>
      </c>
      <c r="M215" s="10">
        <v>6.0949067151273024E-2</v>
      </c>
      <c r="N215" s="10">
        <v>12.904798965257577</v>
      </c>
      <c r="O215" s="47">
        <v>27592.888888888891</v>
      </c>
      <c r="P215" s="47">
        <v>970.82222222222231</v>
      </c>
      <c r="Q215" s="5">
        <v>59.2</v>
      </c>
      <c r="R215" s="5">
        <v>75.5</v>
      </c>
      <c r="S215" s="170">
        <v>0.78105896043444534</v>
      </c>
      <c r="T215" s="170">
        <v>0.99441427463149723</v>
      </c>
      <c r="U215" s="3">
        <f>(Table1[[#This Row],[In-Tok]]+Table1[[#This Row],[Out-Tok]])*Table1[[#This Row],[RPS]]</f>
        <v>30160</v>
      </c>
      <c r="V215" s="3">
        <f>Table1[[#This Row],[In-Tok]]+$V$2*Table1[[#This Row],[Out-Tok]]</f>
        <v>5100</v>
      </c>
      <c r="W215" s="3">
        <f>Table1[[#This Row],[In-Tok]]*Table1[[#This Row],[RPS]]</f>
        <v>29000</v>
      </c>
      <c r="X215" s="3">
        <f>Table1[[#This Row],[Out-Tok]]*Table1[[#This Row],[RPS]]</f>
        <v>1160</v>
      </c>
      <c r="Y215" s="75">
        <f>Table1[[#This Row],[In-Tok]]/Table1[[#This Row],[Out-Tok]]</f>
        <v>25</v>
      </c>
      <c r="Z215" s="26">
        <f>Table1[[#This Row],[In-Tok]]*Table1[[#This Row],[N]]+AvgOutLoad*Table1[[#This Row],[Out-Tok]]*Table1[[#This Row],[Ndecode]]</f>
        <v>310671.20781073958</v>
      </c>
      <c r="AA215" s="3">
        <f>Table1[[#This Row],[tok(N)]]/Table1[[#This Row],[Kvcache]]</f>
        <v>397756.40962871251</v>
      </c>
      <c r="AB215" s="3">
        <f>Table1[[#This Row],[tok/req]]*Table1[[#This Row],[Run]]</f>
        <v>301920</v>
      </c>
      <c r="AC215" s="3">
        <f>Table1[[#This Row],[tok(Run)]]/Table1[[#This Row],[Kvcache]]</f>
        <v>386552.12383974728</v>
      </c>
      <c r="AD215" s="3">
        <f>Table1[[#This Row],[tok/req]]*Table1[[#This Row],[MaxRun]]</f>
        <v>385050</v>
      </c>
      <c r="AE215" s="3">
        <f>Table1[[#This Row],[tok(MaxRun)]]/Table1[[#This Row],[MaxKvcache]]</f>
        <v>387212.86472148541</v>
      </c>
      <c r="AF215" s="75">
        <f>Table1[[#This Row],[PPS]]*Table1[[#This Row],[Prefill]]/Table1[[#This Row],[In-Tok]]</f>
        <v>1.7801185716941825</v>
      </c>
      <c r="AG215" s="5">
        <f>Table1[[#This Row],[GPS]]*Table1[[#This Row],[ITL]]</f>
        <v>59.170708814170332</v>
      </c>
      <c r="AH215" s="5">
        <f>Table1[[#This Row],[Nprefill]]+Table1[[#This Row],[Ndecode]]</f>
        <v>60.950827385864514</v>
      </c>
      <c r="AI215" s="4">
        <f>Table1[[#This Row],[Run]]/Table1[[#This Row],[ITL]]/Table1[[#This Row],[GPS]]</f>
        <v>1.0004950284763643</v>
      </c>
      <c r="AJ215" s="10">
        <f>Table1[[#This Row],[Prefill]]+Table1[[#This Row],[ITL]]</f>
        <v>0.38351742504637565</v>
      </c>
      <c r="AK215" s="4">
        <f>Table1[[#This Row],[TTFT]]/Table1[[#This Row],[estTTFT]]</f>
        <v>2.2964224299666482</v>
      </c>
      <c r="AL215" s="5">
        <f>Table1[[#This Row],[In-Tok]]*Table1[[#This Row],[RPS]]/Table1[[#This Row],[PPS]]</f>
        <v>1.0509954255524772</v>
      </c>
      <c r="AM215" s="4">
        <f>Table1[[#This Row],[Prefill]]/Table1[[#This Row],[estPrefill]]</f>
        <v>0.30691699511968668</v>
      </c>
      <c r="AN215" s="4">
        <f>Table1[[#This Row],[Prefill]]/Table1[[#This Row],[TTFT]]</f>
        <v>0.36625611331926067</v>
      </c>
      <c r="AO215" s="10">
        <f>Table1[[#This Row],[Run]]/(Table1[[#This Row],[Out-Tok]]*Table1[[#This Row],[RPS]])</f>
        <v>5.1034482758620693E-2</v>
      </c>
      <c r="AP215" s="4">
        <f>Table1[[#This Row],[ITL]]/Table1[[#This Row],[estITL]]</f>
        <v>1.1942722617479173</v>
      </c>
      <c r="AQ215" s="44">
        <f>Table1[[#This Row],[E2E]]-Table1[[#This Row],[TTFT]]+Table1[[#This Row],[ITL]]</f>
        <v>12.0850300152493</v>
      </c>
      <c r="AR215" s="4">
        <f>Table1[[#This Row],[estDecode]]/Table1[[#This Row],[Run]]</f>
        <v>0.20413902052785979</v>
      </c>
      <c r="AS215" s="44">
        <f>Table1[[#This Row],[Prefill]]+Table1[[#This Row],[Out-Tok]]*Table1[[#This Row],[ITL]]</f>
        <v>12.512381788149707</v>
      </c>
      <c r="AT215" s="5">
        <f>Table1[[#This Row],[estPrefill]]+Table1[[#This Row],[Out-Tok]]*Table1[[#This Row],[ITL]]</f>
        <v>13.240808855807082</v>
      </c>
      <c r="AU215" s="4">
        <f>Table1[[#This Row],[E2E]]/Table1[[#This Row],[estE2E]]</f>
        <v>0.97462315979267844</v>
      </c>
      <c r="AV215" s="5">
        <f>Table1[[#This Row],[N]]/Table1[[#This Row],[estE2E]]</f>
        <v>4.6032555903209067</v>
      </c>
      <c r="AW215" s="5">
        <f>Table1[[#This Row],[PPS]]/Table1[[#This Row],[In-Tok]]</f>
        <v>5.5185777777777778</v>
      </c>
      <c r="AX215" s="4">
        <f>Table1[[#This Row],[RPS]]/Table1[[#This Row],[RPS(IL)]]</f>
        <v>1.0509954255524772</v>
      </c>
      <c r="AY215" s="5">
        <f>Table1[[#This Row],[GPS]]/Table1[[#This Row],[Out-Tok]]</f>
        <v>4.8541111111111119</v>
      </c>
      <c r="AZ215" s="89">
        <f>Table1[[#This Row],[RPS]]/Table1[[#This Row],[RPS(OL)]]</f>
        <v>1.1948634605260144</v>
      </c>
      <c r="BA215" s="135">
        <f>MaxTok/Table1[[#This Row],[tok/req]]</f>
        <v>76.061227841677507</v>
      </c>
      <c r="BB215" s="4">
        <f>Table1[[#This Row],[N]]/Table1[[#This Row],[N-max]]</f>
        <v>0.80133898854136965</v>
      </c>
      <c r="BC215" s="44">
        <f>Table1[[#This Row],[RPS]]</f>
        <v>5.8</v>
      </c>
      <c r="BD215" s="47">
        <f>Table1[[#This Row],[PPS]]/Table1[[#This Row],[RPS success]]</f>
        <v>4757.3946360153259</v>
      </c>
      <c r="BE215" s="4">
        <f>ABS(Table1[[#This Row],[est-In-Tok3]]-Table1[[#This Row],[In-Tok]])/Table1[[#This Row],[In-Tok]]</f>
        <v>4.8521072796934822E-2</v>
      </c>
      <c r="BF215" s="47">
        <f>Table1[[#This Row],[GPS]]/Table1[[#This Row],[RPS success]]</f>
        <v>167.38314176245214</v>
      </c>
      <c r="BG215" s="4">
        <f>ABS(Table1[[#This Row],[est-Out-Tok3]]-Table1[[#This Row],[Out-Tok]])/Table1[[#This Row],[Out-Tok]]</f>
        <v>0.16308429118773929</v>
      </c>
      <c r="BH215" s="162">
        <f>Table1[[#This Row],[est-In-Tok3]]+AvgOutLoad*Table1[[#This Row],[est-Out-Tok3]]</f>
        <v>4841.0862068965516</v>
      </c>
      <c r="BI215" s="4">
        <f>ABS(Table1[[#This Row],[est-Tok/Req3]]-Table1[[#This Row],[tok/req]])/Table1[[#This Row],[tok/req]]</f>
        <v>5.0767410412440858E-2</v>
      </c>
      <c r="BJ215" s="162">
        <f>MaxTok/Table1[[#This Row],[est-Tok/Req3]]</f>
        <v>80.129178745038715</v>
      </c>
      <c r="BK215" s="4">
        <f>ABS(Table1[[#This Row],[est-N-max3]]-Table1[[#This Row],[N-max]])/Table1[[#This Row],[N-max]]</f>
        <v>5.3482582634988535E-2</v>
      </c>
      <c r="BL215" s="44">
        <f>MaxTok*Table1[[#This Row],[Kvcache]]/Table1[[#This Row],[Run]]</f>
        <v>5117.9450691162065</v>
      </c>
      <c r="BM215" s="170">
        <f>ABS(Table1[[#This Row],[est-Tok/Req]]-Table1[[#This Row],[tok/req]])/Table1[[#This Row],[tok/req]]</f>
        <v>3.5186410031777388E-3</v>
      </c>
      <c r="BN215" s="44">
        <f>MaxTok/Table1[[#This Row],[est-Tok/Req]]</f>
        <v>75.794534086224957</v>
      </c>
      <c r="BO215" s="180">
        <f>Table1[[#This Row],[Run]]/Table1[[#This Row],[Kvcache]]</f>
        <v>75.794534086224971</v>
      </c>
      <c r="BP215" s="4" cm="1">
        <f t="array" aca="1" ref="BP215" ca="1">_xlfn.CEILING.MATH(INDIRECT("Table1"&amp;BP$3)/BP$2)*BP$2</f>
        <v>6000</v>
      </c>
      <c r="BQ215" s="4" cm="1">
        <f t="array" aca="1" ref="BQ215" ca="1">_xlfn.CEILING.MATH(INDIRECT("Table1"&amp;BQ$3)/BQ$2)*BQ$2</f>
        <v>6.5000000000000002E-2</v>
      </c>
      <c r="BR215" s="4" cm="1">
        <f t="array" aca="1" ref="BR215" ca="1">_xlfn.CEILING.MATH(INDIRECT("Table1"&amp;BR$3)/BR$2)*BR$2</f>
        <v>0.8</v>
      </c>
      <c r="BS215" s="4" cm="1">
        <f t="array" aca="1" ref="BS215" ca="1">_xlfn.CEILING.MATH(INDIRECT("Table1"&amp;BS$3)/BS$2)*BS$2</f>
        <v>0.79</v>
      </c>
      <c r="BT215" s="3" cm="1">
        <f t="array" aca="1" ref="BT215" ca="1">_xlfn.CEILING.MATH(INDIRECT("Table1"&amp;BT$3)/BT$2)*BT$2</f>
        <v>60</v>
      </c>
      <c r="BU215" s="135" cm="1">
        <f t="array" aca="1" ref="BU215" ca="1">_xlfn.CEILING.MATH(INDIRECT("Table1"&amp;BU$3)/BU$2)*BU$2</f>
        <v>25</v>
      </c>
      <c r="BV215" s="135" cm="1">
        <f t="array" aca="1" ref="BV215" ca="1">_xlfn.CEILING.MATH(INDIRECT("Table1"&amp;BV$3)/BV$2)*BV$2</f>
        <v>5000</v>
      </c>
      <c r="BW215" s="4"/>
      <c r="BX215" s="4"/>
      <c r="BY215" s="217"/>
      <c r="BZ215" s="4"/>
      <c r="CA215" s="3"/>
      <c r="CF215" s="5"/>
      <c r="CH215" s="8"/>
      <c r="CI215" s="8"/>
      <c r="CJ215" s="14"/>
      <c r="CK215" s="8"/>
      <c r="CL215" s="8"/>
      <c r="CM215" s="8"/>
      <c r="CN215" s="8"/>
      <c r="CO215" s="8"/>
      <c r="CP215" s="8"/>
      <c r="CQ215" s="8">
        <f>Table1[[#This Row],[In-Tok]]+AvgOutLoad*Table1[[#This Row],[Out-Tok]]</f>
        <v>5100</v>
      </c>
      <c r="CR215" s="8"/>
      <c r="CS215" s="8"/>
      <c r="CT215" s="8"/>
      <c r="CU215" s="8"/>
      <c r="CV215" s="8"/>
      <c r="CW215" s="8"/>
      <c r="CX215" s="8"/>
      <c r="CY215" s="8"/>
    </row>
    <row r="216" spans="1:103" hidden="1" x14ac:dyDescent="0.25">
      <c r="A216" s="26">
        <v>5000</v>
      </c>
      <c r="B216" s="3">
        <v>200</v>
      </c>
      <c r="C216" s="123">
        <v>6</v>
      </c>
      <c r="D216" s="216">
        <f>Table1[[#This Row],[Kvcache]]</f>
        <v>0.78250581846392542</v>
      </c>
      <c r="E216" s="170" t="s">
        <v>156</v>
      </c>
      <c r="F216" s="218">
        <v>46104</v>
      </c>
      <c r="G216" s="10">
        <v>0</v>
      </c>
      <c r="H216" s="10">
        <v>1.1517556077274866</v>
      </c>
      <c r="I216" s="10">
        <v>0.31669270171251629</v>
      </c>
      <c r="J216" s="10">
        <v>1.1567808913351114</v>
      </c>
      <c r="K216" s="10">
        <v>2.8659533262252808</v>
      </c>
      <c r="L216" s="10">
        <v>3.2619171977043155</v>
      </c>
      <c r="M216" s="10">
        <v>6.0201198214723778E-2</v>
      </c>
      <c r="N216" s="10">
        <v>12.965158138776456</v>
      </c>
      <c r="O216" s="47">
        <v>27471.505555555559</v>
      </c>
      <c r="P216" s="47">
        <v>957.72222222222217</v>
      </c>
      <c r="Q216" s="5">
        <v>59.3</v>
      </c>
      <c r="R216" s="5">
        <v>76</v>
      </c>
      <c r="S216" s="170">
        <v>0.78250581846392542</v>
      </c>
      <c r="T216" s="170">
        <v>0.99941815360744757</v>
      </c>
      <c r="U216" s="3">
        <f>(Table1[[#This Row],[In-Tok]]+Table1[[#This Row],[Out-Tok]])*Table1[[#This Row],[RPS]]</f>
        <v>31200</v>
      </c>
      <c r="V216" s="3">
        <f>Table1[[#This Row],[In-Tok]]+$V$2*Table1[[#This Row],[Out-Tok]]</f>
        <v>5100</v>
      </c>
      <c r="W216" s="3">
        <f>Table1[[#This Row],[In-Tok]]*Table1[[#This Row],[RPS]]</f>
        <v>30000</v>
      </c>
      <c r="X216" s="3">
        <f>Table1[[#This Row],[Out-Tok]]*Table1[[#This Row],[RPS]]</f>
        <v>1200</v>
      </c>
      <c r="Y216" s="75">
        <f>Table1[[#This Row],[In-Tok]]/Table1[[#This Row],[Out-Tok]]</f>
        <v>25</v>
      </c>
      <c r="Z216" s="26">
        <f>Table1[[#This Row],[In-Tok]]*Table1[[#This Row],[N]]+AvgOutLoad*Table1[[#This Row],[Out-Tok]]*Table1[[#This Row],[Ndecode]]</f>
        <v>302745.75452119252</v>
      </c>
      <c r="AA216" s="3">
        <f>Table1[[#This Row],[tok(N)]]/Table1[[#This Row],[Kvcache]]</f>
        <v>386892.65610253031</v>
      </c>
      <c r="AB216" s="3">
        <f>Table1[[#This Row],[tok/req]]*Table1[[#This Row],[Run]]</f>
        <v>302430</v>
      </c>
      <c r="AC216" s="3">
        <f>Table1[[#This Row],[tok(Run)]]/Table1[[#This Row],[Kvcache]]</f>
        <v>386489.13894809899</v>
      </c>
      <c r="AD216" s="3">
        <f>Table1[[#This Row],[tok/req]]*Table1[[#This Row],[MaxRun]]</f>
        <v>387600</v>
      </c>
      <c r="AE216" s="3">
        <f>Table1[[#This Row],[tok(MaxRun)]]/Table1[[#This Row],[MaxKvcache]]</f>
        <v>387825.65495827678</v>
      </c>
      <c r="AF216" s="75">
        <f>Table1[[#This Row],[PPS]]*Table1[[#This Row],[Prefill]]/Table1[[#This Row],[In-Tok]]</f>
        <v>1.7400050628998582</v>
      </c>
      <c r="AG216" s="5">
        <f>Table1[[#This Row],[GPS]]*Table1[[#This Row],[ITL]]</f>
        <v>57.656025334645733</v>
      </c>
      <c r="AH216" s="5">
        <f>Table1[[#This Row],[Nprefill]]+Table1[[#This Row],[Ndecode]]</f>
        <v>59.396030397545594</v>
      </c>
      <c r="AI216" s="4">
        <f>Table1[[#This Row],[Run]]/Table1[[#This Row],[ITL]]/Table1[[#This Row],[GPS]]</f>
        <v>1.0285134928363922</v>
      </c>
      <c r="AJ216" s="10">
        <f>Table1[[#This Row],[Prefill]]+Table1[[#This Row],[ITL]]</f>
        <v>0.37689389992724009</v>
      </c>
      <c r="AK216" s="4">
        <f>Table1[[#This Row],[TTFT]]/Table1[[#This Row],[estTTFT]]</f>
        <v>3.0559146962841126</v>
      </c>
      <c r="AL216" s="5">
        <f>Table1[[#This Row],[In-Tok]]*Table1[[#This Row],[RPS]]/Table1[[#This Row],[PPS]]</f>
        <v>1.0920406214843621</v>
      </c>
      <c r="AM216" s="4">
        <f>Table1[[#This Row],[Prefill]]/Table1[[#This Row],[estPrefill]]</f>
        <v>0.29000084381664304</v>
      </c>
      <c r="AN216" s="4">
        <f>Table1[[#This Row],[Prefill]]/Table1[[#This Row],[TTFT]]</f>
        <v>0.27496519191026852</v>
      </c>
      <c r="AO216" s="10">
        <f>Table1[[#This Row],[Run]]/(Table1[[#This Row],[Out-Tok]]*Table1[[#This Row],[RPS]])</f>
        <v>4.9416666666666664E-2</v>
      </c>
      <c r="AP216" s="4">
        <f>Table1[[#This Row],[ITL]]/Table1[[#This Row],[estITL]]</f>
        <v>1.2182367260989635</v>
      </c>
      <c r="AQ216" s="44">
        <f>Table1[[#This Row],[E2E]]-Table1[[#This Row],[TTFT]]+Table1[[#This Row],[ITL]]</f>
        <v>11.873603729263692</v>
      </c>
      <c r="AR216" s="4">
        <f>Table1[[#This Row],[estDecode]]/Table1[[#This Row],[Run]]</f>
        <v>0.20022940521523933</v>
      </c>
      <c r="AS216" s="44">
        <f>Table1[[#This Row],[Prefill]]+Table1[[#This Row],[Out-Tok]]*Table1[[#This Row],[ITL]]</f>
        <v>12.35693234465727</v>
      </c>
      <c r="AT216" s="5">
        <f>Table1[[#This Row],[estPrefill]]+Table1[[#This Row],[Out-Tok]]*Table1[[#This Row],[ITL]]</f>
        <v>13.132280264429117</v>
      </c>
      <c r="AU216" s="4">
        <f>Table1[[#This Row],[E2E]]/Table1[[#This Row],[estE2E]]</f>
        <v>0.98727394463965734</v>
      </c>
      <c r="AV216" s="5">
        <f>Table1[[#This Row],[N]]/Table1[[#This Row],[estE2E]]</f>
        <v>4.5229030451344574</v>
      </c>
      <c r="AW216" s="5">
        <f>Table1[[#This Row],[PPS]]/Table1[[#This Row],[In-Tok]]</f>
        <v>5.4943011111111115</v>
      </c>
      <c r="AX216" s="4">
        <f>Table1[[#This Row],[RPS]]/Table1[[#This Row],[RPS(IL)]]</f>
        <v>1.0920406214843621</v>
      </c>
      <c r="AY216" s="5">
        <f>Table1[[#This Row],[GPS]]/Table1[[#This Row],[Out-Tok]]</f>
        <v>4.7886111111111109</v>
      </c>
      <c r="AZ216" s="89">
        <f>Table1[[#This Row],[RPS]]/Table1[[#This Row],[RPS(OL)]]</f>
        <v>1.2529729102616161</v>
      </c>
      <c r="BA216" s="135">
        <f>MaxTok/Table1[[#This Row],[tok/req]]</f>
        <v>76.061227841677507</v>
      </c>
      <c r="BB216" s="4">
        <f>Table1[[#This Row],[N]]/Table1[[#This Row],[N-max]]</f>
        <v>0.78089760161615129</v>
      </c>
      <c r="BC216" s="44">
        <f>Table1[[#This Row],[RPS]]</f>
        <v>6</v>
      </c>
      <c r="BD216" s="47">
        <f>Table1[[#This Row],[PPS]]/Table1[[#This Row],[RPS success]]</f>
        <v>4578.5842592592599</v>
      </c>
      <c r="BE216" s="4">
        <f>ABS(Table1[[#This Row],[est-In-Tok3]]-Table1[[#This Row],[In-Tok]])/Table1[[#This Row],[In-Tok]]</f>
        <v>8.4283148148148024E-2</v>
      </c>
      <c r="BF216" s="47">
        <f>Table1[[#This Row],[GPS]]/Table1[[#This Row],[RPS success]]</f>
        <v>159.62037037037035</v>
      </c>
      <c r="BG216" s="4">
        <f>ABS(Table1[[#This Row],[est-Out-Tok3]]-Table1[[#This Row],[Out-Tok]])/Table1[[#This Row],[Out-Tok]]</f>
        <v>0.20189814814814824</v>
      </c>
      <c r="BH216" s="162">
        <f>Table1[[#This Row],[est-In-Tok3]]+AvgOutLoad*Table1[[#This Row],[est-Out-Tok3]]</f>
        <v>4658.3944444444451</v>
      </c>
      <c r="BI216" s="4">
        <f>ABS(Table1[[#This Row],[est-Tok/Req3]]-Table1[[#This Row],[tok/req]])/Table1[[#This Row],[tok/req]]</f>
        <v>8.6589324618736266E-2</v>
      </c>
      <c r="BJ216" s="162">
        <f>MaxTok/Table1[[#This Row],[est-Tok/Req3]]</f>
        <v>83.27166508091122</v>
      </c>
      <c r="BK216" s="4">
        <f>ABS(Table1[[#This Row],[est-N-max3]]-Table1[[#This Row],[N-max]])/Table1[[#This Row],[N-max]]</f>
        <v>9.4797802294782005E-2</v>
      </c>
      <c r="BL216" s="44">
        <f>MaxTok*Table1[[#This Row],[Kvcache]]/Table1[[#This Row],[Run]]</f>
        <v>5118.779124159817</v>
      </c>
      <c r="BM216" s="170">
        <f>ABS(Table1[[#This Row],[est-Tok/Req]]-Table1[[#This Row],[tok/req]])/Table1[[#This Row],[tok/req]]</f>
        <v>3.6821812078072554E-3</v>
      </c>
      <c r="BN216" s="44">
        <f>MaxTok/Table1[[#This Row],[est-Tok/Req]]</f>
        <v>75.782184107470385</v>
      </c>
      <c r="BO216" s="180">
        <f>Table1[[#This Row],[Run]]/Table1[[#This Row],[Kvcache]]</f>
        <v>75.782184107470385</v>
      </c>
      <c r="BP216" s="4" cm="1">
        <f t="array" aca="1" ref="BP216" ca="1">_xlfn.CEILING.MATH(INDIRECT("Table1"&amp;BP$3)/BP$2)*BP$2</f>
        <v>6000</v>
      </c>
      <c r="BQ216" s="4" cm="1">
        <f t="array" aca="1" ref="BQ216" ca="1">_xlfn.CEILING.MATH(INDIRECT("Table1"&amp;BQ$3)/BQ$2)*BQ$2</f>
        <v>6.5000000000000002E-2</v>
      </c>
      <c r="BR216" s="4" cm="1">
        <f t="array" aca="1" ref="BR216" ca="1">_xlfn.CEILING.MATH(INDIRECT("Table1"&amp;BR$3)/BR$2)*BR$2</f>
        <v>0.8</v>
      </c>
      <c r="BS216" s="4" cm="1">
        <f t="array" aca="1" ref="BS216" ca="1">_xlfn.CEILING.MATH(INDIRECT("Table1"&amp;BS$3)/BS$2)*BS$2</f>
        <v>0.79</v>
      </c>
      <c r="BT216" s="3" cm="1">
        <f t="array" aca="1" ref="BT216" ca="1">_xlfn.CEILING.MATH(INDIRECT("Table1"&amp;BT$3)/BT$2)*BT$2</f>
        <v>60</v>
      </c>
      <c r="BU216" s="135" cm="1">
        <f t="array" aca="1" ref="BU216" ca="1">_xlfn.CEILING.MATH(INDIRECT("Table1"&amp;BU$3)/BU$2)*BU$2</f>
        <v>25</v>
      </c>
      <c r="BV216" s="135" cm="1">
        <f t="array" aca="1" ref="BV216" ca="1">_xlfn.CEILING.MATH(INDIRECT("Table1"&amp;BV$3)/BV$2)*BV$2</f>
        <v>5000</v>
      </c>
      <c r="BW216" s="4"/>
      <c r="BX216" s="4"/>
      <c r="BY216" s="217"/>
      <c r="BZ216" s="4"/>
      <c r="CA216" s="3"/>
      <c r="CF216" s="5"/>
      <c r="CH216" s="8"/>
      <c r="CI216" s="8"/>
      <c r="CJ216" s="14"/>
      <c r="CK216" s="8"/>
      <c r="CL216" s="8"/>
      <c r="CM216" s="8"/>
      <c r="CN216" s="8"/>
      <c r="CO216" s="8"/>
      <c r="CP216" s="8"/>
      <c r="CQ216" s="8">
        <f>Table1[[#This Row],[In-Tok]]+AvgOutLoad*Table1[[#This Row],[Out-Tok]]</f>
        <v>5100</v>
      </c>
      <c r="CR216" s="8"/>
      <c r="CS216" s="8"/>
      <c r="CT216" s="8"/>
      <c r="CU216" s="8"/>
      <c r="CV216" s="8"/>
      <c r="CW216" s="8"/>
      <c r="CX216" s="8"/>
      <c r="CY216" s="8"/>
    </row>
    <row r="217" spans="1:103" hidden="1" x14ac:dyDescent="0.25">
      <c r="A217" s="26">
        <v>5000</v>
      </c>
      <c r="B217" s="3">
        <v>200</v>
      </c>
      <c r="C217" s="123">
        <v>6.2</v>
      </c>
      <c r="D217" s="216">
        <f>Table1[[#This Row],[Kvcache]]</f>
        <v>0.78798716411594616</v>
      </c>
      <c r="E217" s="170" t="s">
        <v>156</v>
      </c>
      <c r="F217" s="218">
        <v>46104</v>
      </c>
      <c r="G217" s="10">
        <v>0</v>
      </c>
      <c r="H217" s="10">
        <v>3.2818187676151434</v>
      </c>
      <c r="I217" s="10">
        <v>0.35329870931130669</v>
      </c>
      <c r="J217" s="10">
        <v>3.4464219516158194</v>
      </c>
      <c r="K217" s="10">
        <v>7.5228621661663055</v>
      </c>
      <c r="L217" s="10">
        <v>8.1567895460128792</v>
      </c>
      <c r="M217" s="10">
        <v>6.2837029255082055E-2</v>
      </c>
      <c r="N217" s="10">
        <v>15.340271757057881</v>
      </c>
      <c r="O217" s="47">
        <v>27003.490555555556</v>
      </c>
      <c r="P217" s="47">
        <v>972.21111111111122</v>
      </c>
      <c r="Q217" s="5">
        <v>59.763636363636365</v>
      </c>
      <c r="R217" s="5">
        <v>76</v>
      </c>
      <c r="S217" s="170">
        <v>0.78798716411594616</v>
      </c>
      <c r="T217" s="170">
        <v>0.99829325058184648</v>
      </c>
      <c r="U217" s="3">
        <f>(Table1[[#This Row],[In-Tok]]+Table1[[#This Row],[Out-Tok]])*Table1[[#This Row],[RPS]]</f>
        <v>32240</v>
      </c>
      <c r="V217" s="3">
        <f>Table1[[#This Row],[In-Tok]]+$V$2*Table1[[#This Row],[Out-Tok]]</f>
        <v>5100</v>
      </c>
      <c r="W217" s="3">
        <f>Table1[[#This Row],[In-Tok]]*Table1[[#This Row],[RPS]]</f>
        <v>31000</v>
      </c>
      <c r="X217" s="3">
        <f>Table1[[#This Row],[Out-Tok]]*Table1[[#This Row],[RPS]]</f>
        <v>1240</v>
      </c>
      <c r="Y217" s="75">
        <f>Table1[[#This Row],[In-Tok]]/Table1[[#This Row],[Out-Tok]]</f>
        <v>25</v>
      </c>
      <c r="Z217" s="26">
        <f>Table1[[#This Row],[In-Tok]]*Table1[[#This Row],[N]]+AvgOutLoad*Table1[[#This Row],[Out-Tok]]*Table1[[#This Row],[Ndecode]]</f>
        <v>321103.67431830196</v>
      </c>
      <c r="AA217" s="3">
        <f>Table1[[#This Row],[tok(N)]]/Table1[[#This Row],[Kvcache]]</f>
        <v>407498.61030864972</v>
      </c>
      <c r="AB217" s="3">
        <f>Table1[[#This Row],[tok/req]]*Table1[[#This Row],[Run]]</f>
        <v>304794.54545454547</v>
      </c>
      <c r="AC217" s="3">
        <f>Table1[[#This Row],[tok(Run)]]/Table1[[#This Row],[Kvcache]]</f>
        <v>386801.40912764583</v>
      </c>
      <c r="AD217" s="3">
        <f>Table1[[#This Row],[tok/req]]*Table1[[#This Row],[MaxRun]]</f>
        <v>387600</v>
      </c>
      <c r="AE217" s="3">
        <f>Table1[[#This Row],[tok(MaxRun)]]/Table1[[#This Row],[MaxKvcache]]</f>
        <v>388262.66708113148</v>
      </c>
      <c r="AF217" s="75">
        <f>Table1[[#This Row],[PPS]]*Table1[[#This Row],[Prefill]]/Table1[[#This Row],[In-Tok]]</f>
        <v>1.9080596720355676</v>
      </c>
      <c r="AG217" s="5">
        <f>Table1[[#This Row],[GPS]]*Table1[[#This Row],[ITL]]</f>
        <v>61.090858031004728</v>
      </c>
      <c r="AH217" s="5">
        <f>Table1[[#This Row],[Nprefill]]+Table1[[#This Row],[Ndecode]]</f>
        <v>62.998917703040298</v>
      </c>
      <c r="AI217" s="4">
        <f>Table1[[#This Row],[Run]]/Table1[[#This Row],[ITL]]/Table1[[#This Row],[GPS]]</f>
        <v>0.9782746271677053</v>
      </c>
      <c r="AJ217" s="10">
        <f>Table1[[#This Row],[Prefill]]+Table1[[#This Row],[ITL]]</f>
        <v>0.41613573856638875</v>
      </c>
      <c r="AK217" s="4">
        <f>Table1[[#This Row],[TTFT]]/Table1[[#This Row],[estTTFT]]</f>
        <v>7.8864141275661526</v>
      </c>
      <c r="AL217" s="5">
        <f>Table1[[#This Row],[In-Tok]]*Table1[[#This Row],[RPS]]/Table1[[#This Row],[PPS]]</f>
        <v>1.1479997349313873</v>
      </c>
      <c r="AM217" s="4">
        <f>Table1[[#This Row],[Prefill]]/Table1[[#This Row],[estPrefill]]</f>
        <v>0.30775156000573672</v>
      </c>
      <c r="AN217" s="4">
        <f>Table1[[#This Row],[Prefill]]/Table1[[#This Row],[TTFT]]</f>
        <v>0.10765332711167486</v>
      </c>
      <c r="AO217" s="10">
        <f>Table1[[#This Row],[Run]]/(Table1[[#This Row],[Out-Tok]]*Table1[[#This Row],[RPS]])</f>
        <v>4.8196480938416421E-2</v>
      </c>
      <c r="AP217" s="4">
        <f>Table1[[#This Row],[ITL]]/Table1[[#This Row],[estITL]]</f>
        <v>1.3037679936710058</v>
      </c>
      <c r="AQ217" s="44">
        <f>Table1[[#This Row],[E2E]]-Table1[[#This Row],[TTFT]]+Table1[[#This Row],[ITL]]</f>
        <v>12.12129001869782</v>
      </c>
      <c r="AR217" s="4">
        <f>Table1[[#This Row],[estDecode]]/Table1[[#This Row],[Run]]</f>
        <v>0.20282049012119868</v>
      </c>
      <c r="AS217" s="44">
        <f>Table1[[#This Row],[Prefill]]+Table1[[#This Row],[Out-Tok]]*Table1[[#This Row],[ITL]]</f>
        <v>12.920704560327717</v>
      </c>
      <c r="AT217" s="5">
        <f>Table1[[#This Row],[estPrefill]]+Table1[[#This Row],[Out-Tok]]*Table1[[#This Row],[ITL]]</f>
        <v>13.715405585947797</v>
      </c>
      <c r="AU217" s="4">
        <f>Table1[[#This Row],[E2E]]/Table1[[#This Row],[estE2E]]</f>
        <v>1.1184701510230839</v>
      </c>
      <c r="AV217" s="5">
        <f>Table1[[#This Row],[N]]/Table1[[#This Row],[estE2E]]</f>
        <v>4.5932960063234463</v>
      </c>
      <c r="AW217" s="5">
        <f>Table1[[#This Row],[PPS]]/Table1[[#This Row],[In-Tok]]</f>
        <v>5.4006981111111116</v>
      </c>
      <c r="AX217" s="4">
        <f>Table1[[#This Row],[RPS]]/Table1[[#This Row],[RPS(IL)]]</f>
        <v>1.1479997349313873</v>
      </c>
      <c r="AY217" s="5">
        <f>Table1[[#This Row],[GPS]]/Table1[[#This Row],[Out-Tok]]</f>
        <v>4.8610555555555557</v>
      </c>
      <c r="AZ217" s="89">
        <f>Table1[[#This Row],[RPS]]/Table1[[#This Row],[RPS(OL)]]</f>
        <v>1.2754431479216906</v>
      </c>
      <c r="BA217" s="135">
        <f>MaxTok/Table1[[#This Row],[tok/req]]</f>
        <v>76.061227841677507</v>
      </c>
      <c r="BB217" s="4">
        <f>Table1[[#This Row],[N]]/Table1[[#This Row],[N-max]]</f>
        <v>0.82826585227066563</v>
      </c>
      <c r="BC217" s="44">
        <f>Table1[[#This Row],[RPS]]</f>
        <v>6.2</v>
      </c>
      <c r="BD217" s="47">
        <f>Table1[[#This Row],[PPS]]/Table1[[#This Row],[RPS success]]</f>
        <v>4355.4017025089606</v>
      </c>
      <c r="BE217" s="4">
        <f>ABS(Table1[[#This Row],[est-In-Tok3]]-Table1[[#This Row],[In-Tok]])/Table1[[#This Row],[In-Tok]]</f>
        <v>0.12891965949820788</v>
      </c>
      <c r="BF217" s="47">
        <f>Table1[[#This Row],[GPS]]/Table1[[#This Row],[RPS success]]</f>
        <v>156.80824372759858</v>
      </c>
      <c r="BG217" s="4">
        <f>ABS(Table1[[#This Row],[est-Out-Tok3]]-Table1[[#This Row],[Out-Tok]])/Table1[[#This Row],[Out-Tok]]</f>
        <v>0.21595878136200711</v>
      </c>
      <c r="BH217" s="162">
        <f>Table1[[#This Row],[est-In-Tok3]]+AvgOutLoad*Table1[[#This Row],[est-Out-Tok3]]</f>
        <v>4433.8058243727601</v>
      </c>
      <c r="BI217" s="4">
        <f>ABS(Table1[[#This Row],[est-Tok/Req3]]-Table1[[#This Row],[tok/req]])/Table1[[#This Row],[tok/req]]</f>
        <v>0.13062630894651764</v>
      </c>
      <c r="BJ217" s="162">
        <f>MaxTok/Table1[[#This Row],[est-Tok/Req3]]</f>
        <v>87.48968208309671</v>
      </c>
      <c r="BK217" s="4">
        <f>ABS(Table1[[#This Row],[est-N-max3]]-Table1[[#This Row],[N-max]])/Table1[[#This Row],[N-max]]</f>
        <v>0.15025334938331114</v>
      </c>
      <c r="BL217" s="44">
        <f>MaxTok*Table1[[#This Row],[Kvcache]]/Table1[[#This Row],[Run]]</f>
        <v>5114.646662285475</v>
      </c>
      <c r="BM217" s="170">
        <f>ABS(Table1[[#This Row],[est-Tok/Req]]-Table1[[#This Row],[tok/req]])/Table1[[#This Row],[tok/req]]</f>
        <v>2.8718945657794179E-3</v>
      </c>
      <c r="BN217" s="44">
        <f>MaxTok/Table1[[#This Row],[est-Tok/Req]]</f>
        <v>75.843413554440346</v>
      </c>
      <c r="BO217" s="180">
        <f>Table1[[#This Row],[Run]]/Table1[[#This Row],[Kvcache]]</f>
        <v>75.843413554440346</v>
      </c>
      <c r="BP217" s="4" cm="1">
        <f t="array" aca="1" ref="BP217" ca="1">_xlfn.CEILING.MATH(INDIRECT("Table1"&amp;BP$3)/BP$2)*BP$2</f>
        <v>6000</v>
      </c>
      <c r="BQ217" s="4" cm="1">
        <f t="array" aca="1" ref="BQ217" ca="1">_xlfn.CEILING.MATH(INDIRECT("Table1"&amp;BQ$3)/BQ$2)*BQ$2</f>
        <v>6.5000000000000002E-2</v>
      </c>
      <c r="BR217" s="4" cm="1">
        <f t="array" aca="1" ref="BR217" ca="1">_xlfn.CEILING.MATH(INDIRECT("Table1"&amp;BR$3)/BR$2)*BR$2</f>
        <v>0.8</v>
      </c>
      <c r="BS217" s="4" cm="1">
        <f t="array" aca="1" ref="BS217" ca="1">_xlfn.CEILING.MATH(INDIRECT("Table1"&amp;BS$3)/BS$2)*BS$2</f>
        <v>0.79</v>
      </c>
      <c r="BT217" s="3" cm="1">
        <f t="array" aca="1" ref="BT217" ca="1">_xlfn.CEILING.MATH(INDIRECT("Table1"&amp;BT$3)/BT$2)*BT$2</f>
        <v>60</v>
      </c>
      <c r="BU217" s="135" cm="1">
        <f t="array" aca="1" ref="BU217" ca="1">_xlfn.CEILING.MATH(INDIRECT("Table1"&amp;BU$3)/BU$2)*BU$2</f>
        <v>25</v>
      </c>
      <c r="BV217" s="135" cm="1">
        <f t="array" aca="1" ref="BV217" ca="1">_xlfn.CEILING.MATH(INDIRECT("Table1"&amp;BV$3)/BV$2)*BV$2</f>
        <v>5000</v>
      </c>
      <c r="BW217" s="4"/>
      <c r="BX217" s="4"/>
      <c r="BY217" s="217"/>
      <c r="BZ217" s="4"/>
      <c r="CA217" s="3"/>
      <c r="CF217" s="5"/>
      <c r="CH217" s="8"/>
      <c r="CI217" s="8"/>
      <c r="CJ217" s="14"/>
      <c r="CK217" s="8"/>
      <c r="CL217" s="8"/>
      <c r="CM217" s="8"/>
      <c r="CN217" s="8"/>
      <c r="CO217" s="8"/>
      <c r="CP217" s="8"/>
      <c r="CQ217" s="8">
        <f>Table1[[#This Row],[In-Tok]]+AvgOutLoad*Table1[[#This Row],[Out-Tok]]</f>
        <v>5100</v>
      </c>
      <c r="CR217" s="8"/>
      <c r="CS217" s="8"/>
      <c r="CT217" s="8"/>
      <c r="CU217" s="8"/>
      <c r="CV217" s="8"/>
      <c r="CW217" s="8"/>
      <c r="CX217" s="8"/>
      <c r="CY217" s="8"/>
    </row>
    <row r="218" spans="1:103" hidden="1" x14ac:dyDescent="0.25">
      <c r="A218" s="26">
        <v>5000</v>
      </c>
      <c r="B218" s="3">
        <v>200</v>
      </c>
      <c r="C218" s="123">
        <v>6.4</v>
      </c>
      <c r="D218" s="216">
        <f>Table1[[#This Row],[Kvcache]]</f>
        <v>0.82582622187742438</v>
      </c>
      <c r="E218" s="170" t="s">
        <v>156</v>
      </c>
      <c r="F218" s="218">
        <v>46104</v>
      </c>
      <c r="G218" s="10">
        <v>0</v>
      </c>
      <c r="H218" s="10">
        <v>3.2827046437944061</v>
      </c>
      <c r="I218" s="10">
        <v>0.34844500523617583</v>
      </c>
      <c r="J218" s="10">
        <v>3.3810752648457258</v>
      </c>
      <c r="K218" s="10">
        <v>6.7417177677154543</v>
      </c>
      <c r="L218" s="10">
        <v>7.2073835134506226</v>
      </c>
      <c r="M218" s="10">
        <v>6.6213860636296473E-2</v>
      </c>
      <c r="N218" s="10">
        <v>16.208616088735116</v>
      </c>
      <c r="O218" s="47">
        <v>27971.911111111112</v>
      </c>
      <c r="P218" s="47">
        <v>965.39444444444439</v>
      </c>
      <c r="Q218" s="5">
        <v>62.65</v>
      </c>
      <c r="R218" s="5">
        <v>76</v>
      </c>
      <c r="S218" s="170">
        <v>0.82582622187742438</v>
      </c>
      <c r="T218" s="170">
        <v>0.99794414274631493</v>
      </c>
      <c r="U218" s="3">
        <f>(Table1[[#This Row],[In-Tok]]+Table1[[#This Row],[Out-Tok]])*Table1[[#This Row],[RPS]]</f>
        <v>33280</v>
      </c>
      <c r="V218" s="3">
        <f>Table1[[#This Row],[In-Tok]]+$V$2*Table1[[#This Row],[Out-Tok]]</f>
        <v>5100</v>
      </c>
      <c r="W218" s="3">
        <f>Table1[[#This Row],[In-Tok]]*Table1[[#This Row],[RPS]]</f>
        <v>32000</v>
      </c>
      <c r="X218" s="3">
        <f>Table1[[#This Row],[Out-Tok]]*Table1[[#This Row],[RPS]]</f>
        <v>1280</v>
      </c>
      <c r="Y218" s="75">
        <f>Table1[[#This Row],[In-Tok]]/Table1[[#This Row],[Out-Tok]]</f>
        <v>25</v>
      </c>
      <c r="Z218" s="26">
        <f>Table1[[#This Row],[In-Tok]]*Table1[[#This Row],[N]]+AvgOutLoad*Table1[[#This Row],[Out-Tok]]*Table1[[#This Row],[Ndecode]]</f>
        <v>335751.38805142342</v>
      </c>
      <c r="AA218" s="3">
        <f>Table1[[#This Row],[tok(N)]]/Table1[[#This Row],[Kvcache]]</f>
        <v>406564.21309574047</v>
      </c>
      <c r="AB218" s="3">
        <f>Table1[[#This Row],[tok/req]]*Table1[[#This Row],[Run]]</f>
        <v>319515</v>
      </c>
      <c r="AC218" s="3">
        <f>Table1[[#This Row],[tok(Run)]]/Table1[[#This Row],[Kvcache]]</f>
        <v>386903.43262971001</v>
      </c>
      <c r="AD218" s="3">
        <f>Table1[[#This Row],[tok/req]]*Table1[[#This Row],[MaxRun]]</f>
        <v>387600</v>
      </c>
      <c r="AE218" s="3">
        <f>Table1[[#This Row],[tok(MaxRun)]]/Table1[[#This Row],[MaxKvcache]]</f>
        <v>388398.49185680418</v>
      </c>
      <c r="AF218" s="75">
        <f>Table1[[#This Row],[PPS]]*Table1[[#This Row],[Prefill]]/Table1[[#This Row],[In-Tok]]</f>
        <v>1.9493345427153912</v>
      </c>
      <c r="AG218" s="5">
        <f>Table1[[#This Row],[GPS]]*Table1[[#This Row],[ITL]]</f>
        <v>63.9224932034993</v>
      </c>
      <c r="AH218" s="5">
        <f>Table1[[#This Row],[Nprefill]]+Table1[[#This Row],[Ndecode]]</f>
        <v>65.871827746214692</v>
      </c>
      <c r="AI218" s="4">
        <f>Table1[[#This Row],[Run]]/Table1[[#This Row],[ITL]]/Table1[[#This Row],[GPS]]</f>
        <v>0.98009318567333914</v>
      </c>
      <c r="AJ218" s="10">
        <f>Table1[[#This Row],[Prefill]]+Table1[[#This Row],[ITL]]</f>
        <v>0.4146588658724723</v>
      </c>
      <c r="AK218" s="4">
        <f>Table1[[#This Row],[TTFT]]/Table1[[#This Row],[estTTFT]]</f>
        <v>7.9166392279768516</v>
      </c>
      <c r="AL218" s="5">
        <f>Table1[[#This Row],[In-Tok]]*Table1[[#This Row],[RPS]]/Table1[[#This Row],[PPS]]</f>
        <v>1.144004779397745</v>
      </c>
      <c r="AM218" s="4">
        <f>Table1[[#This Row],[Prefill]]/Table1[[#This Row],[estPrefill]]</f>
        <v>0.30458352229927987</v>
      </c>
      <c r="AN218" s="4">
        <f>Table1[[#This Row],[Prefill]]/Table1[[#This Row],[TTFT]]</f>
        <v>0.10614570698429204</v>
      </c>
      <c r="AO218" s="10">
        <f>Table1[[#This Row],[Run]]/(Table1[[#This Row],[Out-Tok]]*Table1[[#This Row],[RPS]])</f>
        <v>4.8945312499999998E-2</v>
      </c>
      <c r="AP218" s="4">
        <f>Table1[[#This Row],[ITL]]/Table1[[#This Row],[estITL]]</f>
        <v>1.3528131143568953</v>
      </c>
      <c r="AQ218" s="44">
        <f>Table1[[#This Row],[E2E]]-Table1[[#This Row],[TTFT]]+Table1[[#This Row],[ITL]]</f>
        <v>12.992125305577005</v>
      </c>
      <c r="AR218" s="4">
        <f>Table1[[#This Row],[estDecode]]/Table1[[#This Row],[Run]]</f>
        <v>0.20737630176499611</v>
      </c>
      <c r="AS218" s="44">
        <f>Table1[[#This Row],[Prefill]]+Table1[[#This Row],[Out-Tok]]*Table1[[#This Row],[ITL]]</f>
        <v>13.591217132495471</v>
      </c>
      <c r="AT218" s="5">
        <f>Table1[[#This Row],[estPrefill]]+Table1[[#This Row],[Out-Tok]]*Table1[[#This Row],[ITL]]</f>
        <v>14.38677690665704</v>
      </c>
      <c r="AU218" s="4">
        <f>Table1[[#This Row],[E2E]]/Table1[[#This Row],[estE2E]]</f>
        <v>1.126632893100266</v>
      </c>
      <c r="AV218" s="5">
        <f>Table1[[#This Row],[N]]/Table1[[#This Row],[estE2E]]</f>
        <v>4.5786369089892904</v>
      </c>
      <c r="AW218" s="5">
        <f>Table1[[#This Row],[PPS]]/Table1[[#This Row],[In-Tok]]</f>
        <v>5.5943822222222224</v>
      </c>
      <c r="AX218" s="4">
        <f>Table1[[#This Row],[RPS]]/Table1[[#This Row],[RPS(IL)]]</f>
        <v>1.144004779397745</v>
      </c>
      <c r="AY218" s="5">
        <f>Table1[[#This Row],[GPS]]/Table1[[#This Row],[Out-Tok]]</f>
        <v>4.8269722222222216</v>
      </c>
      <c r="AZ218" s="89">
        <f>Table1[[#This Row],[RPS]]/Table1[[#This Row],[RPS(OL)]]</f>
        <v>1.325882914870721</v>
      </c>
      <c r="BA218" s="135">
        <f>MaxTok/Table1[[#This Row],[tok/req]]</f>
        <v>76.061227841677507</v>
      </c>
      <c r="BB218" s="4">
        <f>Table1[[#This Row],[N]]/Table1[[#This Row],[N-max]]</f>
        <v>0.86603687076059055</v>
      </c>
      <c r="BC218" s="44">
        <f>Table1[[#This Row],[RPS]]</f>
        <v>6.4</v>
      </c>
      <c r="BD218" s="47">
        <f>Table1[[#This Row],[PPS]]/Table1[[#This Row],[RPS success]]</f>
        <v>4370.6111111111113</v>
      </c>
      <c r="BE218" s="4">
        <f>ABS(Table1[[#This Row],[est-In-Tok3]]-Table1[[#This Row],[In-Tok]])/Table1[[#This Row],[In-Tok]]</f>
        <v>0.12587777777777773</v>
      </c>
      <c r="BF218" s="47">
        <f>Table1[[#This Row],[GPS]]/Table1[[#This Row],[RPS success]]</f>
        <v>150.84288194444443</v>
      </c>
      <c r="BG218" s="4">
        <f>ABS(Table1[[#This Row],[est-Out-Tok3]]-Table1[[#This Row],[Out-Tok]])/Table1[[#This Row],[Out-Tok]]</f>
        <v>0.24578559027777785</v>
      </c>
      <c r="BH218" s="162">
        <f>Table1[[#This Row],[est-In-Tok3]]+AvgOutLoad*Table1[[#This Row],[est-Out-Tok3]]</f>
        <v>4446.0325520833339</v>
      </c>
      <c r="BI218" s="4">
        <f>ABS(Table1[[#This Row],[est-Tok/Req3]]-Table1[[#This Row],[tok/req]])/Table1[[#This Row],[tok/req]]</f>
        <v>0.12822891135620904</v>
      </c>
      <c r="BJ218" s="162">
        <f>MaxTok/Table1[[#This Row],[est-Tok/Req3]]</f>
        <v>87.249082737998918</v>
      </c>
      <c r="BK218" s="4">
        <f>ABS(Table1[[#This Row],[est-N-max3]]-Table1[[#This Row],[N-max]])/Table1[[#This Row],[N-max]]</f>
        <v>0.14709011692013552</v>
      </c>
      <c r="BL218" s="44">
        <f>MaxTok*Table1[[#This Row],[Kvcache]]/Table1[[#This Row],[Run]]</f>
        <v>5113.297968734837</v>
      </c>
      <c r="BM218" s="170">
        <f>ABS(Table1[[#This Row],[est-Tok/Req]]-Table1[[#This Row],[tok/req]])/Table1[[#This Row],[tok/req]]</f>
        <v>2.6074448499680417E-3</v>
      </c>
      <c r="BN218" s="44">
        <f>MaxTok/Table1[[#This Row],[est-Tok/Req]]</f>
        <v>75.863418162688234</v>
      </c>
      <c r="BO218" s="180">
        <f>Table1[[#This Row],[Run]]/Table1[[#This Row],[Kvcache]]</f>
        <v>75.863418162688234</v>
      </c>
      <c r="BP218" s="4" cm="1">
        <f t="array" aca="1" ref="BP218" ca="1">_xlfn.CEILING.MATH(INDIRECT("Table1"&amp;BP$3)/BP$2)*BP$2</f>
        <v>6000</v>
      </c>
      <c r="BQ218" s="4" cm="1">
        <f t="array" aca="1" ref="BQ218" ca="1">_xlfn.CEILING.MATH(INDIRECT("Table1"&amp;BQ$3)/BQ$2)*BQ$2</f>
        <v>7.0000000000000007E-2</v>
      </c>
      <c r="BR218" s="4" cm="1">
        <f t="array" aca="1" ref="BR218" ca="1">_xlfn.CEILING.MATH(INDIRECT("Table1"&amp;BR$3)/BR$2)*BR$2</f>
        <v>0.9</v>
      </c>
      <c r="BS218" s="4" cm="1">
        <f t="array" aca="1" ref="BS218" ca="1">_xlfn.CEILING.MATH(INDIRECT("Table1"&amp;BS$3)/BS$2)*BS$2</f>
        <v>0.83000000000000007</v>
      </c>
      <c r="BT218" s="3" cm="1">
        <f t="array" aca="1" ref="BT218" ca="1">_xlfn.CEILING.MATH(INDIRECT("Table1"&amp;BT$3)/BT$2)*BT$2</f>
        <v>63</v>
      </c>
      <c r="BU218" s="135" cm="1">
        <f t="array" aca="1" ref="BU218" ca="1">_xlfn.CEILING.MATH(INDIRECT("Table1"&amp;BU$3)/BU$2)*BU$2</f>
        <v>25</v>
      </c>
      <c r="BV218" s="135" cm="1">
        <f t="array" aca="1" ref="BV218" ca="1">_xlfn.CEILING.MATH(INDIRECT("Table1"&amp;BV$3)/BV$2)*BV$2</f>
        <v>5000</v>
      </c>
      <c r="BW218" s="4"/>
      <c r="BX218" s="4"/>
      <c r="BY218" s="217"/>
      <c r="BZ218" s="4"/>
      <c r="CA218" s="3"/>
      <c r="CF218" s="5"/>
      <c r="CH218" s="8"/>
      <c r="CI218" s="8"/>
      <c r="CJ218" s="14"/>
      <c r="CK218" s="8"/>
      <c r="CL218" s="8"/>
      <c r="CM218" s="8"/>
      <c r="CN218" s="8"/>
      <c r="CO218" s="8"/>
      <c r="CP218" s="8"/>
      <c r="CQ218" s="8">
        <f>Table1[[#This Row],[In-Tok]]+AvgOutLoad*Table1[[#This Row],[Out-Tok]]</f>
        <v>5100</v>
      </c>
      <c r="CR218" s="8"/>
      <c r="CS218" s="8"/>
      <c r="CT218" s="8"/>
      <c r="CU218" s="8"/>
      <c r="CV218" s="8"/>
      <c r="CW218" s="8"/>
      <c r="CX218" s="8"/>
      <c r="CY218" s="8"/>
    </row>
    <row r="219" spans="1:103" hidden="1" x14ac:dyDescent="0.25">
      <c r="A219" s="26">
        <v>5000</v>
      </c>
      <c r="B219" s="3">
        <v>200</v>
      </c>
      <c r="C219" s="123">
        <v>6.6</v>
      </c>
      <c r="D219" s="216">
        <f>Table1[[#This Row],[Kvcache]]</f>
        <v>0.82089463290782139</v>
      </c>
      <c r="E219" s="170" t="s">
        <v>156</v>
      </c>
      <c r="F219" s="218">
        <v>46104</v>
      </c>
      <c r="G219" s="10">
        <v>0</v>
      </c>
      <c r="H219" s="10">
        <v>3.4491225572958131</v>
      </c>
      <c r="I219" s="10">
        <v>0.34354937586510081</v>
      </c>
      <c r="J219" s="10">
        <v>3.3835779482924946</v>
      </c>
      <c r="K219" s="10">
        <v>7.2943248867988579</v>
      </c>
      <c r="L219" s="10">
        <v>7.6614029026031494</v>
      </c>
      <c r="M219" s="10">
        <v>6.4225564259963633E-2</v>
      </c>
      <c r="N219" s="10">
        <v>16.362522227470656</v>
      </c>
      <c r="O219" s="47">
        <v>27529.800555555554</v>
      </c>
      <c r="P219" s="47">
        <v>979.72444444444443</v>
      </c>
      <c r="Q219" s="5">
        <v>62.209090909090911</v>
      </c>
      <c r="R219" s="5">
        <v>76</v>
      </c>
      <c r="S219" s="170">
        <v>0.82089463290782139</v>
      </c>
      <c r="T219" s="170">
        <v>0.99875872769588825</v>
      </c>
      <c r="U219" s="3">
        <f>(Table1[[#This Row],[In-Tok]]+Table1[[#This Row],[Out-Tok]])*Table1[[#This Row],[RPS]]</f>
        <v>34320</v>
      </c>
      <c r="V219" s="3">
        <f>Table1[[#This Row],[In-Tok]]+$V$2*Table1[[#This Row],[Out-Tok]]</f>
        <v>5100</v>
      </c>
      <c r="W219" s="3">
        <f>Table1[[#This Row],[In-Tok]]*Table1[[#This Row],[RPS]]</f>
        <v>33000</v>
      </c>
      <c r="X219" s="3">
        <f>Table1[[#This Row],[Out-Tok]]*Table1[[#This Row],[RPS]]</f>
        <v>1320</v>
      </c>
      <c r="Y219" s="75">
        <f>Table1[[#This Row],[In-Tok]]/Table1[[#This Row],[Out-Tok]]</f>
        <v>25</v>
      </c>
      <c r="Z219" s="26">
        <f>Table1[[#This Row],[In-Tok]]*Table1[[#This Row],[N]]+AvgOutLoad*Table1[[#This Row],[Out-Tok]]*Table1[[#This Row],[Ndecode]]</f>
        <v>330366.95764354331</v>
      </c>
      <c r="AA219" s="3">
        <f>Table1[[#This Row],[tok(N)]]/Table1[[#This Row],[Kvcache]]</f>
        <v>402447.45720080787</v>
      </c>
      <c r="AB219" s="3">
        <f>Table1[[#This Row],[tok/req]]*Table1[[#This Row],[Run]]</f>
        <v>317266.36363636365</v>
      </c>
      <c r="AC219" s="3">
        <f>Table1[[#This Row],[tok(Run)]]/Table1[[#This Row],[Kvcache]]</f>
        <v>386488.53448161064</v>
      </c>
      <c r="AD219" s="3">
        <f>Table1[[#This Row],[tok/req]]*Table1[[#This Row],[MaxRun]]</f>
        <v>387600</v>
      </c>
      <c r="AE219" s="3">
        <f>Table1[[#This Row],[tok(MaxRun)]]/Table1[[#This Row],[MaxKvcache]]</f>
        <v>388081.71508466679</v>
      </c>
      <c r="AF219" s="75">
        <f>Table1[[#This Row],[PPS]]*Table1[[#This Row],[Prefill]]/Table1[[#This Row],[In-Tok]]</f>
        <v>1.8915691597103632</v>
      </c>
      <c r="AG219" s="5">
        <f>Table1[[#This Row],[GPS]]*Table1[[#This Row],[ITL]]</f>
        <v>62.923355263723835</v>
      </c>
      <c r="AH219" s="5">
        <f>Table1[[#This Row],[Nprefill]]+Table1[[#This Row],[Ndecode]]</f>
        <v>64.814924423434192</v>
      </c>
      <c r="AI219" s="4">
        <f>Table1[[#This Row],[Run]]/Table1[[#This Row],[ITL]]/Table1[[#This Row],[GPS]]</f>
        <v>0.98864866071366819</v>
      </c>
      <c r="AJ219" s="10">
        <f>Table1[[#This Row],[Prefill]]+Table1[[#This Row],[ITL]]</f>
        <v>0.40777494012506443</v>
      </c>
      <c r="AK219" s="4">
        <f>Table1[[#This Row],[TTFT]]/Table1[[#This Row],[estTTFT]]</f>
        <v>8.4583975568434102</v>
      </c>
      <c r="AL219" s="5">
        <f>Table1[[#This Row],[In-Tok]]*Table1[[#This Row],[RPS]]/Table1[[#This Row],[PPS]]</f>
        <v>1.1987010197696675</v>
      </c>
      <c r="AM219" s="4">
        <f>Table1[[#This Row],[Prefill]]/Table1[[#This Row],[estPrefill]]</f>
        <v>0.28660138783490352</v>
      </c>
      <c r="AN219" s="4">
        <f>Table1[[#This Row],[Prefill]]/Table1[[#This Row],[TTFT]]</f>
        <v>9.9604861862157487E-2</v>
      </c>
      <c r="AO219" s="10">
        <f>Table1[[#This Row],[Run]]/(Table1[[#This Row],[Out-Tok]]*Table1[[#This Row],[RPS]])</f>
        <v>4.712809917355372E-2</v>
      </c>
      <c r="AP219" s="4">
        <f>Table1[[#This Row],[ITL]]/Table1[[#This Row],[estITL]]</f>
        <v>1.3627870715397807</v>
      </c>
      <c r="AQ219" s="44">
        <f>Table1[[#This Row],[E2E]]-Table1[[#This Row],[TTFT]]+Table1[[#This Row],[ITL]]</f>
        <v>12.977625234434807</v>
      </c>
      <c r="AR219" s="4">
        <f>Table1[[#This Row],[estDecode]]/Table1[[#This Row],[Run]]</f>
        <v>0.20861300245328493</v>
      </c>
      <c r="AS219" s="44">
        <f>Table1[[#This Row],[Prefill]]+Table1[[#This Row],[Out-Tok]]*Table1[[#This Row],[ITL]]</f>
        <v>13.188662227857828</v>
      </c>
      <c r="AT219" s="5">
        <f>Table1[[#This Row],[estPrefill]]+Table1[[#This Row],[Out-Tok]]*Table1[[#This Row],[ITL]]</f>
        <v>14.043813871762396</v>
      </c>
      <c r="AU219" s="4">
        <f>Table1[[#This Row],[E2E]]/Table1[[#This Row],[estE2E]]</f>
        <v>1.1651053180340447</v>
      </c>
      <c r="AV219" s="5">
        <f>Table1[[#This Row],[N]]/Table1[[#This Row],[estE2E]]</f>
        <v>4.615193922055334</v>
      </c>
      <c r="AW219" s="5">
        <f>Table1[[#This Row],[PPS]]/Table1[[#This Row],[In-Tok]]</f>
        <v>5.5059601111111105</v>
      </c>
      <c r="AX219" s="4">
        <f>Table1[[#This Row],[RPS]]/Table1[[#This Row],[RPS(IL)]]</f>
        <v>1.1987010197696675</v>
      </c>
      <c r="AY219" s="5">
        <f>Table1[[#This Row],[GPS]]/Table1[[#This Row],[Out-Tok]]</f>
        <v>4.8986222222222224</v>
      </c>
      <c r="AZ219" s="89">
        <f>Table1[[#This Row],[RPS]]/Table1[[#This Row],[RPS(OL)]]</f>
        <v>1.3473176131157059</v>
      </c>
      <c r="BA219" s="135">
        <f>MaxTok/Table1[[#This Row],[tok/req]]</f>
        <v>76.061227841677507</v>
      </c>
      <c r="BB219" s="4">
        <f>Table1[[#This Row],[N]]/Table1[[#This Row],[N-max]]</f>
        <v>0.8521414426591607</v>
      </c>
      <c r="BC219" s="44">
        <f>Table1[[#This Row],[RPS]]</f>
        <v>6.6</v>
      </c>
      <c r="BD219" s="47">
        <f>Table1[[#This Row],[PPS]]/Table1[[#This Row],[RPS success]]</f>
        <v>4171.1819023569024</v>
      </c>
      <c r="BE219" s="4">
        <f>ABS(Table1[[#This Row],[est-In-Tok3]]-Table1[[#This Row],[In-Tok]])/Table1[[#This Row],[In-Tok]]</f>
        <v>0.16576361952861954</v>
      </c>
      <c r="BF219" s="47">
        <f>Table1[[#This Row],[GPS]]/Table1[[#This Row],[RPS success]]</f>
        <v>148.44309764309764</v>
      </c>
      <c r="BG219" s="4">
        <f>ABS(Table1[[#This Row],[est-Out-Tok3]]-Table1[[#This Row],[Out-Tok]])/Table1[[#This Row],[Out-Tok]]</f>
        <v>0.25778451178451178</v>
      </c>
      <c r="BH219" s="162">
        <f>Table1[[#This Row],[est-In-Tok3]]+AvgOutLoad*Table1[[#This Row],[est-Out-Tok3]]</f>
        <v>4245.4034511784512</v>
      </c>
      <c r="BI219" s="4">
        <f>ABS(Table1[[#This Row],[est-Tok/Req3]]-Table1[[#This Row],[tok/req]])/Table1[[#This Row],[tok/req]]</f>
        <v>0.16756795074932329</v>
      </c>
      <c r="BJ219" s="162">
        <f>MaxTok/Table1[[#This Row],[est-Tok/Req3]]</f>
        <v>91.372296285498493</v>
      </c>
      <c r="BK219" s="4">
        <f>ABS(Table1[[#This Row],[est-N-max3]]-Table1[[#This Row],[N-max]])/Table1[[#This Row],[N-max]]</f>
        <v>0.20129925427566309</v>
      </c>
      <c r="BL219" s="44">
        <f>MaxTok*Table1[[#This Row],[Kvcache]]/Table1[[#This Row],[Run]]</f>
        <v>5118.7871299094459</v>
      </c>
      <c r="BM219" s="170">
        <f>ABS(Table1[[#This Row],[est-Tok/Req]]-Table1[[#This Row],[tok/req]])/Table1[[#This Row],[tok/req]]</f>
        <v>3.6837509626364445E-3</v>
      </c>
      <c r="BN219" s="44">
        <f>MaxTok/Table1[[#This Row],[est-Tok/Req]]</f>
        <v>75.782065584629549</v>
      </c>
      <c r="BO219" s="180">
        <f>Table1[[#This Row],[Run]]/Table1[[#This Row],[Kvcache]]</f>
        <v>75.782065584629535</v>
      </c>
      <c r="BP219" s="4" cm="1">
        <f t="array" aca="1" ref="BP219" ca="1">_xlfn.CEILING.MATH(INDIRECT("Table1"&amp;BP$3)/BP$2)*BP$2</f>
        <v>6000</v>
      </c>
      <c r="BQ219" s="4" cm="1">
        <f t="array" aca="1" ref="BQ219" ca="1">_xlfn.CEILING.MATH(INDIRECT("Table1"&amp;BQ$3)/BQ$2)*BQ$2</f>
        <v>6.5000000000000002E-2</v>
      </c>
      <c r="BR219" s="4" cm="1">
        <f t="array" aca="1" ref="BR219" ca="1">_xlfn.CEILING.MATH(INDIRECT("Table1"&amp;BR$3)/BR$2)*BR$2</f>
        <v>0.9</v>
      </c>
      <c r="BS219" s="4" cm="1">
        <f t="array" aca="1" ref="BS219" ca="1">_xlfn.CEILING.MATH(INDIRECT("Table1"&amp;BS$3)/BS$2)*BS$2</f>
        <v>0.83000000000000007</v>
      </c>
      <c r="BT219" s="3" cm="1">
        <f t="array" aca="1" ref="BT219" ca="1">_xlfn.CEILING.MATH(INDIRECT("Table1"&amp;BT$3)/BT$2)*BT$2</f>
        <v>63</v>
      </c>
      <c r="BU219" s="135" cm="1">
        <f t="array" aca="1" ref="BU219" ca="1">_xlfn.CEILING.MATH(INDIRECT("Table1"&amp;BU$3)/BU$2)*BU$2</f>
        <v>25</v>
      </c>
      <c r="BV219" s="135" cm="1">
        <f t="array" aca="1" ref="BV219" ca="1">_xlfn.CEILING.MATH(INDIRECT("Table1"&amp;BV$3)/BV$2)*BV$2</f>
        <v>5000</v>
      </c>
      <c r="BW219" s="4"/>
      <c r="BX219" s="4"/>
      <c r="BY219" s="217"/>
      <c r="BZ219" s="4"/>
      <c r="CA219" s="3"/>
      <c r="CF219" s="5"/>
      <c r="CH219" s="8"/>
      <c r="CI219" s="8"/>
      <c r="CJ219" s="14"/>
      <c r="CK219" s="8"/>
      <c r="CL219" s="8"/>
      <c r="CM219" s="8"/>
      <c r="CN219" s="8"/>
      <c r="CO219" s="8"/>
      <c r="CP219" s="8"/>
      <c r="CQ219" s="8">
        <f>Table1[[#This Row],[In-Tok]]+AvgOutLoad*Table1[[#This Row],[Out-Tok]]</f>
        <v>5100</v>
      </c>
      <c r="CR219" s="8"/>
      <c r="CS219" s="8"/>
      <c r="CT219" s="8"/>
      <c r="CU219" s="8"/>
      <c r="CV219" s="8"/>
      <c r="CW219" s="8"/>
      <c r="CX219" s="8"/>
      <c r="CY219" s="8"/>
    </row>
    <row r="220" spans="1:103" hidden="1" x14ac:dyDescent="0.25">
      <c r="A220" s="26">
        <v>5000</v>
      </c>
      <c r="B220" s="3">
        <v>200</v>
      </c>
      <c r="C220" s="123">
        <v>6.8</v>
      </c>
      <c r="D220" s="216">
        <f>Table1[[#This Row],[Kvcache]]</f>
        <v>0.84791875308554909</v>
      </c>
      <c r="E220" s="170" t="s">
        <v>156</v>
      </c>
      <c r="F220" s="218">
        <v>46104</v>
      </c>
      <c r="G220" s="10">
        <v>0</v>
      </c>
      <c r="H220" s="10">
        <v>3.6392291646165353</v>
      </c>
      <c r="I220" s="10">
        <v>0.38880960210423587</v>
      </c>
      <c r="J220" s="10">
        <v>3.6674147649262578</v>
      </c>
      <c r="K220" s="10">
        <v>7.5885836303234102</v>
      </c>
      <c r="L220" s="10">
        <v>8.0247759127616867</v>
      </c>
      <c r="M220" s="10">
        <v>6.5766690236459535E-2</v>
      </c>
      <c r="N220" s="10">
        <v>16.524634330588583</v>
      </c>
      <c r="O220" s="47">
        <v>27582.58</v>
      </c>
      <c r="P220" s="47">
        <v>970.46166666666659</v>
      </c>
      <c r="Q220" s="5">
        <v>64.268181818181816</v>
      </c>
      <c r="R220" s="5">
        <v>75.5</v>
      </c>
      <c r="S220" s="170">
        <v>0.84791875308554909</v>
      </c>
      <c r="T220" s="170">
        <v>0.9961598138091543</v>
      </c>
      <c r="U220" s="3">
        <f>(Table1[[#This Row],[In-Tok]]+Table1[[#This Row],[Out-Tok]])*Table1[[#This Row],[RPS]]</f>
        <v>35360</v>
      </c>
      <c r="V220" s="3">
        <f>Table1[[#This Row],[In-Tok]]+$V$2*Table1[[#This Row],[Out-Tok]]</f>
        <v>5100</v>
      </c>
      <c r="W220" s="3">
        <f>Table1[[#This Row],[In-Tok]]*Table1[[#This Row],[RPS]]</f>
        <v>34000</v>
      </c>
      <c r="X220" s="3">
        <f>Table1[[#This Row],[Out-Tok]]*Table1[[#This Row],[RPS]]</f>
        <v>1360</v>
      </c>
      <c r="Y220" s="75">
        <f>Table1[[#This Row],[In-Tok]]/Table1[[#This Row],[Out-Tok]]</f>
        <v>25</v>
      </c>
      <c r="Z220" s="26">
        <f>Table1[[#This Row],[In-Tok]]*Table1[[#This Row],[N]]+AvgOutLoad*Table1[[#This Row],[Out-Tok]]*Table1[[#This Row],[Ndecode]]</f>
        <v>336227.03622673533</v>
      </c>
      <c r="AA220" s="3">
        <f>Table1[[#This Row],[tok(N)]]/Table1[[#This Row],[Kvcache]]</f>
        <v>396532.13825406734</v>
      </c>
      <c r="AB220" s="3">
        <f>Table1[[#This Row],[tok/req]]*Table1[[#This Row],[Run]]</f>
        <v>327767.72727272724</v>
      </c>
      <c r="AC220" s="3">
        <f>Table1[[#This Row],[tok(Run)]]/Table1[[#This Row],[Kvcache]]</f>
        <v>386555.58221821493</v>
      </c>
      <c r="AD220" s="3">
        <f>Table1[[#This Row],[tok/req]]*Table1[[#This Row],[MaxRun]]</f>
        <v>385050</v>
      </c>
      <c r="AE220" s="3">
        <f>Table1[[#This Row],[tok(MaxRun)]]/Table1[[#This Row],[MaxKvcache]]</f>
        <v>386534.36392663838</v>
      </c>
      <c r="AF220" s="75">
        <f>Table1[[#This Row],[PPS]]*Table1[[#This Row],[Prefill]]/Table1[[#This Row],[In-Tok]]</f>
        <v>2.1448743909616512</v>
      </c>
      <c r="AG220" s="5">
        <f>Table1[[#This Row],[GPS]]*Table1[[#This Row],[ITL]]</f>
        <v>63.824051818024913</v>
      </c>
      <c r="AH220" s="5">
        <f>Table1[[#This Row],[Nprefill]]+Table1[[#This Row],[Ndecode]]</f>
        <v>65.968926208986559</v>
      </c>
      <c r="AI220" s="4">
        <f>Table1[[#This Row],[Run]]/Table1[[#This Row],[ITL]]/Table1[[#This Row],[GPS]]</f>
        <v>1.0069586619386561</v>
      </c>
      <c r="AJ220" s="10">
        <f>Table1[[#This Row],[Prefill]]+Table1[[#This Row],[ITL]]</f>
        <v>0.45457629234069541</v>
      </c>
      <c r="AK220" s="4">
        <f>Table1[[#This Row],[TTFT]]/Table1[[#This Row],[estTTFT]]</f>
        <v>8.0057610261139818</v>
      </c>
      <c r="AL220" s="5">
        <f>Table1[[#This Row],[In-Tok]]*Table1[[#This Row],[RPS]]/Table1[[#This Row],[PPS]]</f>
        <v>1.2326620642448964</v>
      </c>
      <c r="AM220" s="4">
        <f>Table1[[#This Row],[Prefill]]/Table1[[#This Row],[estPrefill]]</f>
        <v>0.315422704553184</v>
      </c>
      <c r="AN220" s="4">
        <f>Table1[[#This Row],[Prefill]]/Table1[[#This Row],[TTFT]]</f>
        <v>0.10683844971472266</v>
      </c>
      <c r="AO220" s="10">
        <f>Table1[[#This Row],[Run]]/(Table1[[#This Row],[Out-Tok]]*Table1[[#This Row],[RPS]])</f>
        <v>4.7256016042780749E-2</v>
      </c>
      <c r="AP220" s="4">
        <f>Table1[[#This Row],[ITL]]/Table1[[#This Row],[estITL]]</f>
        <v>1.3917104263914486</v>
      </c>
      <c r="AQ220" s="44">
        <f>Table1[[#This Row],[E2E]]-Table1[[#This Row],[TTFT]]+Table1[[#This Row],[ITL]]</f>
        <v>12.951171856208507</v>
      </c>
      <c r="AR220" s="4">
        <f>Table1[[#This Row],[estDecode]]/Table1[[#This Row],[Run]]</f>
        <v>0.20151763267316442</v>
      </c>
      <c r="AS220" s="44">
        <f>Table1[[#This Row],[Prefill]]+Table1[[#This Row],[Out-Tok]]*Table1[[#This Row],[ITL]]</f>
        <v>13.542147649396142</v>
      </c>
      <c r="AT220" s="5">
        <f>Table1[[#This Row],[estPrefill]]+Table1[[#This Row],[Out-Tok]]*Table1[[#This Row],[ITL]]</f>
        <v>14.386000111536804</v>
      </c>
      <c r="AU220" s="4">
        <f>Table1[[#This Row],[E2E]]/Table1[[#This Row],[estE2E]]</f>
        <v>1.1486607953893111</v>
      </c>
      <c r="AV220" s="5">
        <f>Table1[[#This Row],[N]]/Table1[[#This Row],[estE2E]]</f>
        <v>4.5856336505991688</v>
      </c>
      <c r="AW220" s="5">
        <f>Table1[[#This Row],[PPS]]/Table1[[#This Row],[In-Tok]]</f>
        <v>5.5165160000000002</v>
      </c>
      <c r="AX220" s="4">
        <f>Table1[[#This Row],[RPS]]/Table1[[#This Row],[RPS(IL)]]</f>
        <v>1.2326620642448964</v>
      </c>
      <c r="AY220" s="5">
        <f>Table1[[#This Row],[GPS]]/Table1[[#This Row],[Out-Tok]]</f>
        <v>4.8523083333333332</v>
      </c>
      <c r="AZ220" s="89">
        <f>Table1[[#This Row],[RPS]]/Table1[[#This Row],[RPS(OL)]]</f>
        <v>1.4013948687652096</v>
      </c>
      <c r="BA220" s="135">
        <f>MaxTok/Table1[[#This Row],[tok/req]]</f>
        <v>76.061227841677507</v>
      </c>
      <c r="BB220" s="4">
        <f>Table1[[#This Row],[N]]/Table1[[#This Row],[N-max]]</f>
        <v>0.86731345366001433</v>
      </c>
      <c r="BC220" s="44">
        <f>Table1[[#This Row],[RPS]]</f>
        <v>6.8</v>
      </c>
      <c r="BD220" s="47">
        <f>Table1[[#This Row],[PPS]]/Table1[[#This Row],[RPS success]]</f>
        <v>4056.2617647058828</v>
      </c>
      <c r="BE220" s="4">
        <f>ABS(Table1[[#This Row],[est-In-Tok3]]-Table1[[#This Row],[In-Tok]])/Table1[[#This Row],[In-Tok]]</f>
        <v>0.18874764705882344</v>
      </c>
      <c r="BF220" s="47">
        <f>Table1[[#This Row],[GPS]]/Table1[[#This Row],[RPS success]]</f>
        <v>142.71495098039216</v>
      </c>
      <c r="BG220" s="4">
        <f>ABS(Table1[[#This Row],[est-Out-Tok3]]-Table1[[#This Row],[Out-Tok]])/Table1[[#This Row],[Out-Tok]]</f>
        <v>0.28642524509803918</v>
      </c>
      <c r="BH220" s="162">
        <f>Table1[[#This Row],[est-In-Tok3]]+AvgOutLoad*Table1[[#This Row],[est-Out-Tok3]]</f>
        <v>4127.6192401960789</v>
      </c>
      <c r="BI220" s="4">
        <f>ABS(Table1[[#This Row],[est-Tok/Req3]]-Table1[[#This Row],[tok/req]])/Table1[[#This Row],[tok/req]]</f>
        <v>0.19066289407920023</v>
      </c>
      <c r="BJ220" s="162">
        <f>MaxTok/Table1[[#This Row],[est-Tok/Req3]]</f>
        <v>93.979662226336515</v>
      </c>
      <c r="BK220" s="4">
        <f>ABS(Table1[[#This Row],[est-N-max3]]-Table1[[#This Row],[N-max]])/Table1[[#This Row],[N-max]]</f>
        <v>0.23557908402368255</v>
      </c>
      <c r="BL220" s="44">
        <f>MaxTok*Table1[[#This Row],[Kvcache]]/Table1[[#This Row],[Run]]</f>
        <v>5117.8992806401375</v>
      </c>
      <c r="BM220" s="170">
        <f>ABS(Table1[[#This Row],[est-Tok/Req]]-Table1[[#This Row],[tok/req]])/Table1[[#This Row],[tok/req]]</f>
        <v>3.5096628706151912E-3</v>
      </c>
      <c r="BN220" s="44">
        <f>MaxTok/Table1[[#This Row],[est-Tok/Req]]</f>
        <v>75.795212199649995</v>
      </c>
      <c r="BO220" s="180">
        <f>Table1[[#This Row],[Run]]/Table1[[#This Row],[Kvcache]]</f>
        <v>75.795212199649981</v>
      </c>
      <c r="BP220" s="4" cm="1">
        <f t="array" aca="1" ref="BP220" ca="1">_xlfn.CEILING.MATH(INDIRECT("Table1"&amp;BP$3)/BP$2)*BP$2</f>
        <v>6000</v>
      </c>
      <c r="BQ220" s="4" cm="1">
        <f t="array" aca="1" ref="BQ220" ca="1">_xlfn.CEILING.MATH(INDIRECT("Table1"&amp;BQ$3)/BQ$2)*BQ$2</f>
        <v>7.0000000000000007E-2</v>
      </c>
      <c r="BR220" s="4" cm="1">
        <f t="array" aca="1" ref="BR220" ca="1">_xlfn.CEILING.MATH(INDIRECT("Table1"&amp;BR$3)/BR$2)*BR$2</f>
        <v>0.9</v>
      </c>
      <c r="BS220" s="4" cm="1">
        <f t="array" aca="1" ref="BS220" ca="1">_xlfn.CEILING.MATH(INDIRECT("Table1"&amp;BS$3)/BS$2)*BS$2</f>
        <v>0.85</v>
      </c>
      <c r="BT220" s="3" cm="1">
        <f t="array" aca="1" ref="BT220" ca="1">_xlfn.CEILING.MATH(INDIRECT("Table1"&amp;BT$3)/BT$2)*BT$2</f>
        <v>65</v>
      </c>
      <c r="BU220" s="135" cm="1">
        <f t="array" aca="1" ref="BU220" ca="1">_xlfn.CEILING.MATH(INDIRECT("Table1"&amp;BU$3)/BU$2)*BU$2</f>
        <v>25</v>
      </c>
      <c r="BV220" s="135" cm="1">
        <f t="array" aca="1" ref="BV220" ca="1">_xlfn.CEILING.MATH(INDIRECT("Table1"&amp;BV$3)/BV$2)*BV$2</f>
        <v>5000</v>
      </c>
      <c r="BW220" s="4"/>
      <c r="BX220" s="4"/>
      <c r="BY220" s="217"/>
      <c r="BZ220" s="4"/>
      <c r="CA220" s="3"/>
      <c r="CF220" s="5"/>
      <c r="CH220" s="8"/>
      <c r="CI220" s="8"/>
      <c r="CJ220" s="14"/>
      <c r="CK220" s="8"/>
      <c r="CL220" s="8"/>
      <c r="CM220" s="8"/>
      <c r="CN220" s="8"/>
      <c r="CO220" s="8"/>
      <c r="CP220" s="8"/>
      <c r="CQ220" s="8">
        <f>Table1[[#This Row],[In-Tok]]+AvgOutLoad*Table1[[#This Row],[Out-Tok]]</f>
        <v>5100</v>
      </c>
      <c r="CR220" s="8"/>
      <c r="CS220" s="8"/>
      <c r="CT220" s="8"/>
      <c r="CU220" s="8"/>
      <c r="CV220" s="8"/>
      <c r="CW220" s="8"/>
      <c r="CX220" s="8"/>
      <c r="CY220" s="8"/>
    </row>
  </sheetData>
  <mergeCells count="4">
    <mergeCell ref="U4:X4"/>
    <mergeCell ref="A4:C4"/>
    <mergeCell ref="AF4:AZ4"/>
    <mergeCell ref="Z4:AE4"/>
  </mergeCells>
  <phoneticPr fontId="6" type="noConversion"/>
  <conditionalFormatting sqref="A6:D220">
    <cfRule type="expression" dxfId="6" priority="6">
      <formula>INDIRECT("Table1[@Kvcache]")&gt;MaxKVload</formula>
    </cfRule>
    <cfRule type="expression" dxfId="5" priority="7">
      <formula>INDIRECT("Table1[@MaxKvcache]")&gt;MaxKVload</formula>
    </cfRule>
  </conditionalFormatting>
  <conditionalFormatting sqref="D6:D220">
    <cfRule type="colorScale" priority="3">
      <colorScale>
        <cfvo type="num" val="0.5"/>
        <cfvo type="num" val="0.7"/>
        <cfvo type="num" val="0.85"/>
        <color theme="0"/>
        <color rgb="FFFFFF00"/>
        <color rgb="FFF8696B"/>
      </colorScale>
    </cfRule>
  </conditionalFormatting>
  <conditionalFormatting sqref="S6:T220">
    <cfRule type="cellIs" dxfId="4" priority="13" operator="greaterThan">
      <formula>MaxKVload</formula>
    </cfRule>
  </conditionalFormatting>
  <conditionalFormatting sqref="AV6:AW220 AY6:AY220">
    <cfRule type="cellIs" dxfId="3" priority="4" operator="lessThan">
      <formula>INDIRECT("Table1[@RPS]")</formula>
    </cfRule>
  </conditionalFormatting>
  <conditionalFormatting sqref="BB6:BB220">
    <cfRule type="cellIs" dxfId="2" priority="14" operator="greaterThan">
      <formula>maxNthreshold</formula>
    </cfRule>
  </conditionalFormatting>
  <conditionalFormatting sqref="BY6:BY220">
    <cfRule type="cellIs" dxfId="1" priority="1" operator="equal">
      <formula>$T6</formula>
    </cfRule>
  </conditionalFormatting>
  <pageMargins left="0.75" right="0.75" top="1" bottom="1" header="0.5" footer="0.5"/>
  <pageSetup paperSize="9" orientation="portrait" r:id="rId1"/>
  <ignoredErrors>
    <ignoredError sqref="V6" calculatedColumn="1"/>
  </ignoredErrors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C9CB-1170-4A12-8C6A-D936D2962D49}">
  <sheetPr>
    <tabColor rgb="FFFFC000"/>
  </sheetPr>
  <dimension ref="A1:AV35"/>
  <sheetViews>
    <sheetView topLeftCell="A21" zoomScale="130" zoomScaleNormal="130" workbookViewId="0"/>
  </sheetViews>
  <sheetFormatPr defaultRowHeight="15" x14ac:dyDescent="0.25"/>
  <cols>
    <col min="2" max="2" width="16.28515625" bestFit="1" customWidth="1"/>
    <col min="3" max="3" width="16.140625" bestFit="1" customWidth="1"/>
    <col min="4" max="39" width="16.140625" customWidth="1"/>
    <col min="40" max="41" width="18.42578125" bestFit="1" customWidth="1"/>
    <col min="42" max="42" width="18.28515625" bestFit="1" customWidth="1"/>
    <col min="43" max="43" width="12.5703125" bestFit="1" customWidth="1"/>
    <col min="44" max="44" width="13.5703125" style="226" bestFit="1" customWidth="1"/>
    <col min="45" max="45" width="13.42578125" bestFit="1" customWidth="1"/>
    <col min="46" max="47" width="13.5703125" bestFit="1" customWidth="1"/>
    <col min="48" max="48" width="13.42578125" bestFit="1" customWidth="1"/>
    <col min="49" max="49" width="13.5703125" bestFit="1" customWidth="1"/>
  </cols>
  <sheetData>
    <row r="1" spans="1:48" x14ac:dyDescent="0.25">
      <c r="A1" t="s">
        <v>4</v>
      </c>
    </row>
    <row r="2" spans="1:48" x14ac:dyDescent="0.25">
      <c r="A2" t="s">
        <v>81</v>
      </c>
      <c r="B2" t="s">
        <v>136</v>
      </c>
      <c r="C2" t="s">
        <v>157</v>
      </c>
    </row>
    <row r="3" spans="1:48" x14ac:dyDescent="0.25">
      <c r="A3" s="60" t="e" cm="1">
        <f t="array" aca="1" ref="A3:C35" ca="1">_xlfn.LET(
  _xlpm.data, _xlfn.PIVOTBY(
    INDIRECT("Table1[[" &amp; A$2 &amp; "]]"),
    INDIRECT("Table1[[" &amp; B$2 &amp; "]]") &amp; CHAR(10) &amp; _xlfn.MAP(INDIRECT("Table1[[" &amp; C$2 &amp; "]]"), _xlfn.LAMBDA(_xlpm.d, TEXT(_xlpm.d, "dd/mm"))),
    INDIRECT("Table1[[" &amp; A$1 &amp; "]]"),
    _xleta.AVERAGE,
    3, 0, 1, 0, ,
    _xlfn.BYROW(INDIRECT("Table1[[" &amp; A$2 &amp; "]]"), _xlfn.LAMBDA(_xlpm.r, SUBTOTAL(3, _xlpm.r)))
  ),
  _xlpm.headerRow, INDEX(_xlpm.data, 1, 0),
  _xlpm.dataRows, _xlfn.DROP(_xlpm.data, 1),
  _xlpm.cleanHeaders, IF(_xlpm.headerRow="", #N/A, _xlpm.headerRow),
  _xlpm.cleanData, IF(_xlpm.dataRows="", #N/A, _xlpm.dataRows),
  _xlfn.VSTACK(_xlpm.cleanHeaders, _xlpm.cleanData)
)</f>
        <v>#N/A</v>
      </c>
      <c r="B3" t="str">
        <f ca="1"/>
        <v>1-15K,300
11/03</v>
      </c>
      <c r="C3" t="e">
        <f ca="1"/>
        <v>#N/A</v>
      </c>
    </row>
    <row r="4" spans="1:48" s="226" customFormat="1" ht="30" x14ac:dyDescent="0.25">
      <c r="A4" s="226" t="e">
        <f ca="1"/>
        <v>#N/A</v>
      </c>
      <c r="B4" s="226" t="str">
        <f ca="1"/>
        <v>5K,1K
11/03</v>
      </c>
      <c r="C4" s="226" t="str">
        <f ca="1"/>
        <v>6K,100
11/03</v>
      </c>
      <c r="AN4" s="59"/>
      <c r="AO4" s="59"/>
      <c r="AP4" s="59"/>
      <c r="AQ4" s="59"/>
      <c r="AR4" s="59"/>
      <c r="AS4" s="59"/>
      <c r="AV4" s="226" t="e" cm="1">
        <f t="array" ref="AV4">_xlfn.PIVOTBY(_xlfn.ANCHORARRAY(AN5),_xlfn.ANCHORARRAY(AQ5),_xlfn.ANCHORARRAY(AO5),_xleta.AVERAGE,0,0,1,0,1,_xlfn.ANCHORARRAY(AS5))</f>
        <v>#REF!</v>
      </c>
    </row>
    <row r="5" spans="1:48" x14ac:dyDescent="0.25">
      <c r="A5">
        <f ca="1"/>
        <v>1.0150557507719928E-2</v>
      </c>
      <c r="B5">
        <f ca="1"/>
        <v>3.7026038223119916E-2</v>
      </c>
      <c r="C5">
        <f ca="1"/>
        <v>3.7026038223119916E-2</v>
      </c>
      <c r="AN5" s="199"/>
      <c r="AO5" s="73"/>
      <c r="AP5" s="73"/>
      <c r="AQ5" s="73"/>
    </row>
    <row r="6" spans="1:48" x14ac:dyDescent="0.25">
      <c r="A6">
        <f ca="1"/>
        <v>4.4642703215240054E-2</v>
      </c>
      <c r="B6" t="e">
        <f ca="1"/>
        <v>#N/A</v>
      </c>
      <c r="C6">
        <f ca="1"/>
        <v>0.21398596348679985</v>
      </c>
    </row>
    <row r="7" spans="1:48" x14ac:dyDescent="0.25">
      <c r="A7">
        <f ca="1"/>
        <v>4.6332212740281015E-2</v>
      </c>
      <c r="B7" t="e">
        <f ca="1"/>
        <v>#N/A</v>
      </c>
      <c r="C7">
        <f ca="1"/>
        <v>0.2180064322344645</v>
      </c>
    </row>
    <row r="8" spans="1:48" x14ac:dyDescent="0.25">
      <c r="A8">
        <f ca="1"/>
        <v>5.5009625606987904E-2</v>
      </c>
      <c r="B8" t="e">
        <f ca="1"/>
        <v>#N/A</v>
      </c>
      <c r="C8">
        <f ca="1"/>
        <v>0.27853915419619951</v>
      </c>
    </row>
    <row r="9" spans="1:48" x14ac:dyDescent="0.25">
      <c r="A9">
        <f ca="1"/>
        <v>5.9106973536764078E-2</v>
      </c>
      <c r="B9" t="e">
        <f ca="1"/>
        <v>#N/A</v>
      </c>
      <c r="C9">
        <f ca="1"/>
        <v>0.23314669970428922</v>
      </c>
    </row>
    <row r="10" spans="1:48" x14ac:dyDescent="0.25">
      <c r="A10">
        <f ca="1"/>
        <v>6.8267103410625515E-2</v>
      </c>
      <c r="B10" t="e">
        <f ca="1"/>
        <v>#N/A</v>
      </c>
      <c r="C10">
        <f ca="1"/>
        <v>0.24909473342863278</v>
      </c>
    </row>
    <row r="11" spans="1:48" x14ac:dyDescent="0.25">
      <c r="A11">
        <f ca="1"/>
        <v>7.9329368157917426E-2</v>
      </c>
      <c r="B11" t="e">
        <f ca="1"/>
        <v>#N/A</v>
      </c>
      <c r="C11">
        <f ca="1"/>
        <v>0.2647654223543669</v>
      </c>
    </row>
    <row r="12" spans="1:48" x14ac:dyDescent="0.25">
      <c r="A12">
        <f ca="1"/>
        <v>8.0536160675803811E-2</v>
      </c>
      <c r="B12" t="e">
        <f ca="1"/>
        <v>#N/A</v>
      </c>
      <c r="C12">
        <f ca="1"/>
        <v>0.24523011470325082</v>
      </c>
    </row>
    <row r="13" spans="1:48" x14ac:dyDescent="0.25">
      <c r="A13">
        <f ca="1"/>
        <v>0.13848806137401951</v>
      </c>
      <c r="B13" t="e">
        <f ca="1"/>
        <v>#N/A</v>
      </c>
      <c r="C13">
        <f ca="1"/>
        <v>0.31697018139158972</v>
      </c>
    </row>
    <row r="14" spans="1:48" x14ac:dyDescent="0.25">
      <c r="A14">
        <f ca="1"/>
        <v>0.15521075769330225</v>
      </c>
      <c r="B14" t="e">
        <f ca="1"/>
        <v>#N/A</v>
      </c>
      <c r="C14">
        <f ca="1"/>
        <v>0.33946513884285467</v>
      </c>
    </row>
    <row r="15" spans="1:48" x14ac:dyDescent="0.25">
      <c r="A15">
        <f ca="1"/>
        <v>0.2027382696893946</v>
      </c>
      <c r="B15" t="e">
        <f ca="1"/>
        <v>#N/A</v>
      </c>
      <c r="C15">
        <f ca="1"/>
        <v>0.44506980535367413</v>
      </c>
    </row>
    <row r="16" spans="1:48" x14ac:dyDescent="0.25">
      <c r="A16">
        <f ca="1"/>
        <v>0.21213113812027698</v>
      </c>
      <c r="B16" t="e">
        <f ca="1"/>
        <v>#N/A</v>
      </c>
      <c r="C16">
        <f ca="1"/>
        <v>0.43071882204681411</v>
      </c>
    </row>
    <row r="17" spans="1:3" x14ac:dyDescent="0.25">
      <c r="A17">
        <f ca="1"/>
        <v>0.23186219578771949</v>
      </c>
      <c r="B17" t="e">
        <f ca="1"/>
        <v>#N/A</v>
      </c>
      <c r="C17">
        <f ca="1"/>
        <v>0.65032245420202872</v>
      </c>
    </row>
    <row r="18" spans="1:3" x14ac:dyDescent="0.25">
      <c r="A18">
        <f ca="1"/>
        <v>0.32849179668419387</v>
      </c>
      <c r="B18" t="e">
        <f ca="1"/>
        <v>#N/A</v>
      </c>
      <c r="C18">
        <f ca="1"/>
        <v>0.52589768124548075</v>
      </c>
    </row>
    <row r="19" spans="1:3" x14ac:dyDescent="0.25">
      <c r="A19">
        <f ca="1"/>
        <v>0.39190299686808611</v>
      </c>
      <c r="B19" t="e">
        <f ca="1"/>
        <v>#N/A</v>
      </c>
      <c r="C19">
        <f ca="1"/>
        <v>0.81898924844690424</v>
      </c>
    </row>
    <row r="20" spans="1:3" x14ac:dyDescent="0.25">
      <c r="A20">
        <f ca="1"/>
        <v>0.40995029164152513</v>
      </c>
      <c r="B20" t="e">
        <f ca="1"/>
        <v>#N/A</v>
      </c>
      <c r="C20">
        <f ca="1"/>
        <v>0.65627406597952154</v>
      </c>
    </row>
    <row r="21" spans="1:3" x14ac:dyDescent="0.25">
      <c r="A21">
        <f ca="1"/>
        <v>0.41702999741401603</v>
      </c>
      <c r="B21">
        <f ca="1"/>
        <v>0.22058631616677774</v>
      </c>
      <c r="C21" t="e">
        <f ca="1"/>
        <v>#N/A</v>
      </c>
    </row>
    <row r="22" spans="1:3" x14ac:dyDescent="0.25">
      <c r="A22">
        <f ca="1"/>
        <v>0.53462057868574553</v>
      </c>
      <c r="B22" t="e">
        <f ca="1"/>
        <v>#N/A</v>
      </c>
      <c r="C22">
        <f ca="1"/>
        <v>1.1605770143365433</v>
      </c>
    </row>
    <row r="23" spans="1:3" x14ac:dyDescent="0.25">
      <c r="A23">
        <f ca="1"/>
        <v>0.54082065739406704</v>
      </c>
      <c r="B23">
        <f ca="1"/>
        <v>0.36363777946386272</v>
      </c>
      <c r="C23" t="e">
        <f ca="1"/>
        <v>#N/A</v>
      </c>
    </row>
    <row r="24" spans="1:3" x14ac:dyDescent="0.25">
      <c r="A24">
        <f ca="1"/>
        <v>0.56045971252478244</v>
      </c>
      <c r="B24">
        <f ca="1"/>
        <v>0.49804553552893949</v>
      </c>
      <c r="C24" t="e">
        <f ca="1"/>
        <v>#N/A</v>
      </c>
    </row>
    <row r="25" spans="1:3" x14ac:dyDescent="0.25">
      <c r="A25">
        <f ca="1"/>
        <v>0.65109408671666236</v>
      </c>
      <c r="B25">
        <f ca="1"/>
        <v>1.4924599860886767</v>
      </c>
      <c r="C25" t="e">
        <f ca="1"/>
        <v>#N/A</v>
      </c>
    </row>
    <row r="26" spans="1:3" x14ac:dyDescent="0.25">
      <c r="A26">
        <f ca="1"/>
        <v>0.67199419769847424</v>
      </c>
      <c r="B26">
        <f ca="1"/>
        <v>2.1318950119705917</v>
      </c>
      <c r="C26" t="e">
        <f ca="1"/>
        <v>#N/A</v>
      </c>
    </row>
    <row r="27" spans="1:3" x14ac:dyDescent="0.25">
      <c r="A27">
        <f ca="1"/>
        <v>0.69155535181136429</v>
      </c>
      <c r="B27">
        <f ca="1"/>
        <v>3.5608779512379258</v>
      </c>
      <c r="C27" t="e">
        <f ca="1"/>
        <v>#N/A</v>
      </c>
    </row>
    <row r="28" spans="1:3" x14ac:dyDescent="0.25">
      <c r="A28">
        <f ca="1"/>
        <v>0.69932189753756857</v>
      </c>
      <c r="B28" t="e">
        <f ca="1"/>
        <v>#N/A</v>
      </c>
      <c r="C28">
        <f ca="1"/>
        <v>2.7787750410736831</v>
      </c>
    </row>
    <row r="29" spans="1:3" x14ac:dyDescent="0.25">
      <c r="A29">
        <f ca="1"/>
        <v>0.71633479872424777</v>
      </c>
      <c r="B29" t="e">
        <f ca="1"/>
        <v>#N/A</v>
      </c>
      <c r="C29">
        <f ca="1"/>
        <v>1.435064111913392</v>
      </c>
    </row>
    <row r="30" spans="1:3" x14ac:dyDescent="0.25">
      <c r="A30">
        <f ca="1"/>
        <v>0.73818061661351031</v>
      </c>
      <c r="B30" t="e">
        <f ca="1"/>
        <v>#N/A</v>
      </c>
      <c r="C30">
        <f ca="1"/>
        <v>2.9788035527552004</v>
      </c>
    </row>
    <row r="31" spans="1:3" x14ac:dyDescent="0.25">
      <c r="A31">
        <f ca="1"/>
        <v>0.7583958279458668</v>
      </c>
      <c r="B31" t="e">
        <f ca="1"/>
        <v>#N/A</v>
      </c>
      <c r="C31">
        <f ca="1"/>
        <v>6.268921307044212</v>
      </c>
    </row>
    <row r="32" spans="1:3" x14ac:dyDescent="0.25">
      <c r="A32">
        <f ca="1"/>
        <v>0.76341579748872235</v>
      </c>
      <c r="B32" t="e">
        <f ca="1"/>
        <v>#N/A</v>
      </c>
      <c r="C32">
        <f ca="1"/>
        <v>4.6107999336990897</v>
      </c>
    </row>
    <row r="33" spans="1:3" x14ac:dyDescent="0.25">
      <c r="A33">
        <f ca="1"/>
        <v>0.78210499094905606</v>
      </c>
      <c r="B33" t="e">
        <f ca="1"/>
        <v>#N/A</v>
      </c>
      <c r="C33">
        <f ca="1"/>
        <v>3.5289551875927123</v>
      </c>
    </row>
    <row r="34" spans="1:3" x14ac:dyDescent="0.25">
      <c r="A34">
        <f ca="1"/>
        <v>0.79698991466252911</v>
      </c>
      <c r="B34" t="e">
        <f ca="1"/>
        <v>#N/A</v>
      </c>
      <c r="C34">
        <f ca="1"/>
        <v>8.0779408992271104</v>
      </c>
    </row>
    <row r="35" spans="1:3" x14ac:dyDescent="0.25">
      <c r="A35">
        <f ca="1"/>
        <v>0.84485906387380394</v>
      </c>
      <c r="B35" t="e">
        <f ca="1"/>
        <v>#N/A</v>
      </c>
      <c r="C35">
        <f ca="1"/>
        <v>5.9770145541377246</v>
      </c>
    </row>
  </sheetData>
  <conditionalFormatting sqref="A3:Z300">
    <cfRule type="containsErrors" dxfId="0" priority="1">
      <formula>ISERROR(A3)</formula>
    </cfRule>
  </conditionalFormatting>
  <dataValidations count="1">
    <dataValidation type="list" allowBlank="1" showInputMessage="1" showErrorMessage="1" sqref="A2:XFD2 A1" xr:uid="{994B05F2-C9FF-4F1B-A183-BCC09A585585}">
      <formula1>dataheaders</formula1>
    </dataValidation>
  </dataValidations>
  <pageMargins left="0.7" right="0.7" top="0.75" bottom="0.75" header="0.3" footer="0.3"/>
  <ignoredErrors>
    <ignoredError sqref="A3:B7" evalError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F5E4-FA33-490C-97C9-BFD776162D20}">
  <dimension ref="A5:Q172"/>
  <sheetViews>
    <sheetView topLeftCell="A22" zoomScale="120" zoomScaleNormal="120" workbookViewId="0">
      <selection activeCell="F27" sqref="F27"/>
    </sheetView>
  </sheetViews>
  <sheetFormatPr defaultRowHeight="15" x14ac:dyDescent="0.25"/>
  <sheetData>
    <row r="5" spans="6:11" x14ac:dyDescent="0.25">
      <c r="H5" t="s">
        <v>97</v>
      </c>
      <c r="K5" t="s">
        <v>84</v>
      </c>
    </row>
    <row r="8" spans="6:11" x14ac:dyDescent="0.25">
      <c r="H8" t="s">
        <v>86</v>
      </c>
      <c r="J8" s="150" t="s">
        <v>87</v>
      </c>
      <c r="K8" t="s">
        <v>85</v>
      </c>
    </row>
    <row r="10" spans="6:11" x14ac:dyDescent="0.25">
      <c r="F10" t="s">
        <v>90</v>
      </c>
      <c r="H10" t="s">
        <v>88</v>
      </c>
      <c r="J10" s="150" t="s">
        <v>87</v>
      </c>
      <c r="K10" t="s">
        <v>89</v>
      </c>
    </row>
    <row r="12" spans="6:11" x14ac:dyDescent="0.25">
      <c r="H12" t="s">
        <v>18</v>
      </c>
      <c r="I12" t="s">
        <v>92</v>
      </c>
      <c r="K12" t="s">
        <v>91</v>
      </c>
    </row>
    <row r="13" spans="6:11" x14ac:dyDescent="0.25">
      <c r="H13" t="s">
        <v>93</v>
      </c>
    </row>
    <row r="14" spans="6:11" x14ac:dyDescent="0.25">
      <c r="H14" t="s">
        <v>94</v>
      </c>
    </row>
    <row r="15" spans="6:11" x14ac:dyDescent="0.25">
      <c r="H15" t="s">
        <v>92</v>
      </c>
      <c r="I15" t="s">
        <v>95</v>
      </c>
      <c r="J15" s="150" t="s">
        <v>87</v>
      </c>
      <c r="K15" t="s">
        <v>96</v>
      </c>
    </row>
    <row r="17" spans="1:17" x14ac:dyDescent="0.25">
      <c r="H17" t="s">
        <v>99</v>
      </c>
      <c r="K17" t="s">
        <v>98</v>
      </c>
    </row>
    <row r="19" spans="1:17" x14ac:dyDescent="0.25">
      <c r="H19" t="s">
        <v>81</v>
      </c>
      <c r="K19" t="s">
        <v>100</v>
      </c>
    </row>
    <row r="20" spans="1:17" x14ac:dyDescent="0.25">
      <c r="H20" t="s">
        <v>83</v>
      </c>
      <c r="K20" t="s">
        <v>101</v>
      </c>
    </row>
    <row r="25" spans="1:17" x14ac:dyDescent="0.25">
      <c r="A25" s="209" t="str">
        <f>Table1[[#Headers],[In-Tok]]</f>
        <v>In-Tok</v>
      </c>
      <c r="B25" s="209" t="str">
        <f>Table1[[#Headers],[Out-Tok]]</f>
        <v>Out-Tok</v>
      </c>
      <c r="C25" s="209" t="str">
        <f>Table1[[#Headers],[RPS]]</f>
        <v>RPS</v>
      </c>
      <c r="D25" s="209" t="str">
        <f>Table1[[#Headers],[KV%]]</f>
        <v>KV%</v>
      </c>
      <c r="E25" s="209" t="str">
        <f>Table1[[#Headers],[PHR]]</f>
        <v>PHR</v>
      </c>
      <c r="F25" s="209" t="str">
        <f>Table1[[#Headers],[TTFT]]</f>
        <v>TTFT</v>
      </c>
      <c r="G25" s="209" t="str">
        <f>Table1[[#Headers],[Prefill]]</f>
        <v>Prefill</v>
      </c>
      <c r="H25" s="209" t="str">
        <f>Table1[[#Headers],[L_TTFT]]</f>
        <v>L_TTFT</v>
      </c>
      <c r="I25" s="209" t="str">
        <f>Table1[[#Headers],[L_P95_TTFT]]</f>
        <v>L_P95_TTFT</v>
      </c>
      <c r="J25" s="209" t="str">
        <f>Table1[[#Headers],[L_P98_TTFT]]</f>
        <v>L_P98_TTFT</v>
      </c>
      <c r="K25" s="209" t="str">
        <f>Table1[[#Headers],[ITL]]</f>
        <v>ITL</v>
      </c>
      <c r="L25" s="209" t="str">
        <f>Table1[[#Headers],[E2E]]</f>
        <v>E2E</v>
      </c>
      <c r="M25" s="209" t="str">
        <f>Table1[[#Headers],[PPS]]</f>
        <v>PPS</v>
      </c>
      <c r="N25" s="209" t="str">
        <f>Table1[[#Headers],[GPS]]</f>
        <v>GPS</v>
      </c>
      <c r="O25" s="209" t="str">
        <f>Table1[[#Headers],[Run]]</f>
        <v>Run</v>
      </c>
      <c r="P25" s="209" t="str">
        <f>Table1[[#Headers],[MaxRun]]</f>
        <v>MaxRun</v>
      </c>
      <c r="Q25" s="209" t="str">
        <f>Table1[[#Headers],[Kvcache]]</f>
        <v>Kvcache</v>
      </c>
    </row>
    <row r="26" spans="1:17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</row>
    <row r="27" spans="1:17" x14ac:dyDescent="0.25">
      <c r="A27">
        <v>1000</v>
      </c>
      <c r="B27">
        <v>300</v>
      </c>
      <c r="C27">
        <v>2</v>
      </c>
      <c r="D27">
        <v>0</v>
      </c>
      <c r="E27" s="190">
        <v>3.7026038223119916E-2</v>
      </c>
      <c r="F27" s="190">
        <v>3.2088905166513686E-2</v>
      </c>
      <c r="G27" s="190">
        <v>0.59547004836481088</v>
      </c>
      <c r="H27" s="190">
        <v>0.7305008967717489</v>
      </c>
      <c r="I27" s="190">
        <v>0.97615059534708548</v>
      </c>
      <c r="J27" s="190">
        <v>6.596198861928409E-3</v>
      </c>
      <c r="K27" s="190">
        <v>2.0093213791123161</v>
      </c>
      <c r="L27" s="191">
        <v>2261.5283333333332</v>
      </c>
      <c r="M27" s="191">
        <v>633.58861111111116</v>
      </c>
      <c r="N27" s="192">
        <v>3.4068627450980391</v>
      </c>
      <c r="O27" s="192">
        <v>8</v>
      </c>
      <c r="P27" s="190">
        <v>1.0150557507719928E-2</v>
      </c>
      <c r="Q27" s="190">
        <v>2.4075510731833449E-2</v>
      </c>
    </row>
    <row r="28" spans="1:17" x14ac:dyDescent="0.25">
      <c r="A28">
        <v>2000</v>
      </c>
      <c r="B28">
        <v>300</v>
      </c>
      <c r="C28">
        <v>2</v>
      </c>
      <c r="D28">
        <v>0</v>
      </c>
      <c r="E28" s="190">
        <v>6.0708237632462643E-2</v>
      </c>
      <c r="F28" s="190">
        <v>5.4781456020521681E-2</v>
      </c>
      <c r="G28" s="190">
        <v>0.61998406863458533</v>
      </c>
      <c r="H28" s="190">
        <v>0.76988332271575921</v>
      </c>
      <c r="I28" s="190">
        <v>0.84733685811360682</v>
      </c>
      <c r="J28" s="190">
        <v>7.280404097911467E-3</v>
      </c>
      <c r="K28" s="190">
        <v>2.2369354792963563</v>
      </c>
      <c r="L28" s="191">
        <v>4844.9033333333336</v>
      </c>
      <c r="M28" s="191">
        <v>679.7208333333333</v>
      </c>
      <c r="N28" s="192">
        <v>3.5821078431372548</v>
      </c>
      <c r="O28" s="192">
        <v>7.666666666666667</v>
      </c>
      <c r="P28" s="190">
        <v>1.9997642191089005E-2</v>
      </c>
      <c r="Q28" s="190">
        <v>4.2487716576157242E-2</v>
      </c>
    </row>
    <row r="29" spans="1:17" x14ac:dyDescent="0.25">
      <c r="A29">
        <v>3000</v>
      </c>
      <c r="B29">
        <v>300</v>
      </c>
      <c r="C29">
        <v>2</v>
      </c>
      <c r="D29">
        <v>0</v>
      </c>
      <c r="E29" s="190">
        <v>8.9187976034611885E-2</v>
      </c>
      <c r="F29" s="190">
        <v>8.1037995716015873E-2</v>
      </c>
      <c r="G29" s="190">
        <v>0.68898616983040506</v>
      </c>
      <c r="H29" s="190">
        <v>0.89063829183578491</v>
      </c>
      <c r="I29" s="190">
        <v>0.99142997741699224</v>
      </c>
      <c r="J29" s="190">
        <v>8.2483981479025952E-3</v>
      </c>
      <c r="K29" s="190">
        <v>2.5531481923543735</v>
      </c>
      <c r="L29" s="191">
        <v>7408.6961111111113</v>
      </c>
      <c r="M29" s="191">
        <v>691.59111111111122</v>
      </c>
      <c r="N29" s="192">
        <v>4.8786764705882355</v>
      </c>
      <c r="O29" s="192">
        <v>11</v>
      </c>
      <c r="P29" s="190">
        <v>3.9849347419340118E-2</v>
      </c>
      <c r="Q29" s="190">
        <v>8.9604344453064352E-2</v>
      </c>
    </row>
    <row r="30" spans="1:17" x14ac:dyDescent="0.25">
      <c r="A30">
        <v>4000</v>
      </c>
      <c r="B30">
        <v>300</v>
      </c>
      <c r="C30">
        <v>2</v>
      </c>
      <c r="D30">
        <v>0</v>
      </c>
      <c r="E30" s="190">
        <v>0.12017994891764257</v>
      </c>
      <c r="F30" s="190">
        <v>0.10961615169575983</v>
      </c>
      <c r="G30" s="190">
        <v>0.74510267118587248</v>
      </c>
      <c r="H30" s="190">
        <v>1.019898557662964</v>
      </c>
      <c r="I30" s="190">
        <v>1.2181447839736934</v>
      </c>
      <c r="J30" s="190">
        <v>9.0297684207135426E-3</v>
      </c>
      <c r="K30" s="190">
        <v>2.8195524820219489</v>
      </c>
      <c r="L30" s="191">
        <v>9242.0788888888874</v>
      </c>
      <c r="M30" s="191">
        <v>646.99833333333333</v>
      </c>
      <c r="N30" s="192">
        <v>5.132352941176471</v>
      </c>
      <c r="O30" s="192">
        <v>10.666666666666666</v>
      </c>
      <c r="P30" s="190">
        <v>5.5108173991085967E-2</v>
      </c>
      <c r="Q30" s="190">
        <v>0.11567106283941038</v>
      </c>
    </row>
    <row r="31" spans="1:17" x14ac:dyDescent="0.25">
      <c r="A31">
        <v>5000</v>
      </c>
      <c r="B31">
        <v>300</v>
      </c>
      <c r="C31">
        <v>2</v>
      </c>
      <c r="D31">
        <v>0</v>
      </c>
      <c r="E31" s="190">
        <v>0.15427486259356141</v>
      </c>
      <c r="F31" s="190">
        <v>0.14188560392014285</v>
      </c>
      <c r="G31" s="190">
        <v>0.84892997103396572</v>
      </c>
      <c r="H31" s="190">
        <v>1.3430427153905231</v>
      </c>
      <c r="I31" s="190">
        <v>1.5120748329162597</v>
      </c>
      <c r="J31" s="190">
        <v>1.0746412006416907E-2</v>
      </c>
      <c r="K31" s="190">
        <v>3.3648584072407979</v>
      </c>
      <c r="L31" s="191">
        <v>12072.108611111114</v>
      </c>
      <c r="M31" s="191">
        <v>673.46</v>
      </c>
      <c r="N31" s="192">
        <v>5.875</v>
      </c>
      <c r="O31" s="192">
        <v>12.666666666666666</v>
      </c>
      <c r="P31" s="190">
        <v>7.817315444408951E-2</v>
      </c>
      <c r="Q31" s="190">
        <v>0.16894233255753818</v>
      </c>
    </row>
    <row r="32" spans="1:17" x14ac:dyDescent="0.25">
      <c r="A32">
        <v>6000</v>
      </c>
      <c r="B32">
        <v>300</v>
      </c>
      <c r="C32">
        <v>2</v>
      </c>
      <c r="D32">
        <v>0</v>
      </c>
      <c r="E32" s="190">
        <v>0.18643617367521356</v>
      </c>
      <c r="F32" s="190">
        <v>0.1726471811842305</v>
      </c>
      <c r="G32" s="190">
        <v>1.2661953933336647</v>
      </c>
      <c r="H32" s="190">
        <v>2.3803513328234325</v>
      </c>
      <c r="I32" s="190">
        <v>2.7856695540746053</v>
      </c>
      <c r="J32" s="190">
        <v>1.3768167139153839E-2</v>
      </c>
      <c r="K32" s="190">
        <v>4.2964526845535014</v>
      </c>
      <c r="L32" s="191">
        <v>16270.848174603176</v>
      </c>
      <c r="M32" s="191">
        <v>751.3536507936509</v>
      </c>
      <c r="N32" s="192">
        <v>8.5368464052287578</v>
      </c>
      <c r="O32" s="192">
        <v>18</v>
      </c>
      <c r="P32" s="190">
        <v>0.13567259668284176</v>
      </c>
      <c r="Q32" s="190">
        <v>0.28603568657874323</v>
      </c>
    </row>
    <row r="33" spans="1:17" x14ac:dyDescent="0.25">
      <c r="A33">
        <v>7000</v>
      </c>
      <c r="B33">
        <v>300</v>
      </c>
      <c r="C33">
        <v>2</v>
      </c>
      <c r="D33">
        <v>0</v>
      </c>
      <c r="E33" s="190">
        <v>0.23248837006197517</v>
      </c>
      <c r="F33" s="190">
        <v>0.21039942635422862</v>
      </c>
      <c r="G33" s="190">
        <v>1.3972520149492091</v>
      </c>
      <c r="H33" s="190">
        <v>3.0287375291188536</v>
      </c>
      <c r="I33" s="190">
        <v>3.3220549392700192</v>
      </c>
      <c r="J33" s="190">
        <v>1.6170001649484025E-2</v>
      </c>
      <c r="K33" s="190">
        <v>4.9579540108612274</v>
      </c>
      <c r="L33" s="191">
        <v>18386.626031746029</v>
      </c>
      <c r="M33" s="191">
        <v>703.13619047619034</v>
      </c>
      <c r="N33" s="192">
        <v>9.9930555555555571</v>
      </c>
      <c r="O33" s="192">
        <v>19</v>
      </c>
      <c r="P33" s="190">
        <v>0.18465843461770537</v>
      </c>
      <c r="Q33" s="190">
        <v>0.35277993276441683</v>
      </c>
    </row>
    <row r="34" spans="1:17" x14ac:dyDescent="0.25">
      <c r="A34">
        <v>8000</v>
      </c>
      <c r="B34">
        <v>300</v>
      </c>
      <c r="C34">
        <v>2</v>
      </c>
      <c r="D34">
        <v>0</v>
      </c>
      <c r="E34" s="190">
        <v>0.28995406362148374</v>
      </c>
      <c r="F34" s="190">
        <v>0.24747104080859131</v>
      </c>
      <c r="G34" s="190">
        <v>1.4878297557159534</v>
      </c>
      <c r="H34" s="190">
        <v>2.3848671595255535</v>
      </c>
      <c r="I34" s="190">
        <v>2.6166748650868734</v>
      </c>
      <c r="J34" s="190">
        <v>2.0987859075821697E-2</v>
      </c>
      <c r="K34" s="190">
        <v>6.5415801912347034</v>
      </c>
      <c r="L34" s="191">
        <v>21109.800952380956</v>
      </c>
      <c r="M34" s="191">
        <v>715.05142857142857</v>
      </c>
      <c r="N34" s="192">
        <v>13.111111111111109</v>
      </c>
      <c r="O34" s="192">
        <v>27.666666666666668</v>
      </c>
      <c r="P34" s="190">
        <v>0.27561761917076111</v>
      </c>
      <c r="Q34" s="190">
        <v>0.58376002068787169</v>
      </c>
    </row>
    <row r="35" spans="1:17" x14ac:dyDescent="0.25">
      <c r="A35">
        <v>9000</v>
      </c>
      <c r="B35">
        <v>300</v>
      </c>
      <c r="C35">
        <v>2</v>
      </c>
      <c r="D35">
        <v>0</v>
      </c>
      <c r="E35" s="190">
        <v>0.31103301268871292</v>
      </c>
      <c r="F35" s="190">
        <v>0.27097875811431282</v>
      </c>
      <c r="G35" s="190">
        <v>1.4434405831504122</v>
      </c>
      <c r="H35" s="190">
        <v>2.1836857676506036</v>
      </c>
      <c r="I35" s="190">
        <v>2.3837302366892499</v>
      </c>
      <c r="J35" s="190">
        <v>2.4980285222803156E-2</v>
      </c>
      <c r="K35" s="190">
        <v>7.8049970651244811</v>
      </c>
      <c r="L35" s="191">
        <v>21954.551111111112</v>
      </c>
      <c r="M35" s="191">
        <v>664.26222222222225</v>
      </c>
      <c r="N35" s="192">
        <v>14.166666666666666</v>
      </c>
      <c r="O35" s="192">
        <v>25</v>
      </c>
      <c r="P35" s="190">
        <v>0.33464087147659677</v>
      </c>
      <c r="Q35" s="190">
        <v>0.59260408585466773</v>
      </c>
    </row>
    <row r="36" spans="1:17" x14ac:dyDescent="0.25">
      <c r="A36">
        <v>10000</v>
      </c>
      <c r="B36">
        <v>300</v>
      </c>
      <c r="C36">
        <v>2</v>
      </c>
      <c r="D36">
        <v>0</v>
      </c>
      <c r="E36" s="190">
        <v>1.3162716745102527</v>
      </c>
      <c r="F36" s="190">
        <v>0.34317679329223766</v>
      </c>
      <c r="G36" s="190">
        <v>2.6800668145139266</v>
      </c>
      <c r="H36" s="190">
        <v>5.513361426194507</v>
      </c>
      <c r="I36" s="190">
        <v>6.1796992651621503</v>
      </c>
      <c r="J36" s="190">
        <v>4.3304766797038811E-2</v>
      </c>
      <c r="K36" s="190">
        <v>14.064873900700087</v>
      </c>
      <c r="L36" s="191">
        <v>25051.397142857142</v>
      </c>
      <c r="M36" s="191">
        <v>670.7022222222223</v>
      </c>
      <c r="N36" s="192">
        <v>24.093055555555555</v>
      </c>
      <c r="O36" s="192">
        <v>36.666666666666664</v>
      </c>
      <c r="P36" s="190">
        <v>0.63176008533747097</v>
      </c>
      <c r="Q36" s="190">
        <v>0.96374450478407037</v>
      </c>
    </row>
    <row r="37" spans="1:17" x14ac:dyDescent="0.25">
      <c r="A37">
        <v>11000</v>
      </c>
      <c r="B37">
        <v>300</v>
      </c>
      <c r="C37">
        <v>2</v>
      </c>
      <c r="D37">
        <v>0</v>
      </c>
      <c r="E37" s="190">
        <v>1.7155508230327792</v>
      </c>
      <c r="F37" s="190">
        <v>0.38150473381773814</v>
      </c>
      <c r="G37" s="190">
        <v>3.1402686691967703</v>
      </c>
      <c r="H37" s="190">
        <v>5.7949740290641758</v>
      </c>
      <c r="I37" s="190">
        <v>6.3687061834335319</v>
      </c>
      <c r="J37" s="190">
        <v>4.7299661496975204E-2</v>
      </c>
      <c r="K37" s="190">
        <v>15.093951099967761</v>
      </c>
      <c r="L37" s="191">
        <v>27245.546666666673</v>
      </c>
      <c r="M37" s="191">
        <v>646.85777777777787</v>
      </c>
      <c r="N37" s="192">
        <v>24.979166666666668</v>
      </c>
      <c r="O37" s="192">
        <v>34</v>
      </c>
      <c r="P37" s="190">
        <v>0.71907486423584166</v>
      </c>
      <c r="Q37" s="190">
        <v>0.98143263511766232</v>
      </c>
    </row>
    <row r="38" spans="1:17" x14ac:dyDescent="0.25">
      <c r="A38">
        <v>12000</v>
      </c>
      <c r="B38">
        <v>300</v>
      </c>
      <c r="C38">
        <v>2</v>
      </c>
      <c r="D38">
        <v>0</v>
      </c>
      <c r="E38" s="190">
        <v>3.5051964294542088</v>
      </c>
      <c r="F38" s="190">
        <v>0.55509771442608835</v>
      </c>
      <c r="G38" s="190">
        <v>5.0868831865476398</v>
      </c>
      <c r="H38" s="190">
        <v>11.410244663556417</v>
      </c>
      <c r="I38" s="190">
        <v>12.340481330553688</v>
      </c>
      <c r="J38" s="190">
        <v>4.9184309247364444E-2</v>
      </c>
      <c r="K38" s="190">
        <v>18.024079743383879</v>
      </c>
      <c r="L38" s="191">
        <v>27444.966666666664</v>
      </c>
      <c r="M38" s="191">
        <v>617.19999999999993</v>
      </c>
      <c r="N38" s="192">
        <v>24.549019607843135</v>
      </c>
      <c r="O38" s="192">
        <v>31.666666666666668</v>
      </c>
      <c r="P38" s="190">
        <v>0.77042547042090703</v>
      </c>
      <c r="Q38" s="190">
        <v>0.99200930954228095</v>
      </c>
    </row>
    <row r="39" spans="1:17" x14ac:dyDescent="0.25">
      <c r="A39">
        <v>13000</v>
      </c>
      <c r="B39">
        <v>300</v>
      </c>
      <c r="C39">
        <v>2</v>
      </c>
      <c r="D39">
        <v>0</v>
      </c>
      <c r="E39" s="190">
        <v>9.1159876795979198</v>
      </c>
      <c r="F39" s="190">
        <v>0.65528987854474108</v>
      </c>
      <c r="G39" s="190">
        <v>10.95463573470102</v>
      </c>
      <c r="H39" s="190">
        <v>19.046502681573234</v>
      </c>
      <c r="I39" s="190">
        <v>19.775371034940083</v>
      </c>
      <c r="J39" s="190">
        <v>5.4880265473210399E-2</v>
      </c>
      <c r="K39" s="190">
        <v>24.280004303179297</v>
      </c>
      <c r="L39" s="191">
        <v>28724.251960784317</v>
      </c>
      <c r="M39" s="191">
        <v>573.86274509803923</v>
      </c>
      <c r="N39" s="192">
        <v>25.11655773420479</v>
      </c>
      <c r="O39" s="192">
        <v>29</v>
      </c>
      <c r="P39" s="190">
        <v>0.85300405137488144</v>
      </c>
      <c r="Q39" s="190">
        <v>0.98924230669769864</v>
      </c>
    </row>
    <row r="40" spans="1:17" x14ac:dyDescent="0.25">
      <c r="A40">
        <v>14000</v>
      </c>
      <c r="B40">
        <v>300</v>
      </c>
      <c r="C40">
        <v>2</v>
      </c>
      <c r="D40">
        <v>0</v>
      </c>
      <c r="E40" s="190">
        <v>11.644218997552805</v>
      </c>
      <c r="F40" s="190">
        <v>0.60584197872183487</v>
      </c>
      <c r="G40" s="190">
        <v>12.454836155189392</v>
      </c>
      <c r="H40" s="190">
        <v>22.943973843256629</v>
      </c>
      <c r="I40" s="190">
        <v>23.639374065399171</v>
      </c>
      <c r="J40" s="190">
        <v>5.4148147401154513E-2</v>
      </c>
      <c r="K40" s="190">
        <v>27.865864387884045</v>
      </c>
      <c r="L40" s="191">
        <v>27878.763123495013</v>
      </c>
      <c r="M40" s="191">
        <v>541.92778351106517</v>
      </c>
      <c r="N40" s="192">
        <v>23.946588693957121</v>
      </c>
      <c r="O40" s="192">
        <v>27</v>
      </c>
      <c r="P40" s="190">
        <v>0.87529748645382954</v>
      </c>
      <c r="Q40" s="190">
        <v>0.99237134729764664</v>
      </c>
    </row>
    <row r="41" spans="1:17" x14ac:dyDescent="0.25">
      <c r="A41">
        <v>15000</v>
      </c>
      <c r="B41">
        <v>300</v>
      </c>
      <c r="C41">
        <v>2</v>
      </c>
      <c r="D41">
        <v>0</v>
      </c>
      <c r="E41" s="190">
        <v>13.628086677628298</v>
      </c>
      <c r="F41" s="190">
        <v>0.66836240618394516</v>
      </c>
      <c r="G41" s="190">
        <v>13.578893035044539</v>
      </c>
      <c r="H41" s="190">
        <v>27.903930230935416</v>
      </c>
      <c r="I41" s="190">
        <v>28.690085995992025</v>
      </c>
      <c r="J41" s="190">
        <v>5.603377519936481E-2</v>
      </c>
      <c r="K41" s="190">
        <v>29.740709199202666</v>
      </c>
      <c r="L41" s="191">
        <v>27945.355204678362</v>
      </c>
      <c r="M41" s="191">
        <v>504.75730994152053</v>
      </c>
      <c r="N41" s="192">
        <v>22.259398496240603</v>
      </c>
      <c r="O41" s="192">
        <v>25.333333333333332</v>
      </c>
      <c r="P41" s="190">
        <v>0.87014661362483015</v>
      </c>
      <c r="Q41" s="190">
        <v>0.98259632790276707</v>
      </c>
    </row>
    <row r="42" spans="1:17" x14ac:dyDescent="0.25">
      <c r="A42" s="2">
        <v>1000</v>
      </c>
      <c r="B42" s="2">
        <v>300</v>
      </c>
      <c r="C42" s="2">
        <v>3</v>
      </c>
      <c r="D42" s="2">
        <v>0</v>
      </c>
      <c r="E42" s="193">
        <v>3.9064549781823124E-2</v>
      </c>
      <c r="F42" s="193">
        <v>3.3712867396926166E-2</v>
      </c>
      <c r="G42" s="193">
        <v>0.59742328956525192</v>
      </c>
      <c r="H42" s="193">
        <v>0.71514630317687988</v>
      </c>
      <c r="I42" s="193">
        <v>0.77206542491912844</v>
      </c>
      <c r="J42" s="193">
        <v>7.0278514508279053E-3</v>
      </c>
      <c r="K42" s="193">
        <v>2.1409004177088735</v>
      </c>
      <c r="L42" s="194">
        <v>3760.5245833333338</v>
      </c>
      <c r="M42" s="194">
        <v>1050.7770833333334</v>
      </c>
      <c r="N42" s="195">
        <v>5.6047794117647065</v>
      </c>
      <c r="O42" s="2">
        <v>11.5</v>
      </c>
      <c r="P42" s="193">
        <v>1.6512173139232419E-2</v>
      </c>
      <c r="Q42" s="193">
        <v>3.456167571761054E-2</v>
      </c>
    </row>
    <row r="43" spans="1:17" x14ac:dyDescent="0.25">
      <c r="A43" s="2">
        <v>2000</v>
      </c>
      <c r="B43" s="2">
        <v>300</v>
      </c>
      <c r="C43" s="2">
        <v>3</v>
      </c>
      <c r="D43" s="2">
        <v>0</v>
      </c>
      <c r="E43" s="193">
        <v>6.399693952502053E-2</v>
      </c>
      <c r="F43" s="193">
        <v>5.646885228648503E-2</v>
      </c>
      <c r="G43" s="193">
        <v>0.62796097914896487</v>
      </c>
      <c r="H43" s="193">
        <v>0.74450757503509513</v>
      </c>
      <c r="I43" s="193">
        <v>0.79117261648178094</v>
      </c>
      <c r="J43" s="193">
        <v>8.0706952791960666E-3</v>
      </c>
      <c r="K43" s="193">
        <v>2.4733848960290983</v>
      </c>
      <c r="L43" s="194">
        <v>7301.748333333333</v>
      </c>
      <c r="M43" s="194">
        <v>1015.0270833333335</v>
      </c>
      <c r="N43" s="195">
        <v>6.3933823529411766</v>
      </c>
      <c r="O43" s="2">
        <v>12.5</v>
      </c>
      <c r="P43" s="193">
        <v>3.5640373294391452E-2</v>
      </c>
      <c r="Q43" s="193">
        <v>6.9472459270752518E-2</v>
      </c>
    </row>
    <row r="44" spans="1:17" x14ac:dyDescent="0.25">
      <c r="A44" s="2">
        <v>3000</v>
      </c>
      <c r="B44" s="2">
        <v>300</v>
      </c>
      <c r="C44" s="2">
        <v>3</v>
      </c>
      <c r="D44" s="2">
        <v>0</v>
      </c>
      <c r="E44" s="193">
        <v>0.10438289626954089</v>
      </c>
      <c r="F44" s="193">
        <v>9.0780137003355202E-2</v>
      </c>
      <c r="G44" s="193">
        <v>0.68071966071517154</v>
      </c>
      <c r="H44" s="193">
        <v>0.82334846258163452</v>
      </c>
      <c r="I44" s="193">
        <v>0.90257667303085309</v>
      </c>
      <c r="J44" s="193">
        <v>9.3669171539898718E-3</v>
      </c>
      <c r="K44" s="193">
        <v>2.9012973598826934</v>
      </c>
      <c r="L44" s="194">
        <v>9932.71875</v>
      </c>
      <c r="M44" s="194">
        <v>931.29375000000005</v>
      </c>
      <c r="N44" s="195">
        <v>7.0588235294117645</v>
      </c>
      <c r="O44" s="2">
        <v>13.5</v>
      </c>
      <c r="P44" s="193">
        <v>5.7532058595354346E-2</v>
      </c>
      <c r="Q44" s="193">
        <v>0.1096586501163693</v>
      </c>
    </row>
    <row r="45" spans="1:17" x14ac:dyDescent="0.25">
      <c r="A45" s="2">
        <v>4000</v>
      </c>
      <c r="B45" s="2">
        <v>300</v>
      </c>
      <c r="C45" s="2">
        <v>3</v>
      </c>
      <c r="D45" s="2">
        <v>0</v>
      </c>
      <c r="E45" s="193">
        <v>0.15065540115753984</v>
      </c>
      <c r="F45" s="193">
        <v>0.12824057422707746</v>
      </c>
      <c r="G45" s="193">
        <v>0.74522870184963463</v>
      </c>
      <c r="H45" s="193">
        <v>0.95220743417739839</v>
      </c>
      <c r="I45" s="193">
        <v>1.0486458206176761</v>
      </c>
      <c r="J45" s="193">
        <v>1.3314866237425725E-2</v>
      </c>
      <c r="K45" s="193">
        <v>4.1277292247638506</v>
      </c>
      <c r="L45" s="194">
        <v>15935.375</v>
      </c>
      <c r="M45" s="194">
        <v>1121.0374999999999</v>
      </c>
      <c r="N45" s="195">
        <v>12.705882352941181</v>
      </c>
      <c r="O45" s="2">
        <v>23</v>
      </c>
      <c r="P45" s="193">
        <v>0.13641673892210099</v>
      </c>
      <c r="Q45" s="193">
        <v>0.2471295577967417</v>
      </c>
    </row>
    <row r="46" spans="1:17" x14ac:dyDescent="0.25">
      <c r="A46" s="2">
        <v>5000</v>
      </c>
      <c r="B46" s="2">
        <v>300</v>
      </c>
      <c r="C46" s="2">
        <v>3</v>
      </c>
      <c r="D46" s="2">
        <v>0</v>
      </c>
      <c r="E46" s="193">
        <v>0.21052470470275791</v>
      </c>
      <c r="F46" s="193">
        <v>0.17191651717567114</v>
      </c>
      <c r="G46" s="193">
        <v>0.8292316875977479</v>
      </c>
      <c r="H46" s="193">
        <v>1.1724771201610564</v>
      </c>
      <c r="I46" s="193">
        <v>1.278892924785614</v>
      </c>
      <c r="J46" s="193">
        <v>1.555310791801642E-2</v>
      </c>
      <c r="K46" s="193">
        <v>4.8805435430553663</v>
      </c>
      <c r="L46" s="194">
        <v>17538.867916666662</v>
      </c>
      <c r="M46" s="194">
        <v>975.83333333333348</v>
      </c>
      <c r="N46" s="195">
        <v>12.858455882352942</v>
      </c>
      <c r="O46" s="2">
        <v>23</v>
      </c>
      <c r="P46" s="193">
        <v>0.17103859581070602</v>
      </c>
      <c r="Q46" s="193">
        <v>0.30333591931730025</v>
      </c>
    </row>
    <row r="47" spans="1:17" x14ac:dyDescent="0.25">
      <c r="A47" s="2">
        <v>6000</v>
      </c>
      <c r="B47" s="2">
        <v>300</v>
      </c>
      <c r="C47" s="2">
        <v>3</v>
      </c>
      <c r="D47" s="2">
        <v>0</v>
      </c>
      <c r="E47" s="193">
        <v>0.30104209389524017</v>
      </c>
      <c r="F47" s="193">
        <v>0.23537157400344649</v>
      </c>
      <c r="G47" s="193">
        <v>0.93474197445164808</v>
      </c>
      <c r="H47" s="193">
        <v>1.424548721313476</v>
      </c>
      <c r="I47" s="193">
        <v>1.636612620353699</v>
      </c>
      <c r="J47" s="193">
        <v>2.3725058598717791E-2</v>
      </c>
      <c r="K47" s="193">
        <v>7.3598255844776101</v>
      </c>
      <c r="L47" s="194">
        <v>22517.829583333336</v>
      </c>
      <c r="M47" s="194">
        <v>1025.07</v>
      </c>
      <c r="N47" s="195">
        <v>20.96875</v>
      </c>
      <c r="O47" s="2">
        <v>40.5</v>
      </c>
      <c r="P47" s="193">
        <v>0.33335134965545565</v>
      </c>
      <c r="Q47" s="193">
        <v>0.64437548487199381</v>
      </c>
    </row>
    <row r="48" spans="1:17" x14ac:dyDescent="0.25">
      <c r="A48" s="2">
        <v>7000</v>
      </c>
      <c r="B48" s="2">
        <v>300</v>
      </c>
      <c r="C48" s="2">
        <v>3</v>
      </c>
      <c r="D48" s="2">
        <v>0</v>
      </c>
      <c r="E48" s="193">
        <v>1.1926698540285199</v>
      </c>
      <c r="F48" s="193">
        <v>0.58864848545418547</v>
      </c>
      <c r="G48" s="193">
        <v>1.2667415706111598</v>
      </c>
      <c r="H48" s="193">
        <v>2.3581148624420165</v>
      </c>
      <c r="I48" s="193">
        <v>2.8367034435272216</v>
      </c>
      <c r="J48" s="193">
        <v>2.9957435989161077E-2</v>
      </c>
      <c r="K48" s="193">
        <v>10.242532484261789</v>
      </c>
      <c r="L48" s="194">
        <v>24607.229583333334</v>
      </c>
      <c r="M48" s="194">
        <v>967.7658333333336</v>
      </c>
      <c r="N48" s="195">
        <v>24.40625</v>
      </c>
      <c r="O48" s="2">
        <v>43.5</v>
      </c>
      <c r="P48" s="193">
        <v>0.45074998288687074</v>
      </c>
      <c r="Q48" s="193">
        <v>0.8044608223429015</v>
      </c>
    </row>
    <row r="49" spans="1:17" x14ac:dyDescent="0.25">
      <c r="A49" s="2">
        <v>8000</v>
      </c>
      <c r="B49" s="2">
        <v>300</v>
      </c>
      <c r="C49" s="2">
        <v>3</v>
      </c>
      <c r="D49" s="2">
        <v>0</v>
      </c>
      <c r="E49" s="193">
        <v>3.011972712674122</v>
      </c>
      <c r="F49" s="193">
        <v>0.67462474180888077</v>
      </c>
      <c r="G49" s="193">
        <v>3.8999287827777476</v>
      </c>
      <c r="H49" s="193">
        <v>7.658454018831252</v>
      </c>
      <c r="I49" s="193">
        <v>8.2576072025299094</v>
      </c>
      <c r="J49" s="193">
        <v>4.6026723483287776E-2</v>
      </c>
      <c r="K49" s="193">
        <v>15.876244884898124</v>
      </c>
      <c r="L49" s="194">
        <v>25997.733333333337</v>
      </c>
      <c r="M49" s="194">
        <v>848.95725490196082</v>
      </c>
      <c r="N49" s="195">
        <v>34.243055555555557</v>
      </c>
      <c r="O49" s="2">
        <v>47.5</v>
      </c>
      <c r="P49" s="193">
        <v>0.71910207094216017</v>
      </c>
      <c r="Q49" s="193">
        <v>0.99363847944142747</v>
      </c>
    </row>
    <row r="50" spans="1:17" x14ac:dyDescent="0.25">
      <c r="A50" s="2">
        <v>9000</v>
      </c>
      <c r="B50" s="2">
        <v>300</v>
      </c>
      <c r="C50" s="2">
        <v>3</v>
      </c>
      <c r="D50" s="2">
        <v>0</v>
      </c>
      <c r="E50" s="193">
        <v>4.9382491700382154</v>
      </c>
      <c r="F50" s="193">
        <v>0.58397318882651494</v>
      </c>
      <c r="G50" s="193">
        <v>5.6666361706880117</v>
      </c>
      <c r="H50" s="193">
        <v>12.60594606399536</v>
      </c>
      <c r="I50" s="193">
        <v>13.232698035240169</v>
      </c>
      <c r="J50" s="193">
        <v>4.9659702641519837E-2</v>
      </c>
      <c r="K50" s="193">
        <v>19.443941701613355</v>
      </c>
      <c r="L50" s="194">
        <v>26440.126470588235</v>
      </c>
      <c r="M50" s="194">
        <v>804.46732026143786</v>
      </c>
      <c r="N50" s="195">
        <v>34.356725146198826</v>
      </c>
      <c r="O50" s="2">
        <v>42</v>
      </c>
      <c r="P50" s="193">
        <v>0.81162910184693704</v>
      </c>
      <c r="Q50" s="193">
        <v>0.99685802948021718</v>
      </c>
    </row>
    <row r="51" spans="1:17" x14ac:dyDescent="0.25">
      <c r="A51" s="2">
        <v>10000</v>
      </c>
      <c r="B51" s="2">
        <v>300</v>
      </c>
      <c r="C51" s="2">
        <v>3</v>
      </c>
      <c r="D51" s="2">
        <v>0</v>
      </c>
      <c r="E51" s="193">
        <v>10.12125709525824</v>
      </c>
      <c r="F51" s="193">
        <v>0.70765306539515027</v>
      </c>
      <c r="G51" s="193">
        <v>10.896078383424459</v>
      </c>
      <c r="H51" s="193">
        <v>21.766291022300713</v>
      </c>
      <c r="I51" s="193">
        <v>22.779567379951473</v>
      </c>
      <c r="J51" s="193">
        <v>5.5731671260744756E-2</v>
      </c>
      <c r="K51" s="193">
        <v>25.631817402061053</v>
      </c>
      <c r="L51" s="194">
        <v>26029.615789473686</v>
      </c>
      <c r="M51" s="194">
        <v>698.1052631578948</v>
      </c>
      <c r="N51" s="195">
        <v>33.15</v>
      </c>
      <c r="O51" s="2">
        <v>38</v>
      </c>
      <c r="P51" s="193">
        <v>0.86822536850271537</v>
      </c>
      <c r="Q51" s="193">
        <v>0.99837083010085337</v>
      </c>
    </row>
    <row r="52" spans="1:17" x14ac:dyDescent="0.25">
      <c r="A52" s="2">
        <v>11000</v>
      </c>
      <c r="B52" s="2">
        <v>300</v>
      </c>
      <c r="C52" s="2">
        <v>3</v>
      </c>
      <c r="D52" s="2">
        <v>0</v>
      </c>
      <c r="E52" s="193">
        <v>11.842004480973756</v>
      </c>
      <c r="F52" s="193">
        <v>0.71150757217011518</v>
      </c>
      <c r="G52" s="193">
        <v>12.395153424890971</v>
      </c>
      <c r="H52" s="193">
        <v>24.136093688011172</v>
      </c>
      <c r="I52" s="193">
        <v>25.322933273315428</v>
      </c>
      <c r="J52" s="193">
        <v>5.398782987364837E-2</v>
      </c>
      <c r="K52" s="193">
        <v>27.714499516119758</v>
      </c>
      <c r="L52" s="194">
        <v>26459.121052631581</v>
      </c>
      <c r="M52" s="194">
        <v>645.54578947368418</v>
      </c>
      <c r="N52" s="195">
        <v>30.608333333333334</v>
      </c>
      <c r="O52" s="2">
        <v>34</v>
      </c>
      <c r="P52" s="193">
        <v>0.88144787395175306</v>
      </c>
      <c r="Q52" s="193">
        <v>0.98467804499612099</v>
      </c>
    </row>
    <row r="53" spans="1:17" x14ac:dyDescent="0.25">
      <c r="A53" s="2">
        <v>12000</v>
      </c>
      <c r="B53" s="2">
        <v>300</v>
      </c>
      <c r="C53" s="2">
        <v>3</v>
      </c>
      <c r="D53" s="2">
        <v>0</v>
      </c>
      <c r="E53" s="193">
        <v>20.290891778366323</v>
      </c>
      <c r="F53" s="193">
        <v>1.3315193647995767</v>
      </c>
      <c r="G53" s="193">
        <v>17.495017249160888</v>
      </c>
      <c r="H53" s="193">
        <v>32.745223838090901</v>
      </c>
      <c r="I53" s="193">
        <v>33.269934899806984</v>
      </c>
      <c r="J53" s="193">
        <v>5.2149953802764624E-2</v>
      </c>
      <c r="K53" s="193">
        <v>35.106309068020963</v>
      </c>
      <c r="L53" s="194">
        <v>26381.98418972332</v>
      </c>
      <c r="M53" s="194">
        <v>604.92312252964439</v>
      </c>
      <c r="N53" s="195">
        <v>27.9375</v>
      </c>
      <c r="O53" s="2">
        <v>31.5</v>
      </c>
      <c r="P53" s="193">
        <v>0.87177630395430672</v>
      </c>
      <c r="Q53" s="193">
        <v>0.97932505818463933</v>
      </c>
    </row>
    <row r="54" spans="1:17" x14ac:dyDescent="0.25">
      <c r="A54" s="2">
        <v>13000</v>
      </c>
      <c r="B54" s="2">
        <v>300</v>
      </c>
      <c r="C54" s="2">
        <v>3</v>
      </c>
      <c r="D54" s="2">
        <v>0</v>
      </c>
      <c r="E54" s="193">
        <v>22.320715790623229</v>
      </c>
      <c r="F54" s="193">
        <v>1.827707541219866</v>
      </c>
      <c r="G54" s="193">
        <v>19.511414777038858</v>
      </c>
      <c r="H54" s="193">
        <v>34.75658829212189</v>
      </c>
      <c r="I54" s="193">
        <v>35.147129015922538</v>
      </c>
      <c r="J54" s="193">
        <v>5.2832270464367087E-2</v>
      </c>
      <c r="K54" s="193">
        <v>38.157451927955563</v>
      </c>
      <c r="L54" s="194">
        <v>26239.925691699602</v>
      </c>
      <c r="M54" s="194">
        <v>551.88774703557306</v>
      </c>
      <c r="N54" s="195">
        <v>25.795289855072468</v>
      </c>
      <c r="O54" s="2">
        <v>29.5</v>
      </c>
      <c r="P54" s="193">
        <v>0.8748298029030479</v>
      </c>
      <c r="Q54" s="193">
        <v>0.99681923972071373</v>
      </c>
    </row>
    <row r="55" spans="1:17" x14ac:dyDescent="0.25">
      <c r="A55" s="2">
        <v>14000</v>
      </c>
      <c r="B55" s="2">
        <v>300</v>
      </c>
      <c r="C55" s="2">
        <v>3</v>
      </c>
      <c r="D55" s="2">
        <v>0</v>
      </c>
      <c r="E55" s="193">
        <v>29.486728188790543</v>
      </c>
      <c r="F55" s="193">
        <v>1.5742659354815207</v>
      </c>
      <c r="G55" s="193">
        <v>23.050413631754466</v>
      </c>
      <c r="H55" s="193">
        <v>41.111394631862638</v>
      </c>
      <c r="I55" s="193">
        <v>41.736446769237517</v>
      </c>
      <c r="J55" s="193">
        <v>5.4345286202558019E-2</v>
      </c>
      <c r="K55" s="193">
        <v>42.787477857929318</v>
      </c>
      <c r="L55" s="194">
        <v>26511.612500000003</v>
      </c>
      <c r="M55" s="194">
        <v>508.30769230769226</v>
      </c>
      <c r="N55" s="195">
        <v>24.974074074074075</v>
      </c>
      <c r="O55" s="2">
        <v>27</v>
      </c>
      <c r="P55" s="193">
        <v>0.90925288049880759</v>
      </c>
      <c r="Q55" s="193">
        <v>0.99383242823894491</v>
      </c>
    </row>
    <row r="56" spans="1:17" x14ac:dyDescent="0.25">
      <c r="A56" s="2">
        <v>15000</v>
      </c>
      <c r="B56" s="2">
        <v>300</v>
      </c>
      <c r="C56" s="2">
        <v>3</v>
      </c>
      <c r="D56" s="2">
        <v>0</v>
      </c>
      <c r="E56" s="193">
        <v>36.256328886927776</v>
      </c>
      <c r="F56" s="193">
        <v>1.915492380903296</v>
      </c>
      <c r="G56" s="193">
        <v>27.11355739988683</v>
      </c>
      <c r="H56" s="193">
        <v>48.30793373584747</v>
      </c>
      <c r="I56" s="193">
        <v>48.966524019241334</v>
      </c>
      <c r="J56" s="193">
        <v>5.2854428180746427E-2</v>
      </c>
      <c r="K56" s="193">
        <v>51.681313286151813</v>
      </c>
      <c r="L56" s="194">
        <v>25691.138624338622</v>
      </c>
      <c r="M56" s="194">
        <v>466.04021164021162</v>
      </c>
      <c r="N56" s="195">
        <v>23.241995073891623</v>
      </c>
      <c r="O56" s="2">
        <v>25.5</v>
      </c>
      <c r="P56" s="193">
        <v>0.90006702220761503</v>
      </c>
      <c r="Q56" s="193">
        <v>0.9859581070597363</v>
      </c>
    </row>
    <row r="57" spans="1:17" x14ac:dyDescent="0.25">
      <c r="A57">
        <v>5000</v>
      </c>
      <c r="B57">
        <v>100</v>
      </c>
      <c r="C57">
        <v>2</v>
      </c>
      <c r="D57">
        <v>0</v>
      </c>
      <c r="E57" s="190">
        <v>0.15310316644821045</v>
      </c>
      <c r="F57" s="190">
        <v>0.14001906340436057</v>
      </c>
      <c r="G57" s="190">
        <v>1.155893479584911</v>
      </c>
      <c r="H57" s="190">
        <v>2.3622004191080728</v>
      </c>
      <c r="I57" s="190">
        <v>2.7759022140502925</v>
      </c>
      <c r="J57" s="190">
        <v>9.6372250619072009E-3</v>
      </c>
      <c r="K57" s="190">
        <v>1.1050221029912082</v>
      </c>
      <c r="L57" s="191">
        <v>13843.581089743588</v>
      </c>
      <c r="M57" s="191">
        <v>258.15320512820512</v>
      </c>
      <c r="N57" s="192">
        <v>2.1190476190476191</v>
      </c>
      <c r="O57" s="192">
        <v>6.333333333333333</v>
      </c>
      <c r="P57" s="190">
        <v>2.7674917911307269E-2</v>
      </c>
      <c r="Q57" s="190">
        <v>8.2699767261443E-2</v>
      </c>
    </row>
    <row r="58" spans="1:17" x14ac:dyDescent="0.25">
      <c r="A58">
        <v>5000</v>
      </c>
      <c r="B58">
        <v>200</v>
      </c>
      <c r="C58">
        <v>2</v>
      </c>
      <c r="D58">
        <v>0</v>
      </c>
      <c r="E58" s="190">
        <v>0.15337052458484812</v>
      </c>
      <c r="F58" s="190">
        <v>0.14131639997156367</v>
      </c>
      <c r="G58" s="190">
        <v>1.0886227086385336</v>
      </c>
      <c r="H58" s="190">
        <v>2.1854217251141868</v>
      </c>
      <c r="I58" s="190">
        <v>2.5071182203292834</v>
      </c>
      <c r="J58" s="190">
        <v>1.0460084484178884E-2</v>
      </c>
      <c r="K58" s="190">
        <v>2.2130016907884409</v>
      </c>
      <c r="L58" s="191">
        <v>12979.142261904761</v>
      </c>
      <c r="M58" s="191">
        <v>482.27559523809515</v>
      </c>
      <c r="N58" s="192">
        <v>4.7281045751633988</v>
      </c>
      <c r="O58" s="192">
        <v>10</v>
      </c>
      <c r="P58" s="190">
        <v>6.230122149713261E-2</v>
      </c>
      <c r="Q58" s="190">
        <v>0.13157486423584175</v>
      </c>
    </row>
    <row r="59" spans="1:17" x14ac:dyDescent="0.25">
      <c r="A59">
        <v>5000</v>
      </c>
      <c r="B59">
        <v>300</v>
      </c>
      <c r="C59">
        <v>2</v>
      </c>
      <c r="D59">
        <v>0</v>
      </c>
      <c r="E59" s="190">
        <v>0.16116826119435404</v>
      </c>
      <c r="F59" s="190">
        <v>0.14455132195937925</v>
      </c>
      <c r="G59" s="190">
        <v>0.79212661878774748</v>
      </c>
      <c r="H59" s="190">
        <v>1.0923022747039794</v>
      </c>
      <c r="I59" s="190">
        <v>1.2533288701375327</v>
      </c>
      <c r="J59" s="190">
        <v>1.1342318018871873E-2</v>
      </c>
      <c r="K59" s="190">
        <v>3.533105623815942</v>
      </c>
      <c r="L59" s="191">
        <v>12742.970833333333</v>
      </c>
      <c r="M59" s="191">
        <v>714.52499999999998</v>
      </c>
      <c r="N59" s="192">
        <v>7.1372549019607847</v>
      </c>
      <c r="O59" s="192">
        <v>16.333333333333332</v>
      </c>
      <c r="P59" s="190">
        <v>9.50714187924976E-2</v>
      </c>
      <c r="Q59" s="190">
        <v>0.21825704680630986</v>
      </c>
    </row>
    <row r="60" spans="1:17" x14ac:dyDescent="0.25">
      <c r="A60">
        <v>5000</v>
      </c>
      <c r="B60">
        <v>400</v>
      </c>
      <c r="C60">
        <v>2</v>
      </c>
      <c r="D60">
        <v>0</v>
      </c>
      <c r="E60" s="190">
        <v>0.15893258931756402</v>
      </c>
      <c r="F60" s="190">
        <v>0.14438882254426644</v>
      </c>
      <c r="G60" s="190">
        <v>0.86264109190174754</v>
      </c>
      <c r="H60" s="190">
        <v>1.3129658778508508</v>
      </c>
      <c r="I60" s="190">
        <v>1.5561990388234443</v>
      </c>
      <c r="J60" s="190">
        <v>1.1075833659466924E-2</v>
      </c>
      <c r="K60" s="190">
        <v>4.5276417927164161</v>
      </c>
      <c r="L60" s="191">
        <v>11301.037499999999</v>
      </c>
      <c r="M60" s="191">
        <v>830.43333333333339</v>
      </c>
      <c r="N60" s="192">
        <v>7.9607843137254903</v>
      </c>
      <c r="O60" s="192">
        <v>17</v>
      </c>
      <c r="P60" s="190">
        <v>0.10698367787766773</v>
      </c>
      <c r="Q60" s="190">
        <v>0.22865270235324539</v>
      </c>
    </row>
    <row r="61" spans="1:17" x14ac:dyDescent="0.25">
      <c r="A61">
        <v>5000</v>
      </c>
      <c r="B61">
        <v>500</v>
      </c>
      <c r="C61">
        <v>2</v>
      </c>
      <c r="D61">
        <v>0</v>
      </c>
      <c r="E61" s="190">
        <v>0.50221464618893996</v>
      </c>
      <c r="F61" s="190">
        <v>0.34444617464136235</v>
      </c>
      <c r="G61" s="190">
        <v>3.8024452155977304</v>
      </c>
      <c r="H61" s="190">
        <v>8.4403578162193256</v>
      </c>
      <c r="I61" s="190">
        <v>9.385810093879698</v>
      </c>
      <c r="J61" s="190">
        <v>1.5406034269445123E-2</v>
      </c>
      <c r="K61" s="190">
        <v>7.4567372525505506</v>
      </c>
      <c r="L61" s="191">
        <v>16988.75</v>
      </c>
      <c r="M61" s="191">
        <v>1554.0732142857141</v>
      </c>
      <c r="N61" s="192">
        <v>15.67892156862745</v>
      </c>
      <c r="O61" s="192">
        <v>35</v>
      </c>
      <c r="P61" s="190">
        <v>0.21169130957270418</v>
      </c>
      <c r="Q61" s="190">
        <v>0.48582880786139127</v>
      </c>
    </row>
    <row r="62" spans="1:17" x14ac:dyDescent="0.25">
      <c r="A62">
        <v>5000</v>
      </c>
      <c r="B62">
        <v>600</v>
      </c>
      <c r="C62">
        <v>2</v>
      </c>
      <c r="D62">
        <v>0</v>
      </c>
      <c r="E62" s="190">
        <v>0.17005826780993508</v>
      </c>
      <c r="F62" s="190">
        <v>0.24551542522963241</v>
      </c>
      <c r="G62" s="190">
        <v>0.85443627847475501</v>
      </c>
      <c r="H62" s="190">
        <v>1.2550119717915849</v>
      </c>
      <c r="I62" s="190">
        <v>1.4356961647669477</v>
      </c>
      <c r="J62" s="190">
        <v>1.4934354230036029E-2</v>
      </c>
      <c r="K62" s="190">
        <v>9.738733615059159</v>
      </c>
      <c r="L62" s="191">
        <v>12520.516666666668</v>
      </c>
      <c r="M62" s="191">
        <v>1383.0625</v>
      </c>
      <c r="N62" s="192">
        <v>17.666666666666668</v>
      </c>
      <c r="O62" s="192">
        <v>32</v>
      </c>
      <c r="P62" s="190">
        <v>0.24133771429440673</v>
      </c>
      <c r="Q62" s="190">
        <v>0.43791052495474525</v>
      </c>
    </row>
    <row r="63" spans="1:17" x14ac:dyDescent="0.25">
      <c r="A63">
        <v>5000</v>
      </c>
      <c r="B63">
        <v>700</v>
      </c>
      <c r="C63">
        <v>2</v>
      </c>
      <c r="D63">
        <v>0</v>
      </c>
      <c r="E63" s="190">
        <v>0.17619657907857875</v>
      </c>
      <c r="F63" s="190">
        <v>0.15544193767138964</v>
      </c>
      <c r="G63" s="190">
        <v>0.99250126931340743</v>
      </c>
      <c r="H63" s="190">
        <v>2.0728516777356458</v>
      </c>
      <c r="I63" s="190">
        <v>2.4672814178466793</v>
      </c>
      <c r="J63" s="190">
        <v>1.6075060193484956E-2</v>
      </c>
      <c r="K63" s="190">
        <v>11.325994664118975</v>
      </c>
      <c r="L63" s="191">
        <v>12397.255277777776</v>
      </c>
      <c r="M63" s="191">
        <v>1573.9455555555558</v>
      </c>
      <c r="N63" s="192">
        <v>21.506127450980397</v>
      </c>
      <c r="O63" s="192">
        <v>38.666666666666664</v>
      </c>
      <c r="P63" s="190">
        <v>0.29655056359238813</v>
      </c>
      <c r="Q63" s="190">
        <v>0.53491078355314203</v>
      </c>
    </row>
    <row r="64" spans="1:17" x14ac:dyDescent="0.25">
      <c r="A64">
        <v>5000</v>
      </c>
      <c r="B64">
        <v>800</v>
      </c>
      <c r="C64">
        <v>2</v>
      </c>
      <c r="D64">
        <v>0</v>
      </c>
      <c r="E64" s="190">
        <v>0.23137368829244689</v>
      </c>
      <c r="F64" s="190">
        <v>0.15481857555113479</v>
      </c>
      <c r="G64" s="190">
        <v>1.1025821170809051</v>
      </c>
      <c r="H64" s="190">
        <v>2.8050277670224504</v>
      </c>
      <c r="I64" s="190">
        <v>3.1549166059494014</v>
      </c>
      <c r="J64" s="190">
        <v>1.614998110024948E-2</v>
      </c>
      <c r="K64" s="190">
        <v>12.925310710319906</v>
      </c>
      <c r="L64" s="191">
        <v>11441.094607843137</v>
      </c>
      <c r="M64" s="191">
        <v>1689.0698529411764</v>
      </c>
      <c r="N64" s="192">
        <v>22.738562091503269</v>
      </c>
      <c r="O64" s="192">
        <v>35.333333333333336</v>
      </c>
      <c r="P64" s="190">
        <v>0.31619645703294674</v>
      </c>
      <c r="Q64" s="190">
        <v>0.49519006982156716</v>
      </c>
    </row>
    <row r="65" spans="1:17" x14ac:dyDescent="0.25">
      <c r="A65">
        <v>5000</v>
      </c>
      <c r="B65">
        <v>900</v>
      </c>
      <c r="C65">
        <v>2</v>
      </c>
      <c r="D65">
        <v>0</v>
      </c>
      <c r="E65" s="190">
        <v>0.17436044400462422</v>
      </c>
      <c r="F65" s="190">
        <v>0.19344804233874538</v>
      </c>
      <c r="G65" s="190">
        <v>0.9016296876844011</v>
      </c>
      <c r="H65" s="190">
        <v>1.5425634225209555</v>
      </c>
      <c r="I65" s="190">
        <v>1.717054837544759</v>
      </c>
      <c r="J65" s="190">
        <v>1.7961932173386517E-2</v>
      </c>
      <c r="K65" s="190">
        <v>16.094139975212617</v>
      </c>
      <c r="L65" s="191">
        <v>11075.8431372549</v>
      </c>
      <c r="M65" s="191">
        <v>1852.6117647058825</v>
      </c>
      <c r="N65" s="192">
        <v>27.888888888888889</v>
      </c>
      <c r="O65" s="192">
        <v>42.333333333333336</v>
      </c>
      <c r="P65" s="190">
        <v>0.39154670574375766</v>
      </c>
      <c r="Q65" s="190">
        <v>0.59490561158520816</v>
      </c>
    </row>
    <row r="66" spans="1:17" x14ac:dyDescent="0.25">
      <c r="A66">
        <v>5000</v>
      </c>
      <c r="B66">
        <v>1000</v>
      </c>
      <c r="C66">
        <v>2</v>
      </c>
      <c r="D66">
        <v>0</v>
      </c>
      <c r="E66" s="190">
        <v>0.18828923375344761</v>
      </c>
      <c r="F66" s="190">
        <v>0.16248296045972282</v>
      </c>
      <c r="G66" s="190">
        <v>1.1704781419399841</v>
      </c>
      <c r="H66" s="190">
        <v>3.2295448025067626</v>
      </c>
      <c r="I66" s="190">
        <v>4.105344993273417</v>
      </c>
      <c r="J66" s="190">
        <v>2.0872182953329547E-2</v>
      </c>
      <c r="K66" s="190">
        <v>20.658373428792796</v>
      </c>
      <c r="L66" s="191">
        <v>11753.010185185187</v>
      </c>
      <c r="M66" s="191">
        <v>2126.0847222222224</v>
      </c>
      <c r="N66" s="192">
        <v>34.896800825593395</v>
      </c>
      <c r="O66" s="192">
        <v>54</v>
      </c>
      <c r="P66" s="190">
        <v>0.49386129038198118</v>
      </c>
      <c r="Q66" s="190">
        <v>0.76237393328161362</v>
      </c>
    </row>
    <row r="67" spans="1:17" x14ac:dyDescent="0.25">
      <c r="A67">
        <v>5000</v>
      </c>
      <c r="B67">
        <v>1100</v>
      </c>
      <c r="C67">
        <v>2</v>
      </c>
      <c r="D67">
        <v>0</v>
      </c>
      <c r="E67" s="190">
        <v>0.23504210296204842</v>
      </c>
      <c r="F67" s="190">
        <v>0.20141286979510664</v>
      </c>
      <c r="G67" s="190">
        <v>1.3894296544767464</v>
      </c>
      <c r="H67" s="190">
        <v>3.5152292529741924</v>
      </c>
      <c r="I67" s="190">
        <v>3.620838298797608</v>
      </c>
      <c r="J67" s="190">
        <v>1.8766042390591448E-2</v>
      </c>
      <c r="K67" s="190">
        <v>20.971273956765248</v>
      </c>
      <c r="L67" s="191">
        <v>10473.480827886708</v>
      </c>
      <c r="M67" s="191">
        <v>2125.919564270152</v>
      </c>
      <c r="N67" s="192">
        <v>30.68896198830409</v>
      </c>
      <c r="O67" s="192">
        <v>46</v>
      </c>
      <c r="P67" s="190">
        <v>0.43729828190854692</v>
      </c>
      <c r="Q67" s="190">
        <v>0.65254719420739582</v>
      </c>
    </row>
    <row r="68" spans="1:17" x14ac:dyDescent="0.25">
      <c r="A68">
        <v>5000</v>
      </c>
      <c r="B68">
        <v>1200</v>
      </c>
      <c r="C68">
        <v>2</v>
      </c>
      <c r="D68">
        <v>0</v>
      </c>
      <c r="E68" s="190">
        <v>0.18824029019694385</v>
      </c>
      <c r="F68" s="190">
        <v>0.16432492611937052</v>
      </c>
      <c r="G68" s="190">
        <v>1.0480099242489727</v>
      </c>
      <c r="H68" s="190">
        <v>2.0461770534515371</v>
      </c>
      <c r="I68" s="190">
        <v>2.385656719207764</v>
      </c>
      <c r="J68" s="190">
        <v>2.0326716039575112E-2</v>
      </c>
      <c r="K68" s="190">
        <v>24.388625301044417</v>
      </c>
      <c r="L68" s="191">
        <v>9556.6426785919048</v>
      </c>
      <c r="M68" s="191">
        <v>2145.7577571379429</v>
      </c>
      <c r="N68" s="192">
        <v>35.480311890838209</v>
      </c>
      <c r="O68" s="192">
        <v>55</v>
      </c>
      <c r="P68" s="190">
        <v>0.51077284626098474</v>
      </c>
      <c r="Q68" s="190">
        <v>0.79175071114559081</v>
      </c>
    </row>
    <row r="69" spans="1:17" x14ac:dyDescent="0.25">
      <c r="A69">
        <v>5000</v>
      </c>
      <c r="B69">
        <v>1300</v>
      </c>
      <c r="C69">
        <v>2</v>
      </c>
      <c r="D69">
        <v>0</v>
      </c>
      <c r="E69" s="190">
        <v>0.4180031805995803</v>
      </c>
      <c r="F69" s="190">
        <v>0.17561969466664892</v>
      </c>
      <c r="G69" s="190">
        <v>1.9199125414060869</v>
      </c>
      <c r="H69" s="190">
        <v>5.2925902485847471</v>
      </c>
      <c r="I69" s="190">
        <v>5.6682829332351696</v>
      </c>
      <c r="J69" s="190">
        <v>2.1851780945371161E-2</v>
      </c>
      <c r="K69" s="190">
        <v>28.635474381773509</v>
      </c>
      <c r="L69" s="191">
        <v>9893.9683430799232</v>
      </c>
      <c r="M69" s="191">
        <v>2384.682456140351</v>
      </c>
      <c r="N69" s="192">
        <v>39.140350877192986</v>
      </c>
      <c r="O69" s="192">
        <v>63</v>
      </c>
      <c r="P69" s="190">
        <v>0.56726287207545623</v>
      </c>
      <c r="Q69" s="190">
        <v>0.91130074993535037</v>
      </c>
    </row>
    <row r="70" spans="1:17" x14ac:dyDescent="0.25">
      <c r="A70">
        <v>5000</v>
      </c>
      <c r="B70">
        <v>1400</v>
      </c>
      <c r="C70">
        <v>2</v>
      </c>
      <c r="D70">
        <v>0</v>
      </c>
      <c r="E70" s="190">
        <v>1.8249674372255154</v>
      </c>
      <c r="F70" s="190">
        <v>0.19329064533754595</v>
      </c>
      <c r="G70" s="190">
        <v>2.2599220545800045</v>
      </c>
      <c r="H70" s="190">
        <v>6.5031854073206565</v>
      </c>
      <c r="I70" s="190">
        <v>7.7864677302042651</v>
      </c>
      <c r="J70" s="190">
        <v>2.4655918108415869E-2</v>
      </c>
      <c r="K70" s="190">
        <v>35.467737052007756</v>
      </c>
      <c r="L70" s="191">
        <v>9392.272259079069</v>
      </c>
      <c r="M70" s="191">
        <v>2441.3438891346009</v>
      </c>
      <c r="N70" s="192">
        <v>46.14006734006734</v>
      </c>
      <c r="O70" s="192">
        <v>69.333333333333329</v>
      </c>
      <c r="P70" s="190">
        <v>0.67386728678039765</v>
      </c>
      <c r="Q70" s="190">
        <v>0.9954228083785881</v>
      </c>
    </row>
    <row r="71" spans="1:17" x14ac:dyDescent="0.25">
      <c r="A71">
        <v>5000</v>
      </c>
      <c r="B71">
        <v>1500</v>
      </c>
      <c r="C71">
        <v>2</v>
      </c>
      <c r="D71">
        <v>0</v>
      </c>
      <c r="E71" s="190">
        <v>1.6748234095749341</v>
      </c>
      <c r="F71" s="190">
        <v>0.2054726877016777</v>
      </c>
      <c r="G71" s="190">
        <v>2.2110054026521362</v>
      </c>
      <c r="H71" s="190">
        <v>7.0016373594601946</v>
      </c>
      <c r="I71" s="190">
        <v>8.4012144899368302</v>
      </c>
      <c r="J71" s="190">
        <v>2.5381527339316323E-2</v>
      </c>
      <c r="K71" s="190">
        <v>38.719617624598435</v>
      </c>
      <c r="L71" s="191">
        <v>9991.0628879892047</v>
      </c>
      <c r="M71" s="191">
        <v>2529.5523346828609</v>
      </c>
      <c r="N71" s="192">
        <v>48.647619047619052</v>
      </c>
      <c r="O71" s="192">
        <v>68.666666666666671</v>
      </c>
      <c r="P71" s="190">
        <v>0.71598852315687067</v>
      </c>
      <c r="Q71" s="190">
        <v>0.99756917507111453</v>
      </c>
    </row>
    <row r="72" spans="1:17" x14ac:dyDescent="0.25">
      <c r="A72">
        <v>5000</v>
      </c>
      <c r="B72">
        <v>1600</v>
      </c>
      <c r="C72">
        <v>2</v>
      </c>
      <c r="D72">
        <v>0</v>
      </c>
      <c r="E72" s="190">
        <v>1.3661789128068271</v>
      </c>
      <c r="F72" s="190">
        <v>0.18625423975646438</v>
      </c>
      <c r="G72" s="190">
        <v>1.5875425631830991</v>
      </c>
      <c r="H72" s="190">
        <v>5.1241823712984704</v>
      </c>
      <c r="I72" s="190">
        <v>6.0669184684753406</v>
      </c>
      <c r="J72" s="190">
        <v>2.4125358087585144E-2</v>
      </c>
      <c r="K72" s="190">
        <v>39.494148024441749</v>
      </c>
      <c r="L72" s="191">
        <v>8649.2764985994381</v>
      </c>
      <c r="M72" s="191">
        <v>2556.0095611577967</v>
      </c>
      <c r="N72" s="192">
        <v>46.273929773929773</v>
      </c>
      <c r="O72" s="192">
        <v>66.333333333333329</v>
      </c>
      <c r="P72" s="190">
        <v>0.68742814378966433</v>
      </c>
      <c r="Q72" s="190">
        <v>0.98492371347297647</v>
      </c>
    </row>
    <row r="73" spans="1:17" x14ac:dyDescent="0.25">
      <c r="A73">
        <v>5000</v>
      </c>
      <c r="B73">
        <v>1700</v>
      </c>
      <c r="C73">
        <v>2</v>
      </c>
      <c r="D73">
        <v>0</v>
      </c>
      <c r="E73" s="190">
        <v>3.2103631128871375</v>
      </c>
      <c r="F73" s="190">
        <v>0.19055890054550972</v>
      </c>
      <c r="G73" s="190">
        <v>2.314320123485555</v>
      </c>
      <c r="H73" s="190">
        <v>7.9766825318336485</v>
      </c>
      <c r="I73" s="190">
        <v>8.8034968773523961</v>
      </c>
      <c r="J73" s="190">
        <v>2.4324583818512577E-2</v>
      </c>
      <c r="K73" s="190">
        <v>44.130213181764738</v>
      </c>
      <c r="L73" s="191">
        <v>7827.5383694083694</v>
      </c>
      <c r="M73" s="191">
        <v>2467.4315440115438</v>
      </c>
      <c r="N73" s="192">
        <v>47.339983687809784</v>
      </c>
      <c r="O73" s="192">
        <v>67.333333333333329</v>
      </c>
      <c r="P73" s="190">
        <v>0.71036971783084368</v>
      </c>
      <c r="Q73" s="190">
        <v>0.99922420480993013</v>
      </c>
    </row>
    <row r="74" spans="1:17" x14ac:dyDescent="0.25">
      <c r="A74">
        <v>5000</v>
      </c>
      <c r="B74">
        <v>1800</v>
      </c>
      <c r="C74">
        <v>2</v>
      </c>
      <c r="D74">
        <v>0</v>
      </c>
      <c r="E74" s="190">
        <v>3.2667168117106846</v>
      </c>
      <c r="F74" s="190">
        <v>0.19339880353494768</v>
      </c>
      <c r="G74" s="190">
        <v>1.9306123339336396</v>
      </c>
      <c r="H74" s="190">
        <v>6.0410357594490049</v>
      </c>
      <c r="I74" s="190">
        <v>6.8753524398803707</v>
      </c>
      <c r="J74" s="190">
        <v>2.4144724083930518E-2</v>
      </c>
      <c r="K74" s="190">
        <v>46.483889755176939</v>
      </c>
      <c r="L74" s="191">
        <v>7565.4439826839834</v>
      </c>
      <c r="M74" s="191">
        <v>2546.24316017316</v>
      </c>
      <c r="N74" s="192">
        <v>45.810464897421419</v>
      </c>
      <c r="O74" s="192">
        <v>67</v>
      </c>
      <c r="P74" s="190">
        <v>0.69163114163282824</v>
      </c>
      <c r="Q74" s="190">
        <v>0.99824153090250833</v>
      </c>
    </row>
    <row r="75" spans="1:17" x14ac:dyDescent="0.25">
      <c r="A75">
        <v>3000</v>
      </c>
      <c r="B75">
        <v>100</v>
      </c>
      <c r="C75">
        <v>3</v>
      </c>
      <c r="D75">
        <v>0</v>
      </c>
      <c r="E75" s="190">
        <v>9.4931888558958594E-2</v>
      </c>
      <c r="F75" s="190">
        <v>8.4236843585686033E-2</v>
      </c>
      <c r="G75" s="190">
        <v>0.654660305900999</v>
      </c>
      <c r="H75" s="190">
        <v>0.81828073263168333</v>
      </c>
      <c r="I75" s="190">
        <v>0.89854340076446548</v>
      </c>
      <c r="J75" s="190">
        <v>8.4535995613054232E-3</v>
      </c>
      <c r="K75" s="190">
        <v>0.93151865672171708</v>
      </c>
      <c r="L75" s="191">
        <v>11118.395</v>
      </c>
      <c r="M75" s="191">
        <v>347.12833333333333</v>
      </c>
      <c r="N75" s="192">
        <v>2.1341911764705888</v>
      </c>
      <c r="O75" s="192">
        <v>5.5</v>
      </c>
      <c r="P75" s="190">
        <v>1.6875256696937891E-2</v>
      </c>
      <c r="Q75" s="190">
        <v>4.3444530643910018E-2</v>
      </c>
    </row>
    <row r="76" spans="1:17" x14ac:dyDescent="0.25">
      <c r="A76">
        <v>3000</v>
      </c>
      <c r="B76">
        <v>200</v>
      </c>
      <c r="C76">
        <v>3</v>
      </c>
      <c r="D76">
        <v>0</v>
      </c>
      <c r="E76" s="190">
        <v>0.1025615991401071</v>
      </c>
      <c r="F76" s="190">
        <v>8.9675797590644396E-2</v>
      </c>
      <c r="G76" s="190">
        <v>0.64672680205278432</v>
      </c>
      <c r="H76" s="190">
        <v>0.77011402845382682</v>
      </c>
      <c r="I76" s="190">
        <v>0.83509726047515853</v>
      </c>
      <c r="J76" s="190">
        <v>9.0757148595714369E-3</v>
      </c>
      <c r="K76" s="190">
        <v>1.8909375709416696</v>
      </c>
      <c r="L76" s="191">
        <v>10789.9125</v>
      </c>
      <c r="M76" s="191">
        <v>674.40625</v>
      </c>
      <c r="N76" s="192">
        <v>5.1470588235294112</v>
      </c>
      <c r="O76" s="192">
        <v>10.5</v>
      </c>
      <c r="P76" s="190">
        <v>4.1308812120658976E-2</v>
      </c>
      <c r="Q76" s="190">
        <v>8.5221101629169904E-2</v>
      </c>
    </row>
    <row r="77" spans="1:17" x14ac:dyDescent="0.25">
      <c r="A77">
        <v>3000</v>
      </c>
      <c r="B77">
        <v>300</v>
      </c>
      <c r="C77">
        <v>3</v>
      </c>
      <c r="D77">
        <v>0</v>
      </c>
      <c r="E77" s="190">
        <v>0.10188700940503526</v>
      </c>
      <c r="F77" s="190">
        <v>8.9116244570299888E-2</v>
      </c>
      <c r="G77" s="190">
        <v>0.65832686801715679</v>
      </c>
      <c r="H77" s="190">
        <v>0.78860384225845337</v>
      </c>
      <c r="I77" s="190">
        <v>0.84649495363235472</v>
      </c>
      <c r="J77" s="190">
        <v>9.7737484105561365E-3</v>
      </c>
      <c r="K77" s="190">
        <v>3.0226365075213431</v>
      </c>
      <c r="L77" s="191">
        <v>10572.581249999999</v>
      </c>
      <c r="M77" s="191">
        <v>987.625</v>
      </c>
      <c r="N77" s="192">
        <v>8.382352941176471</v>
      </c>
      <c r="O77" s="192">
        <v>15.5</v>
      </c>
      <c r="P77" s="190">
        <v>6.8285948980057493E-2</v>
      </c>
      <c r="Q77" s="190">
        <v>0.1267649340574088</v>
      </c>
    </row>
    <row r="78" spans="1:17" x14ac:dyDescent="0.25">
      <c r="A78">
        <v>3000</v>
      </c>
      <c r="B78">
        <v>400</v>
      </c>
      <c r="C78">
        <v>3</v>
      </c>
      <c r="D78">
        <v>0</v>
      </c>
      <c r="E78" s="190">
        <v>0.10506066984149426</v>
      </c>
      <c r="F78" s="190">
        <v>9.1278880747759722E-2</v>
      </c>
      <c r="G78" s="190">
        <v>0.69672424544182121</v>
      </c>
      <c r="H78" s="190">
        <v>0.94447686672210696</v>
      </c>
      <c r="I78" s="190">
        <v>1.372889928817743</v>
      </c>
      <c r="J78" s="190">
        <v>1.0705457534636925E-2</v>
      </c>
      <c r="K78" s="190">
        <v>4.3475740983831273</v>
      </c>
      <c r="L78" s="191">
        <v>11033.8375</v>
      </c>
      <c r="M78" s="191">
        <v>1352.6312499999999</v>
      </c>
      <c r="N78" s="192">
        <v>12.02941176470588</v>
      </c>
      <c r="O78" s="192">
        <v>21.5</v>
      </c>
      <c r="P78" s="190">
        <v>9.8829461963218179E-2</v>
      </c>
      <c r="Q78" s="190">
        <v>0.17564003103180759</v>
      </c>
    </row>
    <row r="79" spans="1:17" x14ac:dyDescent="0.25">
      <c r="A79">
        <v>3000</v>
      </c>
      <c r="B79">
        <v>500</v>
      </c>
      <c r="C79">
        <v>3</v>
      </c>
      <c r="D79">
        <v>0</v>
      </c>
      <c r="E79" s="190">
        <v>0.10315848703317755</v>
      </c>
      <c r="F79" s="190">
        <v>9.1119561946509747E-2</v>
      </c>
      <c r="G79" s="190">
        <v>0.66142926622897702</v>
      </c>
      <c r="H79" s="190">
        <v>0.79806160330772391</v>
      </c>
      <c r="I79" s="190">
        <v>0.84770335435867294</v>
      </c>
      <c r="J79" s="190">
        <v>1.0615078085420126E-2</v>
      </c>
      <c r="K79" s="190">
        <v>5.3740730903695129</v>
      </c>
      <c r="L79" s="191">
        <v>9890.9187500000007</v>
      </c>
      <c r="M79" s="191">
        <v>1519.2375</v>
      </c>
      <c r="N79" s="192">
        <v>13.617647058823525</v>
      </c>
      <c r="O79" s="192">
        <v>23</v>
      </c>
      <c r="P79" s="190">
        <v>0.1145187788071008</v>
      </c>
      <c r="Q79" s="190">
        <v>0.19379363847944139</v>
      </c>
    </row>
    <row r="80" spans="1:17" x14ac:dyDescent="0.25">
      <c r="A80">
        <v>3000</v>
      </c>
      <c r="B80">
        <v>600</v>
      </c>
      <c r="C80">
        <v>3</v>
      </c>
      <c r="D80">
        <v>0</v>
      </c>
      <c r="E80" s="190">
        <v>0.10816178198688285</v>
      </c>
      <c r="F80" s="190">
        <v>9.5279410350119442E-2</v>
      </c>
      <c r="G80" s="190">
        <v>0.65740238307618215</v>
      </c>
      <c r="H80" s="190">
        <v>0.79283959865570064</v>
      </c>
      <c r="I80" s="190">
        <v>0.85448841571807865</v>
      </c>
      <c r="J80" s="190">
        <v>1.1505180267543465E-2</v>
      </c>
      <c r="K80" s="190">
        <v>6.9374556738527806</v>
      </c>
      <c r="L80" s="191">
        <v>10032.375</v>
      </c>
      <c r="M80" s="191">
        <v>1828.9375</v>
      </c>
      <c r="N80" s="192">
        <v>18.058823529411761</v>
      </c>
      <c r="O80" s="192">
        <v>25</v>
      </c>
      <c r="P80" s="190">
        <v>0.15360972938438372</v>
      </c>
      <c r="Q80" s="190">
        <v>0.21408068269976727</v>
      </c>
    </row>
    <row r="81" spans="1:17" x14ac:dyDescent="0.25">
      <c r="A81">
        <v>3000</v>
      </c>
      <c r="B81">
        <v>700</v>
      </c>
      <c r="C81">
        <v>3</v>
      </c>
      <c r="D81">
        <v>0</v>
      </c>
      <c r="E81" s="190">
        <v>0.1082284531207207</v>
      </c>
      <c r="F81" s="190">
        <v>9.4523633663128437E-2</v>
      </c>
      <c r="G81" s="190">
        <v>0.67194647343241909</v>
      </c>
      <c r="H81" s="190">
        <v>0.86422576904296844</v>
      </c>
      <c r="I81" s="190">
        <v>0.91744881629943853</v>
      </c>
      <c r="J81" s="190">
        <v>1.1636336481284381E-2</v>
      </c>
      <c r="K81" s="190">
        <v>8.143381536004588</v>
      </c>
      <c r="L81" s="191">
        <v>9234.4812500000007</v>
      </c>
      <c r="M81" s="191">
        <v>1943.9875</v>
      </c>
      <c r="N81" s="192">
        <v>19.323529411764707</v>
      </c>
      <c r="O81" s="192">
        <v>30</v>
      </c>
      <c r="P81" s="190">
        <v>0.166508465294574</v>
      </c>
      <c r="Q81" s="190">
        <v>0.25791311093871216</v>
      </c>
    </row>
    <row r="82" spans="1:17" x14ac:dyDescent="0.25">
      <c r="A82">
        <v>3000</v>
      </c>
      <c r="B82">
        <v>800</v>
      </c>
      <c r="C82">
        <v>3</v>
      </c>
      <c r="D82">
        <v>0</v>
      </c>
      <c r="E82" s="190">
        <v>0.11407151165182131</v>
      </c>
      <c r="F82" s="190">
        <v>9.8829320237326823E-2</v>
      </c>
      <c r="G82" s="190">
        <v>0.68990817227784329</v>
      </c>
      <c r="H82" s="190">
        <v>0.86647276282310481</v>
      </c>
      <c r="I82" s="190">
        <v>1.0170542025566098</v>
      </c>
      <c r="J82" s="190">
        <v>1.3493247325563274E-2</v>
      </c>
      <c r="K82" s="190">
        <v>10.79955562404407</v>
      </c>
      <c r="L82" s="191">
        <v>9705.38823529412</v>
      </c>
      <c r="M82" s="191">
        <v>2421.5235294117647</v>
      </c>
      <c r="N82" s="192">
        <v>27.694444444444443</v>
      </c>
      <c r="O82" s="192">
        <v>42</v>
      </c>
      <c r="P82" s="190">
        <v>0.24204809930178434</v>
      </c>
      <c r="Q82" s="190">
        <v>0.36788207913110937</v>
      </c>
    </row>
    <row r="83" spans="1:17" x14ac:dyDescent="0.25">
      <c r="A83">
        <v>3000</v>
      </c>
      <c r="B83">
        <v>900</v>
      </c>
      <c r="C83">
        <v>3</v>
      </c>
      <c r="D83">
        <v>0</v>
      </c>
      <c r="E83" s="190">
        <v>0.14441751603154956</v>
      </c>
      <c r="F83" s="190">
        <v>0.1220509026578615</v>
      </c>
      <c r="G83" s="190">
        <v>0.91487284931049861</v>
      </c>
      <c r="H83" s="190">
        <v>1.7330931603908541</v>
      </c>
      <c r="I83" s="190">
        <v>1.9950839877128606</v>
      </c>
      <c r="J83" s="190">
        <v>1.7494420013152732E-2</v>
      </c>
      <c r="K83" s="190">
        <v>15.827367932306796</v>
      </c>
      <c r="L83" s="191">
        <v>10587.676470588234</v>
      </c>
      <c r="M83" s="191">
        <v>2964.8764705882354</v>
      </c>
      <c r="N83" s="192">
        <v>42.527777777777771</v>
      </c>
      <c r="O83" s="192">
        <v>64</v>
      </c>
      <c r="P83" s="190">
        <v>0.37595034910783548</v>
      </c>
      <c r="Q83" s="190">
        <v>0.57195500387897602</v>
      </c>
    </row>
    <row r="84" spans="1:17" x14ac:dyDescent="0.25">
      <c r="A84">
        <v>3000</v>
      </c>
      <c r="B84">
        <v>1000</v>
      </c>
      <c r="C84">
        <v>3</v>
      </c>
      <c r="D84">
        <v>0</v>
      </c>
      <c r="E84" s="190">
        <v>0.13289371045961559</v>
      </c>
      <c r="F84" s="190">
        <v>0.1137712211585975</v>
      </c>
      <c r="G84" s="190">
        <v>1.2203961207733807</v>
      </c>
      <c r="H84" s="190">
        <v>3.6079246222972867</v>
      </c>
      <c r="I84" s="190">
        <v>3.7948041152954102</v>
      </c>
      <c r="J84" s="190">
        <v>1.6468549703887021E-2</v>
      </c>
      <c r="K84" s="190">
        <v>16.617148972318766</v>
      </c>
      <c r="L84" s="191">
        <v>10299.184313725489</v>
      </c>
      <c r="M84" s="191">
        <v>3171.2952941176472</v>
      </c>
      <c r="N84" s="192">
        <v>39.854166666666671</v>
      </c>
      <c r="O84" s="192">
        <v>63.5</v>
      </c>
      <c r="P84" s="190">
        <v>0.35913983708301006</v>
      </c>
      <c r="Q84" s="190">
        <v>0.57924747866563231</v>
      </c>
    </row>
    <row r="85" spans="1:17" x14ac:dyDescent="0.25">
      <c r="A85">
        <v>3000</v>
      </c>
      <c r="B85">
        <v>1100</v>
      </c>
      <c r="C85">
        <v>3</v>
      </c>
      <c r="D85">
        <v>0</v>
      </c>
      <c r="E85" s="190">
        <v>0.14606106181244749</v>
      </c>
      <c r="F85" s="190">
        <v>0.11382646205373795</v>
      </c>
      <c r="G85" s="190">
        <v>1.9206153177622225</v>
      </c>
      <c r="H85" s="190">
        <v>7.0599357128143296</v>
      </c>
      <c r="I85" s="190">
        <v>7.9736025595664985</v>
      </c>
      <c r="J85" s="190">
        <v>1.7667547286003699E-2</v>
      </c>
      <c r="K85" s="190">
        <v>19.365111650952493</v>
      </c>
      <c r="L85" s="191">
        <v>10961.267857142855</v>
      </c>
      <c r="M85" s="191">
        <v>3688.9303571428572</v>
      </c>
      <c r="N85" s="192">
        <v>45.692156862745101</v>
      </c>
      <c r="O85" s="192">
        <v>67.5</v>
      </c>
      <c r="P85" s="190">
        <v>0.41449276685072783</v>
      </c>
      <c r="Q85" s="190">
        <v>0.61369278510473235</v>
      </c>
    </row>
    <row r="86" spans="1:17" x14ac:dyDescent="0.25">
      <c r="A86">
        <v>3000</v>
      </c>
      <c r="B86">
        <v>1200</v>
      </c>
      <c r="C86">
        <v>3</v>
      </c>
      <c r="D86">
        <v>0</v>
      </c>
      <c r="E86" s="190">
        <v>0.15061166533489184</v>
      </c>
      <c r="F86" s="190">
        <v>0.12747489874914486</v>
      </c>
      <c r="G86" s="190">
        <v>1.2072588019878969</v>
      </c>
      <c r="H86" s="190">
        <v>3.6578489184379572</v>
      </c>
      <c r="I86" s="190">
        <v>5.2039145231246948</v>
      </c>
      <c r="J86" s="190">
        <v>1.8797775393388193E-2</v>
      </c>
      <c r="K86" s="190">
        <v>22.765371987474687</v>
      </c>
      <c r="L86" s="191">
        <v>9346.1117647058818</v>
      </c>
      <c r="M86" s="191">
        <v>3472.0647058823529</v>
      </c>
      <c r="N86" s="192">
        <v>50.805555555555557</v>
      </c>
      <c r="O86" s="192">
        <v>72.5</v>
      </c>
      <c r="P86" s="190">
        <v>0.46908025170243944</v>
      </c>
      <c r="Q86" s="190">
        <v>0.66989914662529093</v>
      </c>
    </row>
    <row r="87" spans="1:17" x14ac:dyDescent="0.25">
      <c r="A87">
        <v>3000</v>
      </c>
      <c r="B87">
        <v>1300</v>
      </c>
      <c r="C87">
        <v>3</v>
      </c>
      <c r="D87">
        <v>0</v>
      </c>
      <c r="E87" s="190">
        <v>0.15257368677639888</v>
      </c>
      <c r="F87" s="190">
        <v>0.14194134164131386</v>
      </c>
      <c r="G87" s="190">
        <v>1.7632488303909035</v>
      </c>
      <c r="H87" s="190">
        <v>8.2933113336563018</v>
      </c>
      <c r="I87" s="190">
        <v>9.4203063583374025</v>
      </c>
      <c r="J87" s="190">
        <v>1.995583345049148E-2</v>
      </c>
      <c r="K87" s="190">
        <v>25.648822635112325</v>
      </c>
      <c r="L87" s="191">
        <v>9689.7121323529409</v>
      </c>
      <c r="M87" s="191">
        <v>3922.5095588235295</v>
      </c>
      <c r="N87" s="192">
        <v>51.800653594771241</v>
      </c>
      <c r="O87" s="192">
        <v>89</v>
      </c>
      <c r="P87" s="190">
        <v>0.48496541880263877</v>
      </c>
      <c r="Q87" s="190">
        <v>0.82036462373933283</v>
      </c>
    </row>
    <row r="88" spans="1:17" x14ac:dyDescent="0.25">
      <c r="A88">
        <v>3000</v>
      </c>
      <c r="B88">
        <v>1400</v>
      </c>
      <c r="C88">
        <v>3</v>
      </c>
      <c r="D88">
        <v>0</v>
      </c>
      <c r="E88" s="190">
        <v>0.43090934808373771</v>
      </c>
      <c r="F88" s="190">
        <v>0.17051431715836304</v>
      </c>
      <c r="G88" s="190">
        <v>2.8121873125772447</v>
      </c>
      <c r="H88" s="190">
        <v>8.6551060199737542</v>
      </c>
      <c r="I88" s="190">
        <v>10.2838476228714</v>
      </c>
      <c r="J88" s="190">
        <v>2.045607145350236E-2</v>
      </c>
      <c r="K88" s="190">
        <v>28.855240939884595</v>
      </c>
      <c r="L88" s="191">
        <v>9930.9933333333356</v>
      </c>
      <c r="M88" s="191">
        <v>4343.9666666666672</v>
      </c>
      <c r="N88" s="192">
        <v>55.5</v>
      </c>
      <c r="O88" s="192">
        <v>95.5</v>
      </c>
      <c r="P88" s="190">
        <v>0.52573215671062834</v>
      </c>
      <c r="Q88" s="190">
        <v>0.90232738557020942</v>
      </c>
    </row>
    <row r="89" spans="1:17" x14ac:dyDescent="0.25">
      <c r="A89">
        <v>3000</v>
      </c>
      <c r="B89">
        <v>1500</v>
      </c>
      <c r="C89">
        <v>3</v>
      </c>
      <c r="D89">
        <v>0</v>
      </c>
      <c r="E89" s="190">
        <v>0.15142445000389071</v>
      </c>
      <c r="F89" s="190">
        <v>0.14617989457196995</v>
      </c>
      <c r="G89" s="190">
        <v>1.7576015529963041</v>
      </c>
      <c r="H89" s="190">
        <v>5.252424871921539</v>
      </c>
      <c r="I89" s="190">
        <v>5.5958923101425162</v>
      </c>
      <c r="J89" s="190">
        <v>2.1612713884395868E-2</v>
      </c>
      <c r="K89" s="190">
        <v>31.610587374291057</v>
      </c>
      <c r="L89" s="191">
        <v>9311.5470833333347</v>
      </c>
      <c r="M89" s="191">
        <v>3953.8179166666669</v>
      </c>
      <c r="N89" s="192">
        <v>60.935661764705884</v>
      </c>
      <c r="O89" s="192">
        <v>97.5</v>
      </c>
      <c r="P89" s="190">
        <v>0.58152480833295317</v>
      </c>
      <c r="Q89" s="190">
        <v>0.95833979829325056</v>
      </c>
    </row>
    <row r="90" spans="1:17" x14ac:dyDescent="0.25">
      <c r="A90">
        <v>3000</v>
      </c>
      <c r="B90">
        <v>1600</v>
      </c>
      <c r="C90">
        <v>3</v>
      </c>
      <c r="D90">
        <v>0</v>
      </c>
      <c r="E90" s="190">
        <v>0.34651995566792421</v>
      </c>
      <c r="F90" s="190">
        <v>0.13298162133171454</v>
      </c>
      <c r="G90" s="190">
        <v>1.8335183536884911</v>
      </c>
      <c r="H90" s="190">
        <v>5.3484693050384511</v>
      </c>
      <c r="I90" s="190">
        <v>6.3543482112884515</v>
      </c>
      <c r="J90" s="190">
        <v>2.2412820088045599E-2</v>
      </c>
      <c r="K90" s="190">
        <v>36.007724473780712</v>
      </c>
      <c r="L90" s="191">
        <v>8572.5597222222223</v>
      </c>
      <c r="M90" s="191">
        <v>4268.0034722222217</v>
      </c>
      <c r="N90" s="192">
        <v>65.640866873065022</v>
      </c>
      <c r="O90" s="192">
        <v>102.5</v>
      </c>
      <c r="P90" s="190">
        <v>0.63672105239139465</v>
      </c>
      <c r="Q90" s="190">
        <v>0.99806051202482537</v>
      </c>
    </row>
    <row r="91" spans="1:17" x14ac:dyDescent="0.25">
      <c r="A91">
        <v>3000</v>
      </c>
      <c r="B91">
        <v>1700</v>
      </c>
      <c r="C91">
        <v>3</v>
      </c>
      <c r="D91">
        <v>0</v>
      </c>
      <c r="E91" s="190">
        <v>1.0590276121607227</v>
      </c>
      <c r="F91" s="190">
        <v>0.14047344867591277</v>
      </c>
      <c r="G91" s="190">
        <v>1.9062586120485201</v>
      </c>
      <c r="H91" s="190">
        <v>5.6325495243072501</v>
      </c>
      <c r="I91" s="190">
        <v>6.3762622690200805</v>
      </c>
      <c r="J91" s="190">
        <v>2.3826842528162459E-2</v>
      </c>
      <c r="K91" s="190">
        <v>41.450987126825183</v>
      </c>
      <c r="L91" s="191">
        <v>8332.3647058823517</v>
      </c>
      <c r="M91" s="191">
        <v>4412.7647058823532</v>
      </c>
      <c r="N91" s="192">
        <v>66.75</v>
      </c>
      <c r="O91" s="192">
        <v>103</v>
      </c>
      <c r="P91" s="190">
        <v>0.65425178863891043</v>
      </c>
      <c r="Q91" s="190">
        <v>0.99930178432893713</v>
      </c>
    </row>
    <row r="92" spans="1:17" x14ac:dyDescent="0.25">
      <c r="A92">
        <v>3000</v>
      </c>
      <c r="B92">
        <v>1800</v>
      </c>
      <c r="C92">
        <v>3</v>
      </c>
      <c r="D92">
        <v>0</v>
      </c>
      <c r="E92" s="190">
        <v>0.6357855249351404</v>
      </c>
      <c r="F92" s="190">
        <v>0.12644045595853715</v>
      </c>
      <c r="G92" s="190">
        <v>1.082758872682297</v>
      </c>
      <c r="H92" s="190">
        <v>2.3963637471199029</v>
      </c>
      <c r="I92" s="190">
        <v>2.7211949610710144</v>
      </c>
      <c r="J92" s="190">
        <v>2.2953772822062748E-2</v>
      </c>
      <c r="K92" s="190">
        <v>41.929169920307658</v>
      </c>
      <c r="L92" s="191">
        <v>8052.5895833333343</v>
      </c>
      <c r="M92" s="191">
        <v>4498.6368055555558</v>
      </c>
      <c r="N92" s="192">
        <v>67.176470588235304</v>
      </c>
      <c r="O92" s="192">
        <v>100</v>
      </c>
      <c r="P92" s="190">
        <v>0.66312162691216692</v>
      </c>
      <c r="Q92" s="190">
        <v>0.99864235841737781</v>
      </c>
    </row>
    <row r="93" spans="1:17" x14ac:dyDescent="0.25">
      <c r="A93">
        <v>5000</v>
      </c>
      <c r="B93">
        <v>300</v>
      </c>
      <c r="C93">
        <v>2</v>
      </c>
      <c r="D93">
        <v>0</v>
      </c>
      <c r="E93" s="190">
        <v>0.15797126601105918</v>
      </c>
      <c r="F93" s="190">
        <v>0.14532217116317739</v>
      </c>
      <c r="G93" s="190">
        <v>0.84658706088967772</v>
      </c>
      <c r="H93" s="190">
        <v>1.2881464004516598</v>
      </c>
      <c r="I93" s="190">
        <v>1.4399289385477705</v>
      </c>
      <c r="J93" s="190">
        <v>1.1154069304209259E-2</v>
      </c>
      <c r="K93" s="190">
        <v>3.4883015090697325</v>
      </c>
      <c r="L93" s="191">
        <v>12196.995555555557</v>
      </c>
      <c r="M93" s="191">
        <v>672.84888888888884</v>
      </c>
      <c r="N93" s="192">
        <v>6.333333333333333</v>
      </c>
      <c r="O93" s="192">
        <v>16</v>
      </c>
      <c r="P93" s="190">
        <v>8.4433992759244889E-2</v>
      </c>
      <c r="Q93" s="190">
        <v>0.21533488492371347</v>
      </c>
    </row>
    <row r="94" spans="1:17" x14ac:dyDescent="0.25">
      <c r="A94">
        <v>5000</v>
      </c>
      <c r="B94">
        <v>300</v>
      </c>
      <c r="C94">
        <v>3</v>
      </c>
      <c r="D94">
        <v>0</v>
      </c>
      <c r="E94" s="190">
        <v>0.33120772337005583</v>
      </c>
      <c r="F94" s="190">
        <v>0.26971127856781363</v>
      </c>
      <c r="G94" s="190">
        <v>2.0491161676162375</v>
      </c>
      <c r="H94" s="190">
        <v>5.6007031043370574</v>
      </c>
      <c r="I94" s="190">
        <v>6.4501546065012612</v>
      </c>
      <c r="J94" s="190">
        <v>1.9149387940522167E-2</v>
      </c>
      <c r="K94" s="190">
        <v>6.0779019709939872</v>
      </c>
      <c r="L94" s="191">
        <v>22495.554285714286</v>
      </c>
      <c r="M94" s="191">
        <v>1241.3514285714289</v>
      </c>
      <c r="N94" s="192">
        <v>17.313368983957215</v>
      </c>
      <c r="O94" s="192">
        <v>38.333333333333336</v>
      </c>
      <c r="P94" s="190">
        <v>0.22876618141438113</v>
      </c>
      <c r="Q94" s="190">
        <v>0.50680113783294545</v>
      </c>
    </row>
    <row r="95" spans="1:17" x14ac:dyDescent="0.25">
      <c r="A95">
        <v>5000</v>
      </c>
      <c r="B95">
        <v>300</v>
      </c>
      <c r="C95">
        <v>4</v>
      </c>
      <c r="D95">
        <v>0</v>
      </c>
      <c r="E95" s="190">
        <v>0.57532700991569519</v>
      </c>
      <c r="F95" s="190">
        <v>0.24776598173587749</v>
      </c>
      <c r="G95" s="190">
        <v>2.455169526482591</v>
      </c>
      <c r="H95" s="190">
        <v>8.0907527367273957</v>
      </c>
      <c r="I95" s="190">
        <v>9.3781185261408471</v>
      </c>
      <c r="J95" s="190">
        <v>2.4075493365291672E-2</v>
      </c>
      <c r="K95" s="190">
        <v>7.1516629555313029</v>
      </c>
      <c r="L95" s="191">
        <v>25250.193727106223</v>
      </c>
      <c r="M95" s="191">
        <v>1383.6219780219781</v>
      </c>
      <c r="N95" s="192">
        <v>25.670308123249299</v>
      </c>
      <c r="O95" s="192">
        <v>57.666666666666664</v>
      </c>
      <c r="P95" s="190">
        <v>0.33997760986991121</v>
      </c>
      <c r="Q95" s="190">
        <v>0.76560641324023793</v>
      </c>
    </row>
    <row r="96" spans="1:17" x14ac:dyDescent="0.25">
      <c r="A96">
        <v>5000</v>
      </c>
      <c r="B96">
        <v>300</v>
      </c>
      <c r="C96">
        <v>5</v>
      </c>
      <c r="D96">
        <v>0</v>
      </c>
      <c r="E96" s="190">
        <v>2.0035749013798547</v>
      </c>
      <c r="F96" s="190">
        <v>0.94486020957379535</v>
      </c>
      <c r="G96" s="190">
        <v>5.4556400209684339</v>
      </c>
      <c r="H96" s="190">
        <v>12.103664938608803</v>
      </c>
      <c r="I96" s="190">
        <v>13.997339930534361</v>
      </c>
      <c r="J96" s="190">
        <v>3.675773757560289E-2</v>
      </c>
      <c r="K96" s="190">
        <v>13.114092820746263</v>
      </c>
      <c r="L96" s="191">
        <v>39891.479004329005</v>
      </c>
      <c r="M96" s="191">
        <v>2204.787012987013</v>
      </c>
      <c r="N96" s="192">
        <v>35.05740740740741</v>
      </c>
      <c r="O96" s="192">
        <v>73.333333333333329</v>
      </c>
      <c r="P96" s="190">
        <v>0.4614724305375974</v>
      </c>
      <c r="Q96" s="190">
        <v>0.96276183087664846</v>
      </c>
    </row>
    <row r="97" spans="1:17" x14ac:dyDescent="0.25">
      <c r="A97">
        <v>5000</v>
      </c>
      <c r="B97">
        <v>300</v>
      </c>
      <c r="C97">
        <v>6</v>
      </c>
      <c r="D97">
        <v>0</v>
      </c>
      <c r="E97" s="190">
        <v>3.5241948201112305</v>
      </c>
      <c r="F97" s="190">
        <v>1.0033520229788151</v>
      </c>
      <c r="G97" s="190">
        <v>11.071278691786256</v>
      </c>
      <c r="H97" s="190">
        <v>24.911963017781574</v>
      </c>
      <c r="I97" s="190">
        <v>26.627600100835163</v>
      </c>
      <c r="J97" s="190">
        <v>3.9154183738759556E-2</v>
      </c>
      <c r="K97" s="190">
        <v>15.280825112491078</v>
      </c>
      <c r="L97" s="191">
        <v>50632.435930735934</v>
      </c>
      <c r="M97" s="191">
        <v>2758.015151515152</v>
      </c>
      <c r="N97" s="192">
        <v>39.88425925925926</v>
      </c>
      <c r="O97" s="192">
        <v>74.666666666666671</v>
      </c>
      <c r="P97" s="190">
        <v>0.52409993391374299</v>
      </c>
      <c r="Q97" s="190">
        <v>0.9845875355572794</v>
      </c>
    </row>
    <row r="98" spans="1:17" x14ac:dyDescent="0.25">
      <c r="A98">
        <v>5000</v>
      </c>
      <c r="B98">
        <v>300</v>
      </c>
      <c r="C98">
        <v>7</v>
      </c>
      <c r="D98">
        <v>0</v>
      </c>
      <c r="E98" s="190">
        <v>6.3528541746707345</v>
      </c>
      <c r="F98" s="190">
        <v>0.95899900142358907</v>
      </c>
      <c r="G98" s="190">
        <v>10.113453465636804</v>
      </c>
      <c r="H98" s="190">
        <v>18.273969308535253</v>
      </c>
      <c r="I98" s="190">
        <v>19.245490632057187</v>
      </c>
      <c r="J98" s="190">
        <v>4.9975882181106622E-2</v>
      </c>
      <c r="K98" s="190">
        <v>20.948593228629377</v>
      </c>
      <c r="L98" s="191">
        <v>41305.058741258741</v>
      </c>
      <c r="M98" s="191">
        <v>2247.8736596736594</v>
      </c>
      <c r="N98" s="192">
        <v>57.210317460317469</v>
      </c>
      <c r="O98" s="192">
        <v>75.666666666666671</v>
      </c>
      <c r="P98" s="190">
        <v>0.75703141354809311</v>
      </c>
      <c r="Q98" s="190">
        <v>0.99689681923972062</v>
      </c>
    </row>
    <row r="99" spans="1:17" x14ac:dyDescent="0.25">
      <c r="A99">
        <v>5000</v>
      </c>
      <c r="B99">
        <v>500</v>
      </c>
      <c r="C99">
        <v>2</v>
      </c>
      <c r="D99">
        <v>0</v>
      </c>
      <c r="E99" s="190">
        <v>0.17601847184489688</v>
      </c>
      <c r="F99" s="190">
        <v>0.15039057758938695</v>
      </c>
      <c r="G99" s="190">
        <v>0.83442367772187764</v>
      </c>
      <c r="H99" s="190">
        <v>1.3812053680419916</v>
      </c>
      <c r="I99" s="190">
        <v>1.8643025684356695</v>
      </c>
      <c r="J99" s="190">
        <v>1.3253454096760171E-2</v>
      </c>
      <c r="K99" s="190">
        <v>6.8057662108534478</v>
      </c>
      <c r="L99" s="191">
        <v>12258.112499999999</v>
      </c>
      <c r="M99" s="191">
        <v>1135.8062500000001</v>
      </c>
      <c r="N99" s="192">
        <v>12.676470588235295</v>
      </c>
      <c r="O99">
        <v>25.5</v>
      </c>
      <c r="P99" s="190">
        <v>0.17211700816866699</v>
      </c>
      <c r="Q99" s="190">
        <v>0.34270752521334363</v>
      </c>
    </row>
    <row r="100" spans="1:17" x14ac:dyDescent="0.25">
      <c r="A100">
        <v>5000</v>
      </c>
      <c r="B100">
        <v>500</v>
      </c>
      <c r="C100">
        <v>2.5</v>
      </c>
      <c r="D100">
        <v>0</v>
      </c>
      <c r="E100" s="190">
        <v>0.20610742363866</v>
      </c>
      <c r="F100" s="190">
        <v>0.17102828618696231</v>
      </c>
      <c r="G100" s="190">
        <v>0.79073647075381626</v>
      </c>
      <c r="H100" s="190">
        <v>1.0388882815837857</v>
      </c>
      <c r="I100" s="190">
        <v>1.0929871845245362</v>
      </c>
      <c r="J100" s="190">
        <v>1.6073429748460325E-2</v>
      </c>
      <c r="K100" s="190">
        <v>8.2216936333974218</v>
      </c>
      <c r="L100" s="191">
        <v>14490.78125</v>
      </c>
      <c r="M100" s="191">
        <v>1325.7375</v>
      </c>
      <c r="N100" s="192">
        <v>18.705882352941174</v>
      </c>
      <c r="O100">
        <v>32</v>
      </c>
      <c r="P100" s="190">
        <v>0.25347282435084195</v>
      </c>
      <c r="Q100" s="190">
        <v>0.43231186966640817</v>
      </c>
    </row>
    <row r="101" spans="1:17" x14ac:dyDescent="0.25">
      <c r="A101">
        <v>5000</v>
      </c>
      <c r="B101">
        <v>500</v>
      </c>
      <c r="C101">
        <v>3</v>
      </c>
      <c r="D101">
        <v>0</v>
      </c>
      <c r="E101" s="190">
        <v>0.42235602144706441</v>
      </c>
      <c r="F101" s="190">
        <v>0.29382635968487436</v>
      </c>
      <c r="G101" s="190">
        <v>1.3417937351097526</v>
      </c>
      <c r="H101" s="190">
        <v>3.3173728227615342</v>
      </c>
      <c r="I101" s="190">
        <v>3.5746103167533878</v>
      </c>
      <c r="J101" s="190">
        <v>2.534745202136612E-2</v>
      </c>
      <c r="K101" s="190">
        <v>12.921070965378959</v>
      </c>
      <c r="L101" s="191">
        <v>18807.078431372549</v>
      </c>
      <c r="M101" s="191">
        <v>1763.443137254902</v>
      </c>
      <c r="N101" s="192">
        <v>35.180555555555557</v>
      </c>
      <c r="O101">
        <v>66</v>
      </c>
      <c r="P101" s="190">
        <v>0.47636895526247736</v>
      </c>
      <c r="Q101" s="190">
        <v>0.90407292474786649</v>
      </c>
    </row>
    <row r="102" spans="1:17" x14ac:dyDescent="0.25">
      <c r="A102">
        <v>5000</v>
      </c>
      <c r="B102">
        <v>500</v>
      </c>
      <c r="C102">
        <v>3.5</v>
      </c>
      <c r="D102">
        <v>0</v>
      </c>
      <c r="E102" s="190">
        <v>0.42625374893870271</v>
      </c>
      <c r="F102" s="190">
        <v>0.31278119207276189</v>
      </c>
      <c r="G102" s="190">
        <v>1.7727053435068381</v>
      </c>
      <c r="H102" s="190">
        <v>4.8460215568542484</v>
      </c>
      <c r="I102" s="190">
        <v>5.3140898966789241</v>
      </c>
      <c r="J102" s="190">
        <v>3.0594831133307181E-2</v>
      </c>
      <c r="K102" s="190">
        <v>15.8160580704445</v>
      </c>
      <c r="L102" s="191">
        <v>21548.682142857146</v>
      </c>
      <c r="M102" s="191">
        <v>2007.2276785714284</v>
      </c>
      <c r="N102" s="192">
        <v>44.774509803921561</v>
      </c>
      <c r="O102">
        <v>67.5</v>
      </c>
      <c r="P102" s="190">
        <v>0.60576522307914638</v>
      </c>
      <c r="Q102" s="190">
        <v>0.92385570209464696</v>
      </c>
    </row>
    <row r="103" spans="1:17" x14ac:dyDescent="0.25">
      <c r="A103">
        <v>5000</v>
      </c>
      <c r="B103">
        <v>500</v>
      </c>
      <c r="C103">
        <v>4</v>
      </c>
      <c r="D103">
        <v>0</v>
      </c>
      <c r="E103" s="190">
        <v>0.88521275056337312</v>
      </c>
      <c r="F103" s="190">
        <v>0.48408511269759902</v>
      </c>
      <c r="G103" s="190">
        <v>2.4833794965809597</v>
      </c>
      <c r="H103" s="190">
        <v>6.2768180787563308</v>
      </c>
      <c r="I103" s="190">
        <v>7.1379978370666466</v>
      </c>
      <c r="J103" s="190">
        <v>3.1481167201555318E-2</v>
      </c>
      <c r="K103" s="190">
        <v>16.306570205065185</v>
      </c>
      <c r="L103" s="191">
        <v>23078.956249999999</v>
      </c>
      <c r="M103" s="191">
        <v>2081.3019230769232</v>
      </c>
      <c r="N103" s="192">
        <v>45.394957983193279</v>
      </c>
      <c r="O103">
        <v>73.5</v>
      </c>
      <c r="P103" s="190">
        <v>0.61353338852996586</v>
      </c>
      <c r="Q103" s="190">
        <v>0.99689681923972073</v>
      </c>
    </row>
    <row r="104" spans="1:17" x14ac:dyDescent="0.25">
      <c r="A104">
        <v>5000</v>
      </c>
      <c r="B104">
        <v>500</v>
      </c>
      <c r="C104">
        <v>4.5</v>
      </c>
      <c r="D104">
        <v>0</v>
      </c>
      <c r="E104" s="190">
        <v>3.1133290778931921</v>
      </c>
      <c r="F104" s="190">
        <v>0.47236298177643204</v>
      </c>
      <c r="G104" s="190">
        <v>4.6975138412394992</v>
      </c>
      <c r="H104" s="190">
        <v>10.721121263504028</v>
      </c>
      <c r="I104" s="190">
        <v>12.356046118736264</v>
      </c>
      <c r="J104" s="190">
        <v>3.6644341857891408E-2</v>
      </c>
      <c r="K104" s="190">
        <v>21.3685903105854</v>
      </c>
      <c r="L104" s="191">
        <v>24160.740000000005</v>
      </c>
      <c r="M104" s="191">
        <v>2236.126666666667</v>
      </c>
      <c r="N104" s="192">
        <v>56.125</v>
      </c>
      <c r="O104">
        <v>74.5</v>
      </c>
      <c r="P104" s="190">
        <v>0.75889012800620637</v>
      </c>
      <c r="Q104" s="190">
        <v>0.99968968192397201</v>
      </c>
    </row>
    <row r="105" spans="1:17" x14ac:dyDescent="0.25">
      <c r="A105">
        <v>5000</v>
      </c>
      <c r="B105">
        <v>500</v>
      </c>
      <c r="C105">
        <v>5</v>
      </c>
      <c r="D105">
        <v>0</v>
      </c>
      <c r="E105" s="190">
        <v>5.9768859181663343</v>
      </c>
      <c r="F105" s="190">
        <v>0.70102937710468272</v>
      </c>
      <c r="G105" s="190">
        <v>9.8312541939618381</v>
      </c>
      <c r="H105" s="190">
        <v>20.088616091012955</v>
      </c>
      <c r="I105" s="190">
        <v>22.265688579082489</v>
      </c>
      <c r="J105" s="190">
        <v>3.7746585141523716E-2</v>
      </c>
      <c r="K105" s="190">
        <v>24.301782963090066</v>
      </c>
      <c r="L105" s="191">
        <v>31447.682638888888</v>
      </c>
      <c r="M105" s="191">
        <v>2800.0798611111113</v>
      </c>
      <c r="N105" s="192">
        <v>55.344117647058823</v>
      </c>
      <c r="O105">
        <v>74.5</v>
      </c>
      <c r="P105" s="190">
        <v>0.74480582302742671</v>
      </c>
      <c r="Q105" s="190">
        <v>0.99786656322730805</v>
      </c>
    </row>
    <row r="106" spans="1:17" x14ac:dyDescent="0.25">
      <c r="A106">
        <v>5000</v>
      </c>
      <c r="B106">
        <v>500</v>
      </c>
      <c r="C106">
        <v>5.5</v>
      </c>
      <c r="D106">
        <v>0</v>
      </c>
      <c r="E106" s="190">
        <v>9.5070217260960135</v>
      </c>
      <c r="F106" s="190">
        <v>0.43838685597627414</v>
      </c>
      <c r="G106" s="190">
        <v>11.2067737248091</v>
      </c>
      <c r="H106" s="190">
        <v>21.429997074604035</v>
      </c>
      <c r="I106" s="190">
        <v>22.937023150920865</v>
      </c>
      <c r="J106" s="190">
        <v>3.985327849326771E-2</v>
      </c>
      <c r="K106" s="190">
        <v>29.290951539571708</v>
      </c>
      <c r="L106" s="191">
        <v>25903.76833333333</v>
      </c>
      <c r="M106" s="191">
        <v>2428.3995833333338</v>
      </c>
      <c r="N106" s="192">
        <v>60.29227941176471</v>
      </c>
      <c r="O106">
        <v>74.5</v>
      </c>
      <c r="P106" s="190">
        <v>0.81599065052708442</v>
      </c>
      <c r="Q106" s="190">
        <v>0.99778898370830105</v>
      </c>
    </row>
    <row r="107" spans="1:17" x14ac:dyDescent="0.25">
      <c r="A107">
        <v>5000</v>
      </c>
      <c r="B107">
        <v>500</v>
      </c>
      <c r="C107">
        <v>6</v>
      </c>
      <c r="D107">
        <v>0</v>
      </c>
      <c r="E107" s="190">
        <v>11.39422035002732</v>
      </c>
      <c r="F107" s="190">
        <v>0.46343671585796753</v>
      </c>
      <c r="G107" s="190">
        <v>12.332827720867044</v>
      </c>
      <c r="H107" s="190">
        <v>22.788018000125884</v>
      </c>
      <c r="I107" s="190">
        <v>23.14633337020874</v>
      </c>
      <c r="J107" s="190">
        <v>4.0817544585313267E-2</v>
      </c>
      <c r="K107" s="190">
        <v>31.171538915752546</v>
      </c>
      <c r="L107" s="191">
        <v>26569.114117647059</v>
      </c>
      <c r="M107" s="191">
        <v>2467.9709803921564</v>
      </c>
      <c r="N107" s="192">
        <v>63.701388888888886</v>
      </c>
      <c r="O107">
        <v>75</v>
      </c>
      <c r="P107" s="190">
        <v>0.86249757564003104</v>
      </c>
      <c r="Q107" s="190">
        <v>0.99930178432893713</v>
      </c>
    </row>
    <row r="108" spans="1:17" x14ac:dyDescent="0.25">
      <c r="A108">
        <v>5000</v>
      </c>
      <c r="B108">
        <v>500</v>
      </c>
      <c r="C108">
        <v>6.5</v>
      </c>
      <c r="D108">
        <v>0</v>
      </c>
      <c r="E108" s="190">
        <v>11.447014465963726</v>
      </c>
      <c r="F108" s="190">
        <v>0.51192707631293743</v>
      </c>
      <c r="G108" s="190">
        <v>13.185278125955509</v>
      </c>
      <c r="H108" s="190">
        <v>23.53955572247505</v>
      </c>
      <c r="I108" s="190">
        <v>23.969319953918458</v>
      </c>
      <c r="J108" s="190">
        <v>4.0333052586724066E-2</v>
      </c>
      <c r="K108" s="190">
        <v>31.491627237975276</v>
      </c>
      <c r="L108" s="191">
        <v>27595.104201680668</v>
      </c>
      <c r="M108" s="191">
        <v>2526.8252100840336</v>
      </c>
      <c r="N108" s="192">
        <v>62.105555555555554</v>
      </c>
      <c r="O108">
        <v>74</v>
      </c>
      <c r="P108" s="190">
        <v>0.84196233083354888</v>
      </c>
      <c r="Q108" s="190">
        <v>0.99910783553141969</v>
      </c>
    </row>
    <row r="109" spans="1:17" x14ac:dyDescent="0.25">
      <c r="A109">
        <v>5000</v>
      </c>
      <c r="B109">
        <v>500</v>
      </c>
      <c r="C109">
        <v>7</v>
      </c>
      <c r="D109">
        <v>0</v>
      </c>
      <c r="E109" s="190">
        <v>14.245442759659214</v>
      </c>
      <c r="F109" s="190">
        <v>0.46475651800967327</v>
      </c>
      <c r="G109" s="190">
        <v>14.786196548419639</v>
      </c>
      <c r="H109" s="190">
        <v>25.480479049682614</v>
      </c>
      <c r="I109" s="190">
        <v>28.256826920509329</v>
      </c>
      <c r="J109" s="190">
        <v>4.0722935856781238E-2</v>
      </c>
      <c r="K109" s="190">
        <v>34.355859452421328</v>
      </c>
      <c r="L109" s="191">
        <v>26745.607450980395</v>
      </c>
      <c r="M109" s="191">
        <v>2470.4658823529417</v>
      </c>
      <c r="N109" s="192">
        <v>64.152777777777771</v>
      </c>
      <c r="O109">
        <v>75</v>
      </c>
      <c r="P109" s="190">
        <v>0.86774469873286786</v>
      </c>
      <c r="Q109" s="190">
        <v>0.99743987587276961</v>
      </c>
    </row>
    <row r="110" spans="1:17" x14ac:dyDescent="0.25">
      <c r="A110">
        <v>5000</v>
      </c>
      <c r="B110">
        <v>500</v>
      </c>
      <c r="C110">
        <v>2</v>
      </c>
      <c r="D110">
        <v>0</v>
      </c>
      <c r="E110" s="190">
        <v>0.17598431917840884</v>
      </c>
      <c r="F110" s="190">
        <v>0.15181905510606336</v>
      </c>
      <c r="G110" s="190">
        <v>0.81407380497564708</v>
      </c>
      <c r="H110" s="190">
        <v>1.1390088438987731</v>
      </c>
      <c r="I110" s="190">
        <v>1.3229177117347719</v>
      </c>
      <c r="J110" s="190">
        <v>1.3675466659039886E-2</v>
      </c>
      <c r="K110" s="190">
        <v>7.0367608604535379</v>
      </c>
      <c r="L110" s="191">
        <v>12454.506249999999</v>
      </c>
      <c r="M110" s="191">
        <v>1162.1812500000001</v>
      </c>
      <c r="N110" s="192">
        <v>13.176470588235295</v>
      </c>
      <c r="O110">
        <v>26</v>
      </c>
      <c r="P110" s="190">
        <v>0.17859033450463196</v>
      </c>
      <c r="Q110" s="190">
        <v>0.35128006206361517</v>
      </c>
    </row>
    <row r="111" spans="1:17" x14ac:dyDescent="0.25">
      <c r="A111">
        <v>5000</v>
      </c>
      <c r="B111">
        <v>500</v>
      </c>
      <c r="C111">
        <v>2.2000000000000002</v>
      </c>
      <c r="D111">
        <v>0</v>
      </c>
      <c r="E111" s="190">
        <v>0.20305258798256787</v>
      </c>
      <c r="F111" s="190">
        <v>0.16800686798882636</v>
      </c>
      <c r="G111" s="190">
        <v>0.91278575280776297</v>
      </c>
      <c r="H111" s="190">
        <v>1.516696518659592</v>
      </c>
      <c r="I111" s="190">
        <v>1.855468022823334</v>
      </c>
      <c r="J111" s="190">
        <v>1.5582201915096445E-2</v>
      </c>
      <c r="K111" s="190">
        <v>7.9715277228998929</v>
      </c>
      <c r="L111" s="191">
        <v>14155.45</v>
      </c>
      <c r="M111" s="191">
        <v>1320.2125000000001</v>
      </c>
      <c r="N111" s="192">
        <v>17.647058823529409</v>
      </c>
      <c r="O111">
        <v>32</v>
      </c>
      <c r="P111" s="190">
        <v>0.23920275635467531</v>
      </c>
      <c r="Q111" s="190">
        <v>0.4313421256788208</v>
      </c>
    </row>
    <row r="112" spans="1:17" x14ac:dyDescent="0.25">
      <c r="A112">
        <v>5000</v>
      </c>
      <c r="B112">
        <v>500</v>
      </c>
      <c r="C112">
        <v>2.4</v>
      </c>
      <c r="D112">
        <v>0</v>
      </c>
      <c r="E112" s="190">
        <v>0.19155025033248335</v>
      </c>
      <c r="F112" s="190">
        <v>0.16208390292466535</v>
      </c>
      <c r="G112" s="190">
        <v>0.87404989314019976</v>
      </c>
      <c r="H112" s="190">
        <v>1.6647070646286011</v>
      </c>
      <c r="I112" s="190">
        <v>2.334600269794461</v>
      </c>
      <c r="J112" s="190">
        <v>1.4772788022741266E-2</v>
      </c>
      <c r="K112" s="190">
        <v>7.5513373273955793</v>
      </c>
      <c r="L112" s="191">
        <v>13888.606250000001</v>
      </c>
      <c r="M112" s="191">
        <v>1296.21875</v>
      </c>
      <c r="N112" s="192">
        <v>15.764705882352942</v>
      </c>
      <c r="O112">
        <v>30</v>
      </c>
      <c r="P112" s="190">
        <v>0.2133619312736732</v>
      </c>
      <c r="Q112" s="190">
        <v>0.40461598138091548</v>
      </c>
    </row>
    <row r="113" spans="1:17" x14ac:dyDescent="0.25">
      <c r="A113">
        <v>5000</v>
      </c>
      <c r="B113">
        <v>500</v>
      </c>
      <c r="C113">
        <v>2.6</v>
      </c>
      <c r="D113">
        <v>0</v>
      </c>
      <c r="E113" s="190">
        <v>0.22424565019571374</v>
      </c>
      <c r="F113" s="190">
        <v>0.18478550120979248</v>
      </c>
      <c r="G113" s="190">
        <v>1.0842929298124317</v>
      </c>
      <c r="H113" s="190">
        <v>3.4313482642173749</v>
      </c>
      <c r="I113" s="190">
        <v>4.1654850387573221</v>
      </c>
      <c r="J113" s="190">
        <v>1.7040464900077414E-2</v>
      </c>
      <c r="K113" s="190">
        <v>8.7966475354150653</v>
      </c>
      <c r="L113" s="191">
        <v>15640.955</v>
      </c>
      <c r="M113" s="191">
        <v>1447.45875</v>
      </c>
      <c r="N113" s="192">
        <v>19.601102941176471</v>
      </c>
      <c r="O113">
        <v>34</v>
      </c>
      <c r="P113" s="190">
        <v>0.26573095879158481</v>
      </c>
      <c r="Q113" s="190">
        <v>0.46307214895267645</v>
      </c>
    </row>
    <row r="114" spans="1:17" x14ac:dyDescent="0.25">
      <c r="A114">
        <v>5000</v>
      </c>
      <c r="B114">
        <v>500</v>
      </c>
      <c r="C114">
        <v>2.8</v>
      </c>
      <c r="D114">
        <v>0</v>
      </c>
      <c r="E114" s="190">
        <v>0.21542263479260726</v>
      </c>
      <c r="F114" s="190">
        <v>0.17878856696611251</v>
      </c>
      <c r="G114" s="190">
        <v>1.0393779060152848</v>
      </c>
      <c r="H114" s="190">
        <v>1.9823090612888326</v>
      </c>
      <c r="I114" s="190">
        <v>3.7103665113449091</v>
      </c>
      <c r="J114" s="190">
        <v>1.7937609454206145E-2</v>
      </c>
      <c r="K114" s="190">
        <v>9.1354417278042419</v>
      </c>
      <c r="L114" s="191">
        <v>16450.195833333331</v>
      </c>
      <c r="M114" s="191">
        <v>1498.2666666666664</v>
      </c>
      <c r="N114" s="192">
        <v>22.84191176470588</v>
      </c>
      <c r="O114">
        <v>36.5</v>
      </c>
      <c r="P114" s="190">
        <v>0.3095032058595355</v>
      </c>
      <c r="Q114" s="190">
        <v>0.49476338246702872</v>
      </c>
    </row>
    <row r="115" spans="1:17" x14ac:dyDescent="0.25">
      <c r="A115">
        <v>5000</v>
      </c>
      <c r="B115">
        <v>500</v>
      </c>
      <c r="C115">
        <v>3</v>
      </c>
      <c r="D115">
        <v>0</v>
      </c>
      <c r="E115" s="190">
        <v>0.22765649223340814</v>
      </c>
      <c r="F115" s="190">
        <v>0.18453547350022789</v>
      </c>
      <c r="G115" s="190">
        <v>0.98965067951804131</v>
      </c>
      <c r="H115" s="190">
        <v>1.9092706143856044</v>
      </c>
      <c r="I115" s="190">
        <v>2.2732530474662771</v>
      </c>
      <c r="J115" s="190">
        <v>1.9511345407451829E-2</v>
      </c>
      <c r="K115" s="190">
        <v>9.9724382709774488</v>
      </c>
      <c r="L115" s="191">
        <v>17020.168750000001</v>
      </c>
      <c r="M115" s="191">
        <v>1586.14375</v>
      </c>
      <c r="N115" s="192">
        <v>25.02941176470588</v>
      </c>
      <c r="O115">
        <v>41.5</v>
      </c>
      <c r="P115" s="190">
        <v>0.33898827180212654</v>
      </c>
      <c r="Q115" s="190">
        <v>0.56559348332040349</v>
      </c>
    </row>
    <row r="116" spans="1:17" x14ac:dyDescent="0.25">
      <c r="A116">
        <v>5000</v>
      </c>
      <c r="B116">
        <v>500</v>
      </c>
      <c r="C116">
        <v>3.2</v>
      </c>
      <c r="D116">
        <v>0</v>
      </c>
      <c r="E116" s="190">
        <v>0.3272140751714292</v>
      </c>
      <c r="F116" s="190">
        <v>0.23780301124955791</v>
      </c>
      <c r="G116" s="190">
        <v>2.198067640912706</v>
      </c>
      <c r="H116" s="190">
        <v>5.0593351125717163</v>
      </c>
      <c r="I116" s="190">
        <v>6.0444070100784302</v>
      </c>
      <c r="J116" s="190">
        <v>2.4015037537711399E-2</v>
      </c>
      <c r="K116" s="190">
        <v>12.485494078867941</v>
      </c>
      <c r="L116" s="191">
        <v>21015.885714285709</v>
      </c>
      <c r="M116" s="191">
        <v>1909.7</v>
      </c>
      <c r="N116" s="192">
        <v>35.200000000000003</v>
      </c>
      <c r="O116">
        <v>61</v>
      </c>
      <c r="P116" s="190">
        <v>0.47599172485130598</v>
      </c>
      <c r="Q116" s="190">
        <v>0.83607447633824672</v>
      </c>
    </row>
    <row r="117" spans="1:17" x14ac:dyDescent="0.25">
      <c r="A117">
        <v>5000</v>
      </c>
      <c r="B117">
        <v>500</v>
      </c>
      <c r="C117">
        <v>3.4</v>
      </c>
      <c r="D117">
        <v>0</v>
      </c>
      <c r="E117" s="190">
        <v>2.1085595476216281</v>
      </c>
      <c r="F117" s="190">
        <v>1.1353691109673829</v>
      </c>
      <c r="G117" s="190">
        <v>5.8375862573755199</v>
      </c>
      <c r="H117" s="190">
        <v>16.30083003044129</v>
      </c>
      <c r="I117" s="190">
        <v>17.47421408176422</v>
      </c>
      <c r="J117" s="190">
        <v>2.899486974076091E-2</v>
      </c>
      <c r="K117" s="190">
        <v>16.19147654632469</v>
      </c>
      <c r="L117" s="191">
        <v>28098.254545454551</v>
      </c>
      <c r="M117" s="191">
        <v>2635.7454545454539</v>
      </c>
      <c r="N117" s="192">
        <v>35.666666666666657</v>
      </c>
      <c r="O117">
        <v>74</v>
      </c>
      <c r="P117" s="190">
        <v>0.47788337212309279</v>
      </c>
      <c r="Q117" s="190">
        <v>0.98867339022498057</v>
      </c>
    </row>
    <row r="118" spans="1:17" x14ac:dyDescent="0.25">
      <c r="A118">
        <v>5000</v>
      </c>
      <c r="B118">
        <v>500</v>
      </c>
      <c r="C118">
        <v>3.6</v>
      </c>
      <c r="D118">
        <v>0</v>
      </c>
      <c r="E118" s="190">
        <v>0.68332388432197322</v>
      </c>
      <c r="F118" s="190">
        <v>0.52980489719111601</v>
      </c>
      <c r="G118" s="190">
        <v>3.1475115282083652</v>
      </c>
      <c r="H118" s="190">
        <v>6.8255829215049744</v>
      </c>
      <c r="I118" s="190">
        <v>7.6076858997344958</v>
      </c>
      <c r="J118" s="190">
        <v>2.6898599939678539E-2</v>
      </c>
      <c r="K118" s="190">
        <v>14.127510175918241</v>
      </c>
      <c r="L118" s="191">
        <v>25088.76923076923</v>
      </c>
      <c r="M118" s="191">
        <v>2353.8461538461538</v>
      </c>
      <c r="N118" s="192">
        <v>35.857142857142847</v>
      </c>
      <c r="O118">
        <v>73</v>
      </c>
      <c r="P118" s="190">
        <v>0.48270530865565769</v>
      </c>
      <c r="Q118" s="190">
        <v>0.98991466252909233</v>
      </c>
    </row>
    <row r="119" spans="1:17" x14ac:dyDescent="0.25">
      <c r="A119">
        <v>5000</v>
      </c>
      <c r="B119">
        <v>500</v>
      </c>
      <c r="C119">
        <v>3.8</v>
      </c>
      <c r="D119">
        <v>0</v>
      </c>
      <c r="E119" s="190">
        <v>1.8313010636107021</v>
      </c>
      <c r="F119" s="190">
        <v>1.097514941873035</v>
      </c>
      <c r="G119" s="190">
        <v>4.4845863933762606</v>
      </c>
      <c r="H119" s="190">
        <v>11.8969829082489</v>
      </c>
      <c r="I119" s="190">
        <v>13.724070405960081</v>
      </c>
      <c r="J119" s="190">
        <v>2.7495596487765641E-2</v>
      </c>
      <c r="K119" s="190">
        <v>15.55108878919887</v>
      </c>
      <c r="L119" s="191">
        <v>25486.966666666671</v>
      </c>
      <c r="M119" s="191">
        <v>2391.666666666667</v>
      </c>
      <c r="N119" s="192">
        <v>36.846153846153847</v>
      </c>
      <c r="O119">
        <v>73</v>
      </c>
      <c r="P119" s="190">
        <v>0.49365638240735221</v>
      </c>
      <c r="Q119" s="190">
        <v>0.99666408068269974</v>
      </c>
    </row>
    <row r="120" spans="1:17" x14ac:dyDescent="0.25">
      <c r="A120">
        <v>5000</v>
      </c>
      <c r="B120">
        <v>1000</v>
      </c>
      <c r="C120">
        <v>2</v>
      </c>
      <c r="D120">
        <v>0</v>
      </c>
      <c r="E120" s="190">
        <v>0.22058631616677774</v>
      </c>
      <c r="F120" s="190">
        <v>0.18708273940370831</v>
      </c>
      <c r="G120" s="190">
        <v>1.7244043041525279</v>
      </c>
      <c r="H120" s="190">
        <v>4.8457100659608834</v>
      </c>
      <c r="I120" s="190">
        <v>5.9301235830783856</v>
      </c>
      <c r="J120" s="190">
        <v>1.9820489445293736E-2</v>
      </c>
      <c r="K120" s="190">
        <v>20.239235813842367</v>
      </c>
      <c r="L120" s="191">
        <v>9376.3686507936472</v>
      </c>
      <c r="M120" s="191">
        <v>1742.5408730158731</v>
      </c>
      <c r="N120" s="192">
        <v>29.425000000000001</v>
      </c>
      <c r="O120" s="192">
        <v>51</v>
      </c>
      <c r="P120" s="190">
        <v>0.41702999741401603</v>
      </c>
      <c r="Q120" s="190">
        <v>0.72443754848719943</v>
      </c>
    </row>
    <row r="121" spans="1:17" x14ac:dyDescent="0.25">
      <c r="A121">
        <v>5000</v>
      </c>
      <c r="B121">
        <v>1000</v>
      </c>
      <c r="C121">
        <v>2.2000000000000002</v>
      </c>
      <c r="D121">
        <v>0</v>
      </c>
      <c r="E121" s="190">
        <v>0.36363777946386272</v>
      </c>
      <c r="F121" s="190">
        <v>0.21287415386511527</v>
      </c>
      <c r="G121" s="190">
        <v>2.6572337137385209</v>
      </c>
      <c r="H121" s="190">
        <v>10.409152847528459</v>
      </c>
      <c r="I121" s="190">
        <v>11.270163493156433</v>
      </c>
      <c r="J121" s="190">
        <v>2.21166259454268E-2</v>
      </c>
      <c r="K121" s="190">
        <v>22.153427009098213</v>
      </c>
      <c r="L121" s="191">
        <v>11476.888958333337</v>
      </c>
      <c r="M121" s="191">
        <v>1999.0216666666668</v>
      </c>
      <c r="N121" s="192">
        <v>38.209226190476194</v>
      </c>
      <c r="O121" s="192">
        <v>58.75</v>
      </c>
      <c r="P121" s="190">
        <v>0.54082065739406704</v>
      </c>
      <c r="Q121" s="190">
        <v>0.83436772692009309</v>
      </c>
    </row>
    <row r="122" spans="1:17" x14ac:dyDescent="0.25">
      <c r="A122">
        <v>5000</v>
      </c>
      <c r="B122">
        <v>1000</v>
      </c>
      <c r="C122">
        <v>2.4</v>
      </c>
      <c r="D122">
        <v>0</v>
      </c>
      <c r="E122" s="190">
        <v>0.49804553552893949</v>
      </c>
      <c r="F122" s="190">
        <v>0.34084885026655765</v>
      </c>
      <c r="G122" s="190">
        <v>2.9002478197423951</v>
      </c>
      <c r="H122" s="190">
        <v>8.688214436173439</v>
      </c>
      <c r="I122" s="190">
        <v>9.9302989912033048</v>
      </c>
      <c r="J122" s="190">
        <v>2.3147635654410761E-2</v>
      </c>
      <c r="K122" s="190">
        <v>23.242222685570606</v>
      </c>
      <c r="L122" s="191">
        <v>10908.357430555556</v>
      </c>
      <c r="M122" s="191">
        <v>1969.4657638888891</v>
      </c>
      <c r="N122" s="192">
        <v>39.763194444444444</v>
      </c>
      <c r="O122" s="192">
        <v>66.25</v>
      </c>
      <c r="P122" s="190">
        <v>0.56045971252478244</v>
      </c>
      <c r="Q122" s="190">
        <v>0.91885182311869662</v>
      </c>
    </row>
    <row r="123" spans="1:17" x14ac:dyDescent="0.25">
      <c r="A123">
        <v>5000</v>
      </c>
      <c r="B123">
        <v>1000</v>
      </c>
      <c r="C123">
        <v>2.6</v>
      </c>
      <c r="D123">
        <v>0</v>
      </c>
      <c r="E123" s="190">
        <v>1.4924599860886767</v>
      </c>
      <c r="F123" s="190">
        <v>0.32445321451237169</v>
      </c>
      <c r="G123" s="190">
        <v>3.8372524363317222</v>
      </c>
      <c r="H123" s="190">
        <v>13.436211395263673</v>
      </c>
      <c r="I123" s="190">
        <v>14.159840741157533</v>
      </c>
      <c r="J123" s="190">
        <v>2.7029909332638716E-2</v>
      </c>
      <c r="K123" s="190">
        <v>27.888758274097839</v>
      </c>
      <c r="L123" s="191">
        <v>12396.37544642857</v>
      </c>
      <c r="M123" s="191">
        <v>2235.1123511904761</v>
      </c>
      <c r="N123" s="192">
        <v>45.961111111111116</v>
      </c>
      <c r="O123" s="192">
        <v>70.75</v>
      </c>
      <c r="P123" s="190">
        <v>0.65109408671666236</v>
      </c>
      <c r="Q123" s="190">
        <v>0.9960240496508922</v>
      </c>
    </row>
    <row r="124" spans="1:17" x14ac:dyDescent="0.25">
      <c r="A124">
        <v>5000</v>
      </c>
      <c r="B124">
        <v>1000</v>
      </c>
      <c r="C124">
        <v>2.8</v>
      </c>
      <c r="D124">
        <v>0</v>
      </c>
      <c r="E124" s="190">
        <v>2.1318950119705917</v>
      </c>
      <c r="F124" s="190">
        <v>0.284615048688595</v>
      </c>
      <c r="G124" s="190">
        <v>3.9895933152286811</v>
      </c>
      <c r="H124" s="190">
        <v>10.66984308063984</v>
      </c>
      <c r="I124" s="190">
        <v>11.958593722581863</v>
      </c>
      <c r="J124" s="190">
        <v>2.7770829411846651E-2</v>
      </c>
      <c r="K124" s="190">
        <v>29.830165287416666</v>
      </c>
      <c r="L124" s="191">
        <v>11845.038749999998</v>
      </c>
      <c r="M124" s="191">
        <v>2187.6231944444444</v>
      </c>
      <c r="N124" s="192">
        <v>47.489236111111111</v>
      </c>
      <c r="O124" s="192">
        <v>70.25</v>
      </c>
      <c r="P124" s="190">
        <v>0.67199419769847424</v>
      </c>
      <c r="Q124" s="190">
        <v>0.99617920868890608</v>
      </c>
    </row>
    <row r="125" spans="1:17" x14ac:dyDescent="0.25">
      <c r="A125">
        <v>5000</v>
      </c>
      <c r="B125">
        <v>1000</v>
      </c>
      <c r="C125">
        <v>3</v>
      </c>
      <c r="D125">
        <v>0</v>
      </c>
      <c r="E125" s="190">
        <v>3.5608779512379258</v>
      </c>
      <c r="F125" s="190">
        <v>0.35638908945720671</v>
      </c>
      <c r="G125" s="190">
        <v>5.4412847553205728</v>
      </c>
      <c r="H125" s="190">
        <v>14.315434846282001</v>
      </c>
      <c r="I125" s="190">
        <v>15.292170528173443</v>
      </c>
      <c r="J125" s="190">
        <v>2.8225682364917449E-2</v>
      </c>
      <c r="K125" s="190">
        <v>30.915781222292985</v>
      </c>
      <c r="L125" s="191">
        <v>12423.338720238096</v>
      </c>
      <c r="M125" s="191">
        <v>2235.7259623015871</v>
      </c>
      <c r="N125" s="192">
        <v>48.752525252525253</v>
      </c>
      <c r="O125" s="192">
        <v>71.5</v>
      </c>
      <c r="P125" s="190">
        <v>0.69155535181136429</v>
      </c>
      <c r="Q125" s="190">
        <v>0.99807990690457715</v>
      </c>
    </row>
    <row r="126" spans="1:17" x14ac:dyDescent="0.25">
      <c r="A126">
        <v>5000</v>
      </c>
      <c r="B126">
        <v>200</v>
      </c>
      <c r="C126">
        <v>2</v>
      </c>
      <c r="D126">
        <v>0</v>
      </c>
      <c r="E126" s="190">
        <v>0.17111156936045049</v>
      </c>
      <c r="F126" s="190">
        <v>0.14817790955466786</v>
      </c>
      <c r="G126" s="190">
        <v>0.78302010879935935</v>
      </c>
      <c r="H126" s="190">
        <v>1.0646291335423763</v>
      </c>
      <c r="I126" s="190">
        <v>1.4754151487350453</v>
      </c>
      <c r="J126" s="190">
        <v>1.0464462487309993E-2</v>
      </c>
      <c r="K126" s="190">
        <v>2.2515525206627593</v>
      </c>
      <c r="L126" s="191">
        <v>12566.9625</v>
      </c>
      <c r="M126" s="191">
        <v>463.47499999999997</v>
      </c>
      <c r="N126" s="192">
        <v>5.2962962962962967</v>
      </c>
      <c r="O126" s="192">
        <v>10.666666666666666</v>
      </c>
      <c r="P126" s="190">
        <v>6.9947992989110142E-2</v>
      </c>
      <c r="Q126" s="190">
        <v>0.14116886475303855</v>
      </c>
    </row>
    <row r="127" spans="1:17" x14ac:dyDescent="0.25">
      <c r="A127">
        <v>5000</v>
      </c>
      <c r="B127">
        <v>200</v>
      </c>
      <c r="C127">
        <v>2.2000000000000002</v>
      </c>
      <c r="D127">
        <v>0</v>
      </c>
      <c r="E127" s="190">
        <v>0.17417187530369771</v>
      </c>
      <c r="F127" s="190">
        <v>0.1488430971451522</v>
      </c>
      <c r="G127" s="190">
        <v>0.76926682079348796</v>
      </c>
      <c r="H127" s="190">
        <v>1.0059027671813963</v>
      </c>
      <c r="I127" s="190">
        <v>1.1269246069590251</v>
      </c>
      <c r="J127" s="190">
        <v>1.0721021489823184E-2</v>
      </c>
      <c r="K127" s="190">
        <v>2.3052074238938194</v>
      </c>
      <c r="L127" s="191">
        <v>12653.112499999997</v>
      </c>
      <c r="M127" s="191">
        <v>465.85416666666669</v>
      </c>
      <c r="N127" s="192">
        <v>4.4814814814814818</v>
      </c>
      <c r="O127" s="192">
        <v>11</v>
      </c>
      <c r="P127" s="190">
        <v>5.8994914231531768E-2</v>
      </c>
      <c r="Q127" s="190">
        <v>0.14453064391000778</v>
      </c>
    </row>
    <row r="128" spans="1:17" x14ac:dyDescent="0.25">
      <c r="A128">
        <v>5000</v>
      </c>
      <c r="B128">
        <v>200</v>
      </c>
      <c r="C128">
        <v>2.4</v>
      </c>
      <c r="D128">
        <v>0</v>
      </c>
      <c r="E128" s="190">
        <v>0.17846621555900777</v>
      </c>
      <c r="F128" s="190">
        <v>0.15019183677874534</v>
      </c>
      <c r="G128" s="190">
        <v>0.78176807028953599</v>
      </c>
      <c r="H128" s="190">
        <v>1.0494675954182942</v>
      </c>
      <c r="I128" s="190">
        <v>1.1592359701792398</v>
      </c>
      <c r="J128" s="190">
        <v>1.128819261719761E-2</v>
      </c>
      <c r="K128" s="190">
        <v>2.4257600241030097</v>
      </c>
      <c r="L128" s="191">
        <v>13654.179166666667</v>
      </c>
      <c r="M128" s="191">
        <v>505.87083333333334</v>
      </c>
      <c r="N128" s="192">
        <v>4.8518518518518521</v>
      </c>
      <c r="O128" s="192">
        <v>12.333333333333334</v>
      </c>
      <c r="P128" s="190">
        <v>6.3885297244490422E-2</v>
      </c>
      <c r="Q128" s="190">
        <v>0.16247737264028958</v>
      </c>
    </row>
    <row r="129" spans="1:17" x14ac:dyDescent="0.25">
      <c r="A129">
        <v>5000</v>
      </c>
      <c r="B129">
        <v>200</v>
      </c>
      <c r="C129">
        <v>2.6</v>
      </c>
      <c r="D129">
        <v>0</v>
      </c>
      <c r="E129" s="190">
        <v>0.17831290570116409</v>
      </c>
      <c r="F129" s="190">
        <v>0.15084290821219767</v>
      </c>
      <c r="G129" s="190">
        <v>0.76583296281099533</v>
      </c>
      <c r="H129" s="190">
        <v>0.97412598133087158</v>
      </c>
      <c r="I129" s="190">
        <v>1.0951165946324666</v>
      </c>
      <c r="J129" s="190">
        <v>1.1873789179147687E-2</v>
      </c>
      <c r="K129" s="190">
        <v>2.5353028374412432</v>
      </c>
      <c r="L129" s="191">
        <v>14541.495833333334</v>
      </c>
      <c r="M129" s="191">
        <v>536.63333333333333</v>
      </c>
      <c r="N129" s="192">
        <v>6.0740740740740753</v>
      </c>
      <c r="O129" s="192">
        <v>12</v>
      </c>
      <c r="P129" s="190">
        <v>8.0174122920437893E-2</v>
      </c>
      <c r="Q129" s="190">
        <v>0.1581070597362296</v>
      </c>
    </row>
    <row r="130" spans="1:17" x14ac:dyDescent="0.25">
      <c r="A130">
        <v>5000</v>
      </c>
      <c r="B130">
        <v>200</v>
      </c>
      <c r="C130">
        <v>2.7999999999999994</v>
      </c>
      <c r="D130">
        <v>0</v>
      </c>
      <c r="E130" s="190">
        <v>0.19986834212535834</v>
      </c>
      <c r="F130" s="190">
        <v>0.16607952366403897</v>
      </c>
      <c r="G130" s="190">
        <v>0.77877536199467901</v>
      </c>
      <c r="H130" s="190">
        <v>1.0451834638913473</v>
      </c>
      <c r="I130" s="190">
        <v>1.33935687383016</v>
      </c>
      <c r="J130" s="190">
        <v>1.3731578108277158E-2</v>
      </c>
      <c r="K130" s="190">
        <v>2.8952817050416684</v>
      </c>
      <c r="L130" s="191">
        <v>17188.204166666666</v>
      </c>
      <c r="M130" s="191">
        <v>626.12500000000011</v>
      </c>
      <c r="N130" s="192">
        <v>7.7037037037037024</v>
      </c>
      <c r="O130" s="192">
        <v>16.666666666666668</v>
      </c>
      <c r="P130" s="190">
        <v>0.1015458437491021</v>
      </c>
      <c r="Q130" s="190">
        <v>0.22061029221618825</v>
      </c>
    </row>
    <row r="131" spans="1:17" x14ac:dyDescent="0.25">
      <c r="A131">
        <v>5000</v>
      </c>
      <c r="B131">
        <v>200</v>
      </c>
      <c r="C131">
        <v>3</v>
      </c>
      <c r="D131">
        <v>0</v>
      </c>
      <c r="E131" s="190">
        <v>0.19872078809769675</v>
      </c>
      <c r="F131" s="190">
        <v>0.16534524085197999</v>
      </c>
      <c r="G131" s="190">
        <v>0.78404027139021137</v>
      </c>
      <c r="H131" s="190">
        <v>1.1013087868690488</v>
      </c>
      <c r="I131" s="190">
        <v>1.3202181116739906</v>
      </c>
      <c r="J131" s="190">
        <v>1.42198915768788E-2</v>
      </c>
      <c r="K131" s="190">
        <v>3.0648093178894626</v>
      </c>
      <c r="L131" s="191">
        <v>17477.541666666668</v>
      </c>
      <c r="M131" s="191">
        <v>650.625</v>
      </c>
      <c r="N131" s="192">
        <v>7.0740740740740735</v>
      </c>
      <c r="O131" s="192">
        <v>16</v>
      </c>
      <c r="P131" s="190">
        <v>9.3204608798092115E-2</v>
      </c>
      <c r="Q131" s="190">
        <v>0.21008533747090766</v>
      </c>
    </row>
    <row r="132" spans="1:17" x14ac:dyDescent="0.25">
      <c r="A132">
        <v>5000</v>
      </c>
      <c r="B132">
        <v>200</v>
      </c>
      <c r="C132">
        <v>3.2000000000000006</v>
      </c>
      <c r="D132">
        <v>0</v>
      </c>
      <c r="E132" s="190">
        <v>0.22499002826243786</v>
      </c>
      <c r="F132" s="190">
        <v>0.18404528138351414</v>
      </c>
      <c r="G132" s="190">
        <v>0.82990540044826944</v>
      </c>
      <c r="H132" s="190">
        <v>1.2650979876518249</v>
      </c>
      <c r="I132" s="190">
        <v>1.4520468330383298</v>
      </c>
      <c r="J132" s="190">
        <v>1.6155172768504214E-2</v>
      </c>
      <c r="K132" s="190">
        <v>3.4314387776310902</v>
      </c>
      <c r="L132" s="191">
        <v>19139.383333333335</v>
      </c>
      <c r="M132" s="191">
        <v>705.55833333333339</v>
      </c>
      <c r="N132" s="192">
        <v>9.7407407407407405</v>
      </c>
      <c r="O132" s="192">
        <v>19.666666666666668</v>
      </c>
      <c r="P132" s="190">
        <v>0.12825331149613536</v>
      </c>
      <c r="Q132" s="190">
        <v>0.25914145332298943</v>
      </c>
    </row>
    <row r="133" spans="1:17" x14ac:dyDescent="0.25">
      <c r="A133">
        <v>5000</v>
      </c>
      <c r="B133">
        <v>200</v>
      </c>
      <c r="C133">
        <v>3.4</v>
      </c>
      <c r="D133">
        <v>0</v>
      </c>
      <c r="E133" s="190">
        <v>0.25547595453570227</v>
      </c>
      <c r="F133" s="190">
        <v>0.20070684176064443</v>
      </c>
      <c r="G133" s="190">
        <v>0.8863056414173216</v>
      </c>
      <c r="H133" s="190">
        <v>1.5485959966977436</v>
      </c>
      <c r="I133" s="190">
        <v>1.8422667598724367</v>
      </c>
      <c r="J133" s="190">
        <v>1.8282164253900317E-2</v>
      </c>
      <c r="K133" s="190">
        <v>3.886152752155374</v>
      </c>
      <c r="L133" s="191">
        <v>20205.862499999999</v>
      </c>
      <c r="M133" s="191">
        <v>746.6875</v>
      </c>
      <c r="N133" s="192">
        <v>10.74074074074074</v>
      </c>
      <c r="O133" s="192">
        <v>27.666666666666668</v>
      </c>
      <c r="P133" s="190">
        <v>0.14127517742723331</v>
      </c>
      <c r="Q133" s="190">
        <v>0.36312386863201446</v>
      </c>
    </row>
    <row r="134" spans="1:17" x14ac:dyDescent="0.25">
      <c r="A134">
        <v>5000</v>
      </c>
      <c r="B134">
        <v>200</v>
      </c>
      <c r="C134">
        <v>3.7999999999999994</v>
      </c>
      <c r="D134">
        <v>0</v>
      </c>
      <c r="E134" s="190">
        <v>0.25385492319650577</v>
      </c>
      <c r="F134" s="190">
        <v>0.20060907582293877</v>
      </c>
      <c r="G134" s="190">
        <v>0.86868638330636327</v>
      </c>
      <c r="H134" s="190">
        <v>1.4941689213116962</v>
      </c>
      <c r="I134" s="190">
        <v>1.9685821580886855</v>
      </c>
      <c r="J134" s="190">
        <v>1.8460602292626395E-2</v>
      </c>
      <c r="K134" s="190">
        <v>3.9164261845173569</v>
      </c>
      <c r="L134" s="191">
        <v>20893.150000000001</v>
      </c>
      <c r="M134" s="191">
        <v>766.80416666666667</v>
      </c>
      <c r="N134" s="192">
        <v>13.000000000000002</v>
      </c>
      <c r="O134" s="192">
        <v>26.333333333333332</v>
      </c>
      <c r="P134" s="190">
        <v>0.17125822486567252</v>
      </c>
      <c r="Q134" s="190">
        <v>0.34665115076286535</v>
      </c>
    </row>
    <row r="135" spans="1:17" x14ac:dyDescent="0.25">
      <c r="A135">
        <v>5000</v>
      </c>
      <c r="B135">
        <v>200</v>
      </c>
      <c r="C135">
        <v>4</v>
      </c>
      <c r="D135">
        <v>0</v>
      </c>
      <c r="E135" s="190">
        <v>0.28309615836930163</v>
      </c>
      <c r="F135" s="190">
        <v>0.21021471894285801</v>
      </c>
      <c r="G135" s="190">
        <v>0.93316867847127771</v>
      </c>
      <c r="H135" s="190">
        <v>1.5945345560709632</v>
      </c>
      <c r="I135" s="190">
        <v>1.9195634269714354</v>
      </c>
      <c r="J135" s="190">
        <v>2.2218246486298266E-2</v>
      </c>
      <c r="K135" s="190">
        <v>4.6544369299690107</v>
      </c>
      <c r="L135" s="191">
        <v>23420.162500000002</v>
      </c>
      <c r="M135" s="191">
        <v>852.19166666666661</v>
      </c>
      <c r="N135" s="192">
        <v>17.407407407407405</v>
      </c>
      <c r="O135" s="192">
        <v>29.333333333333332</v>
      </c>
      <c r="P135" s="190">
        <v>0.22976180214349332</v>
      </c>
      <c r="Q135" s="190">
        <v>0.38818205327126981</v>
      </c>
    </row>
    <row r="136" spans="1:17" x14ac:dyDescent="0.25">
      <c r="A136">
        <v>5000</v>
      </c>
      <c r="B136">
        <v>200</v>
      </c>
      <c r="C136">
        <v>4.2</v>
      </c>
      <c r="D136">
        <v>0</v>
      </c>
      <c r="E136" s="190">
        <v>0.32677555311318401</v>
      </c>
      <c r="F136" s="190">
        <v>0.25286004256319128</v>
      </c>
      <c r="G136" s="190">
        <v>0.96999690396026716</v>
      </c>
      <c r="H136" s="190">
        <v>1.6522001902262371</v>
      </c>
      <c r="I136" s="190">
        <v>1.8191676918665565</v>
      </c>
      <c r="J136" s="190">
        <v>2.5528575404787906E-2</v>
      </c>
      <c r="K136" s="190">
        <v>5.342579526777758</v>
      </c>
      <c r="L136" s="191">
        <v>24309.541666666668</v>
      </c>
      <c r="M136" s="191">
        <v>873.70833333333337</v>
      </c>
      <c r="N136" s="192">
        <v>21.407407407407405</v>
      </c>
      <c r="O136" s="192">
        <v>41.333333333333336</v>
      </c>
      <c r="P136" s="190">
        <v>0.28184351923684736</v>
      </c>
      <c r="Q136" s="190">
        <v>0.54504784070338763</v>
      </c>
    </row>
    <row r="137" spans="1:17" x14ac:dyDescent="0.25">
      <c r="A137">
        <v>5000</v>
      </c>
      <c r="B137">
        <v>200</v>
      </c>
      <c r="C137">
        <v>4.4000000000000004</v>
      </c>
      <c r="D137">
        <v>0</v>
      </c>
      <c r="E137" s="190">
        <v>0.3266886337283364</v>
      </c>
      <c r="F137" s="190">
        <v>0.25693345001399481</v>
      </c>
      <c r="G137" s="190">
        <v>0.95574524956475482</v>
      </c>
      <c r="H137" s="190">
        <v>1.5234337250391643</v>
      </c>
      <c r="I137" s="190">
        <v>1.6795192098617548</v>
      </c>
      <c r="J137" s="190">
        <v>2.9272509485958415E-2</v>
      </c>
      <c r="K137" s="190">
        <v>6.1356892775251808</v>
      </c>
      <c r="L137" s="191">
        <v>25692.991666666669</v>
      </c>
      <c r="M137" s="191">
        <v>917.10833333333323</v>
      </c>
      <c r="N137" s="192">
        <v>27.333333333333332</v>
      </c>
      <c r="O137" s="192">
        <v>46.666666666666664</v>
      </c>
      <c r="P137" s="190">
        <v>0.36012700054593</v>
      </c>
      <c r="Q137" s="190">
        <v>0.61401603310059472</v>
      </c>
    </row>
    <row r="138" spans="1:17" x14ac:dyDescent="0.25">
      <c r="A138">
        <v>5000</v>
      </c>
      <c r="B138">
        <v>200</v>
      </c>
      <c r="C138">
        <v>4.5999999999999996</v>
      </c>
      <c r="D138">
        <v>0</v>
      </c>
      <c r="E138" s="190">
        <v>0.35544496792904373</v>
      </c>
      <c r="F138" s="190">
        <v>0.27919130141827481</v>
      </c>
      <c r="G138" s="190">
        <v>1.059824705999391</v>
      </c>
      <c r="H138" s="190">
        <v>2.0505916754404701</v>
      </c>
      <c r="I138" s="190">
        <v>2.4307533311843872</v>
      </c>
      <c r="J138" s="190">
        <v>2.6751555661055363E-2</v>
      </c>
      <c r="K138" s="190">
        <v>5.6498766999252661</v>
      </c>
      <c r="L138" s="191">
        <v>24445.774999999998</v>
      </c>
      <c r="M138" s="191">
        <v>884.96249999999998</v>
      </c>
      <c r="N138" s="192">
        <v>22.148148148148142</v>
      </c>
      <c r="O138" s="192">
        <v>42</v>
      </c>
      <c r="P138" s="190">
        <v>0.29222768152170792</v>
      </c>
      <c r="Q138" s="190">
        <v>0.5559606930437031</v>
      </c>
    </row>
    <row r="139" spans="1:17" x14ac:dyDescent="0.25">
      <c r="A139">
        <v>5000</v>
      </c>
      <c r="B139">
        <v>200</v>
      </c>
      <c r="C139">
        <v>4.8</v>
      </c>
      <c r="D139">
        <v>0</v>
      </c>
      <c r="E139" s="190">
        <v>0.8747314821377975</v>
      </c>
      <c r="F139" s="190">
        <v>0.59217835931553797</v>
      </c>
      <c r="G139" s="190">
        <v>2.2686812809211454</v>
      </c>
      <c r="H139" s="190">
        <v>4.7535823742548615</v>
      </c>
      <c r="I139" s="190">
        <v>5.3293503650029512</v>
      </c>
      <c r="J139" s="190">
        <v>3.4661223681564719E-2</v>
      </c>
      <c r="K139" s="190">
        <v>7.5911966349946418</v>
      </c>
      <c r="L139" s="191">
        <v>27799.237500000003</v>
      </c>
      <c r="M139" s="191">
        <v>1001.0291666666666</v>
      </c>
      <c r="N139" s="192">
        <v>27.597222222222218</v>
      </c>
      <c r="O139" s="192">
        <v>63</v>
      </c>
      <c r="P139" s="190">
        <v>0.36374881475734844</v>
      </c>
      <c r="Q139" s="190">
        <v>0.835195241789501</v>
      </c>
    </row>
    <row r="140" spans="1:17" x14ac:dyDescent="0.25">
      <c r="A140">
        <v>5000</v>
      </c>
      <c r="B140">
        <v>200</v>
      </c>
      <c r="C140">
        <v>5</v>
      </c>
      <c r="D140">
        <v>0</v>
      </c>
      <c r="E140" s="190">
        <v>1.6278743904343511</v>
      </c>
      <c r="F140" s="190">
        <v>0.98734279889595244</v>
      </c>
      <c r="G140" s="190">
        <v>2.9217657266462069</v>
      </c>
      <c r="H140" s="190">
        <v>6.0123484651247665</v>
      </c>
      <c r="I140" s="190">
        <v>6.3483891153335579</v>
      </c>
      <c r="J140" s="190">
        <v>4.0627822946799279E-2</v>
      </c>
      <c r="K140" s="190">
        <v>9.6666061566724881</v>
      </c>
      <c r="L140" s="191">
        <v>28352.924999999999</v>
      </c>
      <c r="M140" s="191">
        <v>1042.325</v>
      </c>
      <c r="N140" s="192">
        <v>35.592592592592602</v>
      </c>
      <c r="O140" s="192">
        <v>65.333333333333329</v>
      </c>
      <c r="P140" s="190">
        <v>0.46837916271585794</v>
      </c>
      <c r="Q140" s="190">
        <v>0.85751228342384278</v>
      </c>
    </row>
    <row r="141" spans="1:17" x14ac:dyDescent="0.25">
      <c r="A141">
        <v>5000</v>
      </c>
      <c r="B141">
        <v>200</v>
      </c>
      <c r="C141">
        <v>5.2</v>
      </c>
      <c r="D141">
        <v>0</v>
      </c>
      <c r="E141" s="190">
        <v>1.208558537846488</v>
      </c>
      <c r="F141" s="190">
        <v>0.86688896098379542</v>
      </c>
      <c r="G141" s="190">
        <v>2.8352766547246322</v>
      </c>
      <c r="H141" s="190">
        <v>7.3769126335779802</v>
      </c>
      <c r="I141" s="190">
        <v>8.7471639680862427</v>
      </c>
      <c r="J141" s="190">
        <v>3.8099701908507574E-2</v>
      </c>
      <c r="K141" s="190">
        <v>8.8008104146614681</v>
      </c>
      <c r="L141" s="191">
        <v>27488.004166666666</v>
      </c>
      <c r="M141" s="191">
        <v>1014.2333333333332</v>
      </c>
      <c r="N141" s="192">
        <v>31.962962962962958</v>
      </c>
      <c r="O141" s="192">
        <v>69.666666666666671</v>
      </c>
      <c r="P141" s="190">
        <v>0.41909030830675514</v>
      </c>
      <c r="Q141" s="190">
        <v>0.91189552624773729</v>
      </c>
    </row>
    <row r="142" spans="1:17" x14ac:dyDescent="0.25">
      <c r="A142">
        <v>5000</v>
      </c>
      <c r="B142">
        <v>200</v>
      </c>
      <c r="C142">
        <v>5.4000000000000012</v>
      </c>
      <c r="D142">
        <v>0</v>
      </c>
      <c r="E142" s="190">
        <v>1.8809171567324012</v>
      </c>
      <c r="F142" s="190">
        <v>1.1216695541638895</v>
      </c>
      <c r="G142" s="190">
        <v>3.2894202022516201</v>
      </c>
      <c r="H142" s="190">
        <v>6.9959011435508707</v>
      </c>
      <c r="I142" s="190">
        <v>8.1253693517049133</v>
      </c>
      <c r="J142" s="190">
        <v>4.6991688022651655E-2</v>
      </c>
      <c r="K142" s="190">
        <v>11.191415982175632</v>
      </c>
      <c r="L142" s="191">
        <v>29551.037500000002</v>
      </c>
      <c r="M142" s="191">
        <v>1068.320238095238</v>
      </c>
      <c r="N142" s="192">
        <v>41.337962962962969</v>
      </c>
      <c r="O142" s="192">
        <v>74.333333333333329</v>
      </c>
      <c r="P142" s="190">
        <v>0.54142099818981126</v>
      </c>
      <c r="Q142" s="190">
        <v>0.97763123868632018</v>
      </c>
    </row>
    <row r="143" spans="1:17" x14ac:dyDescent="0.25">
      <c r="A143">
        <v>5000</v>
      </c>
      <c r="B143">
        <v>200</v>
      </c>
      <c r="C143">
        <v>5.8</v>
      </c>
      <c r="D143">
        <v>0</v>
      </c>
      <c r="E143" s="190">
        <v>2.3685369670477088</v>
      </c>
      <c r="F143" s="190">
        <v>1.0457511996065998</v>
      </c>
      <c r="G143" s="190">
        <v>4.2087037981031132</v>
      </c>
      <c r="H143" s="190">
        <v>9.1919135610262561</v>
      </c>
      <c r="I143" s="190">
        <v>10.924168987274165</v>
      </c>
      <c r="J143" s="190">
        <v>5.388280799580767E-2</v>
      </c>
      <c r="K143" s="190">
        <v>13.080699747560393</v>
      </c>
      <c r="L143" s="191">
        <v>33032.855357142857</v>
      </c>
      <c r="M143" s="191">
        <v>1229.4053571428569</v>
      </c>
      <c r="N143" s="192">
        <v>46.782407407407412</v>
      </c>
      <c r="O143" s="192">
        <v>75.333333333333329</v>
      </c>
      <c r="P143" s="190">
        <v>0.61607476366979863</v>
      </c>
      <c r="Q143" s="190">
        <v>0.99705197827773462</v>
      </c>
    </row>
    <row r="144" spans="1:17" x14ac:dyDescent="0.25">
      <c r="A144">
        <v>5000</v>
      </c>
      <c r="B144">
        <v>200</v>
      </c>
      <c r="C144">
        <v>6</v>
      </c>
      <c r="D144">
        <v>0</v>
      </c>
      <c r="E144" s="190">
        <v>3.0727622157033161</v>
      </c>
      <c r="F144" s="190">
        <v>1.4690196156259414</v>
      </c>
      <c r="G144" s="190">
        <v>5.3383856277784103</v>
      </c>
      <c r="H144" s="190">
        <v>10.845544890562694</v>
      </c>
      <c r="I144" s="190">
        <v>12.586471074422201</v>
      </c>
      <c r="J144" s="190">
        <v>5.2543123906379351E-2</v>
      </c>
      <c r="K144" s="190">
        <v>12.623921228212708</v>
      </c>
      <c r="L144" s="191">
        <v>32186.697023809524</v>
      </c>
      <c r="M144" s="191">
        <v>1100.9738095238097</v>
      </c>
      <c r="N144" s="192">
        <v>43.879629629629626</v>
      </c>
      <c r="O144" s="192">
        <v>76</v>
      </c>
      <c r="P144" s="190">
        <v>0.57643881274602771</v>
      </c>
      <c r="Q144" s="190">
        <v>0.9960175846909749</v>
      </c>
    </row>
    <row r="145" spans="1:17" x14ac:dyDescent="0.25">
      <c r="A145">
        <v>5000</v>
      </c>
      <c r="B145">
        <v>200</v>
      </c>
      <c r="C145">
        <v>6.2</v>
      </c>
      <c r="D145">
        <v>0</v>
      </c>
      <c r="E145" s="190">
        <v>4.7031946429810354</v>
      </c>
      <c r="F145" s="190">
        <v>1.8639268350212816</v>
      </c>
      <c r="G145" s="190">
        <v>6.5371868190442202</v>
      </c>
      <c r="H145" s="190">
        <v>12.892095843950907</v>
      </c>
      <c r="I145" s="190">
        <v>14.754504570960998</v>
      </c>
      <c r="J145" s="190">
        <v>5.1672567798732034E-2</v>
      </c>
      <c r="K145" s="190">
        <v>15.22281768655759</v>
      </c>
      <c r="L145" s="191">
        <v>31883.462500000005</v>
      </c>
      <c r="M145" s="191">
        <v>1166.0208333333333</v>
      </c>
      <c r="N145" s="192">
        <v>44.444444444444436</v>
      </c>
      <c r="O145" s="192">
        <v>75</v>
      </c>
      <c r="P145" s="190">
        <v>0.58347268913599404</v>
      </c>
      <c r="Q145" s="190">
        <v>0.99268166537367464</v>
      </c>
    </row>
    <row r="146" spans="1:17" x14ac:dyDescent="0.25">
      <c r="A146">
        <v>5000</v>
      </c>
      <c r="B146">
        <v>200</v>
      </c>
      <c r="C146">
        <v>6.4000000000000012</v>
      </c>
      <c r="D146">
        <v>0</v>
      </c>
      <c r="E146" s="190">
        <v>3.6113220324175601</v>
      </c>
      <c r="F146" s="190">
        <v>1.3741587436765066</v>
      </c>
      <c r="G146" s="190">
        <v>5.7031288058201683</v>
      </c>
      <c r="H146" s="190">
        <v>11.832127559185025</v>
      </c>
      <c r="I146" s="190">
        <v>12.858048308690387</v>
      </c>
      <c r="J146" s="190">
        <v>5.1964322290533771E-2</v>
      </c>
      <c r="K146" s="190">
        <v>13.990549376499565</v>
      </c>
      <c r="L146" s="191">
        <v>32060.889285714289</v>
      </c>
      <c r="M146" s="191">
        <v>1182.0226190476189</v>
      </c>
      <c r="N146" s="192">
        <v>44.796296296296305</v>
      </c>
      <c r="O146" s="192">
        <v>72</v>
      </c>
      <c r="P146" s="190">
        <v>0.58683698244404214</v>
      </c>
      <c r="Q146" s="190">
        <v>0.94517713990173269</v>
      </c>
    </row>
    <row r="147" spans="1:17" x14ac:dyDescent="0.25">
      <c r="A147">
        <v>5000</v>
      </c>
      <c r="B147">
        <v>200</v>
      </c>
      <c r="C147">
        <v>6.5999999999999988</v>
      </c>
      <c r="D147">
        <v>0</v>
      </c>
      <c r="E147" s="190">
        <v>4.7297283733849502</v>
      </c>
      <c r="F147" s="190">
        <v>1.2600287174116651</v>
      </c>
      <c r="G147" s="190">
        <v>7.5669091572976184</v>
      </c>
      <c r="H147" s="190">
        <v>15.780579980214441</v>
      </c>
      <c r="I147" s="190">
        <v>17.197256290117895</v>
      </c>
      <c r="J147" s="190">
        <v>5.4497487006289348E-2</v>
      </c>
      <c r="K147" s="190">
        <v>15.168667619242166</v>
      </c>
      <c r="L147" s="191">
        <v>33396.366666666669</v>
      </c>
      <c r="M147" s="191">
        <v>1211.0541666666666</v>
      </c>
      <c r="N147" s="192">
        <v>43.995370370370374</v>
      </c>
      <c r="O147" s="192">
        <v>73.666666666666671</v>
      </c>
      <c r="P147" s="190">
        <v>0.57772749475619911</v>
      </c>
      <c r="Q147" s="190">
        <v>0.96951124903025587</v>
      </c>
    </row>
    <row r="148" spans="1:17" x14ac:dyDescent="0.25">
      <c r="A148">
        <v>5000</v>
      </c>
      <c r="B148">
        <v>200</v>
      </c>
      <c r="C148">
        <v>6.8</v>
      </c>
      <c r="D148">
        <v>0</v>
      </c>
      <c r="E148" s="190">
        <v>2.9973468623482744</v>
      </c>
      <c r="F148" s="190">
        <v>1.0035043611307832</v>
      </c>
      <c r="G148" s="190">
        <v>5.8338504617620801</v>
      </c>
      <c r="H148" s="190">
        <v>16.488277618090311</v>
      </c>
      <c r="I148" s="190">
        <v>17.274262119928995</v>
      </c>
      <c r="J148" s="190">
        <v>5.4876145341185456E-2</v>
      </c>
      <c r="K148" s="190">
        <v>13.586382740722948</v>
      </c>
      <c r="L148" s="191">
        <v>35524.65</v>
      </c>
      <c r="M148" s="191">
        <v>1147.9666666666667</v>
      </c>
      <c r="N148" s="192">
        <v>47.592592592592588</v>
      </c>
      <c r="O148" s="192">
        <v>72.666666666666671</v>
      </c>
      <c r="P148" s="190">
        <v>0.62465017383558896</v>
      </c>
      <c r="Q148" s="190">
        <v>0.95888285492629943</v>
      </c>
    </row>
    <row r="149" spans="1:17" x14ac:dyDescent="0.25">
      <c r="A149">
        <v>6000</v>
      </c>
      <c r="B149">
        <v>100</v>
      </c>
      <c r="C149">
        <v>2</v>
      </c>
      <c r="D149">
        <v>0</v>
      </c>
      <c r="E149" s="190">
        <v>0.21398596348679985</v>
      </c>
      <c r="F149" s="190">
        <v>0.18273021965980119</v>
      </c>
      <c r="G149" s="190">
        <v>0.82711112814061227</v>
      </c>
      <c r="H149" s="190">
        <v>1.145523754755656</v>
      </c>
      <c r="I149" s="190">
        <v>1.3494903262456264</v>
      </c>
      <c r="J149" s="190">
        <v>1.1061016764952936E-2</v>
      </c>
      <c r="K149" s="190">
        <v>1.3060347893368214</v>
      </c>
      <c r="L149" s="191">
        <v>13909.445833333333</v>
      </c>
      <c r="M149" s="191">
        <v>215.375</v>
      </c>
      <c r="N149" s="192">
        <v>2.8518518518518516</v>
      </c>
      <c r="O149" s="192">
        <v>8.3333333333333339</v>
      </c>
      <c r="P149" s="190">
        <v>4.4642703215240054E-2</v>
      </c>
      <c r="Q149" s="190">
        <v>0.12997155417636408</v>
      </c>
    </row>
    <row r="150" spans="1:17" x14ac:dyDescent="0.25">
      <c r="A150">
        <v>6000</v>
      </c>
      <c r="B150">
        <v>100</v>
      </c>
      <c r="C150">
        <v>2.2000000000000002</v>
      </c>
      <c r="D150">
        <v>0</v>
      </c>
      <c r="E150" s="190">
        <v>0.2180064322344645</v>
      </c>
      <c r="F150" s="190">
        <v>0.18401447805069526</v>
      </c>
      <c r="G150" s="190">
        <v>0.81775052915205271</v>
      </c>
      <c r="H150" s="190">
        <v>1.0985199054082233</v>
      </c>
      <c r="I150" s="190">
        <v>1.2533580112457274</v>
      </c>
      <c r="J150" s="190">
        <v>1.1654574736677229E-2</v>
      </c>
      <c r="K150" s="190">
        <v>1.3727719605136011</v>
      </c>
      <c r="L150" s="191">
        <v>14788.987500000001</v>
      </c>
      <c r="M150" s="191">
        <v>228.9708333333333</v>
      </c>
      <c r="N150" s="192">
        <v>2.9629629629629624</v>
      </c>
      <c r="O150" s="192">
        <v>8</v>
      </c>
      <c r="P150" s="190">
        <v>4.6332212740281015E-2</v>
      </c>
      <c r="Q150" s="190">
        <v>0.12503232479958626</v>
      </c>
    </row>
    <row r="151" spans="1:17" x14ac:dyDescent="0.25">
      <c r="A151">
        <v>6000</v>
      </c>
      <c r="B151">
        <v>100</v>
      </c>
      <c r="C151">
        <v>2.4</v>
      </c>
      <c r="D151">
        <v>0</v>
      </c>
      <c r="E151" s="190">
        <v>0.23314669970428922</v>
      </c>
      <c r="F151" s="190">
        <v>0.19235890049024437</v>
      </c>
      <c r="G151" s="190">
        <v>0.82638623463940319</v>
      </c>
      <c r="H151" s="190">
        <v>1.1102161010106408</v>
      </c>
      <c r="I151" s="190">
        <v>1.2729561408360799</v>
      </c>
      <c r="J151" s="190">
        <v>1.3275207717987576E-2</v>
      </c>
      <c r="K151" s="190">
        <v>1.5411904694615002</v>
      </c>
      <c r="L151" s="191">
        <v>17185.579166666666</v>
      </c>
      <c r="M151" s="191">
        <v>266.09583333333336</v>
      </c>
      <c r="N151" s="192">
        <v>3.7777777777777781</v>
      </c>
      <c r="O151" s="192">
        <v>11.333333333333334</v>
      </c>
      <c r="P151" s="190">
        <v>5.9106973536764078E-2</v>
      </c>
      <c r="Q151" s="190">
        <v>0.17708818205327126</v>
      </c>
    </row>
    <row r="152" spans="1:17" x14ac:dyDescent="0.25">
      <c r="A152">
        <v>6000</v>
      </c>
      <c r="B152">
        <v>100</v>
      </c>
      <c r="C152">
        <v>2.6</v>
      </c>
      <c r="D152">
        <v>0</v>
      </c>
      <c r="E152" s="190">
        <v>0.24523011470325082</v>
      </c>
      <c r="F152" s="190">
        <v>0.20026413565238368</v>
      </c>
      <c r="G152" s="190">
        <v>0.82163083173955542</v>
      </c>
      <c r="H152" s="190">
        <v>1.1550458431243893</v>
      </c>
      <c r="I152" s="190">
        <v>1.2966849120457968</v>
      </c>
      <c r="J152" s="190">
        <v>1.5086350243453263E-2</v>
      </c>
      <c r="K152" s="190">
        <v>1.7423123699902998</v>
      </c>
      <c r="L152" s="191">
        <v>18996.45</v>
      </c>
      <c r="M152" s="191">
        <v>294.98750000000001</v>
      </c>
      <c r="N152" s="192">
        <v>5.1481481481481488</v>
      </c>
      <c r="O152" s="192">
        <v>13.666666666666666</v>
      </c>
      <c r="P152" s="190">
        <v>8.0536160675803811E-2</v>
      </c>
      <c r="Q152" s="190">
        <v>0.2139643134212568</v>
      </c>
    </row>
    <row r="153" spans="1:17" x14ac:dyDescent="0.25">
      <c r="A153">
        <v>6000</v>
      </c>
      <c r="B153">
        <v>100</v>
      </c>
      <c r="C153">
        <v>2.7999999999999994</v>
      </c>
      <c r="D153">
        <v>0</v>
      </c>
      <c r="E153" s="190">
        <v>0.24909473342863278</v>
      </c>
      <c r="F153" s="190">
        <v>0.20094196874183576</v>
      </c>
      <c r="G153" s="190">
        <v>0.83027633199092765</v>
      </c>
      <c r="H153" s="190">
        <v>1.1549267530441283</v>
      </c>
      <c r="I153" s="190">
        <v>1.228891956011454</v>
      </c>
      <c r="J153" s="190">
        <v>1.4768636010278974E-2</v>
      </c>
      <c r="K153" s="190">
        <v>1.6957312367428665</v>
      </c>
      <c r="L153" s="191">
        <v>19715.070833333335</v>
      </c>
      <c r="M153" s="191">
        <v>302.02083333333337</v>
      </c>
      <c r="N153" s="192">
        <v>4.3703703703703702</v>
      </c>
      <c r="O153" s="192">
        <v>13.666666666666666</v>
      </c>
      <c r="P153" s="190">
        <v>6.8267103410625515E-2</v>
      </c>
      <c r="Q153" s="190">
        <v>0.21334367726920087</v>
      </c>
    </row>
    <row r="154" spans="1:17" x14ac:dyDescent="0.25">
      <c r="A154">
        <v>6000</v>
      </c>
      <c r="B154">
        <v>100</v>
      </c>
      <c r="C154">
        <v>3</v>
      </c>
      <c r="D154">
        <v>0</v>
      </c>
      <c r="E154" s="190">
        <v>0.2647654223543669</v>
      </c>
      <c r="F154" s="190">
        <v>0.21283558649133549</v>
      </c>
      <c r="G154" s="190">
        <v>0.85179240884166652</v>
      </c>
      <c r="H154" s="190">
        <v>1.3023287057876585</v>
      </c>
      <c r="I154" s="190">
        <v>1.5408209005991615</v>
      </c>
      <c r="J154" s="190">
        <v>1.5918493463828256E-2</v>
      </c>
      <c r="K154" s="190">
        <v>1.8523591274736011</v>
      </c>
      <c r="L154" s="191">
        <v>20089.174999999999</v>
      </c>
      <c r="M154" s="191">
        <v>310.07083333333327</v>
      </c>
      <c r="N154" s="192">
        <v>5.0740740740740735</v>
      </c>
      <c r="O154" s="192">
        <v>11.666666666666666</v>
      </c>
      <c r="P154" s="190">
        <v>7.9329368157917426E-2</v>
      </c>
      <c r="Q154" s="190">
        <v>0.18233772950607707</v>
      </c>
    </row>
    <row r="155" spans="1:17" x14ac:dyDescent="0.25">
      <c r="A155">
        <v>6000</v>
      </c>
      <c r="B155">
        <v>100</v>
      </c>
      <c r="C155">
        <v>3.2000000000000006</v>
      </c>
      <c r="D155">
        <v>0</v>
      </c>
      <c r="E155" s="190">
        <v>0.27853915419619951</v>
      </c>
      <c r="F155" s="190">
        <v>0.22444158374208048</v>
      </c>
      <c r="G155" s="190">
        <v>0.85072288001848229</v>
      </c>
      <c r="H155" s="190">
        <v>1.234657347202301</v>
      </c>
      <c r="I155" s="190">
        <v>1.4402343018849686</v>
      </c>
      <c r="J155" s="190">
        <v>1.8346191558481693E-2</v>
      </c>
      <c r="K155" s="190">
        <v>2.087659331689494</v>
      </c>
      <c r="L155" s="191">
        <v>21742.775000000001</v>
      </c>
      <c r="M155" s="191">
        <v>334.39583333333331</v>
      </c>
      <c r="N155" s="192">
        <v>3.5185185185185186</v>
      </c>
      <c r="O155" s="192">
        <v>10</v>
      </c>
      <c r="P155" s="190">
        <v>5.5009625606987904E-2</v>
      </c>
      <c r="Q155" s="190">
        <v>0.156477889837083</v>
      </c>
    </row>
    <row r="156" spans="1:17" x14ac:dyDescent="0.25">
      <c r="A156">
        <v>6000</v>
      </c>
      <c r="B156">
        <v>100</v>
      </c>
      <c r="C156">
        <v>3.4</v>
      </c>
      <c r="D156">
        <v>0</v>
      </c>
      <c r="E156" s="190">
        <v>0.31697018139158972</v>
      </c>
      <c r="F156" s="190">
        <v>0.24826633152047695</v>
      </c>
      <c r="G156" s="190">
        <v>0.93876672174961506</v>
      </c>
      <c r="H156" s="190">
        <v>1.4726770718892412</v>
      </c>
      <c r="I156" s="190">
        <v>1.6587575372060142</v>
      </c>
      <c r="J156" s="190">
        <v>2.2143876234593563E-2</v>
      </c>
      <c r="K156" s="190">
        <v>2.5006197050784693</v>
      </c>
      <c r="L156" s="191">
        <v>24268.654166666664</v>
      </c>
      <c r="M156" s="191">
        <v>372.51249999999999</v>
      </c>
      <c r="N156" s="192">
        <v>8.851851851851853</v>
      </c>
      <c r="O156" s="192">
        <v>22</v>
      </c>
      <c r="P156" s="190">
        <v>0.13848806137401951</v>
      </c>
      <c r="Q156" s="190">
        <v>0.34403930695629686</v>
      </c>
    </row>
    <row r="157" spans="1:17" x14ac:dyDescent="0.25">
      <c r="A157">
        <v>6000</v>
      </c>
      <c r="B157">
        <v>100</v>
      </c>
      <c r="C157">
        <v>3.7999999999999994</v>
      </c>
      <c r="D157">
        <v>0</v>
      </c>
      <c r="E157" s="190">
        <v>0.33946513884285467</v>
      </c>
      <c r="F157" s="190">
        <v>0.26500080159138367</v>
      </c>
      <c r="G157" s="190">
        <v>0.93748992106740536</v>
      </c>
      <c r="H157" s="190">
        <v>1.3775530536969505</v>
      </c>
      <c r="I157" s="190">
        <v>1.5793193260828655</v>
      </c>
      <c r="J157" s="190">
        <v>2.4129971595228988E-2</v>
      </c>
      <c r="K157" s="190">
        <v>2.7421115722317473</v>
      </c>
      <c r="L157" s="191">
        <v>26484.625</v>
      </c>
      <c r="M157" s="191">
        <v>409.63333333333338</v>
      </c>
      <c r="N157" s="192">
        <v>9.9259259259259238</v>
      </c>
      <c r="O157" s="192">
        <v>21.333333333333332</v>
      </c>
      <c r="P157" s="190">
        <v>0.15521075769330225</v>
      </c>
      <c r="Q157" s="190">
        <v>0.33361779156969229</v>
      </c>
    </row>
    <row r="158" spans="1:17" x14ac:dyDescent="0.25">
      <c r="A158">
        <v>6000</v>
      </c>
      <c r="B158">
        <v>100</v>
      </c>
      <c r="C158">
        <v>4</v>
      </c>
      <c r="D158">
        <v>0</v>
      </c>
      <c r="E158" s="190">
        <v>0.44506980535367413</v>
      </c>
      <c r="F158" s="190">
        <v>0.34435389896390012</v>
      </c>
      <c r="G158" s="190">
        <v>1.089453201804327</v>
      </c>
      <c r="H158" s="190">
        <v>1.9410173575083409</v>
      </c>
      <c r="I158" s="190">
        <v>2.2711013031005858</v>
      </c>
      <c r="J158" s="190">
        <v>3.164305115443973E-2</v>
      </c>
      <c r="K158" s="190">
        <v>3.5511032145484691</v>
      </c>
      <c r="L158" s="191">
        <v>28824.745833333334</v>
      </c>
      <c r="M158" s="191">
        <v>440.46249999999992</v>
      </c>
      <c r="N158" s="192">
        <v>12.962962962962962</v>
      </c>
      <c r="O158" s="192">
        <v>31.333333333333332</v>
      </c>
      <c r="P158" s="190">
        <v>0.2027382696893946</v>
      </c>
      <c r="Q158" s="190">
        <v>0.4917765709852599</v>
      </c>
    </row>
    <row r="159" spans="1:17" x14ac:dyDescent="0.25">
      <c r="A159">
        <v>6000</v>
      </c>
      <c r="B159">
        <v>100</v>
      </c>
      <c r="C159">
        <v>4.2</v>
      </c>
      <c r="D159">
        <v>0</v>
      </c>
      <c r="E159" s="190">
        <v>0.43071882204681411</v>
      </c>
      <c r="F159" s="190">
        <v>0.3306238962355677</v>
      </c>
      <c r="G159" s="190">
        <v>1.0237459001392446</v>
      </c>
      <c r="H159" s="190">
        <v>1.7616113026936844</v>
      </c>
      <c r="I159" s="190">
        <v>2.0138722642262779</v>
      </c>
      <c r="J159" s="190">
        <v>3.5378277627620171E-2</v>
      </c>
      <c r="K159" s="190">
        <v>3.9367493761522288</v>
      </c>
      <c r="L159" s="191">
        <v>29226.3125</v>
      </c>
      <c r="M159" s="191">
        <v>448.87916666666661</v>
      </c>
      <c r="N159" s="192">
        <v>13.555555555555557</v>
      </c>
      <c r="O159" s="192">
        <v>29.666666666666668</v>
      </c>
      <c r="P159" s="190">
        <v>0.21213113812027698</v>
      </c>
      <c r="Q159" s="190">
        <v>0.46444272045513318</v>
      </c>
    </row>
    <row r="160" spans="1:17" x14ac:dyDescent="0.25">
      <c r="A160">
        <v>6000</v>
      </c>
      <c r="B160">
        <v>100</v>
      </c>
      <c r="C160">
        <v>4.4000000000000004</v>
      </c>
      <c r="D160">
        <v>0</v>
      </c>
      <c r="E160" s="190">
        <v>0.65032245420202872</v>
      </c>
      <c r="F160" s="190">
        <v>0.49033358348481709</v>
      </c>
      <c r="G160" s="190">
        <v>1.3849129057987657</v>
      </c>
      <c r="H160" s="190">
        <v>2.6112248778343203</v>
      </c>
      <c r="I160" s="190">
        <v>2.9196690893173218</v>
      </c>
      <c r="J160" s="190">
        <v>3.8194114817827314E-2</v>
      </c>
      <c r="K160" s="190">
        <v>4.4071741953902315</v>
      </c>
      <c r="L160" s="191">
        <v>30109.675000000003</v>
      </c>
      <c r="M160" s="191">
        <v>458.8458333333333</v>
      </c>
      <c r="N160" s="192">
        <v>14.888888888888886</v>
      </c>
      <c r="O160" s="192">
        <v>30.666666666666668</v>
      </c>
      <c r="P160" s="190">
        <v>0.23186219578771949</v>
      </c>
      <c r="Q160" s="190">
        <v>0.48088957848461344</v>
      </c>
    </row>
    <row r="161" spans="1:17" x14ac:dyDescent="0.25">
      <c r="A161">
        <v>6000</v>
      </c>
      <c r="B161">
        <v>100</v>
      </c>
      <c r="C161">
        <v>4.5999999999999996</v>
      </c>
      <c r="D161">
        <v>0</v>
      </c>
      <c r="E161" s="190">
        <v>0.52589768124548075</v>
      </c>
      <c r="F161" s="190">
        <v>0.3821734862349872</v>
      </c>
      <c r="G161" s="190">
        <v>1.1477708492757888</v>
      </c>
      <c r="H161" s="190">
        <v>1.9405119260152179</v>
      </c>
      <c r="I161" s="190">
        <v>2.1956372165679934</v>
      </c>
      <c r="J161" s="190">
        <v>4.5377523930434899E-2</v>
      </c>
      <c r="K161" s="190">
        <v>4.9330024461026154</v>
      </c>
      <c r="L161" s="191">
        <v>31678.066666666666</v>
      </c>
      <c r="M161" s="191">
        <v>477.67916666666662</v>
      </c>
      <c r="N161" s="192">
        <v>21</v>
      </c>
      <c r="O161" s="192">
        <v>47.333333333333336</v>
      </c>
      <c r="P161" s="190">
        <v>0.32849179668419387</v>
      </c>
      <c r="Q161" s="190">
        <v>0.74000517196793381</v>
      </c>
    </row>
    <row r="162" spans="1:17" x14ac:dyDescent="0.25">
      <c r="A162">
        <v>6000</v>
      </c>
      <c r="B162">
        <v>100</v>
      </c>
      <c r="C162">
        <v>4.8</v>
      </c>
      <c r="D162">
        <v>0</v>
      </c>
      <c r="E162" s="190">
        <v>0.81898924844690424</v>
      </c>
      <c r="F162" s="190">
        <v>0.58959784170468954</v>
      </c>
      <c r="G162" s="190">
        <v>1.5143748462449012</v>
      </c>
      <c r="H162" s="190">
        <v>2.8537968556086217</v>
      </c>
      <c r="I162" s="190">
        <v>3.3870527474085486</v>
      </c>
      <c r="J162" s="190">
        <v>5.6983425120598952E-2</v>
      </c>
      <c r="K162" s="190">
        <v>6.3950987561372896</v>
      </c>
      <c r="L162" s="191">
        <v>33652.995833333334</v>
      </c>
      <c r="M162" s="191">
        <v>500.74166666666662</v>
      </c>
      <c r="N162" s="192">
        <v>25.074074074074073</v>
      </c>
      <c r="O162" s="192">
        <v>49.333333333333336</v>
      </c>
      <c r="P162" s="190">
        <v>0.39190299686808611</v>
      </c>
      <c r="Q162" s="190">
        <v>0.76935608999224214</v>
      </c>
    </row>
    <row r="163" spans="1:17" x14ac:dyDescent="0.25">
      <c r="A163">
        <v>6000</v>
      </c>
      <c r="B163">
        <v>100</v>
      </c>
      <c r="C163">
        <v>5</v>
      </c>
      <c r="D163">
        <v>0</v>
      </c>
      <c r="E163" s="190">
        <v>0.65627406597952154</v>
      </c>
      <c r="F163" s="190">
        <v>0.50133485819597334</v>
      </c>
      <c r="G163" s="190">
        <v>1.3134894057534456</v>
      </c>
      <c r="H163" s="190">
        <v>2.3419449885686223</v>
      </c>
      <c r="I163" s="190">
        <v>2.6325037304560337</v>
      </c>
      <c r="J163" s="190">
        <v>5.5761778610436331E-2</v>
      </c>
      <c r="K163" s="190">
        <v>6.1699968623894934</v>
      </c>
      <c r="L163" s="191">
        <v>32936.787499999999</v>
      </c>
      <c r="M163" s="191">
        <v>486.94583333333338</v>
      </c>
      <c r="N163" s="192">
        <v>26.222222222222218</v>
      </c>
      <c r="O163" s="192">
        <v>55</v>
      </c>
      <c r="P163" s="190">
        <v>0.40995029164152513</v>
      </c>
      <c r="Q163" s="190">
        <v>0.85932247220067237</v>
      </c>
    </row>
    <row r="164" spans="1:17" x14ac:dyDescent="0.25">
      <c r="A164">
        <v>6000</v>
      </c>
      <c r="B164">
        <v>100</v>
      </c>
      <c r="C164">
        <v>5.2</v>
      </c>
      <c r="D164">
        <v>0</v>
      </c>
      <c r="E164" s="190">
        <v>1.1605770143365433</v>
      </c>
      <c r="F164" s="190">
        <v>0.74375447320014987</v>
      </c>
      <c r="G164" s="190">
        <v>2.0436184726584883</v>
      </c>
      <c r="H164" s="190">
        <v>4.0180083235104851</v>
      </c>
      <c r="I164" s="190">
        <v>4.302049371401468</v>
      </c>
      <c r="J164" s="190">
        <v>7.0172334482096241E-2</v>
      </c>
      <c r="K164" s="190">
        <v>8.1932611764087202</v>
      </c>
      <c r="L164" s="191">
        <v>33728.558333333327</v>
      </c>
      <c r="M164" s="191">
        <v>518.05833333333339</v>
      </c>
      <c r="N164" s="192">
        <v>34.296296296296291</v>
      </c>
      <c r="O164" s="192">
        <v>56</v>
      </c>
      <c r="P164" s="190">
        <v>0.53462057868574553</v>
      </c>
      <c r="Q164" s="190">
        <v>0.87362296353762614</v>
      </c>
    </row>
    <row r="165" spans="1:17" x14ac:dyDescent="0.25">
      <c r="A165">
        <v>6000</v>
      </c>
      <c r="B165">
        <v>100</v>
      </c>
      <c r="C165">
        <v>5.4000000000000012</v>
      </c>
      <c r="D165">
        <v>0</v>
      </c>
      <c r="E165" s="190">
        <v>1.435064111913392</v>
      </c>
      <c r="F165" s="190">
        <v>0.61902965535370225</v>
      </c>
      <c r="G165" s="190">
        <v>2.2936428410349152</v>
      </c>
      <c r="H165" s="190">
        <v>4.2085972944895422</v>
      </c>
      <c r="I165" s="190">
        <v>4.6697428464889521</v>
      </c>
      <c r="J165" s="190">
        <v>9.0844476588396894E-2</v>
      </c>
      <c r="K165" s="190">
        <v>10.363465631575954</v>
      </c>
      <c r="L165" s="191">
        <v>35490.23333333333</v>
      </c>
      <c r="M165" s="191">
        <v>532.35833333333335</v>
      </c>
      <c r="N165" s="192">
        <v>45.74074074074074</v>
      </c>
      <c r="O165" s="192">
        <v>61</v>
      </c>
      <c r="P165" s="190">
        <v>0.71633479872424777</v>
      </c>
      <c r="Q165" s="190">
        <v>0.95730540470649084</v>
      </c>
    </row>
    <row r="166" spans="1:17" x14ac:dyDescent="0.25">
      <c r="A166">
        <v>6000</v>
      </c>
      <c r="B166">
        <v>100</v>
      </c>
      <c r="C166">
        <v>5.8</v>
      </c>
      <c r="D166">
        <v>0</v>
      </c>
      <c r="E166" s="190">
        <v>3.5289551875927123</v>
      </c>
      <c r="F166" s="190">
        <v>1.3774511413063049</v>
      </c>
      <c r="G166" s="190">
        <v>4.9888406751636927</v>
      </c>
      <c r="H166" s="190">
        <v>9.005064344406124</v>
      </c>
      <c r="I166" s="190">
        <v>9.3004104820887239</v>
      </c>
      <c r="J166" s="190">
        <v>9.6583568567583281E-2</v>
      </c>
      <c r="K166" s="190">
        <v>12.277739819959905</v>
      </c>
      <c r="L166" s="191">
        <v>35706.416666666664</v>
      </c>
      <c r="M166" s="191">
        <v>509.20416666666665</v>
      </c>
      <c r="N166" s="192">
        <v>50.25925925925926</v>
      </c>
      <c r="O166" s="192">
        <v>64</v>
      </c>
      <c r="P166" s="190">
        <v>0.78210499094905606</v>
      </c>
      <c r="Q166" s="190">
        <v>0.99775019394879749</v>
      </c>
    </row>
    <row r="167" spans="1:17" x14ac:dyDescent="0.25">
      <c r="A167">
        <v>6000</v>
      </c>
      <c r="B167">
        <v>100</v>
      </c>
      <c r="C167">
        <v>6</v>
      </c>
      <c r="D167">
        <v>0</v>
      </c>
      <c r="E167" s="190">
        <v>2.7787750410736831</v>
      </c>
      <c r="F167" s="190">
        <v>1.2817617600254509</v>
      </c>
      <c r="G167" s="190">
        <v>3.997555226543712</v>
      </c>
      <c r="H167" s="190">
        <v>12.724696377913155</v>
      </c>
      <c r="I167" s="190">
        <v>13.233069755236306</v>
      </c>
      <c r="J167" s="190">
        <v>8.4682442355198839E-2</v>
      </c>
      <c r="K167" s="190">
        <v>11.696284017271052</v>
      </c>
      <c r="L167" s="191">
        <v>35089.066666666658</v>
      </c>
      <c r="M167" s="191">
        <v>531.5916666666667</v>
      </c>
      <c r="N167" s="192">
        <v>44.925925925925924</v>
      </c>
      <c r="O167" s="192">
        <v>62.666666666666664</v>
      </c>
      <c r="P167" s="190">
        <v>0.69932189753756857</v>
      </c>
      <c r="Q167" s="190">
        <v>0.97659684509956035</v>
      </c>
    </row>
    <row r="168" spans="1:17" x14ac:dyDescent="0.25">
      <c r="A168">
        <v>6000</v>
      </c>
      <c r="B168">
        <v>100</v>
      </c>
      <c r="C168">
        <v>6.2</v>
      </c>
      <c r="D168">
        <v>0</v>
      </c>
      <c r="E168" s="190">
        <v>2.9788035527552004</v>
      </c>
      <c r="F168" s="190">
        <v>1.227755021093192</v>
      </c>
      <c r="G168" s="190">
        <v>3.9927787936789039</v>
      </c>
      <c r="H168" s="190">
        <v>7.4239736080169676</v>
      </c>
      <c r="I168" s="190">
        <v>7.9053410498301178</v>
      </c>
      <c r="J168" s="190">
        <v>9.7520763342730118E-2</v>
      </c>
      <c r="K168" s="190">
        <v>12.31737369905828</v>
      </c>
      <c r="L168" s="191">
        <v>35939.995833333327</v>
      </c>
      <c r="M168" s="191">
        <v>523.57499999999993</v>
      </c>
      <c r="N168" s="192">
        <v>47.407407407407412</v>
      </c>
      <c r="O168" s="192">
        <v>63.333333333333336</v>
      </c>
      <c r="P168" s="190">
        <v>0.73818061661351031</v>
      </c>
      <c r="Q168" s="190">
        <v>0.99056115852081728</v>
      </c>
    </row>
    <row r="169" spans="1:17" x14ac:dyDescent="0.25">
      <c r="A169">
        <v>6000</v>
      </c>
      <c r="B169">
        <v>100</v>
      </c>
      <c r="C169">
        <v>6.4000000000000012</v>
      </c>
      <c r="D169">
        <v>0</v>
      </c>
      <c r="E169" s="190">
        <v>4.6107999336990897</v>
      </c>
      <c r="F169" s="190">
        <v>1.1255584311320885</v>
      </c>
      <c r="G169" s="190">
        <v>5.3410633471729767</v>
      </c>
      <c r="H169" s="190">
        <v>9.5125555833180737</v>
      </c>
      <c r="I169" s="190">
        <v>9.9086410649617509</v>
      </c>
      <c r="J169" s="190">
        <v>0.10106962356492293</v>
      </c>
      <c r="K169" s="190">
        <v>14.806080040330464</v>
      </c>
      <c r="L169" s="191">
        <v>35547.347222222219</v>
      </c>
      <c r="M169" s="191">
        <v>552.27083333333337</v>
      </c>
      <c r="N169" s="192">
        <v>48.918518518518518</v>
      </c>
      <c r="O169" s="192">
        <v>63</v>
      </c>
      <c r="P169" s="190">
        <v>0.76341579748872235</v>
      </c>
      <c r="Q169" s="190">
        <v>0.98766485647788971</v>
      </c>
    </row>
    <row r="170" spans="1:17" x14ac:dyDescent="0.25">
      <c r="A170">
        <v>6000</v>
      </c>
      <c r="B170">
        <v>100</v>
      </c>
      <c r="C170">
        <v>6.5999999999999988</v>
      </c>
      <c r="D170">
        <v>0</v>
      </c>
      <c r="E170" s="190">
        <v>5.9770145541377246</v>
      </c>
      <c r="F170" s="190">
        <v>1.0074532958660602</v>
      </c>
      <c r="G170" s="190">
        <v>6.9000731865115412</v>
      </c>
      <c r="H170" s="190">
        <v>12.674003088474274</v>
      </c>
      <c r="I170" s="190">
        <v>13.061408584912618</v>
      </c>
      <c r="J170" s="190">
        <v>0.11063943531066119</v>
      </c>
      <c r="K170" s="190">
        <v>16.543247516104838</v>
      </c>
      <c r="L170" s="191">
        <v>36130.188888888886</v>
      </c>
      <c r="M170" s="191">
        <v>554.60740740740732</v>
      </c>
      <c r="N170" s="192">
        <v>53.966666666666669</v>
      </c>
      <c r="O170" s="192">
        <v>64</v>
      </c>
      <c r="P170" s="190">
        <v>0.84485906387380394</v>
      </c>
      <c r="Q170" s="190">
        <v>0.99862942849754333</v>
      </c>
    </row>
    <row r="171" spans="1:17" x14ac:dyDescent="0.25">
      <c r="A171">
        <v>6000</v>
      </c>
      <c r="B171">
        <v>100</v>
      </c>
      <c r="C171">
        <v>6.8</v>
      </c>
      <c r="D171">
        <v>0</v>
      </c>
      <c r="E171" s="190">
        <v>6.268921307044212</v>
      </c>
      <c r="F171" s="190">
        <v>1.3392629044221371</v>
      </c>
      <c r="G171" s="190">
        <v>7.8909833342756714</v>
      </c>
      <c r="H171" s="190">
        <v>13.987683173020679</v>
      </c>
      <c r="I171" s="190">
        <v>15.12877874215444</v>
      </c>
      <c r="J171" s="190">
        <v>0.10462679664851991</v>
      </c>
      <c r="K171" s="190">
        <v>16.853045636670505</v>
      </c>
      <c r="L171" s="191">
        <v>37708.883796296293</v>
      </c>
      <c r="M171" s="191">
        <v>583.04398148148141</v>
      </c>
      <c r="N171" s="192">
        <v>48.603703703703701</v>
      </c>
      <c r="O171" s="192">
        <v>64</v>
      </c>
      <c r="P171" s="190">
        <v>0.7583958279458668</v>
      </c>
      <c r="Q171" s="190">
        <v>0.99707783811740358</v>
      </c>
    </row>
    <row r="172" spans="1:17" x14ac:dyDescent="0.25">
      <c r="A172">
        <v>6000</v>
      </c>
      <c r="B172">
        <v>100</v>
      </c>
      <c r="C172">
        <v>7</v>
      </c>
      <c r="D172">
        <v>0</v>
      </c>
      <c r="E172" s="190">
        <v>8.0779408992271104</v>
      </c>
      <c r="F172" s="190">
        <v>1.3740283270689924</v>
      </c>
      <c r="G172" s="190">
        <v>9.3262275481629953</v>
      </c>
      <c r="H172" s="190">
        <v>14.841223613421127</v>
      </c>
      <c r="I172" s="190">
        <v>15.866198527018232</v>
      </c>
      <c r="J172" s="190">
        <v>0.10782964884424413</v>
      </c>
      <c r="K172" s="190">
        <v>18.168101412278698</v>
      </c>
      <c r="L172" s="191">
        <v>35971.4</v>
      </c>
      <c r="M172" s="191">
        <v>532.4666666666667</v>
      </c>
      <c r="N172" s="192">
        <v>51.033333333333331</v>
      </c>
      <c r="O172" s="192">
        <v>64</v>
      </c>
      <c r="P172" s="190">
        <v>0.79698991466252911</v>
      </c>
      <c r="Q172" s="190">
        <v>0.99904318593224717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93FF-99C9-42E0-9E4A-505DF100CA61}">
  <dimension ref="A1:Y75"/>
  <sheetViews>
    <sheetView workbookViewId="0">
      <selection activeCell="U1" sqref="U1"/>
    </sheetView>
  </sheetViews>
  <sheetFormatPr defaultRowHeight="15" x14ac:dyDescent="0.25"/>
  <sheetData>
    <row r="1" spans="1:25" x14ac:dyDescent="0.25">
      <c r="A1">
        <v>1000</v>
      </c>
      <c r="B1">
        <v>300</v>
      </c>
      <c r="C1">
        <v>2</v>
      </c>
      <c r="D1">
        <v>0</v>
      </c>
      <c r="E1" s="190">
        <v>3.6813165959942801E-2</v>
      </c>
      <c r="F1" s="190">
        <v>3.1516070129098697E-2</v>
      </c>
      <c r="G1" s="190">
        <v>4.9095033114591867E-2</v>
      </c>
      <c r="H1" s="190">
        <v>6.3904261589050299E-2</v>
      </c>
      <c r="I1" s="190">
        <v>7.216400861740116E-2</v>
      </c>
      <c r="J1" s="190">
        <v>6.6212960266655973E-3</v>
      </c>
      <c r="K1" s="190">
        <v>2.0161699618311379</v>
      </c>
      <c r="L1" s="191">
        <v>2174.8166666666666</v>
      </c>
      <c r="M1" s="191">
        <v>603.84444444444443</v>
      </c>
      <c r="N1" s="192">
        <v>4</v>
      </c>
      <c r="O1" s="192">
        <v>8.5</v>
      </c>
      <c r="P1" s="190">
        <v>1.1850271528316525E-2</v>
      </c>
      <c r="Q1" s="190">
        <v>2.5019394879751741E-2</v>
      </c>
      <c r="T1">
        <f t="shared" ref="T1:T35" si="0">(A1+B1)*C1</f>
        <v>2600</v>
      </c>
      <c r="U1" s="191">
        <f t="shared" ref="U1:U35" si="1">O1*(A1+B1/2)/Q1</f>
        <v>390696.89922480629</v>
      </c>
      <c r="V1" s="192">
        <f t="shared" ref="V1:V35" si="2">U1/(J1*B1+F1)</f>
        <v>193615.12203048103</v>
      </c>
      <c r="W1" s="192">
        <f t="shared" ref="W1:W35" si="3">O1/J1</f>
        <v>1283.7365926199941</v>
      </c>
      <c r="X1">
        <f t="shared" ref="X1:X35" si="4">B1*C1</f>
        <v>600</v>
      </c>
      <c r="Y1" s="192">
        <f t="shared" ref="Y1:Y35" si="5">U1/T1</f>
        <v>150.26803816338705</v>
      </c>
    </row>
    <row r="2" spans="1:25" x14ac:dyDescent="0.25">
      <c r="A2">
        <v>2000</v>
      </c>
      <c r="B2">
        <v>300</v>
      </c>
      <c r="C2">
        <v>2</v>
      </c>
      <c r="D2">
        <v>0</v>
      </c>
      <c r="E2" s="190">
        <v>6.246258813404177E-2</v>
      </c>
      <c r="F2" s="190">
        <v>5.4630473282162834E-2</v>
      </c>
      <c r="G2" s="190">
        <v>7.6301067071120429E-2</v>
      </c>
      <c r="H2" s="190">
        <v>0.11124184131622314</v>
      </c>
      <c r="I2" s="190">
        <v>0.12285841464996336</v>
      </c>
      <c r="J2" s="190">
        <v>7.490851774883912E-3</v>
      </c>
      <c r="K2" s="190">
        <v>2.300878753301224</v>
      </c>
      <c r="L2" s="191">
        <v>4546.6166666666668</v>
      </c>
      <c r="M2" s="191">
        <v>634.69444444444446</v>
      </c>
      <c r="N2" s="192">
        <v>4.6500000000000004</v>
      </c>
      <c r="O2" s="192">
        <v>11</v>
      </c>
      <c r="P2" s="190">
        <v>2.5965865011636929E-2</v>
      </c>
      <c r="Q2" s="190">
        <v>6.0861132660977479E-2</v>
      </c>
      <c r="T2">
        <f t="shared" si="0"/>
        <v>4600</v>
      </c>
      <c r="U2" s="191">
        <f t="shared" si="1"/>
        <v>388589.54748247308</v>
      </c>
      <c r="V2" s="192">
        <f t="shared" si="2"/>
        <v>168813.54963375459</v>
      </c>
      <c r="W2" s="192">
        <f t="shared" si="3"/>
        <v>1468.4578377163884</v>
      </c>
      <c r="X2">
        <f t="shared" si="4"/>
        <v>600</v>
      </c>
      <c r="Y2" s="192">
        <f t="shared" si="5"/>
        <v>84.475988583146318</v>
      </c>
    </row>
    <row r="3" spans="1:25" x14ac:dyDescent="0.25">
      <c r="A3">
        <v>3000</v>
      </c>
      <c r="B3">
        <v>300</v>
      </c>
      <c r="C3">
        <v>2</v>
      </c>
      <c r="D3">
        <v>0</v>
      </c>
      <c r="E3" s="190">
        <v>9.0961071314662315E-2</v>
      </c>
      <c r="F3" s="190">
        <v>8.2817684456790747E-2</v>
      </c>
      <c r="G3" s="190">
        <v>0.10633152847603525</v>
      </c>
      <c r="H3" s="190">
        <v>0.15767917633056625</v>
      </c>
      <c r="I3" s="190">
        <v>0.19386476039886469</v>
      </c>
      <c r="J3" s="190">
        <v>8.1016796352175388E-3</v>
      </c>
      <c r="K3" s="190">
        <v>2.5020658499280328</v>
      </c>
      <c r="L3" s="191">
        <v>6074.7111111111108</v>
      </c>
      <c r="M3" s="191">
        <v>555.71111111111111</v>
      </c>
      <c r="N3" s="192">
        <v>4.5500000000000007</v>
      </c>
      <c r="O3" s="192">
        <v>8.5</v>
      </c>
      <c r="P3" s="190">
        <v>3.6869666408068269E-2</v>
      </c>
      <c r="Q3" s="190">
        <v>6.9743987587276957E-2</v>
      </c>
      <c r="T3">
        <f t="shared" si="0"/>
        <v>6600</v>
      </c>
      <c r="U3" s="191">
        <f t="shared" si="1"/>
        <v>383904.06006674084</v>
      </c>
      <c r="V3" s="192">
        <f t="shared" si="2"/>
        <v>152747.68811204447</v>
      </c>
      <c r="W3" s="192">
        <f t="shared" si="3"/>
        <v>1049.1651586728985</v>
      </c>
      <c r="X3">
        <f t="shared" si="4"/>
        <v>600</v>
      </c>
      <c r="Y3" s="192">
        <f t="shared" si="5"/>
        <v>58.167281828294065</v>
      </c>
    </row>
    <row r="4" spans="1:25" x14ac:dyDescent="0.25">
      <c r="A4">
        <v>4000</v>
      </c>
      <c r="B4">
        <v>300</v>
      </c>
      <c r="C4">
        <v>2</v>
      </c>
      <c r="D4">
        <v>0</v>
      </c>
      <c r="E4" s="190">
        <v>0.12463708682076555</v>
      </c>
      <c r="F4" s="190">
        <v>0.1113570210150551</v>
      </c>
      <c r="G4" s="190">
        <v>0.14154943876929116</v>
      </c>
      <c r="H4" s="190">
        <v>0.22691340446472164</v>
      </c>
      <c r="I4" s="190">
        <v>0.24051264762878422</v>
      </c>
      <c r="J4" s="190">
        <v>9.0222427353906856E-3</v>
      </c>
      <c r="K4" s="190">
        <v>2.820925992623919</v>
      </c>
      <c r="L4" s="191">
        <v>7931.3</v>
      </c>
      <c r="M4" s="191">
        <v>549.54999999999995</v>
      </c>
      <c r="N4" s="192">
        <v>5.45</v>
      </c>
      <c r="O4" s="192">
        <v>9.5</v>
      </c>
      <c r="P4" s="190">
        <v>5.8219550038789744E-2</v>
      </c>
      <c r="Q4" s="190">
        <v>0.10174553917765707</v>
      </c>
      <c r="T4">
        <f t="shared" si="0"/>
        <v>8600</v>
      </c>
      <c r="U4" s="191">
        <f t="shared" si="1"/>
        <v>387486.27525733906</v>
      </c>
      <c r="V4" s="192">
        <f t="shared" si="2"/>
        <v>137502.54505214861</v>
      </c>
      <c r="W4" s="192">
        <f t="shared" si="3"/>
        <v>1052.9532710015949</v>
      </c>
      <c r="X4">
        <f t="shared" si="4"/>
        <v>600</v>
      </c>
      <c r="Y4" s="192">
        <f t="shared" si="5"/>
        <v>45.056543634574311</v>
      </c>
    </row>
    <row r="5" spans="1:25" x14ac:dyDescent="0.25">
      <c r="A5">
        <v>5000</v>
      </c>
      <c r="B5">
        <v>300</v>
      </c>
      <c r="C5">
        <v>2</v>
      </c>
      <c r="D5">
        <v>0</v>
      </c>
      <c r="E5" s="190">
        <v>0.1748638947946029</v>
      </c>
      <c r="F5" s="190">
        <v>0.14798907552566348</v>
      </c>
      <c r="G5" s="190">
        <v>0.19374229171619575</v>
      </c>
      <c r="H5" s="190">
        <v>0.35423344969749448</v>
      </c>
      <c r="I5" s="190">
        <v>0.40572762012481678</v>
      </c>
      <c r="J5" s="190">
        <v>1.1071213533300241E-2</v>
      </c>
      <c r="K5" s="190">
        <v>3.4634622245228632</v>
      </c>
      <c r="L5" s="191">
        <v>10865.05</v>
      </c>
      <c r="M5" s="191">
        <v>594.37777777777774</v>
      </c>
      <c r="N5" s="192">
        <v>6.1</v>
      </c>
      <c r="O5" s="192">
        <v>11</v>
      </c>
      <c r="P5" s="190">
        <v>8.0896043444530635E-2</v>
      </c>
      <c r="Q5" s="190">
        <v>0.14476338246702869</v>
      </c>
      <c r="T5">
        <f t="shared" si="0"/>
        <v>10600</v>
      </c>
      <c r="U5" s="191">
        <f t="shared" si="1"/>
        <v>391328.24222936766</v>
      </c>
      <c r="V5" s="192">
        <f t="shared" si="2"/>
        <v>112795.7365375534</v>
      </c>
      <c r="W5" s="192">
        <f t="shared" si="3"/>
        <v>993.56768496190205</v>
      </c>
      <c r="X5">
        <f t="shared" si="4"/>
        <v>600</v>
      </c>
      <c r="Y5" s="192">
        <f t="shared" si="5"/>
        <v>36.917758700883745</v>
      </c>
    </row>
    <row r="6" spans="1:25" x14ac:dyDescent="0.25">
      <c r="A6">
        <v>6000</v>
      </c>
      <c r="B6">
        <v>300</v>
      </c>
      <c r="C6">
        <v>2</v>
      </c>
      <c r="D6">
        <v>0</v>
      </c>
      <c r="E6" s="190">
        <v>0.21243351354558992</v>
      </c>
      <c r="F6" s="190">
        <v>0.18913921871163175</v>
      </c>
      <c r="G6" s="190">
        <v>0.23286247325945955</v>
      </c>
      <c r="H6" s="190">
        <v>0.40724282264709449</v>
      </c>
      <c r="I6" s="190">
        <v>0.51673037528991705</v>
      </c>
      <c r="J6" s="190">
        <v>1.2433206767652884E-2</v>
      </c>
      <c r="K6" s="190">
        <v>3.8844985048226333</v>
      </c>
      <c r="L6" s="191">
        <v>12576.57777777778</v>
      </c>
      <c r="M6" s="191">
        <v>567.22222222222217</v>
      </c>
      <c r="N6" s="192">
        <v>7.45</v>
      </c>
      <c r="O6" s="192">
        <v>14</v>
      </c>
      <c r="P6" s="190">
        <v>0.11821179208688905</v>
      </c>
      <c r="Q6" s="190">
        <v>0.22199379363847946</v>
      </c>
      <c r="T6">
        <f t="shared" si="0"/>
        <v>12600</v>
      </c>
      <c r="U6" s="191">
        <f t="shared" si="1"/>
        <v>387848.68076183816</v>
      </c>
      <c r="V6" s="192">
        <f t="shared" si="2"/>
        <v>98963.67971102045</v>
      </c>
      <c r="W6" s="192">
        <f t="shared" si="3"/>
        <v>1126.0168242696161</v>
      </c>
      <c r="X6">
        <f t="shared" si="4"/>
        <v>600</v>
      </c>
      <c r="Y6" s="192">
        <f t="shared" si="5"/>
        <v>30.781641330304616</v>
      </c>
    </row>
    <row r="7" spans="1:25" x14ac:dyDescent="0.25">
      <c r="A7">
        <v>7000</v>
      </c>
      <c r="B7">
        <v>300</v>
      </c>
      <c r="C7">
        <v>2</v>
      </c>
      <c r="D7">
        <v>0</v>
      </c>
      <c r="E7" s="190">
        <v>0.27449511138991234</v>
      </c>
      <c r="F7" s="190">
        <v>0.23599330376907415</v>
      </c>
      <c r="G7" s="190">
        <v>0.29831104303266909</v>
      </c>
      <c r="H7" s="190">
        <v>0.58797749280929557</v>
      </c>
      <c r="I7" s="190">
        <v>0.73020378351211557</v>
      </c>
      <c r="J7" s="190">
        <v>1.584888159105512E-2</v>
      </c>
      <c r="K7" s="190">
        <v>5.074650036042657</v>
      </c>
      <c r="L7" s="191">
        <v>15042.45555555556</v>
      </c>
      <c r="M7" s="191">
        <v>595.53888888888878</v>
      </c>
      <c r="N7" s="192">
        <v>8.65</v>
      </c>
      <c r="O7" s="192">
        <v>16.5</v>
      </c>
      <c r="P7" s="190">
        <v>0.15977501939487976</v>
      </c>
      <c r="Q7" s="190">
        <v>0.30492629945694338</v>
      </c>
      <c r="T7">
        <f t="shared" si="0"/>
        <v>14600</v>
      </c>
      <c r="U7" s="191">
        <f t="shared" si="1"/>
        <v>386896.76885892375</v>
      </c>
      <c r="V7" s="192">
        <f t="shared" si="2"/>
        <v>77524.203387626927</v>
      </c>
      <c r="W7" s="192">
        <f t="shared" si="3"/>
        <v>1041.0829246974979</v>
      </c>
      <c r="X7">
        <f t="shared" si="4"/>
        <v>600</v>
      </c>
      <c r="Y7" s="192">
        <f t="shared" si="5"/>
        <v>26.499778688967382</v>
      </c>
    </row>
    <row r="8" spans="1:25" x14ac:dyDescent="0.25">
      <c r="A8">
        <v>8000</v>
      </c>
      <c r="B8">
        <v>300</v>
      </c>
      <c r="C8">
        <v>2</v>
      </c>
      <c r="D8">
        <v>0</v>
      </c>
      <c r="E8" s="190">
        <v>0.35701287879116284</v>
      </c>
      <c r="F8" s="190">
        <v>0.29188743233135361</v>
      </c>
      <c r="G8" s="190">
        <v>0.38542098755271847</v>
      </c>
      <c r="H8" s="190">
        <v>0.79309196472167942</v>
      </c>
      <c r="I8" s="190">
        <v>0.89239452838897693</v>
      </c>
      <c r="J8" s="190">
        <v>2.3421438229960803E-2</v>
      </c>
      <c r="K8" s="190">
        <v>7.1544000647089501</v>
      </c>
      <c r="L8" s="191">
        <v>18614.483333333337</v>
      </c>
      <c r="M8" s="191">
        <v>615.09444444444443</v>
      </c>
      <c r="N8" s="192">
        <v>14.55</v>
      </c>
      <c r="O8" s="192">
        <v>28.5</v>
      </c>
      <c r="P8" s="190">
        <v>0.30568657874321181</v>
      </c>
      <c r="Q8" s="190">
        <v>0.5986423584173779</v>
      </c>
      <c r="T8">
        <f t="shared" si="0"/>
        <v>16600</v>
      </c>
      <c r="U8" s="191">
        <f t="shared" si="1"/>
        <v>388002.94822782342</v>
      </c>
      <c r="V8" s="192">
        <f t="shared" si="2"/>
        <v>53018.04327737906</v>
      </c>
      <c r="W8" s="192">
        <f t="shared" si="3"/>
        <v>1216.8338989337844</v>
      </c>
      <c r="X8">
        <f t="shared" si="4"/>
        <v>600</v>
      </c>
      <c r="Y8" s="192">
        <f t="shared" si="5"/>
        <v>23.373671579989363</v>
      </c>
    </row>
    <row r="9" spans="1:25" x14ac:dyDescent="0.25">
      <c r="A9">
        <v>9000</v>
      </c>
      <c r="B9">
        <v>300</v>
      </c>
      <c r="C9">
        <v>2</v>
      </c>
      <c r="D9">
        <v>0</v>
      </c>
      <c r="E9" s="190">
        <v>0.44413695305020179</v>
      </c>
      <c r="F9" s="190">
        <v>0.36464825923816491</v>
      </c>
      <c r="G9" s="190">
        <v>0.46983284523650443</v>
      </c>
      <c r="H9" s="190">
        <v>1.0251788794994354</v>
      </c>
      <c r="I9" s="190">
        <v>1.2463106966018676</v>
      </c>
      <c r="J9" s="190">
        <v>2.7628285836238893E-2</v>
      </c>
      <c r="K9" s="190">
        <v>8.8230036446945572</v>
      </c>
      <c r="L9" s="191">
        <v>18810.705555555556</v>
      </c>
      <c r="M9" s="191">
        <v>568.95555555555552</v>
      </c>
      <c r="N9" s="192">
        <v>14.8</v>
      </c>
      <c r="O9" s="192">
        <v>32.5</v>
      </c>
      <c r="P9" s="190">
        <v>0.34968192397207143</v>
      </c>
      <c r="Q9" s="190">
        <v>0.76733902249806052</v>
      </c>
      <c r="T9">
        <f t="shared" si="0"/>
        <v>18600</v>
      </c>
      <c r="U9" s="191">
        <f t="shared" si="1"/>
        <v>387540.56718228693</v>
      </c>
      <c r="V9" s="192">
        <f t="shared" si="2"/>
        <v>44786.151090403364</v>
      </c>
      <c r="W9" s="192">
        <f t="shared" si="3"/>
        <v>1176.3306704092035</v>
      </c>
      <c r="X9">
        <f t="shared" si="4"/>
        <v>600</v>
      </c>
      <c r="Y9" s="192">
        <f t="shared" si="5"/>
        <v>20.835514364639081</v>
      </c>
    </row>
    <row r="10" spans="1:25" x14ac:dyDescent="0.25">
      <c r="A10">
        <v>10000</v>
      </c>
      <c r="B10">
        <v>300</v>
      </c>
      <c r="C10">
        <v>2</v>
      </c>
      <c r="D10">
        <v>0</v>
      </c>
      <c r="E10" s="190">
        <v>0.72652567131101664</v>
      </c>
      <c r="F10" s="190">
        <v>0.40136825147095978</v>
      </c>
      <c r="G10" s="190">
        <v>0.84067703176909392</v>
      </c>
      <c r="H10" s="190">
        <v>2.4793742299079891</v>
      </c>
      <c r="I10" s="190">
        <v>2.8898556470870966</v>
      </c>
      <c r="J10" s="190">
        <v>3.9794129214593008E-2</v>
      </c>
      <c r="K10" s="190">
        <v>12.322704710441885</v>
      </c>
      <c r="L10" s="191">
        <v>20836.56111111111</v>
      </c>
      <c r="M10" s="191">
        <v>543.05555555555566</v>
      </c>
      <c r="N10" s="192">
        <v>21.9</v>
      </c>
      <c r="O10" s="192">
        <v>33.5</v>
      </c>
      <c r="P10" s="190">
        <v>0.57404965089216442</v>
      </c>
      <c r="Q10" s="190">
        <v>0.88079906904577188</v>
      </c>
      <c r="T10">
        <f t="shared" si="0"/>
        <v>20600</v>
      </c>
      <c r="U10" s="191">
        <f t="shared" si="1"/>
        <v>386041.50702426565</v>
      </c>
      <c r="V10" s="192">
        <f t="shared" si="2"/>
        <v>31284.748900709561</v>
      </c>
      <c r="W10" s="192">
        <f t="shared" si="3"/>
        <v>841.83271907643928</v>
      </c>
      <c r="X10">
        <f t="shared" si="4"/>
        <v>600</v>
      </c>
      <c r="Y10" s="192">
        <f t="shared" si="5"/>
        <v>18.739878981760469</v>
      </c>
    </row>
    <row r="11" spans="1:25" x14ac:dyDescent="0.25">
      <c r="A11">
        <v>11000</v>
      </c>
      <c r="B11">
        <v>300</v>
      </c>
      <c r="C11">
        <v>2</v>
      </c>
      <c r="D11">
        <v>0</v>
      </c>
      <c r="E11" s="190">
        <v>2.8074965140509485</v>
      </c>
      <c r="F11" s="190">
        <v>0.52995351329146589</v>
      </c>
      <c r="G11" s="190">
        <v>2.8747102409760581</v>
      </c>
      <c r="H11" s="190">
        <v>5.8300770878791814</v>
      </c>
      <c r="I11" s="190">
        <v>6.6289416599273672</v>
      </c>
      <c r="J11" s="190">
        <v>4.381452327098001E-2</v>
      </c>
      <c r="K11" s="190">
        <v>15.322380596081665</v>
      </c>
      <c r="L11" s="191">
        <v>21315.113333333335</v>
      </c>
      <c r="M11" s="191">
        <v>514.26444444444439</v>
      </c>
      <c r="N11" s="192">
        <v>23.518181818181819</v>
      </c>
      <c r="O11" s="192">
        <v>34</v>
      </c>
      <c r="P11" s="190">
        <v>0.67751675012342194</v>
      </c>
      <c r="Q11" s="190">
        <v>0.9833979829325058</v>
      </c>
      <c r="T11">
        <f t="shared" si="0"/>
        <v>22600</v>
      </c>
      <c r="U11" s="191">
        <f t="shared" si="1"/>
        <v>385500.07888923952</v>
      </c>
      <c r="V11" s="192">
        <f t="shared" si="2"/>
        <v>28191.555182389897</v>
      </c>
      <c r="W11" s="192">
        <f t="shared" si="3"/>
        <v>775.99840102606947</v>
      </c>
      <c r="X11">
        <f t="shared" si="4"/>
        <v>600</v>
      </c>
      <c r="Y11" s="192">
        <f t="shared" si="5"/>
        <v>17.057525614568121</v>
      </c>
    </row>
    <row r="12" spans="1:25" x14ac:dyDescent="0.25">
      <c r="A12">
        <v>12000</v>
      </c>
      <c r="B12">
        <v>300</v>
      </c>
      <c r="C12">
        <v>2</v>
      </c>
      <c r="D12">
        <v>0</v>
      </c>
      <c r="E12" s="190">
        <v>5.9473348135878679</v>
      </c>
      <c r="F12" s="190">
        <v>0.81733888416106915</v>
      </c>
      <c r="G12" s="190">
        <v>6.1528956972945315</v>
      </c>
      <c r="H12" s="190">
        <v>14.475498586893082</v>
      </c>
      <c r="I12" s="190">
        <v>14.807129189968109</v>
      </c>
      <c r="J12" s="190">
        <v>5.524709918565901E-2</v>
      </c>
      <c r="K12" s="190">
        <v>20.619036698609818</v>
      </c>
      <c r="L12" s="191">
        <v>22508.98</v>
      </c>
      <c r="M12" s="191">
        <v>474.02499999999998</v>
      </c>
      <c r="N12" s="192">
        <v>26.90909090909091</v>
      </c>
      <c r="O12" s="192">
        <v>31.5</v>
      </c>
      <c r="P12" s="190">
        <v>0.84277805204880463</v>
      </c>
      <c r="Q12" s="190">
        <v>0.98898370830100846</v>
      </c>
      <c r="T12">
        <f t="shared" si="0"/>
        <v>24600</v>
      </c>
      <c r="U12" s="191">
        <f t="shared" si="1"/>
        <v>386988.17461562599</v>
      </c>
      <c r="V12" s="192">
        <f t="shared" si="2"/>
        <v>22251.609834071412</v>
      </c>
      <c r="W12" s="192">
        <f t="shared" si="3"/>
        <v>570.1656822586034</v>
      </c>
      <c r="X12">
        <f t="shared" si="4"/>
        <v>600</v>
      </c>
      <c r="Y12" s="192">
        <f t="shared" si="5"/>
        <v>15.7312266103913</v>
      </c>
    </row>
    <row r="13" spans="1:25" x14ac:dyDescent="0.25">
      <c r="A13">
        <v>13000</v>
      </c>
      <c r="B13">
        <v>300</v>
      </c>
      <c r="C13">
        <v>2</v>
      </c>
      <c r="D13">
        <v>0</v>
      </c>
      <c r="E13" s="190">
        <v>8.0599214460731865</v>
      </c>
      <c r="F13" s="190">
        <v>0.78761256556323433</v>
      </c>
      <c r="G13" s="190">
        <v>7.9382463185361489</v>
      </c>
      <c r="H13" s="190">
        <v>16.943825656175616</v>
      </c>
      <c r="I13" s="190">
        <v>17.693002469539643</v>
      </c>
      <c r="J13" s="190">
        <v>5.3554148032525548E-2</v>
      </c>
      <c r="K13" s="190">
        <v>24.088518521200605</v>
      </c>
      <c r="L13" s="191">
        <v>22710.102727272726</v>
      </c>
      <c r="M13" s="191">
        <v>451.47818181818178</v>
      </c>
      <c r="N13" s="192">
        <v>25.06818181818182</v>
      </c>
      <c r="O13" s="192">
        <v>29</v>
      </c>
      <c r="P13" s="190">
        <v>0.85145637915226746</v>
      </c>
      <c r="Q13" s="190">
        <v>0.98960434445306444</v>
      </c>
      <c r="T13">
        <f t="shared" si="0"/>
        <v>26600</v>
      </c>
      <c r="U13" s="191">
        <f t="shared" si="1"/>
        <v>385356.02853559109</v>
      </c>
      <c r="V13" s="192">
        <f t="shared" si="2"/>
        <v>22864.560266523436</v>
      </c>
      <c r="W13" s="192">
        <f t="shared" si="3"/>
        <v>541.50800760357822</v>
      </c>
      <c r="X13">
        <f t="shared" si="4"/>
        <v>600</v>
      </c>
      <c r="Y13" s="192">
        <f t="shared" si="5"/>
        <v>14.487068741939515</v>
      </c>
    </row>
    <row r="14" spans="1:25" x14ac:dyDescent="0.25">
      <c r="A14">
        <v>14000</v>
      </c>
      <c r="B14">
        <v>300</v>
      </c>
      <c r="C14">
        <v>2</v>
      </c>
      <c r="D14">
        <v>0</v>
      </c>
      <c r="E14" s="190">
        <v>13.119819063916863</v>
      </c>
      <c r="F14" s="190">
        <v>1.0442719843969275</v>
      </c>
      <c r="G14" s="190">
        <v>12.070902129281945</v>
      </c>
      <c r="H14" s="190">
        <v>24.466510671377179</v>
      </c>
      <c r="I14" s="190">
        <v>25.272707598209379</v>
      </c>
      <c r="J14" s="190">
        <v>5.3560281516683059E-2</v>
      </c>
      <c r="K14" s="190">
        <v>27.998962113818926</v>
      </c>
      <c r="L14" s="191">
        <v>22186.480681818182</v>
      </c>
      <c r="M14" s="191">
        <v>411.40681818181815</v>
      </c>
      <c r="N14" s="192">
        <v>23.487179487179489</v>
      </c>
      <c r="O14" s="192">
        <v>27.5</v>
      </c>
      <c r="P14" s="190">
        <v>0.85536268425135764</v>
      </c>
      <c r="Q14" s="190">
        <v>0.99507370054305655</v>
      </c>
      <c r="T14">
        <f t="shared" si="0"/>
        <v>28600</v>
      </c>
      <c r="U14" s="191">
        <f t="shared" si="1"/>
        <v>391051.43647916429</v>
      </c>
      <c r="V14" s="192">
        <f t="shared" si="2"/>
        <v>22851.992235198748</v>
      </c>
      <c r="W14" s="192">
        <f t="shared" si="3"/>
        <v>513.44016911924268</v>
      </c>
      <c r="X14">
        <f t="shared" si="4"/>
        <v>600</v>
      </c>
      <c r="Y14" s="192">
        <f t="shared" si="5"/>
        <v>13.673127149621129</v>
      </c>
    </row>
    <row r="15" spans="1:25" x14ac:dyDescent="0.25">
      <c r="A15">
        <v>15000</v>
      </c>
      <c r="B15">
        <v>300</v>
      </c>
      <c r="C15">
        <v>2</v>
      </c>
      <c r="D15">
        <v>0</v>
      </c>
      <c r="E15" s="190">
        <v>11.041592456032248</v>
      </c>
      <c r="F15" s="190">
        <v>0.93494058354496523</v>
      </c>
      <c r="G15" s="190">
        <v>10.070530901749931</v>
      </c>
      <c r="H15" s="190">
        <v>22.243165546655653</v>
      </c>
      <c r="I15" s="190">
        <v>23.396513042449953</v>
      </c>
      <c r="J15" s="190">
        <v>5.3300864370715025E-2</v>
      </c>
      <c r="K15" s="190">
        <v>27.941166147800221</v>
      </c>
      <c r="L15" s="191">
        <v>21756.108712121211</v>
      </c>
      <c r="M15" s="191">
        <v>390.54583333333335</v>
      </c>
      <c r="N15" s="192">
        <v>21.727564102564106</v>
      </c>
      <c r="O15" s="192">
        <v>25</v>
      </c>
      <c r="P15" s="190">
        <v>0.84901011517574743</v>
      </c>
      <c r="Q15" s="190">
        <v>0.98238944918541504</v>
      </c>
      <c r="T15">
        <f t="shared" si="0"/>
        <v>30600</v>
      </c>
      <c r="U15" s="191">
        <f t="shared" si="1"/>
        <v>385539.56408434018</v>
      </c>
      <c r="V15" s="192">
        <f t="shared" si="2"/>
        <v>22779.025741593414</v>
      </c>
      <c r="W15" s="192">
        <f t="shared" si="3"/>
        <v>469.03554557992675</v>
      </c>
      <c r="X15">
        <f t="shared" si="4"/>
        <v>600</v>
      </c>
      <c r="Y15" s="192">
        <f t="shared" si="5"/>
        <v>12.59933215961896</v>
      </c>
    </row>
    <row r="16" spans="1:25" x14ac:dyDescent="0.25">
      <c r="E16" s="190"/>
      <c r="F16" s="190"/>
      <c r="G16" s="190"/>
      <c r="H16" s="190"/>
      <c r="I16" s="190"/>
      <c r="J16" s="190"/>
      <c r="K16" s="190"/>
      <c r="L16" s="191"/>
      <c r="M16" s="191"/>
      <c r="N16" s="192"/>
      <c r="O16" s="192"/>
      <c r="P16" s="190"/>
      <c r="Q16" s="190"/>
      <c r="U16" s="191"/>
      <c r="V16" s="192"/>
      <c r="W16" s="192"/>
      <c r="Y16" s="192"/>
    </row>
    <row r="17" spans="1:25" x14ac:dyDescent="0.25">
      <c r="E17" s="190"/>
      <c r="F17" s="190"/>
      <c r="G17" s="190"/>
      <c r="H17" s="190"/>
      <c r="I17" s="190"/>
      <c r="J17" s="190"/>
      <c r="K17" s="190"/>
      <c r="L17" s="191"/>
      <c r="M17" s="191"/>
      <c r="N17" s="192"/>
      <c r="O17" s="192"/>
      <c r="P17" s="190"/>
      <c r="Q17" s="190"/>
      <c r="U17" s="191"/>
      <c r="V17" s="192"/>
      <c r="W17" s="192"/>
      <c r="Y17" s="192"/>
    </row>
    <row r="18" spans="1:25" x14ac:dyDescent="0.25">
      <c r="A18">
        <v>5000</v>
      </c>
      <c r="B18">
        <v>100</v>
      </c>
      <c r="C18">
        <v>2</v>
      </c>
      <c r="D18">
        <v>0</v>
      </c>
      <c r="E18" s="190">
        <v>0.17292548195048646</v>
      </c>
      <c r="F18" s="190">
        <v>0.1503830835350268</v>
      </c>
      <c r="G18" s="190">
        <v>0.1899713414802307</v>
      </c>
      <c r="H18" s="190">
        <v>0.35551908612251276</v>
      </c>
      <c r="I18" s="190">
        <v>0.42215857744216922</v>
      </c>
      <c r="J18" s="190">
        <v>9.6815497098528564E-3</v>
      </c>
      <c r="K18" s="190">
        <v>1.1255468835354696</v>
      </c>
      <c r="L18" s="191">
        <v>11058.268749999999</v>
      </c>
      <c r="M18" s="191">
        <v>204.18124999999998</v>
      </c>
      <c r="N18" s="192">
        <v>2.3888888888888893</v>
      </c>
      <c r="O18" s="192">
        <v>5.5</v>
      </c>
      <c r="P18" s="190">
        <v>3.1234376346866644E-2</v>
      </c>
      <c r="Q18" s="190">
        <v>7.1761055081458469E-2</v>
      </c>
      <c r="T18">
        <f t="shared" si="0"/>
        <v>10200</v>
      </c>
      <c r="U18" s="191">
        <f t="shared" si="1"/>
        <v>387048.37837837852</v>
      </c>
      <c r="V18" s="192">
        <f t="shared" si="2"/>
        <v>346030.58591901464</v>
      </c>
      <c r="W18" s="192">
        <f t="shared" si="3"/>
        <v>568.0908702459775</v>
      </c>
      <c r="X18">
        <f t="shared" si="4"/>
        <v>200</v>
      </c>
      <c r="Y18" s="192">
        <f t="shared" si="5"/>
        <v>37.945919448860636</v>
      </c>
    </row>
    <row r="19" spans="1:25" x14ac:dyDescent="0.25">
      <c r="A19">
        <v>5000</v>
      </c>
      <c r="B19">
        <v>200</v>
      </c>
      <c r="C19">
        <v>2</v>
      </c>
      <c r="D19">
        <v>0</v>
      </c>
      <c r="E19" s="190">
        <v>0.1641618222144442</v>
      </c>
      <c r="F19" s="190">
        <v>0.1460348556196808</v>
      </c>
      <c r="G19" s="190">
        <v>0.18312027043846965</v>
      </c>
      <c r="H19" s="190">
        <v>0.32359210252761833</v>
      </c>
      <c r="I19" s="190">
        <v>0.36215081214904787</v>
      </c>
      <c r="J19" s="190">
        <v>9.9585361931964558E-3</v>
      </c>
      <c r="K19" s="190">
        <v>2.0574069913631381</v>
      </c>
      <c r="L19" s="191">
        <v>10749.97777777778</v>
      </c>
      <c r="M19" s="191">
        <v>401.0555555555556</v>
      </c>
      <c r="N19" s="192">
        <v>4.3499999999999996</v>
      </c>
      <c r="O19" s="192">
        <v>9.5</v>
      </c>
      <c r="P19" s="190">
        <v>5.7327385570209471E-2</v>
      </c>
      <c r="Q19" s="190">
        <v>0.12486423584173781</v>
      </c>
      <c r="T19">
        <f t="shared" si="0"/>
        <v>10400</v>
      </c>
      <c r="U19" s="191">
        <f t="shared" si="1"/>
        <v>388021.43522833171</v>
      </c>
      <c r="V19" s="192">
        <f t="shared" si="2"/>
        <v>181509.93811198525</v>
      </c>
      <c r="W19" s="192">
        <f t="shared" si="3"/>
        <v>953.95546249962706</v>
      </c>
      <c r="X19">
        <f t="shared" si="4"/>
        <v>400</v>
      </c>
      <c r="Y19" s="192">
        <f t="shared" si="5"/>
        <v>37.30975338733959</v>
      </c>
    </row>
    <row r="20" spans="1:25" x14ac:dyDescent="0.25">
      <c r="A20">
        <v>5000</v>
      </c>
      <c r="B20">
        <v>300</v>
      </c>
      <c r="C20">
        <v>2</v>
      </c>
      <c r="D20">
        <v>0</v>
      </c>
      <c r="E20" s="190">
        <v>0.18010354331357459</v>
      </c>
      <c r="F20" s="190">
        <v>0.15584917510258506</v>
      </c>
      <c r="G20" s="190">
        <v>0.19935697078417081</v>
      </c>
      <c r="H20" s="190">
        <v>0.36718264222145081</v>
      </c>
      <c r="I20" s="190">
        <v>0.39521757364273064</v>
      </c>
      <c r="J20" s="190">
        <v>1.1780866166576431E-2</v>
      </c>
      <c r="K20" s="190">
        <v>3.6773264539209221</v>
      </c>
      <c r="L20" s="191">
        <v>11221.144444444444</v>
      </c>
      <c r="M20" s="191">
        <v>618.81111111111113</v>
      </c>
      <c r="N20" s="192">
        <v>6.4</v>
      </c>
      <c r="O20" s="192">
        <v>14.5</v>
      </c>
      <c r="P20" s="190">
        <v>8.5151280062063614E-2</v>
      </c>
      <c r="Q20" s="190">
        <v>0.19313421256788205</v>
      </c>
      <c r="T20">
        <f t="shared" si="0"/>
        <v>10600</v>
      </c>
      <c r="U20" s="191">
        <f t="shared" si="1"/>
        <v>386648.22253464558</v>
      </c>
      <c r="V20" s="192">
        <f t="shared" si="2"/>
        <v>104779.62030586161</v>
      </c>
      <c r="W20" s="192">
        <f t="shared" si="3"/>
        <v>1230.8093305684129</v>
      </c>
      <c r="X20">
        <f t="shared" si="4"/>
        <v>600</v>
      </c>
      <c r="Y20" s="192">
        <f t="shared" si="5"/>
        <v>36.476247408928828</v>
      </c>
    </row>
    <row r="21" spans="1:25" x14ac:dyDescent="0.25">
      <c r="A21">
        <v>5000</v>
      </c>
      <c r="B21">
        <v>400</v>
      </c>
      <c r="C21">
        <v>2</v>
      </c>
      <c r="D21">
        <v>0</v>
      </c>
      <c r="E21" s="190">
        <v>0.17207564024201721</v>
      </c>
      <c r="F21" s="190">
        <v>0.15262846417983117</v>
      </c>
      <c r="G21" s="190">
        <v>0.19287694842680492</v>
      </c>
      <c r="H21" s="190">
        <v>0.31914190053939817</v>
      </c>
      <c r="I21" s="190">
        <v>0.35192007541656489</v>
      </c>
      <c r="J21" s="190">
        <v>1.1676885233167225E-2</v>
      </c>
      <c r="K21" s="190">
        <v>4.7898453187116807</v>
      </c>
      <c r="L21" s="191">
        <v>10128.844444444445</v>
      </c>
      <c r="M21" s="191">
        <v>742.85555555555561</v>
      </c>
      <c r="N21" s="192">
        <v>7.15</v>
      </c>
      <c r="O21" s="192">
        <v>18</v>
      </c>
      <c r="P21" s="190">
        <v>9.5996896819239702E-2</v>
      </c>
      <c r="Q21" s="190">
        <v>0.24146625290923196</v>
      </c>
      <c r="T21">
        <f t="shared" si="0"/>
        <v>10800</v>
      </c>
      <c r="U21" s="191">
        <f t="shared" si="1"/>
        <v>387631.80722891568</v>
      </c>
      <c r="V21" s="192">
        <f t="shared" si="2"/>
        <v>80365.138491961188</v>
      </c>
      <c r="W21" s="192">
        <f t="shared" si="3"/>
        <v>1541.5069721566238</v>
      </c>
      <c r="X21">
        <f t="shared" si="4"/>
        <v>800</v>
      </c>
      <c r="Y21" s="192">
        <f t="shared" si="5"/>
        <v>35.891834002677378</v>
      </c>
    </row>
    <row r="22" spans="1:25" x14ac:dyDescent="0.25">
      <c r="A22">
        <v>5000</v>
      </c>
      <c r="B22">
        <v>500</v>
      </c>
      <c r="C22">
        <v>2</v>
      </c>
      <c r="D22">
        <v>0</v>
      </c>
      <c r="E22" s="190">
        <v>0.1777169260467413</v>
      </c>
      <c r="F22" s="190">
        <v>0.15293560778137025</v>
      </c>
      <c r="G22" s="190">
        <v>0.19825439575876058</v>
      </c>
      <c r="H22" s="190">
        <v>0.36117444634437562</v>
      </c>
      <c r="I22" s="190">
        <v>0.39942485332489014</v>
      </c>
      <c r="J22" s="190">
        <v>1.2692933260667404E-2</v>
      </c>
      <c r="K22" s="190">
        <v>6.3584812155797552</v>
      </c>
      <c r="L22" s="191">
        <v>10510.31111111111</v>
      </c>
      <c r="M22" s="191">
        <v>942.40555555555557</v>
      </c>
      <c r="N22" s="192">
        <v>11.649999999999999</v>
      </c>
      <c r="O22" s="192">
        <v>23.5</v>
      </c>
      <c r="P22" s="190">
        <v>0.15773467804499613</v>
      </c>
      <c r="Q22" s="190">
        <v>0.31726144297905357</v>
      </c>
      <c r="T22">
        <f t="shared" si="0"/>
        <v>11000</v>
      </c>
      <c r="U22" s="191">
        <f t="shared" si="1"/>
        <v>388874.8624526225</v>
      </c>
      <c r="V22" s="192">
        <f t="shared" si="2"/>
        <v>59832.404305138414</v>
      </c>
      <c r="W22" s="192">
        <f t="shared" si="3"/>
        <v>1851.423900007519</v>
      </c>
      <c r="X22">
        <f t="shared" si="4"/>
        <v>1000</v>
      </c>
      <c r="Y22" s="192">
        <f t="shared" si="5"/>
        <v>35.352260222965683</v>
      </c>
    </row>
    <row r="23" spans="1:25" x14ac:dyDescent="0.25">
      <c r="A23">
        <v>5000</v>
      </c>
      <c r="B23">
        <v>600</v>
      </c>
      <c r="C23">
        <v>2</v>
      </c>
      <c r="D23">
        <v>0</v>
      </c>
      <c r="E23" s="190">
        <v>0.16731351777059139</v>
      </c>
      <c r="F23" s="190">
        <v>0.1516079727410618</v>
      </c>
      <c r="G23" s="190">
        <v>0.1869830685508008</v>
      </c>
      <c r="H23" s="190">
        <v>0.29341171979904168</v>
      </c>
      <c r="I23" s="190">
        <v>0.3577267122268678</v>
      </c>
      <c r="J23" s="190">
        <v>1.2816159787474895E-2</v>
      </c>
      <c r="K23" s="190">
        <v>7.627520727773085</v>
      </c>
      <c r="L23" s="191">
        <v>9472.177777777777</v>
      </c>
      <c r="M23" s="191">
        <v>998.05000000000018</v>
      </c>
      <c r="N23" s="192">
        <v>13.1</v>
      </c>
      <c r="O23" s="192">
        <v>25</v>
      </c>
      <c r="P23" s="190">
        <v>0.17876260667183863</v>
      </c>
      <c r="Q23" s="190">
        <v>0.34208688906128781</v>
      </c>
      <c r="T23">
        <f t="shared" si="0"/>
        <v>11200</v>
      </c>
      <c r="U23" s="191">
        <f t="shared" si="1"/>
        <v>387328.49529425107</v>
      </c>
      <c r="V23" s="192">
        <f t="shared" si="2"/>
        <v>49395.929929442442</v>
      </c>
      <c r="W23" s="192">
        <f t="shared" si="3"/>
        <v>1950.6623212073441</v>
      </c>
      <c r="X23">
        <f t="shared" si="4"/>
        <v>1200</v>
      </c>
      <c r="Y23" s="192">
        <f t="shared" si="5"/>
        <v>34.582901365558129</v>
      </c>
    </row>
    <row r="24" spans="1:25" x14ac:dyDescent="0.25">
      <c r="A24">
        <v>5000</v>
      </c>
      <c r="B24">
        <v>700</v>
      </c>
      <c r="C24">
        <v>2</v>
      </c>
      <c r="D24">
        <v>0</v>
      </c>
      <c r="E24" s="190">
        <v>0.1833545089583293</v>
      </c>
      <c r="F24" s="190">
        <v>0.15902160522976924</v>
      </c>
      <c r="G24" s="190">
        <v>0.20503954037363739</v>
      </c>
      <c r="H24" s="190">
        <v>0.34544935822486872</v>
      </c>
      <c r="I24" s="190">
        <v>0.38713609457015974</v>
      </c>
      <c r="J24" s="190">
        <v>1.622387482705575E-2</v>
      </c>
      <c r="K24" s="190">
        <v>11.18867821539328</v>
      </c>
      <c r="L24" s="191">
        <v>10865.144444444446</v>
      </c>
      <c r="M24" s="191">
        <v>1315.5277777777781</v>
      </c>
      <c r="N24" s="192">
        <v>21.1</v>
      </c>
      <c r="O24" s="192">
        <v>37.5</v>
      </c>
      <c r="P24" s="190">
        <v>0.29114817688130334</v>
      </c>
      <c r="Q24" s="190">
        <v>0.5187742435996896</v>
      </c>
      <c r="T24">
        <f t="shared" si="0"/>
        <v>11400</v>
      </c>
      <c r="U24" s="191">
        <f t="shared" si="1"/>
        <v>386728.91431135044</v>
      </c>
      <c r="V24" s="192">
        <f t="shared" si="2"/>
        <v>33582.654379043866</v>
      </c>
      <c r="W24" s="192">
        <f t="shared" si="3"/>
        <v>2311.4083657415254</v>
      </c>
      <c r="X24">
        <f t="shared" si="4"/>
        <v>1400</v>
      </c>
      <c r="Y24" s="192">
        <f t="shared" si="5"/>
        <v>33.923588974679866</v>
      </c>
    </row>
    <row r="25" spans="1:25" x14ac:dyDescent="0.25">
      <c r="A25">
        <v>5000</v>
      </c>
      <c r="B25">
        <v>800</v>
      </c>
      <c r="C25">
        <v>2</v>
      </c>
      <c r="D25">
        <v>0</v>
      </c>
      <c r="E25" s="190">
        <v>0.18352554637288288</v>
      </c>
      <c r="F25" s="190">
        <v>0.16067702786601851</v>
      </c>
      <c r="G25" s="190">
        <v>0.20557532457533079</v>
      </c>
      <c r="H25" s="190">
        <v>0.3485398113727568</v>
      </c>
      <c r="I25" s="190">
        <v>0.42603714466094955</v>
      </c>
      <c r="J25" s="190">
        <v>1.6070387078168404E-2</v>
      </c>
      <c r="K25" s="190">
        <v>12.891200554454246</v>
      </c>
      <c r="L25" s="191">
        <v>10507.927777777775</v>
      </c>
      <c r="M25" s="191">
        <v>1452.5611111111116</v>
      </c>
      <c r="N25" s="192">
        <v>22.15</v>
      </c>
      <c r="O25" s="192">
        <v>34.5</v>
      </c>
      <c r="P25" s="190">
        <v>0.3084910783553142</v>
      </c>
      <c r="Q25" s="190">
        <v>0.48432893716058956</v>
      </c>
      <c r="T25">
        <f t="shared" si="0"/>
        <v>11600</v>
      </c>
      <c r="U25" s="191">
        <f t="shared" si="1"/>
        <v>384655.93464680447</v>
      </c>
      <c r="V25" s="192">
        <f t="shared" si="2"/>
        <v>29550.305596491504</v>
      </c>
      <c r="W25" s="192">
        <f t="shared" si="3"/>
        <v>2146.8057883228089</v>
      </c>
      <c r="X25">
        <f t="shared" si="4"/>
        <v>1600</v>
      </c>
      <c r="Y25" s="192">
        <f t="shared" si="5"/>
        <v>33.159994366103831</v>
      </c>
    </row>
    <row r="26" spans="1:25" x14ac:dyDescent="0.25">
      <c r="A26">
        <v>5000</v>
      </c>
      <c r="B26">
        <v>900</v>
      </c>
      <c r="C26">
        <v>2</v>
      </c>
      <c r="D26">
        <v>0</v>
      </c>
      <c r="E26" s="190">
        <v>0.19363111672357344</v>
      </c>
      <c r="F26" s="190">
        <v>0.16908574885962757</v>
      </c>
      <c r="G26" s="190">
        <v>0.21640364153610425</v>
      </c>
      <c r="H26" s="190">
        <v>0.36641209125518803</v>
      </c>
      <c r="I26" s="190">
        <v>0.44907778739929205</v>
      </c>
      <c r="J26" s="190">
        <v>1.764151540892438E-2</v>
      </c>
      <c r="K26" s="190">
        <v>15.814888621010395</v>
      </c>
      <c r="L26" s="191">
        <v>9618.0349999999999</v>
      </c>
      <c r="M26" s="191">
        <v>1538.1172222222226</v>
      </c>
      <c r="N26" s="192">
        <v>27.104545454545452</v>
      </c>
      <c r="O26" s="192">
        <v>42.5</v>
      </c>
      <c r="P26" s="190">
        <v>0.38005289512659568</v>
      </c>
      <c r="Q26" s="190">
        <v>0.59689681923972071</v>
      </c>
      <c r="T26">
        <f t="shared" si="0"/>
        <v>11800</v>
      </c>
      <c r="U26" s="191">
        <f t="shared" si="1"/>
        <v>388048.64179880428</v>
      </c>
      <c r="V26" s="192">
        <f t="shared" si="2"/>
        <v>24182.834898899891</v>
      </c>
      <c r="W26" s="192">
        <f t="shared" si="3"/>
        <v>2409.0900931617452</v>
      </c>
      <c r="X26">
        <f t="shared" si="4"/>
        <v>1800</v>
      </c>
      <c r="Y26" s="192">
        <f t="shared" si="5"/>
        <v>32.885478118542736</v>
      </c>
    </row>
    <row r="27" spans="1:25" x14ac:dyDescent="0.25">
      <c r="A27">
        <v>5000</v>
      </c>
      <c r="B27">
        <v>1000</v>
      </c>
      <c r="C27">
        <v>2</v>
      </c>
      <c r="D27">
        <v>0</v>
      </c>
      <c r="E27" s="190">
        <v>0.19257041695071203</v>
      </c>
      <c r="F27" s="190">
        <v>0.16194984388013206</v>
      </c>
      <c r="G27" s="190">
        <v>0.2145563304034713</v>
      </c>
      <c r="H27" s="190">
        <v>0.35196747183799637</v>
      </c>
      <c r="I27" s="190">
        <v>0.48332729339599589</v>
      </c>
      <c r="J27" s="190">
        <v>1.9379795176355886E-2</v>
      </c>
      <c r="K27" s="190">
        <v>19.244030959161393</v>
      </c>
      <c r="L27" s="191">
        <v>9324.375</v>
      </c>
      <c r="M27" s="191">
        <v>1729.395</v>
      </c>
      <c r="N27" s="192">
        <v>31.227272727272727</v>
      </c>
      <c r="O27" s="192">
        <v>49.5</v>
      </c>
      <c r="P27" s="190">
        <v>0.44270399887157064</v>
      </c>
      <c r="Q27" s="190">
        <v>0.69697439875872769</v>
      </c>
      <c r="T27">
        <f t="shared" si="0"/>
        <v>12000</v>
      </c>
      <c r="U27" s="191">
        <f t="shared" si="1"/>
        <v>390616.9300979519</v>
      </c>
      <c r="V27" s="192">
        <f t="shared" si="2"/>
        <v>19988.845913886256</v>
      </c>
      <c r="W27" s="192">
        <f t="shared" si="3"/>
        <v>2554.2065615013285</v>
      </c>
      <c r="X27">
        <f t="shared" si="4"/>
        <v>2000</v>
      </c>
      <c r="Y27" s="192">
        <f t="shared" si="5"/>
        <v>32.551410841495994</v>
      </c>
    </row>
    <row r="28" spans="1:25" x14ac:dyDescent="0.25">
      <c r="A28">
        <v>5000</v>
      </c>
      <c r="B28">
        <v>1100</v>
      </c>
      <c r="C28">
        <v>2</v>
      </c>
      <c r="D28">
        <v>0</v>
      </c>
      <c r="E28" s="190">
        <v>0.18591695024428262</v>
      </c>
      <c r="F28" s="190">
        <v>0.1665230169925708</v>
      </c>
      <c r="G28" s="190">
        <v>0.208751346083033</v>
      </c>
      <c r="H28" s="190">
        <v>0.32967463135719299</v>
      </c>
      <c r="I28" s="190">
        <v>0.40491663932800304</v>
      </c>
      <c r="J28" s="190">
        <v>1.9518618470788347E-2</v>
      </c>
      <c r="K28" s="190">
        <v>21.44428200797423</v>
      </c>
      <c r="L28" s="191">
        <v>8629.755000000001</v>
      </c>
      <c r="M28" s="191">
        <v>1730.42</v>
      </c>
      <c r="N28" s="192">
        <v>32.227272727272734</v>
      </c>
      <c r="O28" s="192">
        <v>54</v>
      </c>
      <c r="P28" s="190">
        <v>0.46027223358487912</v>
      </c>
      <c r="Q28" s="190">
        <v>0.77684251357641587</v>
      </c>
      <c r="T28">
        <f t="shared" si="0"/>
        <v>12200</v>
      </c>
      <c r="U28" s="191">
        <f t="shared" si="1"/>
        <v>385792.48015179503</v>
      </c>
      <c r="V28" s="192">
        <f t="shared" si="2"/>
        <v>17830.21771458703</v>
      </c>
      <c r="W28" s="192">
        <f t="shared" si="3"/>
        <v>2766.5892481487172</v>
      </c>
      <c r="X28">
        <f t="shared" si="4"/>
        <v>2200</v>
      </c>
      <c r="Y28" s="192">
        <f t="shared" si="5"/>
        <v>31.622334438671725</v>
      </c>
    </row>
    <row r="29" spans="1:25" x14ac:dyDescent="0.25">
      <c r="A29">
        <v>5000</v>
      </c>
      <c r="B29">
        <v>1200</v>
      </c>
      <c r="C29">
        <v>2</v>
      </c>
      <c r="D29">
        <v>0</v>
      </c>
      <c r="E29" s="190">
        <v>0.1860981117771372</v>
      </c>
      <c r="F29" s="190">
        <v>0.16470373993645121</v>
      </c>
      <c r="G29" s="190">
        <v>0.20838600857678391</v>
      </c>
      <c r="H29" s="190">
        <v>0.33209458589553831</v>
      </c>
      <c r="I29" s="190">
        <v>0.37703190326690683</v>
      </c>
      <c r="J29" s="190">
        <v>1.8738186022315861E-2</v>
      </c>
      <c r="K29" s="190">
        <v>22.494701318417263</v>
      </c>
      <c r="L29" s="191">
        <v>8098.06</v>
      </c>
      <c r="M29" s="191">
        <v>1746.4549999999999</v>
      </c>
      <c r="N29" s="192">
        <v>31.909090909090914</v>
      </c>
      <c r="O29" s="192">
        <v>47.5</v>
      </c>
      <c r="P29" s="190">
        <v>0.45902038225544817</v>
      </c>
      <c r="Q29" s="190">
        <v>0.67940263770364617</v>
      </c>
      <c r="T29">
        <f t="shared" si="0"/>
        <v>12400</v>
      </c>
      <c r="U29" s="191">
        <f t="shared" si="1"/>
        <v>391520.41107622039</v>
      </c>
      <c r="V29" s="192">
        <f t="shared" si="2"/>
        <v>17285.267210407605</v>
      </c>
      <c r="W29" s="192">
        <f t="shared" si="3"/>
        <v>2534.9305393505456</v>
      </c>
      <c r="X29">
        <f t="shared" si="4"/>
        <v>2400</v>
      </c>
      <c r="Y29" s="192">
        <f t="shared" si="5"/>
        <v>31.574226699695192</v>
      </c>
    </row>
    <row r="30" spans="1:25" x14ac:dyDescent="0.25">
      <c r="A30">
        <v>5000</v>
      </c>
      <c r="B30">
        <v>1300</v>
      </c>
      <c r="C30">
        <v>2</v>
      </c>
      <c r="D30">
        <v>0</v>
      </c>
      <c r="E30" s="190">
        <v>0.87758062415388394</v>
      </c>
      <c r="F30" s="190">
        <v>0.19447959499688516</v>
      </c>
      <c r="G30" s="190">
        <v>0.90252956522183481</v>
      </c>
      <c r="H30" s="190">
        <v>3.9846784412860874</v>
      </c>
      <c r="I30" s="190">
        <v>4.2043624258041383</v>
      </c>
      <c r="J30" s="190">
        <v>2.5104176271498566E-2</v>
      </c>
      <c r="K30" s="190">
        <v>32.408982815616056</v>
      </c>
      <c r="L30" s="191">
        <v>7971.772727272727</v>
      </c>
      <c r="M30" s="191">
        <v>1939.1363636363635</v>
      </c>
      <c r="N30" s="192">
        <v>45.125</v>
      </c>
      <c r="O30" s="192">
        <v>68.5</v>
      </c>
      <c r="P30" s="190">
        <v>0.65566330488750968</v>
      </c>
      <c r="Q30" s="190">
        <v>0.99833204034134981</v>
      </c>
      <c r="T30">
        <f t="shared" si="0"/>
        <v>12600</v>
      </c>
      <c r="U30" s="191">
        <f t="shared" si="1"/>
        <v>387671.6206240044</v>
      </c>
      <c r="V30" s="192">
        <f t="shared" si="2"/>
        <v>11808.489131066215</v>
      </c>
      <c r="W30" s="192">
        <f t="shared" si="3"/>
        <v>2728.6296614229027</v>
      </c>
      <c r="X30">
        <f t="shared" si="4"/>
        <v>2600</v>
      </c>
      <c r="Y30" s="192">
        <f t="shared" si="5"/>
        <v>30.767588938413049</v>
      </c>
    </row>
    <row r="31" spans="1:25" x14ac:dyDescent="0.25">
      <c r="A31">
        <v>5000</v>
      </c>
      <c r="B31">
        <v>1400</v>
      </c>
      <c r="C31">
        <v>2</v>
      </c>
      <c r="D31">
        <v>0</v>
      </c>
      <c r="E31" s="190">
        <v>1.6389734391680046</v>
      </c>
      <c r="F31" s="190">
        <v>0.19690427780549305</v>
      </c>
      <c r="G31" s="190">
        <v>1.6645771076444003</v>
      </c>
      <c r="H31" s="190">
        <v>5.5633135080337528</v>
      </c>
      <c r="I31" s="190">
        <v>7.4924538230895994</v>
      </c>
      <c r="J31" s="190">
        <v>2.5419000666195721E-2</v>
      </c>
      <c r="K31" s="190">
        <v>36.120861321390748</v>
      </c>
      <c r="L31" s="191">
        <v>7799.4772727272739</v>
      </c>
      <c r="M31" s="191">
        <v>1923.3454545454545</v>
      </c>
      <c r="N31" s="192">
        <v>45.916666666666671</v>
      </c>
      <c r="O31" s="192">
        <v>68</v>
      </c>
      <c r="P31" s="190">
        <v>0.6726208947504525</v>
      </c>
      <c r="Q31" s="190">
        <v>0.99212567882079128</v>
      </c>
      <c r="T31">
        <f t="shared" si="0"/>
        <v>12800</v>
      </c>
      <c r="U31" s="191">
        <f t="shared" si="1"/>
        <v>390676.31074793759</v>
      </c>
      <c r="V31" s="192">
        <f t="shared" si="2"/>
        <v>10917.776457336122</v>
      </c>
      <c r="W31" s="192">
        <f t="shared" si="3"/>
        <v>2675.1641771044128</v>
      </c>
      <c r="X31">
        <f t="shared" si="4"/>
        <v>2800</v>
      </c>
      <c r="Y31" s="192">
        <f t="shared" si="5"/>
        <v>30.521586777182623</v>
      </c>
    </row>
    <row r="32" spans="1:25" x14ac:dyDescent="0.25">
      <c r="A32">
        <v>5000</v>
      </c>
      <c r="B32">
        <v>1500</v>
      </c>
      <c r="C32">
        <v>2</v>
      </c>
      <c r="D32">
        <v>0</v>
      </c>
      <c r="E32" s="190">
        <v>2.8039491540414998</v>
      </c>
      <c r="F32" s="190">
        <v>0.21478837760843533</v>
      </c>
      <c r="G32" s="190">
        <v>2.4076401307792619</v>
      </c>
      <c r="H32" s="190">
        <v>7.4368537485599511</v>
      </c>
      <c r="I32" s="190">
        <v>8.1414402079582224</v>
      </c>
      <c r="J32" s="190">
        <v>2.5266111224386646E-2</v>
      </c>
      <c r="K32" s="190">
        <v>40.65048254864071</v>
      </c>
      <c r="L32" s="191">
        <v>7455.9007575757569</v>
      </c>
      <c r="M32" s="191">
        <v>2061.7079545454544</v>
      </c>
      <c r="N32" s="192">
        <v>49.53846153846154</v>
      </c>
      <c r="O32" s="192">
        <v>68.5</v>
      </c>
      <c r="P32" s="190">
        <v>0.73138986692128671</v>
      </c>
      <c r="Q32" s="190">
        <v>0.99833204034134981</v>
      </c>
      <c r="T32">
        <f t="shared" si="0"/>
        <v>13000</v>
      </c>
      <c r="U32" s="191">
        <f t="shared" si="1"/>
        <v>394533.06523681863</v>
      </c>
      <c r="V32" s="192">
        <f t="shared" si="2"/>
        <v>10351.407063886896</v>
      </c>
      <c r="W32" s="192">
        <f t="shared" si="3"/>
        <v>2711.1413937687553</v>
      </c>
      <c r="X32">
        <f t="shared" si="4"/>
        <v>3000</v>
      </c>
      <c r="Y32" s="192">
        <f t="shared" si="5"/>
        <v>30.348697325909125</v>
      </c>
    </row>
    <row r="33" spans="1:25" x14ac:dyDescent="0.25">
      <c r="A33">
        <v>5000</v>
      </c>
      <c r="B33">
        <v>1600</v>
      </c>
      <c r="C33">
        <v>2</v>
      </c>
      <c r="D33">
        <v>0</v>
      </c>
      <c r="E33" s="190">
        <v>3.3533823938529634</v>
      </c>
      <c r="F33" s="190">
        <v>0.21237365669852701</v>
      </c>
      <c r="G33" s="190">
        <v>2.2779242372886053</v>
      </c>
      <c r="H33" s="190">
        <v>6.5352098107337957</v>
      </c>
      <c r="I33" s="190">
        <v>7.0749649906158458</v>
      </c>
      <c r="J33" s="190">
        <v>2.4985119127032752E-2</v>
      </c>
      <c r="K33" s="190">
        <v>42.427892738338571</v>
      </c>
      <c r="L33" s="191">
        <v>6794.1580128205132</v>
      </c>
      <c r="M33" s="191">
        <v>2010.866025641026</v>
      </c>
      <c r="N33" s="192">
        <v>47.409340659340657</v>
      </c>
      <c r="O33" s="192">
        <v>68</v>
      </c>
      <c r="P33" s="190">
        <v>0.70605226813527833</v>
      </c>
      <c r="Q33" s="190">
        <v>0.99437548487199379</v>
      </c>
      <c r="T33">
        <f t="shared" si="0"/>
        <v>13200</v>
      </c>
      <c r="U33" s="191">
        <f t="shared" si="1"/>
        <v>396630.85625121905</v>
      </c>
      <c r="V33" s="192">
        <f t="shared" si="2"/>
        <v>9869.2467261507318</v>
      </c>
      <c r="W33" s="192">
        <f t="shared" si="3"/>
        <v>2721.620003261346</v>
      </c>
      <c r="X33">
        <f t="shared" si="4"/>
        <v>3200</v>
      </c>
      <c r="Y33" s="192">
        <f t="shared" si="5"/>
        <v>30.047792140243867</v>
      </c>
    </row>
    <row r="34" spans="1:25" x14ac:dyDescent="0.25">
      <c r="A34">
        <v>5000</v>
      </c>
      <c r="B34">
        <v>1700</v>
      </c>
      <c r="C34">
        <v>2</v>
      </c>
      <c r="D34">
        <v>0</v>
      </c>
      <c r="E34" s="190">
        <v>7.7995442846927894</v>
      </c>
      <c r="F34" s="190">
        <v>0.2221545997544441</v>
      </c>
      <c r="G34" s="190">
        <v>1.8813117208083834</v>
      </c>
      <c r="H34" s="190">
        <v>7.6999371767044069</v>
      </c>
      <c r="I34" s="190">
        <v>9.2243282365798898</v>
      </c>
      <c r="J34" s="190">
        <v>2.6117112964388428E-2</v>
      </c>
      <c r="K34" s="190">
        <v>50.204218766268554</v>
      </c>
      <c r="L34" s="191">
        <v>6656.0483516483528</v>
      </c>
      <c r="M34" s="191">
        <v>2043.825824175824</v>
      </c>
      <c r="N34" s="192">
        <v>50.847619047619048</v>
      </c>
      <c r="O34" s="192">
        <v>67.5</v>
      </c>
      <c r="P34" s="190">
        <v>0.76301248660829724</v>
      </c>
      <c r="Q34" s="190">
        <v>0.99922420480993024</v>
      </c>
      <c r="T34">
        <f t="shared" si="0"/>
        <v>13400</v>
      </c>
      <c r="U34" s="191">
        <f t="shared" si="1"/>
        <v>395181.57996894408</v>
      </c>
      <c r="V34" s="192">
        <f t="shared" si="2"/>
        <v>8856.3545336190618</v>
      </c>
      <c r="W34" s="192">
        <f t="shared" si="3"/>
        <v>2584.5123116034511</v>
      </c>
      <c r="X34">
        <f t="shared" si="4"/>
        <v>3400</v>
      </c>
      <c r="Y34" s="192">
        <f t="shared" si="5"/>
        <v>29.491162684249559</v>
      </c>
    </row>
    <row r="35" spans="1:25" x14ac:dyDescent="0.25">
      <c r="A35">
        <v>5000</v>
      </c>
      <c r="B35">
        <v>1800</v>
      </c>
      <c r="C35">
        <v>2</v>
      </c>
      <c r="D35">
        <v>0</v>
      </c>
      <c r="E35" s="190">
        <v>4.2559401687863581</v>
      </c>
      <c r="F35" s="190">
        <v>0.20983196276086361</v>
      </c>
      <c r="G35" s="190">
        <v>1.8481350942169192</v>
      </c>
      <c r="H35" s="190">
        <v>5.870233595371225</v>
      </c>
      <c r="I35" s="190">
        <v>8.1623429298400865</v>
      </c>
      <c r="J35" s="190">
        <v>2.464593313940986E-2</v>
      </c>
      <c r="K35" s="190">
        <v>50.141425932506962</v>
      </c>
      <c r="L35" s="191">
        <v>6266.4208333333336</v>
      </c>
      <c r="M35" s="191">
        <v>2028.2237179487179</v>
      </c>
      <c r="N35" s="192">
        <v>48.203296703296708</v>
      </c>
      <c r="O35" s="192">
        <v>67</v>
      </c>
      <c r="P35" s="190">
        <v>0.72702111697456928</v>
      </c>
      <c r="Q35" s="190">
        <v>0.99681923972071373</v>
      </c>
      <c r="T35">
        <f t="shared" si="0"/>
        <v>13600</v>
      </c>
      <c r="U35" s="191">
        <f t="shared" si="1"/>
        <v>396561.36664331856</v>
      </c>
      <c r="V35" s="192">
        <f t="shared" si="2"/>
        <v>8896.9939607675606</v>
      </c>
      <c r="W35" s="192">
        <f t="shared" si="3"/>
        <v>2718.5012480969626</v>
      </c>
      <c r="X35">
        <f t="shared" si="4"/>
        <v>3600</v>
      </c>
      <c r="Y35" s="192">
        <f t="shared" si="5"/>
        <v>29.158924017891071</v>
      </c>
    </row>
    <row r="36" spans="1:25" x14ac:dyDescent="0.25">
      <c r="E36" s="190"/>
      <c r="F36" s="190"/>
      <c r="G36" s="190"/>
      <c r="H36" s="190"/>
      <c r="I36" s="190"/>
      <c r="J36" s="190"/>
      <c r="K36" s="190"/>
      <c r="L36" s="191"/>
      <c r="M36" s="191"/>
      <c r="N36" s="192"/>
      <c r="O36" s="192"/>
      <c r="P36" s="190"/>
      <c r="Q36" s="190"/>
    </row>
    <row r="37" spans="1:25" x14ac:dyDescent="0.25">
      <c r="E37" s="190"/>
      <c r="F37" s="190"/>
      <c r="G37" s="190"/>
      <c r="H37" s="190"/>
      <c r="I37" s="190"/>
      <c r="J37" s="190"/>
      <c r="K37" s="190"/>
      <c r="L37" s="191"/>
      <c r="M37" s="191"/>
      <c r="N37" s="192"/>
      <c r="O37" s="192"/>
      <c r="P37" s="190"/>
      <c r="Q37" s="190"/>
    </row>
    <row r="38" spans="1:25" x14ac:dyDescent="0.25">
      <c r="A38">
        <v>5000</v>
      </c>
      <c r="B38">
        <v>500</v>
      </c>
      <c r="C38">
        <v>2</v>
      </c>
      <c r="D38">
        <v>0</v>
      </c>
      <c r="E38" s="190">
        <v>0.17073694278579946</v>
      </c>
      <c r="F38" s="190">
        <v>0.15313947465266206</v>
      </c>
      <c r="G38" s="190">
        <v>0.19144605921655114</v>
      </c>
      <c r="H38" s="190">
        <v>0.30410294135411581</v>
      </c>
      <c r="I38" s="190">
        <v>0.37769178072611492</v>
      </c>
      <c r="J38" s="190">
        <v>1.2235912914705667E-2</v>
      </c>
      <c r="K38" s="190">
        <v>6.2892301804060038</v>
      </c>
      <c r="L38" s="191">
        <v>9984.3851851851869</v>
      </c>
      <c r="M38" s="191">
        <v>909.75555555555559</v>
      </c>
      <c r="N38" s="192">
        <v>10.633333333333333</v>
      </c>
      <c r="O38" s="192">
        <v>20.333333333333332</v>
      </c>
      <c r="P38" s="190">
        <v>0.14444789242306691</v>
      </c>
      <c r="Q38" s="190">
        <v>0.27721748125161622</v>
      </c>
      <c r="S38" t="s">
        <v>152</v>
      </c>
      <c r="T38">
        <f t="shared" ref="T38:T49" si="6">(A38+B38)*C38</f>
        <v>11000</v>
      </c>
      <c r="U38" s="191">
        <f t="shared" ref="U38:U49" si="7">O38*(A38+B38/2)/Q38</f>
        <v>385076.7257462687</v>
      </c>
      <c r="V38" s="192">
        <f t="shared" ref="V38:V49" si="8">U38/(J38*B38+F38)</f>
        <v>61405.012763553947</v>
      </c>
      <c r="W38" s="192">
        <f t="shared" ref="W38:W49" si="9">O38/J38</f>
        <v>1661.7749304913591</v>
      </c>
      <c r="X38">
        <f t="shared" ref="X38:X49" si="10">B38*C38</f>
        <v>1000</v>
      </c>
      <c r="Y38" s="192">
        <f t="shared" ref="Y38:Y49" si="11">U38/T38</f>
        <v>35.00697506784261</v>
      </c>
    </row>
    <row r="39" spans="1:25" x14ac:dyDescent="0.25">
      <c r="A39">
        <v>5000</v>
      </c>
      <c r="B39">
        <v>500</v>
      </c>
      <c r="C39">
        <v>2.2000000000000002</v>
      </c>
      <c r="D39">
        <v>0</v>
      </c>
      <c r="E39" s="190">
        <v>0.1821738746668371</v>
      </c>
      <c r="F39" s="190">
        <v>0.15447118513848496</v>
      </c>
      <c r="G39" s="190">
        <v>0.20255774114262404</v>
      </c>
      <c r="H39" s="190">
        <v>0.3397284944852193</v>
      </c>
      <c r="I39" s="190">
        <v>0.41218950112660729</v>
      </c>
      <c r="J39" s="190">
        <v>1.4532837509576783E-2</v>
      </c>
      <c r="K39" s="190">
        <v>7.2240682604350752</v>
      </c>
      <c r="L39" s="191">
        <v>11881.151851851851</v>
      </c>
      <c r="M39" s="191">
        <v>1058.2814814814813</v>
      </c>
      <c r="N39" s="192">
        <v>16.166666666666668</v>
      </c>
      <c r="O39" s="192">
        <v>29.666666666666668</v>
      </c>
      <c r="P39" s="190">
        <v>0.21891388673390225</v>
      </c>
      <c r="Q39" s="190">
        <v>0.40284458236358933</v>
      </c>
      <c r="T39">
        <f t="shared" si="6"/>
        <v>12100.000000000002</v>
      </c>
      <c r="U39" s="191">
        <f t="shared" si="7"/>
        <v>386625.52959301579</v>
      </c>
      <c r="V39" s="192">
        <f t="shared" si="8"/>
        <v>52099.617798242871</v>
      </c>
      <c r="W39" s="192">
        <f t="shared" si="9"/>
        <v>2041.354047144411</v>
      </c>
      <c r="X39">
        <f t="shared" si="10"/>
        <v>1100</v>
      </c>
      <c r="Y39" s="192">
        <f t="shared" si="11"/>
        <v>31.952523106860806</v>
      </c>
    </row>
    <row r="40" spans="1:25" x14ac:dyDescent="0.25">
      <c r="A40">
        <v>5000</v>
      </c>
      <c r="B40">
        <v>500</v>
      </c>
      <c r="C40">
        <v>2.4</v>
      </c>
      <c r="D40">
        <v>0</v>
      </c>
      <c r="E40" s="190">
        <v>0.19431130861379398</v>
      </c>
      <c r="F40" s="190">
        <v>0.16577303039612606</v>
      </c>
      <c r="G40" s="190">
        <v>0.21563762520657651</v>
      </c>
      <c r="H40" s="190">
        <v>0.38523984352747592</v>
      </c>
      <c r="I40" s="190">
        <v>0.50622982343037881</v>
      </c>
      <c r="J40" s="190">
        <v>1.5750199519474317E-2</v>
      </c>
      <c r="K40" s="190">
        <v>8.1304344517768232</v>
      </c>
      <c r="L40" s="191">
        <v>12987.951851851851</v>
      </c>
      <c r="M40" s="191">
        <v>1160.366666666667</v>
      </c>
      <c r="N40" s="192">
        <v>17.533333333333335</v>
      </c>
      <c r="O40" s="192">
        <v>30</v>
      </c>
      <c r="P40" s="190">
        <v>0.2370157745021981</v>
      </c>
      <c r="Q40" s="190">
        <v>0.40359451771399019</v>
      </c>
      <c r="T40">
        <f t="shared" si="6"/>
        <v>13200</v>
      </c>
      <c r="U40" s="191">
        <f t="shared" si="7"/>
        <v>390243.16012045875</v>
      </c>
      <c r="V40" s="192">
        <f t="shared" si="8"/>
        <v>48532.437995949207</v>
      </c>
      <c r="W40" s="192">
        <f t="shared" si="9"/>
        <v>1904.7377757282713</v>
      </c>
      <c r="X40">
        <f t="shared" si="10"/>
        <v>1200</v>
      </c>
      <c r="Y40" s="192">
        <f t="shared" si="11"/>
        <v>29.563875766701422</v>
      </c>
    </row>
    <row r="41" spans="1:25" x14ac:dyDescent="0.25">
      <c r="A41">
        <v>5000</v>
      </c>
      <c r="B41">
        <v>500</v>
      </c>
      <c r="C41">
        <v>2.6</v>
      </c>
      <c r="D41">
        <v>0</v>
      </c>
      <c r="E41" s="190">
        <v>0.18288024435956377</v>
      </c>
      <c r="F41" s="190">
        <v>0.16065442648565262</v>
      </c>
      <c r="G41" s="190">
        <v>0.2034072220091393</v>
      </c>
      <c r="H41" s="190">
        <v>0.35264429648717233</v>
      </c>
      <c r="I41" s="190">
        <v>0.4216444667180374</v>
      </c>
      <c r="J41" s="190">
        <v>1.503680506743626E-2</v>
      </c>
      <c r="K41" s="190">
        <v>7.698146970311357</v>
      </c>
      <c r="L41" s="191">
        <v>12216.892592592589</v>
      </c>
      <c r="M41" s="191">
        <v>1095.6518518518517</v>
      </c>
      <c r="N41" s="192">
        <v>16.133333333333333</v>
      </c>
      <c r="O41" s="192">
        <v>30</v>
      </c>
      <c r="P41" s="190">
        <v>0.21848719937936381</v>
      </c>
      <c r="Q41" s="190">
        <v>0.40630980087923457</v>
      </c>
      <c r="T41">
        <f t="shared" si="6"/>
        <v>14300</v>
      </c>
      <c r="U41" s="191">
        <f t="shared" si="7"/>
        <v>387635.24694501015</v>
      </c>
      <c r="V41" s="192">
        <f t="shared" si="8"/>
        <v>50479.537911218111</v>
      </c>
      <c r="W41" s="192">
        <f t="shared" si="9"/>
        <v>1995.1046692071623</v>
      </c>
      <c r="X41">
        <f t="shared" si="10"/>
        <v>1300</v>
      </c>
      <c r="Y41" s="192">
        <f t="shared" si="11"/>
        <v>27.107359926224486</v>
      </c>
    </row>
    <row r="42" spans="1:25" x14ac:dyDescent="0.25">
      <c r="A42">
        <v>5000</v>
      </c>
      <c r="B42">
        <v>500</v>
      </c>
      <c r="C42">
        <v>2.7999999999999994</v>
      </c>
      <c r="D42">
        <v>0</v>
      </c>
      <c r="E42" s="190">
        <v>0.18908251302975335</v>
      </c>
      <c r="F42" s="190">
        <v>0.16331143727170164</v>
      </c>
      <c r="G42" s="190">
        <v>0.21130477665542324</v>
      </c>
      <c r="H42" s="190">
        <v>0.35677328507105494</v>
      </c>
      <c r="I42" s="190">
        <v>0.42689373334248853</v>
      </c>
      <c r="J42" s="190">
        <v>1.7185741715384034E-2</v>
      </c>
      <c r="K42" s="190">
        <v>8.7422255202514219</v>
      </c>
      <c r="L42" s="191">
        <v>13896.33333333333</v>
      </c>
      <c r="M42" s="191">
        <v>1248.3444444444447</v>
      </c>
      <c r="N42" s="192">
        <v>20.666666666666668</v>
      </c>
      <c r="O42" s="192">
        <v>32.666666666666664</v>
      </c>
      <c r="P42" s="190">
        <v>0.2799327644168606</v>
      </c>
      <c r="Q42" s="190">
        <v>0.44075510731833462</v>
      </c>
      <c r="T42">
        <f t="shared" si="6"/>
        <v>15399.999999999996</v>
      </c>
      <c r="U42" s="191">
        <f t="shared" si="7"/>
        <v>389104.96362356254</v>
      </c>
      <c r="V42" s="192">
        <f t="shared" si="8"/>
        <v>44437.741302777984</v>
      </c>
      <c r="W42" s="192">
        <f t="shared" si="9"/>
        <v>1900.8005128707762</v>
      </c>
      <c r="X42">
        <f t="shared" si="10"/>
        <v>1399.9999999999998</v>
      </c>
      <c r="Y42" s="192">
        <f t="shared" si="11"/>
        <v>25.266556079452119</v>
      </c>
    </row>
    <row r="43" spans="1:25" x14ac:dyDescent="0.25">
      <c r="A43">
        <v>5000</v>
      </c>
      <c r="B43">
        <v>500</v>
      </c>
      <c r="C43">
        <v>3</v>
      </c>
      <c r="D43">
        <v>0</v>
      </c>
      <c r="E43" s="190">
        <v>0.22686245294864218</v>
      </c>
      <c r="F43" s="190">
        <v>0.18832897591354758</v>
      </c>
      <c r="G43" s="190">
        <v>0.24919586473603514</v>
      </c>
      <c r="H43" s="190">
        <v>0.49531302849451686</v>
      </c>
      <c r="I43" s="190">
        <v>0.60852866649627602</v>
      </c>
      <c r="J43" s="190">
        <v>2.1036300817882225E-2</v>
      </c>
      <c r="K43" s="190">
        <v>10.620929496077506</v>
      </c>
      <c r="L43" s="191">
        <v>15256.714814814814</v>
      </c>
      <c r="M43" s="191">
        <v>1356.8222222222223</v>
      </c>
      <c r="N43" s="192">
        <v>29.066666666666666</v>
      </c>
      <c r="O43" s="192">
        <v>48.666666666666664</v>
      </c>
      <c r="P43" s="190">
        <v>0.39383242823894493</v>
      </c>
      <c r="Q43" s="190">
        <v>0.6597103697957073</v>
      </c>
      <c r="T43">
        <f t="shared" si="6"/>
        <v>16500</v>
      </c>
      <c r="U43" s="191">
        <f t="shared" si="7"/>
        <v>387291.16851554229</v>
      </c>
      <c r="V43" s="192">
        <f t="shared" si="8"/>
        <v>36173.531428398652</v>
      </c>
      <c r="W43" s="192">
        <f t="shared" si="9"/>
        <v>2313.461244350377</v>
      </c>
      <c r="X43">
        <f t="shared" si="10"/>
        <v>1500</v>
      </c>
      <c r="Y43" s="192">
        <f t="shared" si="11"/>
        <v>23.472192031244987</v>
      </c>
    </row>
    <row r="44" spans="1:25" x14ac:dyDescent="0.25">
      <c r="A44">
        <v>5000</v>
      </c>
      <c r="B44">
        <v>500</v>
      </c>
      <c r="C44">
        <v>3.2000000000000006</v>
      </c>
      <c r="D44">
        <v>0</v>
      </c>
      <c r="E44" s="190">
        <v>0.26805244904639208</v>
      </c>
      <c r="F44" s="190">
        <v>0.18566078006176104</v>
      </c>
      <c r="G44" s="190">
        <v>0.29003154487630928</v>
      </c>
      <c r="H44" s="190">
        <v>0.7263122042020157</v>
      </c>
      <c r="I44" s="190">
        <v>0.90442577203114827</v>
      </c>
      <c r="J44" s="190">
        <v>2.5932778876334803E-2</v>
      </c>
      <c r="K44" s="190">
        <v>12.766892296615231</v>
      </c>
      <c r="L44" s="191">
        <v>16580.507407407407</v>
      </c>
      <c r="M44" s="191">
        <v>1449.0925925925924</v>
      </c>
      <c r="N44" s="192">
        <v>37.06666666666667</v>
      </c>
      <c r="O44" s="192">
        <v>57.666666666666664</v>
      </c>
      <c r="P44" s="190">
        <v>0.50254460822342895</v>
      </c>
      <c r="Q44" s="190">
        <v>0.78057926040858538</v>
      </c>
      <c r="T44">
        <f t="shared" si="6"/>
        <v>17600.000000000004</v>
      </c>
      <c r="U44" s="191">
        <f t="shared" si="7"/>
        <v>387852.98989564355</v>
      </c>
      <c r="V44" s="192">
        <f t="shared" si="8"/>
        <v>29489.926168170106</v>
      </c>
      <c r="W44" s="192">
        <f t="shared" si="9"/>
        <v>2223.6979284657732</v>
      </c>
      <c r="X44">
        <f t="shared" si="10"/>
        <v>1600.0000000000002</v>
      </c>
      <c r="Y44" s="192">
        <f t="shared" si="11"/>
        <v>22.037101698616105</v>
      </c>
    </row>
    <row r="45" spans="1:25" x14ac:dyDescent="0.25">
      <c r="A45">
        <v>5000</v>
      </c>
      <c r="B45">
        <v>500</v>
      </c>
      <c r="C45">
        <v>3.4</v>
      </c>
      <c r="D45">
        <v>0</v>
      </c>
      <c r="E45" s="190">
        <v>0.23680504453183179</v>
      </c>
      <c r="F45" s="190">
        <v>0.19187203165454392</v>
      </c>
      <c r="G45" s="190">
        <v>0.26055080007221315</v>
      </c>
      <c r="H45" s="190">
        <v>0.47659329573313397</v>
      </c>
      <c r="I45" s="190">
        <v>0.58563027222951358</v>
      </c>
      <c r="J45" s="190">
        <v>2.6226145819888858E-2</v>
      </c>
      <c r="K45" s="190">
        <v>13.408025524415068</v>
      </c>
      <c r="L45" s="191">
        <v>16817.514814814818</v>
      </c>
      <c r="M45" s="191">
        <v>1431.7481481481482</v>
      </c>
      <c r="N45" s="192">
        <v>37.733333333333327</v>
      </c>
      <c r="O45" s="192">
        <v>60</v>
      </c>
      <c r="P45" s="190">
        <v>0.51102146366692525</v>
      </c>
      <c r="Q45" s="190">
        <v>0.81049909490561156</v>
      </c>
      <c r="T45">
        <f t="shared" si="6"/>
        <v>18700</v>
      </c>
      <c r="U45" s="191">
        <f t="shared" si="7"/>
        <v>388649.41611894581</v>
      </c>
      <c r="V45" s="192">
        <f t="shared" si="8"/>
        <v>29210.899994317329</v>
      </c>
      <c r="W45" s="192">
        <f t="shared" si="9"/>
        <v>2287.7932736307143</v>
      </c>
      <c r="X45">
        <f t="shared" si="10"/>
        <v>1700</v>
      </c>
      <c r="Y45" s="192">
        <f t="shared" si="11"/>
        <v>20.783391236307263</v>
      </c>
    </row>
    <row r="46" spans="1:25" x14ac:dyDescent="0.25">
      <c r="A46">
        <v>5000</v>
      </c>
      <c r="B46">
        <v>500</v>
      </c>
      <c r="C46">
        <v>3.7999999999999994</v>
      </c>
      <c r="D46">
        <v>0</v>
      </c>
      <c r="E46" s="190">
        <v>0.5408071478588049</v>
      </c>
      <c r="F46" s="190">
        <v>0.2141179992798363</v>
      </c>
      <c r="G46" s="190">
        <v>0.56704193177321172</v>
      </c>
      <c r="H46" s="190">
        <v>2.0538033127784723</v>
      </c>
      <c r="I46" s="190">
        <v>2.3278027168909707</v>
      </c>
      <c r="J46" s="190">
        <v>3.2075457319147974E-2</v>
      </c>
      <c r="K46" s="190">
        <v>16.311486048264765</v>
      </c>
      <c r="L46" s="191">
        <v>17724.684074074074</v>
      </c>
      <c r="M46" s="191">
        <v>1550.5062962962959</v>
      </c>
      <c r="N46" s="192">
        <v>49.257575757575758</v>
      </c>
      <c r="O46" s="192">
        <v>71.333333333333329</v>
      </c>
      <c r="P46" s="190">
        <v>0.6677059971319087</v>
      </c>
      <c r="Q46" s="190">
        <v>0.9674683216964054</v>
      </c>
      <c r="T46">
        <f t="shared" si="6"/>
        <v>20899.999999999996</v>
      </c>
      <c r="U46" s="191">
        <f t="shared" si="7"/>
        <v>387092.77771837916</v>
      </c>
      <c r="V46" s="192">
        <f t="shared" si="8"/>
        <v>23818.387278930877</v>
      </c>
      <c r="W46" s="192">
        <f t="shared" si="9"/>
        <v>2223.922565579438</v>
      </c>
      <c r="X46">
        <f t="shared" si="10"/>
        <v>1899.9999999999998</v>
      </c>
      <c r="Y46" s="192">
        <f t="shared" si="11"/>
        <v>18.521185536764555</v>
      </c>
    </row>
    <row r="47" spans="1:25" x14ac:dyDescent="0.25">
      <c r="A47">
        <v>5000</v>
      </c>
      <c r="B47">
        <v>500</v>
      </c>
      <c r="C47">
        <v>4</v>
      </c>
      <c r="D47">
        <v>0</v>
      </c>
      <c r="E47" s="190">
        <v>1.149897804509137</v>
      </c>
      <c r="F47" s="190">
        <v>0.22371002404670326</v>
      </c>
      <c r="G47" s="190">
        <v>1.1751349602912449</v>
      </c>
      <c r="H47" s="190">
        <v>3.1835436304410294</v>
      </c>
      <c r="I47" s="190">
        <v>3.5025482034683226</v>
      </c>
      <c r="J47" s="190">
        <v>3.5467753659058965E-2</v>
      </c>
      <c r="K47" s="190">
        <v>18.734429960703881</v>
      </c>
      <c r="L47" s="191">
        <v>17681.234814814812</v>
      </c>
      <c r="M47" s="191">
        <v>1595.5107407407406</v>
      </c>
      <c r="N47" s="192">
        <v>54.021212121212123</v>
      </c>
      <c r="O47" s="192">
        <v>73.333333333333329</v>
      </c>
      <c r="P47" s="190">
        <v>0.73148623551261249</v>
      </c>
      <c r="Q47" s="190">
        <v>0.99200930954228073</v>
      </c>
      <c r="T47">
        <f t="shared" si="6"/>
        <v>22000</v>
      </c>
      <c r="U47" s="191">
        <f t="shared" si="7"/>
        <v>388101.19652772351</v>
      </c>
      <c r="V47" s="192">
        <f t="shared" si="8"/>
        <v>21612.101876062185</v>
      </c>
      <c r="W47" s="192">
        <f t="shared" si="9"/>
        <v>2067.605804367116</v>
      </c>
      <c r="X47">
        <f t="shared" si="10"/>
        <v>2000</v>
      </c>
      <c r="Y47" s="192">
        <f t="shared" si="11"/>
        <v>17.640963478532885</v>
      </c>
    </row>
    <row r="48" spans="1:25" x14ac:dyDescent="0.25">
      <c r="A48">
        <v>5000</v>
      </c>
      <c r="B48">
        <v>500</v>
      </c>
      <c r="C48">
        <v>4.2</v>
      </c>
      <c r="D48">
        <v>0</v>
      </c>
      <c r="E48" s="190">
        <v>2.4315640648223229</v>
      </c>
      <c r="F48" s="190">
        <v>0.22094525694475095</v>
      </c>
      <c r="G48" s="190">
        <v>2.4870183761505129</v>
      </c>
      <c r="H48" s="190">
        <v>7.6289049784342451</v>
      </c>
      <c r="I48" s="190">
        <v>8.0361394373575852</v>
      </c>
      <c r="J48" s="190">
        <v>3.6406629601579137E-2</v>
      </c>
      <c r="K48" s="190">
        <v>20.132399597274041</v>
      </c>
      <c r="L48" s="191">
        <v>17488.774276094275</v>
      </c>
      <c r="M48" s="191">
        <v>1560.2615824915822</v>
      </c>
      <c r="N48" s="192">
        <v>54.597979797979797</v>
      </c>
      <c r="O48" s="192">
        <v>73.666666666666671</v>
      </c>
      <c r="P48" s="190">
        <v>0.74013270799539244</v>
      </c>
      <c r="Q48" s="190">
        <v>0.99627618308766486</v>
      </c>
      <c r="T48">
        <f t="shared" si="6"/>
        <v>23100</v>
      </c>
      <c r="U48" s="191">
        <f t="shared" si="7"/>
        <v>388195.56922597723</v>
      </c>
      <c r="V48" s="192">
        <f t="shared" si="8"/>
        <v>21069.805137873998</v>
      </c>
      <c r="W48" s="192">
        <f t="shared" si="9"/>
        <v>2023.4409906340625</v>
      </c>
      <c r="X48">
        <f t="shared" si="10"/>
        <v>2100</v>
      </c>
      <c r="Y48" s="192">
        <f t="shared" si="11"/>
        <v>16.805002996795551</v>
      </c>
    </row>
    <row r="49" spans="1:25" x14ac:dyDescent="0.25">
      <c r="A49">
        <v>5000</v>
      </c>
      <c r="B49">
        <v>500</v>
      </c>
      <c r="C49">
        <v>4.4000000000000004</v>
      </c>
      <c r="D49">
        <v>0</v>
      </c>
      <c r="E49" s="190">
        <v>2.7778853095319236</v>
      </c>
      <c r="F49" s="190">
        <v>0.25435601002728703</v>
      </c>
      <c r="G49" s="190">
        <v>2.8458177344469866</v>
      </c>
      <c r="H49" s="190">
        <v>8.3186555544535317</v>
      </c>
      <c r="I49" s="190">
        <v>9.7766709915796941</v>
      </c>
      <c r="J49" s="190">
        <v>3.8827688708399657E-2</v>
      </c>
      <c r="K49" s="190">
        <v>21.401213790635577</v>
      </c>
      <c r="L49" s="191">
        <v>18153.696666666667</v>
      </c>
      <c r="M49" s="191">
        <v>1576.6599999999999</v>
      </c>
      <c r="N49" s="192">
        <v>59.787878787878789</v>
      </c>
      <c r="O49" s="192">
        <v>74</v>
      </c>
      <c r="P49" s="190">
        <v>0.8100524249476927</v>
      </c>
      <c r="Q49" s="190">
        <v>0.99738815619343157</v>
      </c>
      <c r="T49">
        <f t="shared" si="6"/>
        <v>24200.000000000004</v>
      </c>
      <c r="U49" s="191">
        <f t="shared" si="7"/>
        <v>389517.35850035003</v>
      </c>
      <c r="V49" s="192">
        <f t="shared" si="8"/>
        <v>19804.422940942342</v>
      </c>
      <c r="W49" s="192">
        <f t="shared" si="9"/>
        <v>1905.8564251853461</v>
      </c>
      <c r="X49">
        <f t="shared" si="10"/>
        <v>2200</v>
      </c>
      <c r="Y49" s="192">
        <f t="shared" si="11"/>
        <v>16.095758615716942</v>
      </c>
    </row>
    <row r="52" spans="1:25" x14ac:dyDescent="0.25">
      <c r="A52">
        <v>5000</v>
      </c>
      <c r="B52">
        <v>200</v>
      </c>
      <c r="C52">
        <v>2</v>
      </c>
      <c r="D52">
        <v>0</v>
      </c>
      <c r="E52" s="190">
        <v>0.15897388613953234</v>
      </c>
      <c r="F52" s="190">
        <v>0.14335248590552421</v>
      </c>
      <c r="G52" s="190">
        <v>0.18036612207229291</v>
      </c>
      <c r="H52" s="190">
        <v>0.28608591556549068</v>
      </c>
      <c r="I52" s="190">
        <v>0.34058439731597911</v>
      </c>
      <c r="J52" s="190">
        <v>9.6212234184526301E-3</v>
      </c>
      <c r="K52" s="190">
        <v>2.0503256182586238</v>
      </c>
      <c r="L52" s="191">
        <v>10302.294444444444</v>
      </c>
      <c r="M52" s="191">
        <v>375.43333333333339</v>
      </c>
      <c r="N52" s="192">
        <v>4.5</v>
      </c>
      <c r="O52" s="192">
        <v>10.5</v>
      </c>
      <c r="P52" s="190">
        <v>5.9313421256788207E-2</v>
      </c>
      <c r="Q52" s="190">
        <v>0.13871217998448404</v>
      </c>
      <c r="S52" t="s">
        <v>152</v>
      </c>
      <c r="T52">
        <f t="shared" ref="T52:T75" si="12">(A52+B52)*C52</f>
        <v>10400</v>
      </c>
      <c r="U52" s="191">
        <f t="shared" ref="U52:U75" si="13">O52*(A52+B52/2)/Q52</f>
        <v>386051.17449664447</v>
      </c>
      <c r="V52" s="192">
        <f t="shared" ref="V52:V75" si="14">U52/(J52*B52+F52)</f>
        <v>186714.88826426858</v>
      </c>
      <c r="W52" s="192">
        <f t="shared" ref="W52:W75" si="15">O52/J52</f>
        <v>1091.3373012274049</v>
      </c>
      <c r="X52">
        <f t="shared" ref="X52:X75" si="16">B52*C52</f>
        <v>400</v>
      </c>
      <c r="Y52" s="192">
        <f t="shared" ref="Y52:Y75" si="17">U52/T52</f>
        <v>37.120305240061967</v>
      </c>
    </row>
    <row r="53" spans="1:25" x14ac:dyDescent="0.25">
      <c r="A53">
        <v>5000</v>
      </c>
      <c r="B53">
        <v>200</v>
      </c>
      <c r="C53">
        <v>2.2000000000000002</v>
      </c>
      <c r="D53">
        <v>0</v>
      </c>
      <c r="E53" s="190">
        <v>0.17752558572089625</v>
      </c>
      <c r="F53" s="190">
        <v>0.1518575964048062</v>
      </c>
      <c r="G53" s="190">
        <v>0.19594697215130941</v>
      </c>
      <c r="H53" s="190">
        <v>0.35540273785591114</v>
      </c>
      <c r="I53" s="190">
        <v>0.45083345651626588</v>
      </c>
      <c r="J53" s="190">
        <v>1.086438303311912E-2</v>
      </c>
      <c r="K53" s="190">
        <v>2.3332289794432306</v>
      </c>
      <c r="L53" s="191">
        <v>12391.443749999999</v>
      </c>
      <c r="M53" s="191">
        <v>454.81875000000002</v>
      </c>
      <c r="N53" s="192">
        <v>4.8333333333333339</v>
      </c>
      <c r="O53" s="192">
        <v>10.5</v>
      </c>
      <c r="P53" s="190">
        <v>6.355486595983105E-2</v>
      </c>
      <c r="Q53" s="190">
        <v>0.13836307214895269</v>
      </c>
      <c r="T53">
        <f t="shared" si="12"/>
        <v>11440.000000000002</v>
      </c>
      <c r="U53" s="191">
        <f t="shared" si="13"/>
        <v>387025.23128679558</v>
      </c>
      <c r="V53" s="192">
        <f t="shared" si="14"/>
        <v>166481.49744714244</v>
      </c>
      <c r="W53" s="192">
        <f t="shared" si="15"/>
        <v>966.46077075814333</v>
      </c>
      <c r="X53">
        <f t="shared" si="16"/>
        <v>440.00000000000006</v>
      </c>
      <c r="Y53" s="192">
        <f t="shared" si="17"/>
        <v>33.830876860733873</v>
      </c>
    </row>
    <row r="54" spans="1:25" x14ac:dyDescent="0.25">
      <c r="A54">
        <v>5000</v>
      </c>
      <c r="B54">
        <v>200</v>
      </c>
      <c r="C54">
        <v>2.4</v>
      </c>
      <c r="D54">
        <v>0</v>
      </c>
      <c r="E54" s="190">
        <v>0.17512113405281848</v>
      </c>
      <c r="F54" s="190">
        <v>0.1538078496688704</v>
      </c>
      <c r="G54" s="190">
        <v>0.19660316307908576</v>
      </c>
      <c r="H54" s="190">
        <v>0.36267546415328977</v>
      </c>
      <c r="I54" s="190">
        <v>0.40300796747207646</v>
      </c>
      <c r="J54" s="190">
        <v>1.1228162871936714E-2</v>
      </c>
      <c r="K54" s="190">
        <v>2.4212010491784239</v>
      </c>
      <c r="L54" s="191">
        <v>12463.516666666665</v>
      </c>
      <c r="M54" s="191">
        <v>459.47777777777782</v>
      </c>
      <c r="N54" s="192">
        <v>4.5999999999999996</v>
      </c>
      <c r="O54" s="192">
        <v>10.5</v>
      </c>
      <c r="P54" s="190">
        <v>6.0624515128006207E-2</v>
      </c>
      <c r="Q54" s="190">
        <v>0.13805275407292475</v>
      </c>
      <c r="T54">
        <f t="shared" si="12"/>
        <v>12480</v>
      </c>
      <c r="U54" s="191">
        <f t="shared" si="13"/>
        <v>387895.19527957292</v>
      </c>
      <c r="V54" s="192">
        <f t="shared" si="14"/>
        <v>161660.69029704964</v>
      </c>
      <c r="W54" s="192">
        <f t="shared" si="15"/>
        <v>935.14852961772942</v>
      </c>
      <c r="X54">
        <f t="shared" si="16"/>
        <v>480</v>
      </c>
      <c r="Y54" s="192">
        <f t="shared" si="17"/>
        <v>31.081345775606803</v>
      </c>
    </row>
    <row r="55" spans="1:25" x14ac:dyDescent="0.25">
      <c r="A55">
        <v>5000</v>
      </c>
      <c r="B55">
        <v>200</v>
      </c>
      <c r="C55">
        <v>2.6</v>
      </c>
      <c r="D55">
        <v>0</v>
      </c>
      <c r="E55" s="190">
        <v>0.18269736869893843</v>
      </c>
      <c r="F55" s="190">
        <v>0.16247661777030895</v>
      </c>
      <c r="G55" s="190">
        <v>0.20221037043727796</v>
      </c>
      <c r="H55" s="190">
        <v>0.36628542542457565</v>
      </c>
      <c r="I55" s="190">
        <v>0.46218669652938793</v>
      </c>
      <c r="J55" s="190">
        <v>1.1404410581020489E-2</v>
      </c>
      <c r="K55" s="190">
        <v>2.446224418996005</v>
      </c>
      <c r="L55" s="191">
        <v>12640.916666666664</v>
      </c>
      <c r="M55" s="191">
        <v>466.4444444444444</v>
      </c>
      <c r="N55" s="192">
        <v>5.4499999999999993</v>
      </c>
      <c r="O55" s="192">
        <v>12</v>
      </c>
      <c r="P55" s="190">
        <v>7.1823118696664079E-2</v>
      </c>
      <c r="Q55" s="190">
        <v>0.1582234290147401</v>
      </c>
      <c r="T55">
        <f t="shared" si="12"/>
        <v>13520</v>
      </c>
      <c r="U55" s="191">
        <f t="shared" si="13"/>
        <v>386794.80264770781</v>
      </c>
      <c r="V55" s="192">
        <f t="shared" si="14"/>
        <v>158304.54909031763</v>
      </c>
      <c r="W55" s="192">
        <f t="shared" si="15"/>
        <v>1052.2244805856697</v>
      </c>
      <c r="X55">
        <f t="shared" si="16"/>
        <v>520</v>
      </c>
      <c r="Y55" s="192">
        <f t="shared" si="17"/>
        <v>28.609083036073063</v>
      </c>
    </row>
    <row r="56" spans="1:25" x14ac:dyDescent="0.25">
      <c r="A56">
        <v>5000</v>
      </c>
      <c r="B56">
        <v>200</v>
      </c>
      <c r="C56">
        <v>2.8</v>
      </c>
      <c r="D56">
        <v>0</v>
      </c>
      <c r="E56" s="190">
        <v>0.1962321878838505</v>
      </c>
      <c r="F56" s="190">
        <v>0.16636100612474064</v>
      </c>
      <c r="G56" s="190">
        <v>0.21566905063602765</v>
      </c>
      <c r="H56" s="190">
        <v>0.41773403882980342</v>
      </c>
      <c r="I56" s="190">
        <v>0.47761176824569701</v>
      </c>
      <c r="J56" s="190">
        <v>1.3324501686882279E-2</v>
      </c>
      <c r="K56" s="190">
        <v>2.8548908975596232</v>
      </c>
      <c r="L56" s="191">
        <v>15602.761111111111</v>
      </c>
      <c r="M56" s="191">
        <v>580.86111111111109</v>
      </c>
      <c r="N56" s="192">
        <v>7.35</v>
      </c>
      <c r="O56" s="192">
        <v>16</v>
      </c>
      <c r="P56" s="190">
        <v>9.6761055081458491E-2</v>
      </c>
      <c r="Q56" s="190">
        <v>0.20950349107835531</v>
      </c>
      <c r="T56">
        <f t="shared" si="12"/>
        <v>14559.999999999998</v>
      </c>
      <c r="U56" s="191">
        <f t="shared" si="13"/>
        <v>389492.31623773376</v>
      </c>
      <c r="V56" s="192">
        <f t="shared" si="14"/>
        <v>137568.47884486688</v>
      </c>
      <c r="W56" s="192">
        <f t="shared" si="15"/>
        <v>1200.7953750159152</v>
      </c>
      <c r="X56">
        <f t="shared" si="16"/>
        <v>560</v>
      </c>
      <c r="Y56" s="192">
        <f t="shared" si="17"/>
        <v>26.750845895448752</v>
      </c>
    </row>
    <row r="57" spans="1:25" x14ac:dyDescent="0.25">
      <c r="A57">
        <v>5000</v>
      </c>
      <c r="B57">
        <v>200</v>
      </c>
      <c r="C57">
        <v>3</v>
      </c>
      <c r="D57">
        <v>0</v>
      </c>
      <c r="E57" s="190">
        <v>0.18698219941112554</v>
      </c>
      <c r="F57" s="190">
        <v>0.15744471102956686</v>
      </c>
      <c r="G57" s="190">
        <v>0.20741236069966423</v>
      </c>
      <c r="H57" s="190">
        <v>0.3844584763050079</v>
      </c>
      <c r="I57" s="190">
        <v>0.45043528079986572</v>
      </c>
      <c r="J57" s="190">
        <v>1.3399499060221923E-2</v>
      </c>
      <c r="K57" s="190">
        <v>2.8221898787400397</v>
      </c>
      <c r="L57" s="191">
        <v>14922.894444444446</v>
      </c>
      <c r="M57" s="191">
        <v>551.72777777777787</v>
      </c>
      <c r="N57" s="192">
        <v>6.75</v>
      </c>
      <c r="O57" s="192">
        <v>18</v>
      </c>
      <c r="P57" s="190">
        <v>8.9103956555469377E-2</v>
      </c>
      <c r="Q57" s="190">
        <v>0.23801396431342126</v>
      </c>
      <c r="T57">
        <f t="shared" si="12"/>
        <v>15600</v>
      </c>
      <c r="U57" s="191">
        <f t="shared" si="13"/>
        <v>385691.65580182528</v>
      </c>
      <c r="V57" s="192">
        <f t="shared" si="14"/>
        <v>135934.02305052849</v>
      </c>
      <c r="W57" s="192">
        <f t="shared" si="15"/>
        <v>1343.3338006967167</v>
      </c>
      <c r="X57">
        <f t="shared" si="16"/>
        <v>600</v>
      </c>
      <c r="Y57" s="192">
        <f t="shared" si="17"/>
        <v>24.723824089860596</v>
      </c>
    </row>
    <row r="58" spans="1:25" x14ac:dyDescent="0.25">
      <c r="A58">
        <v>5000</v>
      </c>
      <c r="B58">
        <v>200</v>
      </c>
      <c r="C58">
        <v>3.2</v>
      </c>
      <c r="D58">
        <v>0</v>
      </c>
      <c r="E58" s="190">
        <v>0.2161787155717752</v>
      </c>
      <c r="F58" s="190">
        <v>0.18370497780114689</v>
      </c>
      <c r="G58" s="190">
        <v>0.23735317915797055</v>
      </c>
      <c r="H58" s="190">
        <v>0.47217763662338219</v>
      </c>
      <c r="I58" s="190">
        <v>0.57438341379165681</v>
      </c>
      <c r="J58" s="190">
        <v>1.5942548324487743E-2</v>
      </c>
      <c r="K58" s="190">
        <v>3.3992678352894252</v>
      </c>
      <c r="L58" s="191">
        <v>17739.197222222218</v>
      </c>
      <c r="M58" s="191">
        <v>648.86597222222224</v>
      </c>
      <c r="N58" s="192">
        <v>9.9944444444444436</v>
      </c>
      <c r="O58" s="192">
        <v>17.5</v>
      </c>
      <c r="P58" s="190">
        <v>0.13169209550900782</v>
      </c>
      <c r="Q58" s="190">
        <v>0.2321955003878976</v>
      </c>
      <c r="T58">
        <f t="shared" si="12"/>
        <v>16640</v>
      </c>
      <c r="U58" s="191">
        <f t="shared" si="13"/>
        <v>384374.37353825592</v>
      </c>
      <c r="V58" s="192">
        <f t="shared" si="14"/>
        <v>113982.77223262726</v>
      </c>
      <c r="W58" s="192">
        <f t="shared" si="15"/>
        <v>1097.6915135405307</v>
      </c>
      <c r="X58">
        <f t="shared" si="16"/>
        <v>640</v>
      </c>
      <c r="Y58" s="192">
        <f t="shared" si="17"/>
        <v>23.099421486674032</v>
      </c>
    </row>
    <row r="59" spans="1:25" x14ac:dyDescent="0.25">
      <c r="A59">
        <v>5000</v>
      </c>
      <c r="B59">
        <v>200</v>
      </c>
      <c r="C59">
        <v>3.4</v>
      </c>
      <c r="D59">
        <v>0</v>
      </c>
      <c r="E59" s="190">
        <v>0.20801129573506111</v>
      </c>
      <c r="F59" s="190">
        <v>0.17401289876308371</v>
      </c>
      <c r="G59" s="190">
        <v>0.22498377145894186</v>
      </c>
      <c r="H59" s="190">
        <v>0.44401783943176254</v>
      </c>
      <c r="I59" s="190">
        <v>0.50354958534240701</v>
      </c>
      <c r="J59" s="190">
        <v>1.6929177718728747E-2</v>
      </c>
      <c r="K59" s="190">
        <v>3.5860699584768501</v>
      </c>
      <c r="L59" s="191">
        <v>18026.683333333331</v>
      </c>
      <c r="M59" s="191">
        <v>663.16666666666674</v>
      </c>
      <c r="N59" s="192">
        <v>12.05</v>
      </c>
      <c r="O59" s="192">
        <v>22.5</v>
      </c>
      <c r="P59" s="190">
        <v>0.15862684251357639</v>
      </c>
      <c r="Q59" s="190">
        <v>0.29608223429014735</v>
      </c>
      <c r="T59">
        <f t="shared" si="12"/>
        <v>17680</v>
      </c>
      <c r="U59" s="191">
        <f t="shared" si="13"/>
        <v>387561.24721603573</v>
      </c>
      <c r="V59" s="192">
        <f t="shared" si="14"/>
        <v>108870.15373690984</v>
      </c>
      <c r="W59" s="192">
        <f t="shared" si="15"/>
        <v>1329.0663240606336</v>
      </c>
      <c r="X59">
        <f t="shared" si="16"/>
        <v>680</v>
      </c>
      <c r="Y59" s="192">
        <f t="shared" si="17"/>
        <v>21.920885023531433</v>
      </c>
    </row>
    <row r="60" spans="1:25" x14ac:dyDescent="0.25">
      <c r="A60">
        <v>5000</v>
      </c>
      <c r="B60">
        <v>200</v>
      </c>
      <c r="C60">
        <v>3.8</v>
      </c>
      <c r="D60">
        <v>0</v>
      </c>
      <c r="E60" s="190">
        <v>0.22927821392779871</v>
      </c>
      <c r="F60" s="190">
        <v>0.18666512909385616</v>
      </c>
      <c r="G60" s="190">
        <v>0.24923354294304034</v>
      </c>
      <c r="H60" s="190">
        <v>0.5135504364967346</v>
      </c>
      <c r="I60" s="190">
        <v>0.65341941833496087</v>
      </c>
      <c r="J60" s="190">
        <v>1.8620865082390158E-2</v>
      </c>
      <c r="K60" s="190">
        <v>3.8986974395250265</v>
      </c>
      <c r="L60" s="191">
        <v>20278.32777777778</v>
      </c>
      <c r="M60" s="191">
        <v>739.21111111111111</v>
      </c>
      <c r="N60" s="192">
        <v>13.8</v>
      </c>
      <c r="O60" s="192">
        <v>24.5</v>
      </c>
      <c r="P60" s="190">
        <v>0.18175717610550809</v>
      </c>
      <c r="Q60" s="190">
        <v>0.32292474786656322</v>
      </c>
      <c r="T60">
        <f t="shared" si="12"/>
        <v>19760</v>
      </c>
      <c r="U60" s="191">
        <f t="shared" si="13"/>
        <v>386932.25225225225</v>
      </c>
      <c r="V60" s="192">
        <f t="shared" si="14"/>
        <v>98938.446913320309</v>
      </c>
      <c r="W60" s="192">
        <f t="shared" si="15"/>
        <v>1315.7283451438445</v>
      </c>
      <c r="X60">
        <f t="shared" si="16"/>
        <v>760</v>
      </c>
      <c r="Y60" s="192">
        <f t="shared" si="17"/>
        <v>19.58159171317066</v>
      </c>
    </row>
    <row r="61" spans="1:25" x14ac:dyDescent="0.25">
      <c r="A61">
        <v>5000</v>
      </c>
      <c r="B61">
        <v>200</v>
      </c>
      <c r="C61">
        <v>4</v>
      </c>
      <c r="D61">
        <v>0</v>
      </c>
      <c r="E61" s="190">
        <v>0.25456379431977494</v>
      </c>
      <c r="F61" s="190">
        <v>0.20479113765244134</v>
      </c>
      <c r="G61" s="190">
        <v>0.27635655578319313</v>
      </c>
      <c r="H61" s="190">
        <v>0.57976590991020205</v>
      </c>
      <c r="I61" s="190">
        <v>0.69905272960662823</v>
      </c>
      <c r="J61" s="190">
        <v>2.3321659898174307E-2</v>
      </c>
      <c r="K61" s="190">
        <v>4.9286135527274428</v>
      </c>
      <c r="L61" s="191">
        <v>21640</v>
      </c>
      <c r="M61" s="191">
        <v>800.44444444444434</v>
      </c>
      <c r="N61" s="192">
        <v>15.3</v>
      </c>
      <c r="O61" s="192">
        <v>32</v>
      </c>
      <c r="P61" s="190">
        <v>0.20157098525989142</v>
      </c>
      <c r="Q61" s="190">
        <v>0.42211016291698988</v>
      </c>
      <c r="T61">
        <f t="shared" si="12"/>
        <v>20800</v>
      </c>
      <c r="U61" s="191">
        <f t="shared" si="13"/>
        <v>386628.92850578943</v>
      </c>
      <c r="V61" s="192">
        <f t="shared" si="14"/>
        <v>79404.221087181926</v>
      </c>
      <c r="W61" s="192">
        <f t="shared" si="15"/>
        <v>1372.1150269627703</v>
      </c>
      <c r="X61">
        <f t="shared" si="16"/>
        <v>800</v>
      </c>
      <c r="Y61" s="192">
        <f t="shared" si="17"/>
        <v>18.587929255086031</v>
      </c>
    </row>
    <row r="62" spans="1:25" x14ac:dyDescent="0.25">
      <c r="A62">
        <v>5000</v>
      </c>
      <c r="B62">
        <v>200</v>
      </c>
      <c r="C62">
        <v>4.2</v>
      </c>
      <c r="D62">
        <v>0</v>
      </c>
      <c r="E62" s="190">
        <v>0.23426858785896187</v>
      </c>
      <c r="F62" s="190">
        <v>0.18760349416758715</v>
      </c>
      <c r="G62" s="190">
        <v>0.25721968175343379</v>
      </c>
      <c r="H62" s="190">
        <v>0.49146270751953103</v>
      </c>
      <c r="I62" s="190">
        <v>0.55424608469009395</v>
      </c>
      <c r="J62" s="190">
        <v>1.9950350457762972E-2</v>
      </c>
      <c r="K62" s="190">
        <v>4.175078843507972</v>
      </c>
      <c r="L62" s="191">
        <v>20483.655555555553</v>
      </c>
      <c r="M62" s="191">
        <v>754.47777777777787</v>
      </c>
      <c r="N62" s="192">
        <v>13.95</v>
      </c>
      <c r="O62" s="192">
        <v>27.5</v>
      </c>
      <c r="P62" s="190">
        <v>0.18389449185415049</v>
      </c>
      <c r="Q62" s="190">
        <v>0.36291698991466259</v>
      </c>
      <c r="T62">
        <f t="shared" si="12"/>
        <v>21840</v>
      </c>
      <c r="U62" s="191">
        <f t="shared" si="13"/>
        <v>386452.0094057289</v>
      </c>
      <c r="V62" s="192">
        <f t="shared" si="14"/>
        <v>92504.117776618776</v>
      </c>
      <c r="W62" s="192">
        <f t="shared" si="15"/>
        <v>1378.4219008192586</v>
      </c>
      <c r="X62">
        <f t="shared" si="16"/>
        <v>840</v>
      </c>
      <c r="Y62" s="192">
        <f t="shared" si="17"/>
        <v>17.694689075353889</v>
      </c>
    </row>
    <row r="63" spans="1:25" x14ac:dyDescent="0.25">
      <c r="A63">
        <v>5000</v>
      </c>
      <c r="B63">
        <v>200</v>
      </c>
      <c r="C63">
        <v>4.4000000000000004</v>
      </c>
      <c r="D63">
        <v>0</v>
      </c>
      <c r="E63" s="190">
        <v>0.26773352355389124</v>
      </c>
      <c r="F63" s="190">
        <v>0.21398528934232625</v>
      </c>
      <c r="G63" s="190">
        <v>0.28652833997557037</v>
      </c>
      <c r="H63" s="190">
        <v>0.57967132329940751</v>
      </c>
      <c r="I63" s="190">
        <v>0.74709239006042527</v>
      </c>
      <c r="J63" s="190">
        <v>2.4031371159684622E-2</v>
      </c>
      <c r="K63" s="190">
        <v>5.0406386422978953</v>
      </c>
      <c r="L63" s="191">
        <v>21760.944444444449</v>
      </c>
      <c r="M63" s="191">
        <v>793.86111111111109</v>
      </c>
      <c r="N63" s="192">
        <v>19.450000000000003</v>
      </c>
      <c r="O63" s="192">
        <v>36</v>
      </c>
      <c r="P63" s="190">
        <v>0.25623739332816142</v>
      </c>
      <c r="Q63" s="190">
        <v>0.47579519006982157</v>
      </c>
      <c r="T63">
        <f t="shared" si="12"/>
        <v>22880.000000000004</v>
      </c>
      <c r="U63" s="191">
        <f t="shared" si="13"/>
        <v>385880.319582586</v>
      </c>
      <c r="V63" s="192">
        <f t="shared" si="14"/>
        <v>76864.61585242048</v>
      </c>
      <c r="W63" s="192">
        <f t="shared" si="15"/>
        <v>1498.0418620637895</v>
      </c>
      <c r="X63">
        <f t="shared" si="16"/>
        <v>880.00000000000011</v>
      </c>
      <c r="Y63" s="192">
        <f t="shared" si="17"/>
        <v>16.865398583154981</v>
      </c>
    </row>
    <row r="64" spans="1:25" x14ac:dyDescent="0.25">
      <c r="A64">
        <v>5000</v>
      </c>
      <c r="B64">
        <v>200</v>
      </c>
      <c r="C64">
        <v>4.5999999999999996</v>
      </c>
      <c r="D64">
        <v>0</v>
      </c>
      <c r="E64" s="190">
        <v>0.29045582898953587</v>
      </c>
      <c r="F64" s="190">
        <v>0.22962988056941785</v>
      </c>
      <c r="G64" s="190">
        <v>0.31213514237176804</v>
      </c>
      <c r="H64" s="190">
        <v>0.69013125896453853</v>
      </c>
      <c r="I64" s="190">
        <v>0.80190755367279032</v>
      </c>
      <c r="J64" s="190">
        <v>2.7285715660388569E-2</v>
      </c>
      <c r="K64" s="190">
        <v>5.7058562758013451</v>
      </c>
      <c r="L64" s="191">
        <v>23180.35</v>
      </c>
      <c r="M64" s="191">
        <v>841.92777777777781</v>
      </c>
      <c r="N64" s="192">
        <v>22.25</v>
      </c>
      <c r="O64" s="192">
        <v>42</v>
      </c>
      <c r="P64" s="190">
        <v>0.29388673390224984</v>
      </c>
      <c r="Q64" s="190">
        <v>0.55162916989914668</v>
      </c>
      <c r="T64">
        <f t="shared" si="12"/>
        <v>23919.999999999996</v>
      </c>
      <c r="U64" s="191">
        <f t="shared" si="13"/>
        <v>388304.33865410305</v>
      </c>
      <c r="V64" s="192">
        <f t="shared" si="14"/>
        <v>68282.018253679445</v>
      </c>
      <c r="W64" s="192">
        <f t="shared" si="15"/>
        <v>1539.2669381574099</v>
      </c>
      <c r="X64">
        <f t="shared" si="16"/>
        <v>919.99999999999989</v>
      </c>
      <c r="Y64" s="192">
        <f t="shared" si="17"/>
        <v>16.233458973833741</v>
      </c>
    </row>
    <row r="65" spans="1:25" x14ac:dyDescent="0.25">
      <c r="A65">
        <v>5000</v>
      </c>
      <c r="B65">
        <v>200</v>
      </c>
      <c r="C65">
        <v>4.8</v>
      </c>
      <c r="D65">
        <v>0</v>
      </c>
      <c r="E65" s="190">
        <v>0.3271283484961538</v>
      </c>
      <c r="F65" s="190">
        <v>0.25079316509162963</v>
      </c>
      <c r="G65" s="190">
        <v>0.3494704504606847</v>
      </c>
      <c r="H65" s="190">
        <v>0.71865006089210481</v>
      </c>
      <c r="I65" s="190">
        <v>0.8697062611579901</v>
      </c>
      <c r="J65" s="190">
        <v>4.0983470643534484E-2</v>
      </c>
      <c r="K65" s="190">
        <v>8.3067052978386009</v>
      </c>
      <c r="L65" s="191">
        <v>25790.550000000003</v>
      </c>
      <c r="M65" s="191">
        <v>917.35555555555561</v>
      </c>
      <c r="N65" s="192">
        <v>37.599999999999994</v>
      </c>
      <c r="O65" s="192">
        <v>64</v>
      </c>
      <c r="P65" s="190">
        <v>0.4969550038789759</v>
      </c>
      <c r="Q65" s="190">
        <v>0.84511249030256019</v>
      </c>
      <c r="T65">
        <f t="shared" si="12"/>
        <v>24960</v>
      </c>
      <c r="U65" s="191">
        <f t="shared" si="13"/>
        <v>386220.77385596914</v>
      </c>
      <c r="V65" s="192">
        <f t="shared" si="14"/>
        <v>45720.195890617288</v>
      </c>
      <c r="W65" s="192">
        <f t="shared" si="15"/>
        <v>1561.6051787477541</v>
      </c>
      <c r="X65">
        <f t="shared" si="16"/>
        <v>960</v>
      </c>
      <c r="Y65" s="192">
        <f t="shared" si="17"/>
        <v>15.473588696152609</v>
      </c>
    </row>
    <row r="66" spans="1:25" x14ac:dyDescent="0.25">
      <c r="A66">
        <v>5000</v>
      </c>
      <c r="B66">
        <v>200</v>
      </c>
      <c r="C66">
        <v>5</v>
      </c>
      <c r="D66">
        <v>0</v>
      </c>
      <c r="E66" s="190">
        <v>0.30402247977359381</v>
      </c>
      <c r="F66" s="190">
        <v>0.233589265452812</v>
      </c>
      <c r="G66" s="190">
        <v>0.3255837336412456</v>
      </c>
      <c r="H66" s="190">
        <v>0.64308524131774869</v>
      </c>
      <c r="I66" s="190">
        <v>0.73265768051147462</v>
      </c>
      <c r="J66" s="190">
        <v>3.6565374451086839E-2</v>
      </c>
      <c r="K66" s="190">
        <v>7.4836271676924557</v>
      </c>
      <c r="L66" s="191">
        <v>25341.133333333331</v>
      </c>
      <c r="M66" s="191">
        <v>887.16666666666663</v>
      </c>
      <c r="N66" s="192">
        <v>33.700000000000003</v>
      </c>
      <c r="O66" s="192">
        <v>56.5</v>
      </c>
      <c r="P66" s="190">
        <v>0.44471683475562451</v>
      </c>
      <c r="Q66" s="190">
        <v>0.74530643910007766</v>
      </c>
      <c r="T66">
        <f t="shared" si="12"/>
        <v>26000</v>
      </c>
      <c r="U66" s="191">
        <f t="shared" si="13"/>
        <v>386619.49620068696</v>
      </c>
      <c r="V66" s="192">
        <f t="shared" si="14"/>
        <v>51230.515659054567</v>
      </c>
      <c r="W66" s="192">
        <f t="shared" si="15"/>
        <v>1545.1776673470013</v>
      </c>
      <c r="X66">
        <f t="shared" si="16"/>
        <v>1000</v>
      </c>
      <c r="Y66" s="192">
        <f t="shared" si="17"/>
        <v>14.869980623103345</v>
      </c>
    </row>
    <row r="67" spans="1:25" x14ac:dyDescent="0.25">
      <c r="A67">
        <v>5000</v>
      </c>
      <c r="B67">
        <v>200</v>
      </c>
      <c r="C67">
        <v>5.2</v>
      </c>
      <c r="D67">
        <v>0</v>
      </c>
      <c r="E67" s="190">
        <v>0.46296748587874703</v>
      </c>
      <c r="F67" s="190">
        <v>0.33392263269015754</v>
      </c>
      <c r="G67" s="190">
        <v>0.48565413989893425</v>
      </c>
      <c r="H67" s="190">
        <v>1.1779205560684196</v>
      </c>
      <c r="I67" s="190">
        <v>1.5340393543243409</v>
      </c>
      <c r="J67" s="190">
        <v>4.6968770324398397E-2</v>
      </c>
      <c r="K67" s="190">
        <v>9.9332828785946461</v>
      </c>
      <c r="L67" s="191">
        <v>26348.711111111108</v>
      </c>
      <c r="M67" s="191">
        <v>945.08888888888885</v>
      </c>
      <c r="N67" s="192">
        <v>45.95</v>
      </c>
      <c r="O67" s="192">
        <v>70</v>
      </c>
      <c r="P67" s="190">
        <v>0.60624127230411173</v>
      </c>
      <c r="Q67" s="190">
        <v>0.9289371605896044</v>
      </c>
      <c r="T67">
        <f t="shared" si="12"/>
        <v>27040</v>
      </c>
      <c r="U67" s="191">
        <f t="shared" si="13"/>
        <v>384310.17203941871</v>
      </c>
      <c r="V67" s="192">
        <f t="shared" si="14"/>
        <v>39506.881651959804</v>
      </c>
      <c r="W67" s="192">
        <f t="shared" si="15"/>
        <v>1490.3519831695019</v>
      </c>
      <c r="X67">
        <f t="shared" si="16"/>
        <v>1040</v>
      </c>
      <c r="Y67" s="192">
        <f t="shared" si="17"/>
        <v>14.212654291398621</v>
      </c>
    </row>
    <row r="68" spans="1:25" x14ac:dyDescent="0.25">
      <c r="A68">
        <v>5000</v>
      </c>
      <c r="B68">
        <v>200</v>
      </c>
      <c r="C68">
        <v>5.4</v>
      </c>
      <c r="D68">
        <v>0</v>
      </c>
      <c r="E68" s="190">
        <v>0.42499768955843065</v>
      </c>
      <c r="F68" s="190">
        <v>0.27550645379253225</v>
      </c>
      <c r="G68" s="190">
        <v>0.44875082983785985</v>
      </c>
      <c r="H68" s="190">
        <v>0.97234777808189399</v>
      </c>
      <c r="I68" s="190">
        <v>1.161385941505432</v>
      </c>
      <c r="J68" s="190">
        <v>4.943304710785449E-2</v>
      </c>
      <c r="K68" s="190">
        <v>10.204803114084182</v>
      </c>
      <c r="L68" s="191">
        <v>26410.005555555555</v>
      </c>
      <c r="M68" s="191">
        <v>935.66666666666663</v>
      </c>
      <c r="N68" s="192">
        <v>46.7</v>
      </c>
      <c r="O68" s="192">
        <v>70.5</v>
      </c>
      <c r="P68" s="190">
        <v>0.61581070597362297</v>
      </c>
      <c r="Q68" s="190">
        <v>0.92835531419705197</v>
      </c>
      <c r="T68">
        <f t="shared" si="12"/>
        <v>28080.000000000004</v>
      </c>
      <c r="U68" s="191">
        <f t="shared" si="13"/>
        <v>387297.8314461204</v>
      </c>
      <c r="V68" s="192">
        <f t="shared" si="14"/>
        <v>38111.928283072186</v>
      </c>
      <c r="W68" s="192">
        <f t="shared" si="15"/>
        <v>1426.1714404572513</v>
      </c>
      <c r="X68">
        <f t="shared" si="16"/>
        <v>1080</v>
      </c>
      <c r="Y68" s="192">
        <f t="shared" si="17"/>
        <v>13.792657815032776</v>
      </c>
    </row>
    <row r="69" spans="1:25" x14ac:dyDescent="0.25">
      <c r="A69">
        <v>5000</v>
      </c>
      <c r="B69">
        <v>200</v>
      </c>
      <c r="C69">
        <v>5.6</v>
      </c>
      <c r="D69">
        <v>0</v>
      </c>
      <c r="E69" s="190">
        <v>0.67078863442520575</v>
      </c>
      <c r="F69" s="190">
        <v>0.27738673965273308</v>
      </c>
      <c r="G69" s="190">
        <v>0.75452343058059945</v>
      </c>
      <c r="H69" s="190">
        <v>2.659781920909881</v>
      </c>
      <c r="I69" s="190">
        <v>3.4462504005432129</v>
      </c>
      <c r="J69" s="190">
        <v>4.4880637599709949E-2</v>
      </c>
      <c r="K69" s="190">
        <v>9.1970729238759681</v>
      </c>
      <c r="L69" s="191">
        <v>26227.566666666669</v>
      </c>
      <c r="M69" s="191">
        <v>932.23888888888882</v>
      </c>
      <c r="N69" s="192">
        <v>43.900000000000006</v>
      </c>
      <c r="O69" s="192">
        <v>74.5</v>
      </c>
      <c r="P69" s="190">
        <v>0.57991078355314196</v>
      </c>
      <c r="Q69" s="190">
        <v>0.98382467028704423</v>
      </c>
      <c r="T69">
        <f t="shared" si="12"/>
        <v>29119.999999999996</v>
      </c>
      <c r="U69" s="191">
        <f t="shared" si="13"/>
        <v>386196.86157000356</v>
      </c>
      <c r="V69" s="192">
        <f t="shared" si="14"/>
        <v>41735.15604296673</v>
      </c>
      <c r="W69" s="192">
        <f t="shared" si="15"/>
        <v>1659.9585920428517</v>
      </c>
      <c r="X69">
        <f t="shared" si="16"/>
        <v>1120</v>
      </c>
      <c r="Y69" s="192">
        <f t="shared" si="17"/>
        <v>13.262254861607266</v>
      </c>
    </row>
    <row r="70" spans="1:25" x14ac:dyDescent="0.25">
      <c r="A70">
        <v>5000</v>
      </c>
      <c r="B70">
        <v>200</v>
      </c>
      <c r="C70">
        <v>5.8</v>
      </c>
      <c r="D70">
        <v>0</v>
      </c>
      <c r="E70" s="190">
        <v>0.88071801715954978</v>
      </c>
      <c r="F70" s="190">
        <v>0.32256835789510263</v>
      </c>
      <c r="G70" s="190">
        <v>0.91359544240563417</v>
      </c>
      <c r="H70" s="190">
        <v>2.3184520602226253</v>
      </c>
      <c r="I70" s="190">
        <v>2.8061714839935301</v>
      </c>
      <c r="J70" s="190">
        <v>6.0949067151273024E-2</v>
      </c>
      <c r="K70" s="190">
        <v>12.904798965257577</v>
      </c>
      <c r="L70" s="191">
        <v>27592.888888888891</v>
      </c>
      <c r="M70" s="191">
        <v>970.82222222222231</v>
      </c>
      <c r="N70" s="192">
        <v>59.2</v>
      </c>
      <c r="O70" s="192">
        <v>75.5</v>
      </c>
      <c r="P70" s="190">
        <v>0.78105896043444534</v>
      </c>
      <c r="Q70" s="190">
        <v>0.99441427463149723</v>
      </c>
      <c r="T70">
        <f t="shared" si="12"/>
        <v>30160</v>
      </c>
      <c r="U70" s="191">
        <f t="shared" si="13"/>
        <v>387212.86472148541</v>
      </c>
      <c r="V70" s="192">
        <f t="shared" si="14"/>
        <v>30946.375460522555</v>
      </c>
      <c r="W70" s="192">
        <f t="shared" si="15"/>
        <v>1238.7392215964876</v>
      </c>
      <c r="X70">
        <f t="shared" si="16"/>
        <v>1160</v>
      </c>
      <c r="Y70" s="192">
        <f t="shared" si="17"/>
        <v>12.838622835593018</v>
      </c>
    </row>
    <row r="71" spans="1:25" x14ac:dyDescent="0.25">
      <c r="A71">
        <v>5000</v>
      </c>
      <c r="B71">
        <v>200</v>
      </c>
      <c r="C71">
        <v>6</v>
      </c>
      <c r="D71">
        <v>0</v>
      </c>
      <c r="E71" s="190">
        <v>1.1517556077274866</v>
      </c>
      <c r="F71" s="190">
        <v>0.31669270171251629</v>
      </c>
      <c r="G71" s="190">
        <v>1.1567808913351114</v>
      </c>
      <c r="H71" s="190">
        <v>2.8659533262252808</v>
      </c>
      <c r="I71" s="190">
        <v>3.2619171977043155</v>
      </c>
      <c r="J71" s="190">
        <v>6.0201198214723778E-2</v>
      </c>
      <c r="K71" s="190">
        <v>12.965158138776456</v>
      </c>
      <c r="L71" s="191">
        <v>27471.505555555559</v>
      </c>
      <c r="M71" s="191">
        <v>957.72222222222217</v>
      </c>
      <c r="N71" s="192">
        <v>59.3</v>
      </c>
      <c r="O71" s="192">
        <v>76</v>
      </c>
      <c r="P71" s="190">
        <v>0.78250581846392542</v>
      </c>
      <c r="Q71" s="190">
        <v>0.99941815360744757</v>
      </c>
      <c r="T71">
        <f t="shared" si="12"/>
        <v>31200</v>
      </c>
      <c r="U71" s="191">
        <f t="shared" si="13"/>
        <v>387825.65495827678</v>
      </c>
      <c r="V71" s="192">
        <f t="shared" si="14"/>
        <v>31385.269753132525</v>
      </c>
      <c r="W71" s="192">
        <f t="shared" si="15"/>
        <v>1262.4333444149324</v>
      </c>
      <c r="X71">
        <f t="shared" si="16"/>
        <v>1200</v>
      </c>
      <c r="Y71" s="192">
        <f t="shared" si="17"/>
        <v>12.430309453790922</v>
      </c>
    </row>
    <row r="72" spans="1:25" x14ac:dyDescent="0.25">
      <c r="A72">
        <v>5000</v>
      </c>
      <c r="B72">
        <v>200</v>
      </c>
      <c r="C72">
        <v>6.2</v>
      </c>
      <c r="D72">
        <v>0</v>
      </c>
      <c r="E72" s="190">
        <v>3.2818187676151434</v>
      </c>
      <c r="F72" s="190">
        <v>0.35329870931130669</v>
      </c>
      <c r="G72" s="190">
        <v>3.4464219516158194</v>
      </c>
      <c r="H72" s="190">
        <v>7.5228621661663055</v>
      </c>
      <c r="I72" s="190">
        <v>8.1567895460128792</v>
      </c>
      <c r="J72" s="190">
        <v>6.2837029255082055E-2</v>
      </c>
      <c r="K72" s="190">
        <v>15.340271757057881</v>
      </c>
      <c r="L72" s="191">
        <v>27003.490555555556</v>
      </c>
      <c r="M72" s="191">
        <v>972.21111111111122</v>
      </c>
      <c r="N72" s="192">
        <v>59.763636363636365</v>
      </c>
      <c r="O72" s="192">
        <v>76</v>
      </c>
      <c r="P72" s="190">
        <v>0.78798716411594616</v>
      </c>
      <c r="Q72" s="190">
        <v>0.99829325058184648</v>
      </c>
      <c r="T72">
        <f t="shared" si="12"/>
        <v>32240</v>
      </c>
      <c r="U72" s="191">
        <f t="shared" si="13"/>
        <v>388262.66708113148</v>
      </c>
      <c r="V72" s="192">
        <f t="shared" si="14"/>
        <v>30049.651338153009</v>
      </c>
      <c r="W72" s="192">
        <f t="shared" si="15"/>
        <v>1209.4779288734971</v>
      </c>
      <c r="X72">
        <f t="shared" si="16"/>
        <v>1240</v>
      </c>
      <c r="Y72" s="192">
        <f t="shared" si="17"/>
        <v>12.042886696064873</v>
      </c>
    </row>
    <row r="73" spans="1:25" x14ac:dyDescent="0.25">
      <c r="A73">
        <v>5000</v>
      </c>
      <c r="B73">
        <v>200</v>
      </c>
      <c r="C73">
        <v>6.4</v>
      </c>
      <c r="D73">
        <v>0</v>
      </c>
      <c r="E73" s="190">
        <v>3.2827046437944061</v>
      </c>
      <c r="F73" s="190">
        <v>0.34844500523617583</v>
      </c>
      <c r="G73" s="190">
        <v>3.3810752648457258</v>
      </c>
      <c r="H73" s="190">
        <v>6.7417177677154543</v>
      </c>
      <c r="I73" s="190">
        <v>7.2073835134506226</v>
      </c>
      <c r="J73" s="190">
        <v>6.6213860636296473E-2</v>
      </c>
      <c r="K73" s="190">
        <v>16.208616088735116</v>
      </c>
      <c r="L73" s="191">
        <v>27971.911111111112</v>
      </c>
      <c r="M73" s="191">
        <v>965.39444444444439</v>
      </c>
      <c r="N73" s="192">
        <v>62.65</v>
      </c>
      <c r="O73" s="192">
        <v>76</v>
      </c>
      <c r="P73" s="190">
        <v>0.82582622187742438</v>
      </c>
      <c r="Q73" s="190">
        <v>0.99794414274631493</v>
      </c>
      <c r="T73">
        <f t="shared" si="12"/>
        <v>33280</v>
      </c>
      <c r="U73" s="191">
        <f t="shared" si="13"/>
        <v>388398.49185680418</v>
      </c>
      <c r="V73" s="192">
        <f t="shared" si="14"/>
        <v>28577.167745203307</v>
      </c>
      <c r="W73" s="192">
        <f t="shared" si="15"/>
        <v>1147.7959338069325</v>
      </c>
      <c r="X73">
        <f t="shared" si="16"/>
        <v>1280</v>
      </c>
      <c r="Y73" s="192">
        <f t="shared" si="17"/>
        <v>11.670627760120318</v>
      </c>
    </row>
    <row r="74" spans="1:25" x14ac:dyDescent="0.25">
      <c r="A74">
        <v>5000</v>
      </c>
      <c r="B74">
        <v>200</v>
      </c>
      <c r="C74">
        <v>6.6</v>
      </c>
      <c r="D74">
        <v>0</v>
      </c>
      <c r="E74" s="190">
        <v>3.4491225572958131</v>
      </c>
      <c r="F74" s="190">
        <v>0.34354937586510081</v>
      </c>
      <c r="G74" s="190">
        <v>3.3835779482924946</v>
      </c>
      <c r="H74" s="190">
        <v>7.2943248867988579</v>
      </c>
      <c r="I74" s="190">
        <v>7.6614029026031494</v>
      </c>
      <c r="J74" s="190">
        <v>6.4225564259963633E-2</v>
      </c>
      <c r="K74" s="190">
        <v>16.362522227470656</v>
      </c>
      <c r="L74" s="191">
        <v>27529.800555555554</v>
      </c>
      <c r="M74" s="191">
        <v>979.72444444444443</v>
      </c>
      <c r="N74" s="192">
        <v>62.209090909090911</v>
      </c>
      <c r="O74" s="192">
        <v>76</v>
      </c>
      <c r="P74" s="190">
        <v>0.82089463290782139</v>
      </c>
      <c r="Q74" s="190">
        <v>0.99875872769588825</v>
      </c>
      <c r="T74">
        <f t="shared" si="12"/>
        <v>34320</v>
      </c>
      <c r="U74" s="191">
        <f t="shared" si="13"/>
        <v>388081.71508466679</v>
      </c>
      <c r="V74" s="192">
        <f t="shared" si="14"/>
        <v>29425.404061447487</v>
      </c>
      <c r="W74" s="192">
        <f t="shared" si="15"/>
        <v>1183.3294245945024</v>
      </c>
      <c r="X74">
        <f t="shared" si="16"/>
        <v>1320</v>
      </c>
      <c r="Y74" s="192">
        <f t="shared" si="17"/>
        <v>11.30774228102176</v>
      </c>
    </row>
    <row r="75" spans="1:25" x14ac:dyDescent="0.25">
      <c r="A75">
        <v>5000</v>
      </c>
      <c r="B75">
        <v>200</v>
      </c>
      <c r="C75">
        <v>6.8</v>
      </c>
      <c r="D75">
        <v>0</v>
      </c>
      <c r="E75" s="190">
        <v>3.6392291646165353</v>
      </c>
      <c r="F75" s="190">
        <v>0.38880960210423587</v>
      </c>
      <c r="G75" s="190">
        <v>3.6674147649262578</v>
      </c>
      <c r="H75" s="190">
        <v>7.5885836303234102</v>
      </c>
      <c r="I75" s="190">
        <v>8.0247759127616867</v>
      </c>
      <c r="J75" s="190">
        <v>6.5766690236459535E-2</v>
      </c>
      <c r="K75" s="190">
        <v>16.524634330588583</v>
      </c>
      <c r="L75" s="191">
        <v>27582.58</v>
      </c>
      <c r="M75" s="191">
        <v>970.46166666666659</v>
      </c>
      <c r="N75" s="192">
        <v>64.268181818181816</v>
      </c>
      <c r="O75" s="192">
        <v>75.5</v>
      </c>
      <c r="P75" s="190">
        <v>0.84791875308554909</v>
      </c>
      <c r="Q75" s="190">
        <v>0.9961598138091543</v>
      </c>
      <c r="T75">
        <f t="shared" si="12"/>
        <v>35360</v>
      </c>
      <c r="U75" s="191">
        <f t="shared" si="13"/>
        <v>386534.36392663838</v>
      </c>
      <c r="V75" s="192">
        <f t="shared" si="14"/>
        <v>28543.062292181872</v>
      </c>
      <c r="W75" s="192">
        <f t="shared" si="15"/>
        <v>1147.9975612053006</v>
      </c>
      <c r="X75">
        <f t="shared" si="16"/>
        <v>1360</v>
      </c>
      <c r="Y75" s="192">
        <f t="shared" si="17"/>
        <v>10.931401694757874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2E00-764A-4F50-95F0-B6E0D9BC7AF3}">
  <dimension ref="A1:H42"/>
  <sheetViews>
    <sheetView workbookViewId="0">
      <selection activeCell="B7" sqref="B7"/>
    </sheetView>
  </sheetViews>
  <sheetFormatPr defaultRowHeight="15" x14ac:dyDescent="0.25"/>
  <cols>
    <col min="1" max="1" width="16.5703125" bestFit="1" customWidth="1"/>
    <col min="2" max="25" width="13.5703125" bestFit="1" customWidth="1"/>
  </cols>
  <sheetData>
    <row r="1" spans="1:8" x14ac:dyDescent="0.25">
      <c r="A1" s="61" t="s">
        <v>81</v>
      </c>
      <c r="B1" t="s">
        <v>67</v>
      </c>
    </row>
    <row r="3" spans="1:8" x14ac:dyDescent="0.25">
      <c r="A3" s="61" t="s">
        <v>145</v>
      </c>
      <c r="B3" s="61" t="s">
        <v>136</v>
      </c>
      <c r="C3" s="61" t="s">
        <v>157</v>
      </c>
    </row>
    <row r="4" spans="1:8" x14ac:dyDescent="0.25">
      <c r="B4" t="s">
        <v>142</v>
      </c>
      <c r="C4" t="s">
        <v>143</v>
      </c>
      <c r="D4" t="s">
        <v>143</v>
      </c>
      <c r="E4" t="s">
        <v>140</v>
      </c>
      <c r="F4" t="s">
        <v>141</v>
      </c>
      <c r="G4" t="s">
        <v>141</v>
      </c>
      <c r="H4" t="s">
        <v>144</v>
      </c>
    </row>
    <row r="5" spans="1:8" x14ac:dyDescent="0.25">
      <c r="A5" s="61" t="s">
        <v>2</v>
      </c>
      <c r="B5" s="220">
        <v>46092</v>
      </c>
      <c r="C5" s="220">
        <v>46104</v>
      </c>
      <c r="D5" s="220">
        <v>46092</v>
      </c>
      <c r="E5" s="220">
        <v>46092</v>
      </c>
      <c r="F5" s="220">
        <v>46104</v>
      </c>
      <c r="G5" s="220">
        <v>46092</v>
      </c>
      <c r="H5" s="220">
        <v>46092</v>
      </c>
    </row>
    <row r="6" spans="1:8" x14ac:dyDescent="0.25">
      <c r="A6">
        <v>2</v>
      </c>
      <c r="B6" s="73">
        <v>0.18708273940370831</v>
      </c>
      <c r="C6" s="73">
        <v>0.14335248590552421</v>
      </c>
      <c r="D6" s="73">
        <v>0.14817790955466786</v>
      </c>
      <c r="E6" s="73">
        <v>0.14532217116317739</v>
      </c>
      <c r="F6" s="73">
        <v>0.15313947465266206</v>
      </c>
      <c r="G6" s="73">
        <v>0.15110481634772516</v>
      </c>
      <c r="H6" s="73">
        <v>0.18273021965980119</v>
      </c>
    </row>
    <row r="7" spans="1:8" x14ac:dyDescent="0.25">
      <c r="A7">
        <v>2.2000000000000002</v>
      </c>
      <c r="B7" s="73">
        <v>0.21287415386511527</v>
      </c>
      <c r="C7" s="73">
        <v>0.1518575964048062</v>
      </c>
      <c r="D7" s="73">
        <v>0.1488430971451522</v>
      </c>
      <c r="E7" s="73"/>
      <c r="F7" s="73">
        <v>0.15447118513848496</v>
      </c>
      <c r="G7" s="73">
        <v>0.16800686798882636</v>
      </c>
      <c r="H7" s="73">
        <v>0.18401447805069526</v>
      </c>
    </row>
    <row r="8" spans="1:8" x14ac:dyDescent="0.25">
      <c r="A8">
        <v>2.4</v>
      </c>
      <c r="B8" s="73">
        <v>0.34084885026655765</v>
      </c>
      <c r="C8" s="73">
        <v>0.1538078496688704</v>
      </c>
      <c r="D8" s="73">
        <v>0.15019183677874534</v>
      </c>
      <c r="E8" s="73"/>
      <c r="F8" s="73">
        <v>0.16577303039612606</v>
      </c>
      <c r="G8" s="73">
        <v>0.16208390292466535</v>
      </c>
      <c r="H8" s="73">
        <v>0.19235890049024437</v>
      </c>
    </row>
    <row r="9" spans="1:8" x14ac:dyDescent="0.25">
      <c r="A9">
        <v>2.5</v>
      </c>
      <c r="B9" s="73"/>
      <c r="C9" s="73"/>
      <c r="D9" s="73"/>
      <c r="E9" s="73"/>
      <c r="F9" s="73"/>
      <c r="G9" s="73">
        <v>0.17102828618696231</v>
      </c>
      <c r="H9" s="73"/>
    </row>
    <row r="10" spans="1:8" x14ac:dyDescent="0.25">
      <c r="A10">
        <v>2.6</v>
      </c>
      <c r="B10" s="73">
        <v>0.32445321451237169</v>
      </c>
      <c r="C10" s="73">
        <v>0.16247661777030895</v>
      </c>
      <c r="D10" s="73">
        <v>0.15084290821219767</v>
      </c>
      <c r="E10" s="73"/>
      <c r="F10" s="73">
        <v>0.16065442648565262</v>
      </c>
      <c r="G10" s="73">
        <v>0.18478550120979248</v>
      </c>
      <c r="H10" s="73">
        <v>0.20026413565238368</v>
      </c>
    </row>
    <row r="11" spans="1:8" x14ac:dyDescent="0.25">
      <c r="A11">
        <v>2.7999999999999994</v>
      </c>
      <c r="B11" s="73"/>
      <c r="C11" s="73"/>
      <c r="D11" s="73">
        <v>0.16607952366403897</v>
      </c>
      <c r="E11" s="73"/>
      <c r="F11" s="73">
        <v>0.16331143727170164</v>
      </c>
      <c r="G11" s="73"/>
      <c r="H11" s="73">
        <v>0.20094196874183576</v>
      </c>
    </row>
    <row r="12" spans="1:8" x14ac:dyDescent="0.25">
      <c r="A12">
        <v>2.8</v>
      </c>
      <c r="B12" s="73">
        <v>0.284615048688595</v>
      </c>
      <c r="C12" s="73">
        <v>0.16636100612474064</v>
      </c>
      <c r="D12" s="73"/>
      <c r="E12" s="73"/>
      <c r="F12" s="73"/>
      <c r="G12" s="73">
        <v>0.17878856696611251</v>
      </c>
      <c r="H12" s="73"/>
    </row>
    <row r="13" spans="1:8" x14ac:dyDescent="0.25">
      <c r="A13">
        <v>3</v>
      </c>
      <c r="B13" s="73">
        <v>0.35638908945720671</v>
      </c>
      <c r="C13" s="73">
        <v>0.15744471102956686</v>
      </c>
      <c r="D13" s="73">
        <v>0.16534524085197999</v>
      </c>
      <c r="E13" s="73">
        <v>0.26971127856781363</v>
      </c>
      <c r="F13" s="73">
        <v>0.18832897591354758</v>
      </c>
      <c r="G13" s="73">
        <v>0.23918091659255114</v>
      </c>
      <c r="H13" s="73">
        <v>0.21283558649133549</v>
      </c>
    </row>
    <row r="14" spans="1:8" x14ac:dyDescent="0.25">
      <c r="A14">
        <v>3.2</v>
      </c>
      <c r="B14" s="73"/>
      <c r="C14" s="73">
        <v>0.18370497780114689</v>
      </c>
      <c r="D14" s="73"/>
      <c r="E14" s="73"/>
      <c r="F14" s="73"/>
      <c r="G14" s="73">
        <v>0.23780301124955791</v>
      </c>
      <c r="H14" s="73"/>
    </row>
    <row r="15" spans="1:8" x14ac:dyDescent="0.25">
      <c r="A15">
        <v>3.2000000000000006</v>
      </c>
      <c r="B15" s="73"/>
      <c r="C15" s="73"/>
      <c r="D15" s="73">
        <v>0.18404528138351414</v>
      </c>
      <c r="E15" s="73"/>
      <c r="F15" s="73">
        <v>0.18566078006176104</v>
      </c>
      <c r="G15" s="73"/>
      <c r="H15" s="73">
        <v>0.22444158374208048</v>
      </c>
    </row>
    <row r="16" spans="1:8" x14ac:dyDescent="0.25">
      <c r="A16">
        <v>3.4</v>
      </c>
      <c r="B16" s="73"/>
      <c r="C16" s="73">
        <v>0.17401289876308371</v>
      </c>
      <c r="D16" s="73">
        <v>0.20070684176064443</v>
      </c>
      <c r="E16" s="73"/>
      <c r="F16" s="73">
        <v>0.19187203165454392</v>
      </c>
      <c r="G16" s="73">
        <v>1.1353691109673829</v>
      </c>
      <c r="H16" s="73">
        <v>0.24826633152047695</v>
      </c>
    </row>
    <row r="17" spans="1:8" x14ac:dyDescent="0.25">
      <c r="A17">
        <v>3.5</v>
      </c>
      <c r="B17" s="73"/>
      <c r="C17" s="73"/>
      <c r="D17" s="73"/>
      <c r="E17" s="73"/>
      <c r="F17" s="73"/>
      <c r="G17" s="73">
        <v>0.31278119207276189</v>
      </c>
      <c r="H17" s="73"/>
    </row>
    <row r="18" spans="1:8" x14ac:dyDescent="0.25">
      <c r="A18">
        <v>3.6</v>
      </c>
      <c r="B18" s="73"/>
      <c r="C18" s="73"/>
      <c r="D18" s="73"/>
      <c r="E18" s="73"/>
      <c r="F18" s="73"/>
      <c r="G18" s="73">
        <v>0.52980489719111601</v>
      </c>
      <c r="H18" s="73"/>
    </row>
    <row r="19" spans="1:8" x14ac:dyDescent="0.25">
      <c r="A19">
        <v>3.7999999999999994</v>
      </c>
      <c r="B19" s="73"/>
      <c r="C19" s="73"/>
      <c r="D19" s="73">
        <v>0.20060907582293877</v>
      </c>
      <c r="E19" s="73"/>
      <c r="F19" s="73">
        <v>0.2141179992798363</v>
      </c>
      <c r="G19" s="73"/>
      <c r="H19" s="73">
        <v>0.26500080159138367</v>
      </c>
    </row>
    <row r="20" spans="1:8" x14ac:dyDescent="0.25">
      <c r="A20">
        <v>3.8</v>
      </c>
      <c r="B20" s="73"/>
      <c r="C20" s="73">
        <v>0.18666512909385616</v>
      </c>
      <c r="D20" s="73"/>
      <c r="E20" s="73"/>
      <c r="F20" s="73"/>
      <c r="G20" s="73">
        <v>1.097514941873035</v>
      </c>
      <c r="H20" s="73"/>
    </row>
    <row r="21" spans="1:8" x14ac:dyDescent="0.25">
      <c r="A21">
        <v>4</v>
      </c>
      <c r="B21" s="73"/>
      <c r="C21" s="73">
        <v>0.20479113765244134</v>
      </c>
      <c r="D21" s="73">
        <v>0.21021471894285801</v>
      </c>
      <c r="E21" s="73">
        <v>0.24776598173587749</v>
      </c>
      <c r="F21" s="73">
        <v>0.22371002404670326</v>
      </c>
      <c r="G21" s="73">
        <v>0.48408511269759902</v>
      </c>
      <c r="H21" s="73">
        <v>0.34435389896390012</v>
      </c>
    </row>
    <row r="22" spans="1:8" x14ac:dyDescent="0.25">
      <c r="A22">
        <v>4.2</v>
      </c>
      <c r="B22" s="73"/>
      <c r="C22" s="73">
        <v>0.18760349416758715</v>
      </c>
      <c r="D22" s="73">
        <v>0.25286004256319128</v>
      </c>
      <c r="E22" s="73"/>
      <c r="F22" s="73">
        <v>0.22094525694475095</v>
      </c>
      <c r="G22" s="73"/>
      <c r="H22" s="73">
        <v>0.3306238962355677</v>
      </c>
    </row>
    <row r="23" spans="1:8" x14ac:dyDescent="0.25">
      <c r="A23">
        <v>4.4000000000000004</v>
      </c>
      <c r="B23" s="73"/>
      <c r="C23" s="73">
        <v>0.21398528934232625</v>
      </c>
      <c r="D23" s="73">
        <v>0.25693345001399481</v>
      </c>
      <c r="E23" s="73"/>
      <c r="F23" s="73">
        <v>0.25435601002728703</v>
      </c>
      <c r="G23" s="73"/>
      <c r="H23" s="73">
        <v>0.49033358348481709</v>
      </c>
    </row>
    <row r="24" spans="1:8" x14ac:dyDescent="0.25">
      <c r="A24">
        <v>4.5</v>
      </c>
      <c r="B24" s="73"/>
      <c r="C24" s="73"/>
      <c r="D24" s="73"/>
      <c r="E24" s="73"/>
      <c r="F24" s="73"/>
      <c r="G24" s="73">
        <v>0.47236298177643204</v>
      </c>
      <c r="H24" s="73"/>
    </row>
    <row r="25" spans="1:8" x14ac:dyDescent="0.25">
      <c r="A25">
        <v>4.5999999999999996</v>
      </c>
      <c r="B25" s="73"/>
      <c r="C25" s="73">
        <v>0.22962988056941785</v>
      </c>
      <c r="D25" s="73">
        <v>0.27919130141827481</v>
      </c>
      <c r="E25" s="73"/>
      <c r="F25" s="73"/>
      <c r="G25" s="73"/>
      <c r="H25" s="73">
        <v>0.3821734862349872</v>
      </c>
    </row>
    <row r="26" spans="1:8" x14ac:dyDescent="0.25">
      <c r="A26">
        <v>4.8</v>
      </c>
      <c r="B26" s="73"/>
      <c r="C26" s="73">
        <v>0.25079316509162963</v>
      </c>
      <c r="D26" s="73">
        <v>0.59217835931553797</v>
      </c>
      <c r="E26" s="73"/>
      <c r="F26" s="73"/>
      <c r="G26" s="73"/>
      <c r="H26" s="73">
        <v>0.58959784170468954</v>
      </c>
    </row>
    <row r="27" spans="1:8" x14ac:dyDescent="0.25">
      <c r="A27">
        <v>5</v>
      </c>
      <c r="B27" s="73"/>
      <c r="C27" s="73">
        <v>0.233589265452812</v>
      </c>
      <c r="D27" s="73">
        <v>0.98734279889595244</v>
      </c>
      <c r="E27" s="73">
        <v>0.94486020957379535</v>
      </c>
      <c r="F27" s="73"/>
      <c r="G27" s="73">
        <v>0.70102937710468272</v>
      </c>
      <c r="H27" s="73">
        <v>0.50133485819597334</v>
      </c>
    </row>
    <row r="28" spans="1:8" x14ac:dyDescent="0.25">
      <c r="A28">
        <v>5.2</v>
      </c>
      <c r="B28" s="73"/>
      <c r="C28" s="73">
        <v>0.33392263269015754</v>
      </c>
      <c r="D28" s="73">
        <v>0.86688896098379542</v>
      </c>
      <c r="E28" s="73"/>
      <c r="F28" s="73"/>
      <c r="G28" s="73"/>
      <c r="H28" s="73">
        <v>0.74375447320014987</v>
      </c>
    </row>
    <row r="29" spans="1:8" x14ac:dyDescent="0.25">
      <c r="A29">
        <v>5.4</v>
      </c>
      <c r="B29" s="73"/>
      <c r="C29" s="73">
        <v>0.27550645379253225</v>
      </c>
      <c r="D29" s="73"/>
      <c r="E29" s="73"/>
      <c r="F29" s="73"/>
      <c r="G29" s="73"/>
      <c r="H29" s="73"/>
    </row>
    <row r="30" spans="1:8" x14ac:dyDescent="0.25">
      <c r="A30">
        <v>5.4000000000000012</v>
      </c>
      <c r="B30" s="73"/>
      <c r="C30" s="73"/>
      <c r="D30" s="73">
        <v>1.1216695541638895</v>
      </c>
      <c r="E30" s="73"/>
      <c r="F30" s="73"/>
      <c r="G30" s="73"/>
      <c r="H30" s="73">
        <v>0.61902965535370225</v>
      </c>
    </row>
    <row r="31" spans="1:8" x14ac:dyDescent="0.25">
      <c r="A31">
        <v>5.5</v>
      </c>
      <c r="B31" s="73"/>
      <c r="C31" s="73"/>
      <c r="D31" s="73"/>
      <c r="E31" s="73"/>
      <c r="F31" s="73"/>
      <c r="G31" s="73">
        <v>0.43838685597627414</v>
      </c>
      <c r="H31" s="73"/>
    </row>
    <row r="32" spans="1:8" x14ac:dyDescent="0.25">
      <c r="A32">
        <v>5.6</v>
      </c>
      <c r="B32" s="73"/>
      <c r="C32" s="73">
        <v>0.27738673965273308</v>
      </c>
      <c r="D32" s="73"/>
      <c r="E32" s="73"/>
      <c r="F32" s="73"/>
      <c r="G32" s="73"/>
      <c r="H32" s="73"/>
    </row>
    <row r="33" spans="1:8" x14ac:dyDescent="0.25">
      <c r="A33">
        <v>5.8</v>
      </c>
      <c r="B33" s="73"/>
      <c r="C33" s="73">
        <v>0.32256835789510263</v>
      </c>
      <c r="D33" s="73">
        <v>1.0457511996065998</v>
      </c>
      <c r="E33" s="73"/>
      <c r="F33" s="73"/>
      <c r="G33" s="73"/>
      <c r="H33" s="73">
        <v>1.3774511413063049</v>
      </c>
    </row>
    <row r="34" spans="1:8" x14ac:dyDescent="0.25">
      <c r="A34">
        <v>6</v>
      </c>
      <c r="B34" s="73"/>
      <c r="C34" s="73">
        <v>0.31669270171251629</v>
      </c>
      <c r="D34" s="73">
        <v>1.4690196156259414</v>
      </c>
      <c r="E34" s="73">
        <v>1.0033520229788151</v>
      </c>
      <c r="F34" s="73"/>
      <c r="G34" s="73">
        <v>0.46343671585796753</v>
      </c>
      <c r="H34" s="73">
        <v>1.2817617600254509</v>
      </c>
    </row>
    <row r="35" spans="1:8" x14ac:dyDescent="0.25">
      <c r="A35">
        <v>6.2</v>
      </c>
      <c r="B35" s="73"/>
      <c r="C35" s="73">
        <v>0.35329870931130669</v>
      </c>
      <c r="D35" s="73">
        <v>1.8639268350212816</v>
      </c>
      <c r="E35" s="73"/>
      <c r="F35" s="73"/>
      <c r="G35" s="73"/>
      <c r="H35" s="73">
        <v>1.227755021093192</v>
      </c>
    </row>
    <row r="36" spans="1:8" x14ac:dyDescent="0.25">
      <c r="A36">
        <v>6.4</v>
      </c>
      <c r="B36" s="73"/>
      <c r="C36" s="73">
        <v>0.34844500523617583</v>
      </c>
      <c r="D36" s="73"/>
      <c r="E36" s="73"/>
      <c r="F36" s="73"/>
      <c r="G36" s="73"/>
      <c r="H36" s="73"/>
    </row>
    <row r="37" spans="1:8" x14ac:dyDescent="0.25">
      <c r="A37">
        <v>6.4000000000000012</v>
      </c>
      <c r="B37" s="73"/>
      <c r="C37" s="73"/>
      <c r="D37" s="73">
        <v>1.3741587436765066</v>
      </c>
      <c r="E37" s="73"/>
      <c r="F37" s="73"/>
      <c r="G37" s="73"/>
      <c r="H37" s="73">
        <v>1.1255584311320885</v>
      </c>
    </row>
    <row r="38" spans="1:8" x14ac:dyDescent="0.25">
      <c r="A38">
        <v>6.5</v>
      </c>
      <c r="B38" s="73"/>
      <c r="C38" s="73"/>
      <c r="D38" s="73"/>
      <c r="E38" s="73"/>
      <c r="F38" s="73"/>
      <c r="G38" s="73">
        <v>0.51192707631293743</v>
      </c>
      <c r="H38" s="73"/>
    </row>
    <row r="39" spans="1:8" x14ac:dyDescent="0.25">
      <c r="A39">
        <v>6.5999999999999988</v>
      </c>
      <c r="B39" s="73"/>
      <c r="C39" s="73"/>
      <c r="D39" s="73">
        <v>1.2600287174116651</v>
      </c>
      <c r="E39" s="73"/>
      <c r="F39" s="73"/>
      <c r="G39" s="73"/>
      <c r="H39" s="73">
        <v>1.0074532958660602</v>
      </c>
    </row>
    <row r="40" spans="1:8" x14ac:dyDescent="0.25">
      <c r="A40">
        <v>6.6</v>
      </c>
      <c r="B40" s="73"/>
      <c r="C40" s="73">
        <v>0.34354937586510081</v>
      </c>
      <c r="D40" s="73"/>
      <c r="E40" s="73"/>
      <c r="F40" s="73"/>
      <c r="G40" s="73"/>
      <c r="H40" s="73"/>
    </row>
    <row r="41" spans="1:8" x14ac:dyDescent="0.25">
      <c r="A41">
        <v>6.8</v>
      </c>
      <c r="B41" s="73"/>
      <c r="C41" s="73">
        <v>0.38880960210423587</v>
      </c>
      <c r="D41" s="73">
        <v>1.0035043611307832</v>
      </c>
      <c r="E41" s="73"/>
      <c r="F41" s="73"/>
      <c r="G41" s="73"/>
      <c r="H41" s="73">
        <v>1.3392629044221371</v>
      </c>
    </row>
    <row r="42" spans="1:8" x14ac:dyDescent="0.25">
      <c r="A42">
        <v>7</v>
      </c>
      <c r="B42" s="73"/>
      <c r="C42" s="73"/>
      <c r="D42" s="73"/>
      <c r="E42" s="73">
        <v>0.95899900142358907</v>
      </c>
      <c r="F42" s="73"/>
      <c r="G42" s="73">
        <v>0.46475651800967327</v>
      </c>
      <c r="H42" s="73">
        <v>1.3740283270689924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EA3E-E60D-407C-B52A-9197AB63D4EA}">
  <dimension ref="A2:M222"/>
  <sheetViews>
    <sheetView topLeftCell="A64" zoomScale="130" zoomScaleNormal="130" workbookViewId="0">
      <selection activeCell="B1" sqref="B1"/>
    </sheetView>
  </sheetViews>
  <sheetFormatPr defaultRowHeight="15" x14ac:dyDescent="0.25"/>
  <cols>
    <col min="1" max="1" width="13.5703125" bestFit="1" customWidth="1"/>
    <col min="2" max="2" width="22.28515625" bestFit="1" customWidth="1"/>
    <col min="3" max="4" width="25.28515625" bestFit="1" customWidth="1"/>
    <col min="5" max="5" width="23.5703125" bestFit="1" customWidth="1"/>
    <col min="6" max="7" width="25.28515625" bestFit="1" customWidth="1"/>
    <col min="8" max="8" width="22.28515625" bestFit="1" customWidth="1"/>
    <col min="9" max="10" width="25.28515625" bestFit="1" customWidth="1"/>
    <col min="11" max="11" width="22.28515625" bestFit="1" customWidth="1"/>
    <col min="12" max="13" width="25.28515625" bestFit="1" customWidth="1"/>
  </cols>
  <sheetData>
    <row r="2" spans="1:13" x14ac:dyDescent="0.25">
      <c r="B2" s="150"/>
    </row>
    <row r="4" spans="1:13" x14ac:dyDescent="0.25">
      <c r="A4" t="str">
        <f>_xlfn.TEXTAFTER($A$5," ",2)</f>
        <v>Prefill</v>
      </c>
      <c r="B4" s="222" t="str">
        <f>'PREFILL-PIVOT'!B3</f>
        <v>Experiment</v>
      </c>
      <c r="C4" s="222" t="str">
        <f>'PREFILL-PIVOT'!C3</f>
        <v>date</v>
      </c>
    </row>
    <row r="5" spans="1:13" s="222" customFormat="1" x14ac:dyDescent="0.25">
      <c r="A5" s="224" t="str">
        <f>'PREFILL-PIVOT'!A3</f>
        <v>Average of Prefill</v>
      </c>
      <c r="B5" s="222" t="str">
        <f>'PREFILL-PIVOT'!B4</f>
        <v>5K,1K</v>
      </c>
      <c r="C5" s="222" t="str">
        <f>'PREFILL-PIVOT'!C4</f>
        <v>5K,200</v>
      </c>
      <c r="D5" s="222" t="str">
        <f>'PREFILL-PIVOT'!D4</f>
        <v>5K,200</v>
      </c>
      <c r="E5" s="222" t="str">
        <f>'PREFILL-PIVOT'!E4</f>
        <v>5K,300</v>
      </c>
      <c r="F5" s="222" t="str">
        <f>'PREFILL-PIVOT'!F4</f>
        <v>5K,500</v>
      </c>
      <c r="G5" s="222" t="str">
        <f>'PREFILL-PIVOT'!G4</f>
        <v>5K,500</v>
      </c>
      <c r="H5" s="222" t="str">
        <f>'PREFILL-PIVOT'!H4</f>
        <v>6K,100</v>
      </c>
      <c r="I5" s="222">
        <f>'PREFILL-PIVOT'!I4</f>
        <v>0</v>
      </c>
      <c r="J5" s="222">
        <f>'PREFILL-PIVOT'!J4</f>
        <v>0</v>
      </c>
      <c r="K5" s="222">
        <f>'PREFILL-PIVOT'!K4</f>
        <v>0</v>
      </c>
      <c r="L5" s="222">
        <f>'PREFILL-PIVOT'!L4</f>
        <v>0</v>
      </c>
      <c r="M5" s="222">
        <f>'PREFILL-PIVOT'!M4</f>
        <v>0</v>
      </c>
    </row>
    <row r="6" spans="1:13" s="222" customFormat="1" x14ac:dyDescent="0.25">
      <c r="A6" s="224" t="str">
        <f>'PREFILL-PIVOT'!A5</f>
        <v>RPS</v>
      </c>
      <c r="B6" s="223">
        <f>'PREFILL-PIVOT'!B5</f>
        <v>46092</v>
      </c>
      <c r="C6" s="223">
        <f>'PREFILL-PIVOT'!C5</f>
        <v>46104</v>
      </c>
      <c r="D6" s="223">
        <f>'PREFILL-PIVOT'!D5</f>
        <v>46092</v>
      </c>
      <c r="E6" s="223">
        <f>'PREFILL-PIVOT'!E5</f>
        <v>46092</v>
      </c>
      <c r="F6" s="223">
        <f>'PREFILL-PIVOT'!F5</f>
        <v>46104</v>
      </c>
      <c r="G6" s="223">
        <f>'PREFILL-PIVOT'!G5</f>
        <v>46092</v>
      </c>
      <c r="H6" s="223">
        <f>'PREFILL-PIVOT'!H5</f>
        <v>46092</v>
      </c>
      <c r="I6" s="223">
        <f>'PREFILL-PIVOT'!I5</f>
        <v>0</v>
      </c>
      <c r="J6" s="223">
        <f>'PREFILL-PIVOT'!J5</f>
        <v>0</v>
      </c>
      <c r="K6" s="223">
        <f>'PREFILL-PIVOT'!K5</f>
        <v>0</v>
      </c>
      <c r="L6" s="223">
        <f>'PREFILL-PIVOT'!L5</f>
        <v>0</v>
      </c>
      <c r="M6" s="223">
        <f>'PREFILL-PIVOT'!M5</f>
        <v>0</v>
      </c>
    </row>
    <row r="7" spans="1:13" x14ac:dyDescent="0.25">
      <c r="A7" s="222"/>
      <c r="B7" s="225" t="str">
        <f>_xlfn.TEXTJOIN(" ",TRUE, B5, TEXT(C6,"dd/mm"))</f>
        <v>5K,1K 23/03</v>
      </c>
      <c r="C7" s="225" t="str">
        <f t="shared" ref="C7:M7" si="0">_xlfn.CONCAT(C5," ",TEXT(C6,"dd/mm"))</f>
        <v>5K,200 23/03</v>
      </c>
      <c r="D7" s="225" t="str">
        <f t="shared" si="0"/>
        <v>5K,200 11/03</v>
      </c>
      <c r="E7" s="225" t="str">
        <f t="shared" si="0"/>
        <v>5K,300 11/03</v>
      </c>
      <c r="F7" s="225" t="str">
        <f t="shared" si="0"/>
        <v>5K,500 23/03</v>
      </c>
      <c r="G7" s="225" t="str">
        <f t="shared" si="0"/>
        <v>5K,500 11/03</v>
      </c>
      <c r="H7" s="225" t="str">
        <f t="shared" si="0"/>
        <v>6K,100 11/03</v>
      </c>
      <c r="I7" s="225" t="str">
        <f t="shared" si="0"/>
        <v>0 00/01</v>
      </c>
      <c r="J7" s="225" t="str">
        <f t="shared" si="0"/>
        <v>0 00/01</v>
      </c>
      <c r="K7" s="225" t="str">
        <f t="shared" si="0"/>
        <v>0 00/01</v>
      </c>
      <c r="L7" s="225" t="str">
        <f t="shared" si="0"/>
        <v>0 00/01</v>
      </c>
      <c r="M7" s="225" t="str">
        <f t="shared" si="0"/>
        <v>0 00/01</v>
      </c>
    </row>
    <row r="8" spans="1:13" x14ac:dyDescent="0.25">
      <c r="A8" s="222">
        <f>IF('PREFILL-PIVOT'!A6=0,NA(),'PREFILL-PIVOT'!A6)</f>
        <v>2</v>
      </c>
      <c r="B8">
        <f>IF(GETPIVOTDATA(_xlfn.VALUETOTEXT($A$4),'PREFILL-PIVOT'!$A$3,_xlfn.VALUETOTEXT($A$6),$A8,$B$4,B$5,$C$4,B$6)=0,NA(),GETPIVOTDATA(_xlfn.VALUETOTEXT($A$4),'PREFILL-PIVOT'!$A$3,_xlfn.VALUETOTEXT($A$6),$A8,$B$4,B$5,$C$4,B$6))</f>
        <v>0.18708273940370831</v>
      </c>
      <c r="C8">
        <f>IF(GETPIVOTDATA(_xlfn.VALUETOTEXT($A$4),'PREFILL-PIVOT'!$A$3,_xlfn.VALUETOTEXT($A$6),$A8,"Experiment",C$5,"date",C$6)=0,NA(),GETPIVOTDATA(_xlfn.VALUETOTEXT($A$4),'PREFILL-PIVOT'!$A$3,_xlfn.VALUETOTEXT($A$6),$A8,"Experiment",C$5,"date",C$6))</f>
        <v>0.14335248590552421</v>
      </c>
      <c r="D8">
        <f>IF(GETPIVOTDATA(_xlfn.VALUETOTEXT($A$4),'PREFILL-PIVOT'!$A$3,_xlfn.VALUETOTEXT($A$6),$A8,"Experiment",D$5,"date",D$6)=0,NA(),GETPIVOTDATA(_xlfn.VALUETOTEXT($A$4),'PREFILL-PIVOT'!$A$3,_xlfn.VALUETOTEXT($A$6),$A8,"Experiment",D$5,"date",D$6))</f>
        <v>0.14817790955466786</v>
      </c>
      <c r="E8">
        <f>IF(GETPIVOTDATA(_xlfn.VALUETOTEXT($A$4),'PREFILL-PIVOT'!$A$3,_xlfn.VALUETOTEXT($A$6),$A8,"Experiment",E$5,"date",E$6)=0,NA(),GETPIVOTDATA(_xlfn.VALUETOTEXT($A$4),'PREFILL-PIVOT'!$A$3,_xlfn.VALUETOTEXT($A$6),$A8,"Experiment",E$5,"date",E$6))</f>
        <v>0.14532217116317739</v>
      </c>
      <c r="F8">
        <f>IF(GETPIVOTDATA(_xlfn.VALUETOTEXT($A$4),'PREFILL-PIVOT'!$A$3,_xlfn.VALUETOTEXT($A$6),$A8,"Experiment",F$5,"date",F$6)=0,NA(),GETPIVOTDATA(_xlfn.VALUETOTEXT($A$4),'PREFILL-PIVOT'!$A$3,_xlfn.VALUETOTEXT($A$6),$A8,"Experiment",F$5,"date",F$6))</f>
        <v>0.15313947465266206</v>
      </c>
      <c r="G8">
        <f>IF(GETPIVOTDATA(_xlfn.VALUETOTEXT($A$4),'PREFILL-PIVOT'!$A$3,_xlfn.VALUETOTEXT($A$6),$A8,"Experiment",G$5,"date",G$6)=0,NA(),GETPIVOTDATA(_xlfn.VALUETOTEXT($A$4),'PREFILL-PIVOT'!$A$3,_xlfn.VALUETOTEXT($A$6),$A8,"Experiment",G$5,"date",G$6))</f>
        <v>0.15110481634772516</v>
      </c>
      <c r="H8">
        <f>IF(GETPIVOTDATA(_xlfn.VALUETOTEXT($A$4),'PREFILL-PIVOT'!$A$3,_xlfn.VALUETOTEXT($A$6),$A8,"Experiment",H$5,"date",H$6)=0,NA(),GETPIVOTDATA(_xlfn.VALUETOTEXT($A$4),'PREFILL-PIVOT'!$A$3,_xlfn.VALUETOTEXT($A$6),$A8,"Experiment",H$5,"date",H$6))</f>
        <v>0.18273021965980119</v>
      </c>
      <c r="I8" t="e">
        <f>IF(GETPIVOTDATA(_xlfn.VALUETOTEXT($A$4),'PREFILL-PIVOT'!$A$3,_xlfn.VALUETOTEXT($A$6),$A8,"Experiment",I$5,"date",I$6)=0,NA(),GETPIVOTDATA(_xlfn.VALUETOTEXT($A$4),'PREFILL-PIVOT'!$A$3,_xlfn.VALUETOTEXT($A$6),$A8,"Experiment",I$5,"date",I$6))</f>
        <v>#REF!</v>
      </c>
      <c r="J8" t="e">
        <f>IF(GETPIVOTDATA(_xlfn.VALUETOTEXT($A$4),'PREFILL-PIVOT'!$A$3,_xlfn.VALUETOTEXT($A$6),$A8,"Experiment",J$5,"date",J$6)=0,NA(),GETPIVOTDATA(_xlfn.VALUETOTEXT($A$4),'PREFILL-PIVOT'!$A$3,_xlfn.VALUETOTEXT($A$6),$A8,"Experiment",J$5,"date",J$6))</f>
        <v>#REF!</v>
      </c>
      <c r="K8" t="e">
        <f>IF(GETPIVOTDATA(_xlfn.VALUETOTEXT($A$4),'PREFILL-PIVOT'!$A$3,_xlfn.VALUETOTEXT($A$6),$A8,"Experiment",K$5,"date",K$6)=0,NA(),GETPIVOTDATA(_xlfn.VALUETOTEXT($A$4),'PREFILL-PIVOT'!$A$3,_xlfn.VALUETOTEXT($A$6),$A8,"Experiment",K$5,"date",K$6))</f>
        <v>#REF!</v>
      </c>
      <c r="L8" t="e">
        <f>IF(GETPIVOTDATA(_xlfn.VALUETOTEXT($A$4),'PREFILL-PIVOT'!$A$3,_xlfn.VALUETOTEXT($A$6),$A8,"Experiment",L$5,"date",L$6)=0,NA(),GETPIVOTDATA(_xlfn.VALUETOTEXT($A$4),'PREFILL-PIVOT'!$A$3,_xlfn.VALUETOTEXT($A$6),$A8,"Experiment",L$5,"date",L$6))</f>
        <v>#REF!</v>
      </c>
      <c r="M8" t="e">
        <f>IF(GETPIVOTDATA(_xlfn.VALUETOTEXT($A$4),'PREFILL-PIVOT'!$A$3,_xlfn.VALUETOTEXT($A$6),$A8,"Experiment",M$5,"date",M$6)=0,NA(),GETPIVOTDATA(_xlfn.VALUETOTEXT($A$4),'PREFILL-PIVOT'!$A$3,_xlfn.VALUETOTEXT($A$6),$A8,"Experiment",M$5,"date",M$6))</f>
        <v>#REF!</v>
      </c>
    </row>
    <row r="9" spans="1:13" x14ac:dyDescent="0.25">
      <c r="A9" s="222">
        <f>IF('PREFILL-PIVOT'!A7=0,NA(),'PREFILL-PIVOT'!A7)</f>
        <v>2.2000000000000002</v>
      </c>
      <c r="B9">
        <f>IF(GETPIVOTDATA(_xlfn.VALUETOTEXT($A$4),'PREFILL-PIVOT'!$A$3,_xlfn.VALUETOTEXT($A$6),$A9,"Experiment",B$5,"date",B$6)=0,NA(),GETPIVOTDATA(_xlfn.VALUETOTEXT($A$4),'PREFILL-PIVOT'!$A$3,_xlfn.VALUETOTEXT($A$6),$A9,"Experiment",B$5,"date",B$6))</f>
        <v>0.21287415386511527</v>
      </c>
      <c r="C9">
        <f>IF(GETPIVOTDATA(_xlfn.VALUETOTEXT($A$4),'PREFILL-PIVOT'!$A$3,_xlfn.VALUETOTEXT($A$6),$A9,"Experiment",C$5,"date",C$6)=0,NA(),GETPIVOTDATA(_xlfn.VALUETOTEXT($A$4),'PREFILL-PIVOT'!$A$3,_xlfn.VALUETOTEXT($A$6),$A9,"Experiment",C$5,"date",C$6))</f>
        <v>0.1518575964048062</v>
      </c>
      <c r="D9">
        <f>IF(GETPIVOTDATA(_xlfn.VALUETOTEXT($A$4),'PREFILL-PIVOT'!$A$3,_xlfn.VALUETOTEXT($A$6),$A9,"Experiment",D$5,"date",D$6)=0,NA(),GETPIVOTDATA(_xlfn.VALUETOTEXT($A$4),'PREFILL-PIVOT'!$A$3,_xlfn.VALUETOTEXT($A$6),$A9,"Experiment",D$5,"date",D$6))</f>
        <v>0.1488430971451522</v>
      </c>
      <c r="E9" t="e">
        <f>IF(GETPIVOTDATA(_xlfn.VALUETOTEXT($A$4),'PREFILL-PIVOT'!$A$3,_xlfn.VALUETOTEXT($A$6),$A9,"Experiment",E$5,"date",E$6)=0,NA(),GETPIVOTDATA(_xlfn.VALUETOTEXT($A$4),'PREFILL-PIVOT'!$A$3,_xlfn.VALUETOTEXT($A$6),$A9,"Experiment",E$5,"date",E$6))</f>
        <v>#N/A</v>
      </c>
      <c r="F9">
        <f>IF(GETPIVOTDATA(_xlfn.VALUETOTEXT($A$4),'PREFILL-PIVOT'!$A$3,_xlfn.VALUETOTEXT($A$6),$A9,"Experiment",F$5,"date",F$6)=0,NA(),GETPIVOTDATA(_xlfn.VALUETOTEXT($A$4),'PREFILL-PIVOT'!$A$3,_xlfn.VALUETOTEXT($A$6),$A9,"Experiment",F$5,"date",F$6))</f>
        <v>0.15447118513848496</v>
      </c>
      <c r="G9">
        <f>IF(GETPIVOTDATA(_xlfn.VALUETOTEXT($A$4),'PREFILL-PIVOT'!$A$3,_xlfn.VALUETOTEXT($A$6),$A9,"Experiment",G$5,"date",G$6)=0,NA(),GETPIVOTDATA(_xlfn.VALUETOTEXT($A$4),'PREFILL-PIVOT'!$A$3,_xlfn.VALUETOTEXT($A$6),$A9,"Experiment",G$5,"date",G$6))</f>
        <v>0.16800686798882636</v>
      </c>
      <c r="H9">
        <f>IF(GETPIVOTDATA(_xlfn.VALUETOTEXT($A$4),'PREFILL-PIVOT'!$A$3,_xlfn.VALUETOTEXT($A$6),$A9,"Experiment",H$5,"date",H$6)=0,NA(),GETPIVOTDATA(_xlfn.VALUETOTEXT($A$4),'PREFILL-PIVOT'!$A$3,_xlfn.VALUETOTEXT($A$6),$A9,"Experiment",H$5,"date",H$6))</f>
        <v>0.18401447805069526</v>
      </c>
      <c r="I9" t="e">
        <f>IF(GETPIVOTDATA(_xlfn.VALUETOTEXT($A$4),'PREFILL-PIVOT'!$A$3,_xlfn.VALUETOTEXT($A$6),$A9,"Experiment",I$5,"date",I$6)=0,NA(),GETPIVOTDATA(_xlfn.VALUETOTEXT($A$4),'PREFILL-PIVOT'!$A$3,_xlfn.VALUETOTEXT($A$6),$A9,"Experiment",I$5,"date",I$6))</f>
        <v>#REF!</v>
      </c>
      <c r="J9" t="e">
        <f>IF(GETPIVOTDATA(_xlfn.VALUETOTEXT($A$4),'PREFILL-PIVOT'!$A$3,_xlfn.VALUETOTEXT($A$6),$A9,"Experiment",J$5,"date",J$6)=0,NA(),GETPIVOTDATA(_xlfn.VALUETOTEXT($A$4),'PREFILL-PIVOT'!$A$3,_xlfn.VALUETOTEXT($A$6),$A9,"Experiment",J$5,"date",J$6))</f>
        <v>#REF!</v>
      </c>
      <c r="K9" t="e">
        <f>IF(GETPIVOTDATA(_xlfn.VALUETOTEXT($A$4),'PREFILL-PIVOT'!$A$3,_xlfn.VALUETOTEXT($A$6),$A9,"Experiment",K$5,"date",K$6)=0,NA(),GETPIVOTDATA(_xlfn.VALUETOTEXT($A$4),'PREFILL-PIVOT'!$A$3,_xlfn.VALUETOTEXT($A$6),$A9,"Experiment",K$5,"date",K$6))</f>
        <v>#REF!</v>
      </c>
      <c r="L9" t="e">
        <f>IF(GETPIVOTDATA(_xlfn.VALUETOTEXT($A$4),'PREFILL-PIVOT'!$A$3,_xlfn.VALUETOTEXT($A$6),$A9,"Experiment",L$5,"date",L$6)=0,NA(),GETPIVOTDATA(_xlfn.VALUETOTEXT($A$4),'PREFILL-PIVOT'!$A$3,_xlfn.VALUETOTEXT($A$6),$A9,"Experiment",L$5,"date",L$6))</f>
        <v>#REF!</v>
      </c>
      <c r="M9" t="e">
        <f>IF(GETPIVOTDATA(_xlfn.VALUETOTEXT($A$4),'PREFILL-PIVOT'!$A$3,_xlfn.VALUETOTEXT($A$6),$A9,"Experiment",M$5,"date",M$6)=0,NA(),GETPIVOTDATA(_xlfn.VALUETOTEXT($A$4),'PREFILL-PIVOT'!$A$3,_xlfn.VALUETOTEXT($A$6),$A9,"Experiment",M$5,"date",M$6))</f>
        <v>#REF!</v>
      </c>
    </row>
    <row r="10" spans="1:13" x14ac:dyDescent="0.25">
      <c r="A10" s="222">
        <f>IF('PREFILL-PIVOT'!A8=0,NA(),'PREFILL-PIVOT'!A8)</f>
        <v>2.4</v>
      </c>
      <c r="B10">
        <f>IF(GETPIVOTDATA(_xlfn.VALUETOTEXT($A$4),'PREFILL-PIVOT'!$A$3,_xlfn.VALUETOTEXT($A$6),$A10,"Experiment",B$5,"date",B$6)=0,NA(),GETPIVOTDATA(_xlfn.VALUETOTEXT($A$4),'PREFILL-PIVOT'!$A$3,_xlfn.VALUETOTEXT($A$6),$A10,"Experiment",B$5,"date",B$6))</f>
        <v>0.34084885026655765</v>
      </c>
      <c r="C10">
        <f>IF(GETPIVOTDATA(_xlfn.VALUETOTEXT($A$4),'PREFILL-PIVOT'!$A$3,_xlfn.VALUETOTEXT($A$6),$A10,"Experiment",C$5,"date",C$6)=0,NA(),GETPIVOTDATA(_xlfn.VALUETOTEXT($A$4),'PREFILL-PIVOT'!$A$3,_xlfn.VALUETOTEXT($A$6),$A10,"Experiment",C$5,"date",C$6))</f>
        <v>0.1538078496688704</v>
      </c>
      <c r="D10">
        <f>IF(GETPIVOTDATA(_xlfn.VALUETOTEXT($A$4),'PREFILL-PIVOT'!$A$3,_xlfn.VALUETOTEXT($A$6),$A10,"Experiment",D$5,"date",D$6)=0,NA(),GETPIVOTDATA(_xlfn.VALUETOTEXT($A$4),'PREFILL-PIVOT'!$A$3,_xlfn.VALUETOTEXT($A$6),$A10,"Experiment",D$5,"date",D$6))</f>
        <v>0.15019183677874534</v>
      </c>
      <c r="E10" t="e">
        <f>IF(GETPIVOTDATA(_xlfn.VALUETOTEXT($A$4),'PREFILL-PIVOT'!$A$3,_xlfn.VALUETOTEXT($A$6),$A10,"Experiment",E$5,"date",E$6)=0,NA(),GETPIVOTDATA(_xlfn.VALUETOTEXT($A$4),'PREFILL-PIVOT'!$A$3,_xlfn.VALUETOTEXT($A$6),$A10,"Experiment",E$5,"date",E$6))</f>
        <v>#N/A</v>
      </c>
      <c r="F10">
        <f>IF(GETPIVOTDATA(_xlfn.VALUETOTEXT($A$4),'PREFILL-PIVOT'!$A$3,_xlfn.VALUETOTEXT($A$6),$A10,"Experiment",F$5,"date",F$6)=0,NA(),GETPIVOTDATA(_xlfn.VALUETOTEXT($A$4),'PREFILL-PIVOT'!$A$3,_xlfn.VALUETOTEXT($A$6),$A10,"Experiment",F$5,"date",F$6))</f>
        <v>0.16577303039612606</v>
      </c>
      <c r="G10">
        <f>IF(GETPIVOTDATA(_xlfn.VALUETOTEXT($A$4),'PREFILL-PIVOT'!$A$3,_xlfn.VALUETOTEXT($A$6),$A10,"Experiment",G$5,"date",G$6)=0,NA(),GETPIVOTDATA(_xlfn.VALUETOTEXT($A$4),'PREFILL-PIVOT'!$A$3,_xlfn.VALUETOTEXT($A$6),$A10,"Experiment",G$5,"date",G$6))</f>
        <v>0.16208390292466535</v>
      </c>
      <c r="H10">
        <f>IF(GETPIVOTDATA(_xlfn.VALUETOTEXT($A$4),'PREFILL-PIVOT'!$A$3,_xlfn.VALUETOTEXT($A$6),$A10,"Experiment",H$5,"date",H$6)=0,NA(),GETPIVOTDATA(_xlfn.VALUETOTEXT($A$4),'PREFILL-PIVOT'!$A$3,_xlfn.VALUETOTEXT($A$6),$A10,"Experiment",H$5,"date",H$6))</f>
        <v>0.19235890049024437</v>
      </c>
      <c r="I10" t="e">
        <f>IF(GETPIVOTDATA(_xlfn.VALUETOTEXT($A$4),'PREFILL-PIVOT'!$A$3,_xlfn.VALUETOTEXT($A$6),$A10,"Experiment",I$5,"date",I$6)=0,NA(),GETPIVOTDATA(_xlfn.VALUETOTEXT($A$4),'PREFILL-PIVOT'!$A$3,_xlfn.VALUETOTEXT($A$6),$A10,"Experiment",I$5,"date",I$6))</f>
        <v>#REF!</v>
      </c>
      <c r="J10" t="e">
        <f>IF(GETPIVOTDATA(_xlfn.VALUETOTEXT($A$4),'PREFILL-PIVOT'!$A$3,_xlfn.VALUETOTEXT($A$6),$A10,"Experiment",J$5,"date",J$6)=0,NA(),GETPIVOTDATA(_xlfn.VALUETOTEXT($A$4),'PREFILL-PIVOT'!$A$3,_xlfn.VALUETOTEXT($A$6),$A10,"Experiment",J$5,"date",J$6))</f>
        <v>#REF!</v>
      </c>
      <c r="K10" t="e">
        <f>IF(GETPIVOTDATA(_xlfn.VALUETOTEXT($A$4),'PREFILL-PIVOT'!$A$3,_xlfn.VALUETOTEXT($A$6),$A10,"Experiment",K$5,"date",K$6)=0,NA(),GETPIVOTDATA(_xlfn.VALUETOTEXT($A$4),'PREFILL-PIVOT'!$A$3,_xlfn.VALUETOTEXT($A$6),$A10,"Experiment",K$5,"date",K$6))</f>
        <v>#REF!</v>
      </c>
      <c r="L10" t="e">
        <f>IF(GETPIVOTDATA(_xlfn.VALUETOTEXT($A$4),'PREFILL-PIVOT'!$A$3,_xlfn.VALUETOTEXT($A$6),$A10,"Experiment",L$5,"date",L$6)=0,NA(),GETPIVOTDATA(_xlfn.VALUETOTEXT($A$4),'PREFILL-PIVOT'!$A$3,_xlfn.VALUETOTEXT($A$6),$A10,"Experiment",L$5,"date",L$6))</f>
        <v>#REF!</v>
      </c>
      <c r="M10" t="e">
        <f>IF(GETPIVOTDATA(_xlfn.VALUETOTEXT($A$4),'PREFILL-PIVOT'!$A$3,_xlfn.VALUETOTEXT($A$6),$A10,"Experiment",M$5,"date",M$6)=0,NA(),GETPIVOTDATA(_xlfn.VALUETOTEXT($A$4),'PREFILL-PIVOT'!$A$3,_xlfn.VALUETOTEXT($A$6),$A10,"Experiment",M$5,"date",M$6))</f>
        <v>#REF!</v>
      </c>
    </row>
    <row r="11" spans="1:13" x14ac:dyDescent="0.25">
      <c r="A11" s="222">
        <f>IF('PREFILL-PIVOT'!A9=0,NA(),'PREFILL-PIVOT'!A9)</f>
        <v>2.5</v>
      </c>
      <c r="B11" t="e">
        <f>IF(GETPIVOTDATA(_xlfn.VALUETOTEXT($A$4),'PREFILL-PIVOT'!$A$3,_xlfn.VALUETOTEXT($A$6),$A11,"Experiment",B$5,"date",B$6)=0,NA(),GETPIVOTDATA(_xlfn.VALUETOTEXT($A$4),'PREFILL-PIVOT'!$A$3,_xlfn.VALUETOTEXT($A$6),$A11,"Experiment",B$5,"date",B$6))</f>
        <v>#N/A</v>
      </c>
      <c r="C11" t="e">
        <f>IF(GETPIVOTDATA(_xlfn.VALUETOTEXT($A$4),'PREFILL-PIVOT'!$A$3,_xlfn.VALUETOTEXT($A$6),$A11,"Experiment",C$5,"date",C$6)=0,NA(),GETPIVOTDATA(_xlfn.VALUETOTEXT($A$4),'PREFILL-PIVOT'!$A$3,_xlfn.VALUETOTEXT($A$6),$A11,"Experiment",C$5,"date",C$6))</f>
        <v>#N/A</v>
      </c>
      <c r="D11" t="e">
        <f>IF(GETPIVOTDATA(_xlfn.VALUETOTEXT($A$4),'PREFILL-PIVOT'!$A$3,_xlfn.VALUETOTEXT($A$6),$A11,"Experiment",D$5,"date",D$6)=0,NA(),GETPIVOTDATA(_xlfn.VALUETOTEXT($A$4),'PREFILL-PIVOT'!$A$3,_xlfn.VALUETOTEXT($A$6),$A11,"Experiment",D$5,"date",D$6))</f>
        <v>#N/A</v>
      </c>
      <c r="E11" t="e">
        <f>IF(GETPIVOTDATA(_xlfn.VALUETOTEXT($A$4),'PREFILL-PIVOT'!$A$3,_xlfn.VALUETOTEXT($A$6),$A11,"Experiment",E$5,"date",E$6)=0,NA(),GETPIVOTDATA(_xlfn.VALUETOTEXT($A$4),'PREFILL-PIVOT'!$A$3,_xlfn.VALUETOTEXT($A$6),$A11,"Experiment",E$5,"date",E$6))</f>
        <v>#N/A</v>
      </c>
      <c r="F11" t="e">
        <f>IF(GETPIVOTDATA(_xlfn.VALUETOTEXT($A$4),'PREFILL-PIVOT'!$A$3,_xlfn.VALUETOTEXT($A$6),$A11,"Experiment",F$5,"date",F$6)=0,NA(),GETPIVOTDATA(_xlfn.VALUETOTEXT($A$4),'PREFILL-PIVOT'!$A$3,_xlfn.VALUETOTEXT($A$6),$A11,"Experiment",F$5,"date",F$6))</f>
        <v>#N/A</v>
      </c>
      <c r="G11">
        <f>IF(GETPIVOTDATA(_xlfn.VALUETOTEXT($A$4),'PREFILL-PIVOT'!$A$3,_xlfn.VALUETOTEXT($A$6),$A11,"Experiment",G$5,"date",G$6)=0,NA(),GETPIVOTDATA(_xlfn.VALUETOTEXT($A$4),'PREFILL-PIVOT'!$A$3,_xlfn.VALUETOTEXT($A$6),$A11,"Experiment",G$5,"date",G$6))</f>
        <v>0.17102828618696231</v>
      </c>
      <c r="H11" t="e">
        <f>IF(GETPIVOTDATA(_xlfn.VALUETOTEXT($A$4),'PREFILL-PIVOT'!$A$3,_xlfn.VALUETOTEXT($A$6),$A11,"Experiment",H$5,"date",H$6)=0,NA(),GETPIVOTDATA(_xlfn.VALUETOTEXT($A$4),'PREFILL-PIVOT'!$A$3,_xlfn.VALUETOTEXT($A$6),$A11,"Experiment",H$5,"date",H$6))</f>
        <v>#N/A</v>
      </c>
      <c r="I11" t="e">
        <f>IF(GETPIVOTDATA(_xlfn.VALUETOTEXT($A$4),'PREFILL-PIVOT'!$A$3,_xlfn.VALUETOTEXT($A$6),$A11,"Experiment",I$5,"date",I$6)=0,NA(),GETPIVOTDATA(_xlfn.VALUETOTEXT($A$4),'PREFILL-PIVOT'!$A$3,_xlfn.VALUETOTEXT($A$6),$A11,"Experiment",I$5,"date",I$6))</f>
        <v>#REF!</v>
      </c>
      <c r="J11" t="e">
        <f>IF(GETPIVOTDATA(_xlfn.VALUETOTEXT($A$4),'PREFILL-PIVOT'!$A$3,_xlfn.VALUETOTEXT($A$6),$A11,"Experiment",J$5,"date",J$6)=0,NA(),GETPIVOTDATA(_xlfn.VALUETOTEXT($A$4),'PREFILL-PIVOT'!$A$3,_xlfn.VALUETOTEXT($A$6),$A11,"Experiment",J$5,"date",J$6))</f>
        <v>#REF!</v>
      </c>
      <c r="K11" t="e">
        <f>IF(GETPIVOTDATA(_xlfn.VALUETOTEXT($A$4),'PREFILL-PIVOT'!$A$3,_xlfn.VALUETOTEXT($A$6),$A11,"Experiment",K$5,"date",K$6)=0,NA(),GETPIVOTDATA(_xlfn.VALUETOTEXT($A$4),'PREFILL-PIVOT'!$A$3,_xlfn.VALUETOTEXT($A$6),$A11,"Experiment",K$5,"date",K$6))</f>
        <v>#REF!</v>
      </c>
      <c r="L11" t="e">
        <f>IF(GETPIVOTDATA(_xlfn.VALUETOTEXT($A$4),'PREFILL-PIVOT'!$A$3,_xlfn.VALUETOTEXT($A$6),$A11,"Experiment",L$5,"date",L$6)=0,NA(),GETPIVOTDATA(_xlfn.VALUETOTEXT($A$4),'PREFILL-PIVOT'!$A$3,_xlfn.VALUETOTEXT($A$6),$A11,"Experiment",L$5,"date",L$6))</f>
        <v>#REF!</v>
      </c>
      <c r="M11" t="e">
        <f>IF(GETPIVOTDATA(_xlfn.VALUETOTEXT($A$4),'PREFILL-PIVOT'!$A$3,_xlfn.VALUETOTEXT($A$6),$A11,"Experiment",M$5,"date",M$6)=0,NA(),GETPIVOTDATA(_xlfn.VALUETOTEXT($A$4),'PREFILL-PIVOT'!$A$3,_xlfn.VALUETOTEXT($A$6),$A11,"Experiment",M$5,"date",M$6))</f>
        <v>#REF!</v>
      </c>
    </row>
    <row r="12" spans="1:13" x14ac:dyDescent="0.25">
      <c r="A12" s="222">
        <f>IF('PREFILL-PIVOT'!A10=0,NA(),'PREFILL-PIVOT'!A10)</f>
        <v>2.6</v>
      </c>
      <c r="B12">
        <f>IF(GETPIVOTDATA(_xlfn.VALUETOTEXT($A$4),'PREFILL-PIVOT'!$A$3,_xlfn.VALUETOTEXT($A$6),$A12,"Experiment",B$5,"date",B$6)=0,NA(),GETPIVOTDATA(_xlfn.VALUETOTEXT($A$4),'PREFILL-PIVOT'!$A$3,_xlfn.VALUETOTEXT($A$6),$A12,"Experiment",B$5,"date",B$6))</f>
        <v>0.32445321451237169</v>
      </c>
      <c r="C12">
        <f>IF(GETPIVOTDATA(_xlfn.VALUETOTEXT($A$4),'PREFILL-PIVOT'!$A$3,_xlfn.VALUETOTEXT($A$6),$A12,"Experiment",C$5,"date",C$6)=0,NA(),GETPIVOTDATA(_xlfn.VALUETOTEXT($A$4),'PREFILL-PIVOT'!$A$3,_xlfn.VALUETOTEXT($A$6),$A12,"Experiment",C$5,"date",C$6))</f>
        <v>0.16247661777030895</v>
      </c>
      <c r="D12">
        <f>IF(GETPIVOTDATA(_xlfn.VALUETOTEXT($A$4),'PREFILL-PIVOT'!$A$3,_xlfn.VALUETOTEXT($A$6),$A12,"Experiment",D$5,"date",D$6)=0,NA(),GETPIVOTDATA(_xlfn.VALUETOTEXT($A$4),'PREFILL-PIVOT'!$A$3,_xlfn.VALUETOTEXT($A$6),$A12,"Experiment",D$5,"date",D$6))</f>
        <v>0.15084290821219767</v>
      </c>
      <c r="E12" t="e">
        <f>IF(GETPIVOTDATA(_xlfn.VALUETOTEXT($A$4),'PREFILL-PIVOT'!$A$3,_xlfn.VALUETOTEXT($A$6),$A12,"Experiment",E$5,"date",E$6)=0,NA(),GETPIVOTDATA(_xlfn.VALUETOTEXT($A$4),'PREFILL-PIVOT'!$A$3,_xlfn.VALUETOTEXT($A$6),$A12,"Experiment",E$5,"date",E$6))</f>
        <v>#N/A</v>
      </c>
      <c r="F12">
        <f>IF(GETPIVOTDATA(_xlfn.VALUETOTEXT($A$4),'PREFILL-PIVOT'!$A$3,_xlfn.VALUETOTEXT($A$6),$A12,"Experiment",F$5,"date",F$6)=0,NA(),GETPIVOTDATA(_xlfn.VALUETOTEXT($A$4),'PREFILL-PIVOT'!$A$3,_xlfn.VALUETOTEXT($A$6),$A12,"Experiment",F$5,"date",F$6))</f>
        <v>0.16065442648565262</v>
      </c>
      <c r="G12">
        <f>IF(GETPIVOTDATA(_xlfn.VALUETOTEXT($A$4),'PREFILL-PIVOT'!$A$3,_xlfn.VALUETOTEXT($A$6),$A12,"Experiment",G$5,"date",G$6)=0,NA(),GETPIVOTDATA(_xlfn.VALUETOTEXT($A$4),'PREFILL-PIVOT'!$A$3,_xlfn.VALUETOTEXT($A$6),$A12,"Experiment",G$5,"date",G$6))</f>
        <v>0.18478550120979248</v>
      </c>
      <c r="H12">
        <f>IF(GETPIVOTDATA(_xlfn.VALUETOTEXT($A$4),'PREFILL-PIVOT'!$A$3,_xlfn.VALUETOTEXT($A$6),$A12,"Experiment",H$5,"date",H$6)=0,NA(),GETPIVOTDATA(_xlfn.VALUETOTEXT($A$4),'PREFILL-PIVOT'!$A$3,_xlfn.VALUETOTEXT($A$6),$A12,"Experiment",H$5,"date",H$6))</f>
        <v>0.20026413565238368</v>
      </c>
      <c r="I12" t="e">
        <f>IF(GETPIVOTDATA(_xlfn.VALUETOTEXT($A$4),'PREFILL-PIVOT'!$A$3,_xlfn.VALUETOTEXT($A$6),$A12,"Experiment",I$5,"date",I$6)=0,NA(),GETPIVOTDATA(_xlfn.VALUETOTEXT($A$4),'PREFILL-PIVOT'!$A$3,_xlfn.VALUETOTEXT($A$6),$A12,"Experiment",I$5,"date",I$6))</f>
        <v>#REF!</v>
      </c>
      <c r="J12" t="e">
        <f>IF(GETPIVOTDATA(_xlfn.VALUETOTEXT($A$4),'PREFILL-PIVOT'!$A$3,_xlfn.VALUETOTEXT($A$6),$A12,"Experiment",J$5,"date",J$6)=0,NA(),GETPIVOTDATA(_xlfn.VALUETOTEXT($A$4),'PREFILL-PIVOT'!$A$3,_xlfn.VALUETOTEXT($A$6),$A12,"Experiment",J$5,"date",J$6))</f>
        <v>#REF!</v>
      </c>
      <c r="K12" t="e">
        <f>IF(GETPIVOTDATA(_xlfn.VALUETOTEXT($A$4),'PREFILL-PIVOT'!$A$3,_xlfn.VALUETOTEXT($A$6),$A12,"Experiment",K$5,"date",K$6)=0,NA(),GETPIVOTDATA(_xlfn.VALUETOTEXT($A$4),'PREFILL-PIVOT'!$A$3,_xlfn.VALUETOTEXT($A$6),$A12,"Experiment",K$5,"date",K$6))</f>
        <v>#REF!</v>
      </c>
      <c r="L12" t="e">
        <f>IF(GETPIVOTDATA(_xlfn.VALUETOTEXT($A$4),'PREFILL-PIVOT'!$A$3,_xlfn.VALUETOTEXT($A$6),$A12,"Experiment",L$5,"date",L$6)=0,NA(),GETPIVOTDATA(_xlfn.VALUETOTEXT($A$4),'PREFILL-PIVOT'!$A$3,_xlfn.VALUETOTEXT($A$6),$A12,"Experiment",L$5,"date",L$6))</f>
        <v>#REF!</v>
      </c>
      <c r="M12" t="e">
        <f>IF(GETPIVOTDATA(_xlfn.VALUETOTEXT($A$4),'PREFILL-PIVOT'!$A$3,_xlfn.VALUETOTEXT($A$6),$A12,"Experiment",M$5,"date",M$6)=0,NA(),GETPIVOTDATA(_xlfn.VALUETOTEXT($A$4),'PREFILL-PIVOT'!$A$3,_xlfn.VALUETOTEXT($A$6),$A12,"Experiment",M$5,"date",M$6))</f>
        <v>#REF!</v>
      </c>
    </row>
    <row r="13" spans="1:13" x14ac:dyDescent="0.25">
      <c r="A13" s="222">
        <f>IF('PREFILL-PIVOT'!A11=0,NA(),'PREFILL-PIVOT'!A11)</f>
        <v>2.7999999999999994</v>
      </c>
      <c r="B13" t="e">
        <f>IF(GETPIVOTDATA(_xlfn.VALUETOTEXT($A$4),'PREFILL-PIVOT'!$A$3,_xlfn.VALUETOTEXT($A$6),$A13,"Experiment",B$5,"date",B$6)=0,NA(),GETPIVOTDATA(_xlfn.VALUETOTEXT($A$4),'PREFILL-PIVOT'!$A$3,_xlfn.VALUETOTEXT($A$6),$A13,"Experiment",B$5,"date",B$6))</f>
        <v>#N/A</v>
      </c>
      <c r="C13" t="e">
        <f>IF(GETPIVOTDATA(_xlfn.VALUETOTEXT($A$4),'PREFILL-PIVOT'!$A$3,_xlfn.VALUETOTEXT($A$6),$A13,"Experiment",C$5,"date",C$6)=0,NA(),GETPIVOTDATA(_xlfn.VALUETOTEXT($A$4),'PREFILL-PIVOT'!$A$3,_xlfn.VALUETOTEXT($A$6),$A13,"Experiment",C$5,"date",C$6))</f>
        <v>#N/A</v>
      </c>
      <c r="D13">
        <f>IF(GETPIVOTDATA(_xlfn.VALUETOTEXT($A$4),'PREFILL-PIVOT'!$A$3,_xlfn.VALUETOTEXT($A$6),$A13,"Experiment",D$5,"date",D$6)=0,NA(),GETPIVOTDATA(_xlfn.VALUETOTEXT($A$4),'PREFILL-PIVOT'!$A$3,_xlfn.VALUETOTEXT($A$6),$A13,"Experiment",D$5,"date",D$6))</f>
        <v>0.16607952366403897</v>
      </c>
      <c r="E13" t="e">
        <f>IF(GETPIVOTDATA(_xlfn.VALUETOTEXT($A$4),'PREFILL-PIVOT'!$A$3,_xlfn.VALUETOTEXT($A$6),$A13,"Experiment",E$5,"date",E$6)=0,NA(),GETPIVOTDATA(_xlfn.VALUETOTEXT($A$4),'PREFILL-PIVOT'!$A$3,_xlfn.VALUETOTEXT($A$6),$A13,"Experiment",E$5,"date",E$6))</f>
        <v>#N/A</v>
      </c>
      <c r="F13">
        <f>IF(GETPIVOTDATA(_xlfn.VALUETOTEXT($A$4),'PREFILL-PIVOT'!$A$3,_xlfn.VALUETOTEXT($A$6),$A13,"Experiment",F$5,"date",F$6)=0,NA(),GETPIVOTDATA(_xlfn.VALUETOTEXT($A$4),'PREFILL-PIVOT'!$A$3,_xlfn.VALUETOTEXT($A$6),$A13,"Experiment",F$5,"date",F$6))</f>
        <v>0.16331143727170164</v>
      </c>
      <c r="G13" t="e">
        <f>IF(GETPIVOTDATA(_xlfn.VALUETOTEXT($A$4),'PREFILL-PIVOT'!$A$3,_xlfn.VALUETOTEXT($A$6),$A13,"Experiment",G$5,"date",G$6)=0,NA(),GETPIVOTDATA(_xlfn.VALUETOTEXT($A$4),'PREFILL-PIVOT'!$A$3,_xlfn.VALUETOTEXT($A$6),$A13,"Experiment",G$5,"date",G$6))</f>
        <v>#N/A</v>
      </c>
      <c r="H13">
        <f>IF(GETPIVOTDATA(_xlfn.VALUETOTEXT($A$4),'PREFILL-PIVOT'!$A$3,_xlfn.VALUETOTEXT($A$6),$A13,"Experiment",H$5,"date",H$6)=0,NA(),GETPIVOTDATA(_xlfn.VALUETOTEXT($A$4),'PREFILL-PIVOT'!$A$3,_xlfn.VALUETOTEXT($A$6),$A13,"Experiment",H$5,"date",H$6))</f>
        <v>0.20094196874183576</v>
      </c>
      <c r="I13" t="e">
        <f>IF(GETPIVOTDATA(_xlfn.VALUETOTEXT($A$4),'PREFILL-PIVOT'!$A$3,_xlfn.VALUETOTEXT($A$6),$A13,"Experiment",I$5,"date",I$6)=0,NA(),GETPIVOTDATA(_xlfn.VALUETOTEXT($A$4),'PREFILL-PIVOT'!$A$3,_xlfn.VALUETOTEXT($A$6),$A13,"Experiment",I$5,"date",I$6))</f>
        <v>#REF!</v>
      </c>
      <c r="J13" t="e">
        <f>IF(GETPIVOTDATA(_xlfn.VALUETOTEXT($A$4),'PREFILL-PIVOT'!$A$3,_xlfn.VALUETOTEXT($A$6),$A13,"Experiment",J$5,"date",J$6)=0,NA(),GETPIVOTDATA(_xlfn.VALUETOTEXT($A$4),'PREFILL-PIVOT'!$A$3,_xlfn.VALUETOTEXT($A$6),$A13,"Experiment",J$5,"date",J$6))</f>
        <v>#REF!</v>
      </c>
      <c r="K13" t="e">
        <f>IF(GETPIVOTDATA(_xlfn.VALUETOTEXT($A$4),'PREFILL-PIVOT'!$A$3,_xlfn.VALUETOTEXT($A$6),$A13,"Experiment",K$5,"date",K$6)=0,NA(),GETPIVOTDATA(_xlfn.VALUETOTEXT($A$4),'PREFILL-PIVOT'!$A$3,_xlfn.VALUETOTEXT($A$6),$A13,"Experiment",K$5,"date",K$6))</f>
        <v>#REF!</v>
      </c>
      <c r="L13" t="e">
        <f>IF(GETPIVOTDATA(_xlfn.VALUETOTEXT($A$4),'PREFILL-PIVOT'!$A$3,_xlfn.VALUETOTEXT($A$6),$A13,"Experiment",L$5,"date",L$6)=0,NA(),GETPIVOTDATA(_xlfn.VALUETOTEXT($A$4),'PREFILL-PIVOT'!$A$3,_xlfn.VALUETOTEXT($A$6),$A13,"Experiment",L$5,"date",L$6))</f>
        <v>#REF!</v>
      </c>
      <c r="M13" t="e">
        <f>IF(GETPIVOTDATA(_xlfn.VALUETOTEXT($A$4),'PREFILL-PIVOT'!$A$3,_xlfn.VALUETOTEXT($A$6),$A13,"Experiment",M$5,"date",M$6)=0,NA(),GETPIVOTDATA(_xlfn.VALUETOTEXT($A$4),'PREFILL-PIVOT'!$A$3,_xlfn.VALUETOTEXT($A$6),$A13,"Experiment",M$5,"date",M$6))</f>
        <v>#REF!</v>
      </c>
    </row>
    <row r="14" spans="1:13" x14ac:dyDescent="0.25">
      <c r="A14" s="222">
        <f>IF('PREFILL-PIVOT'!A12=0,NA(),'PREFILL-PIVOT'!A12)</f>
        <v>2.8</v>
      </c>
      <c r="B14">
        <f>IF(GETPIVOTDATA(_xlfn.VALUETOTEXT($A$4),'PREFILL-PIVOT'!$A$3,_xlfn.VALUETOTEXT($A$6),$A14,"Experiment",B$5,"date",B$6)=0,NA(),GETPIVOTDATA(_xlfn.VALUETOTEXT($A$4),'PREFILL-PIVOT'!$A$3,_xlfn.VALUETOTEXT($A$6),$A14,"Experiment",B$5,"date",B$6))</f>
        <v>0.284615048688595</v>
      </c>
      <c r="C14">
        <f>IF(GETPIVOTDATA(_xlfn.VALUETOTEXT($A$4),'PREFILL-PIVOT'!$A$3,_xlfn.VALUETOTEXT($A$6),$A14,"Experiment",C$5,"date",C$6)=0,NA(),GETPIVOTDATA(_xlfn.VALUETOTEXT($A$4),'PREFILL-PIVOT'!$A$3,_xlfn.VALUETOTEXT($A$6),$A14,"Experiment",C$5,"date",C$6))</f>
        <v>0.16636100612474064</v>
      </c>
      <c r="D14" t="e">
        <f>IF(GETPIVOTDATA(_xlfn.VALUETOTEXT($A$4),'PREFILL-PIVOT'!$A$3,_xlfn.VALUETOTEXT($A$6),$A14,"Experiment",D$5,"date",D$6)=0,NA(),GETPIVOTDATA(_xlfn.VALUETOTEXT($A$4),'PREFILL-PIVOT'!$A$3,_xlfn.VALUETOTEXT($A$6),$A14,"Experiment",D$5,"date",D$6))</f>
        <v>#N/A</v>
      </c>
      <c r="E14" t="e">
        <f>IF(GETPIVOTDATA(_xlfn.VALUETOTEXT($A$4),'PREFILL-PIVOT'!$A$3,_xlfn.VALUETOTEXT($A$6),$A14,"Experiment",E$5,"date",E$6)=0,NA(),GETPIVOTDATA(_xlfn.VALUETOTEXT($A$4),'PREFILL-PIVOT'!$A$3,_xlfn.VALUETOTEXT($A$6),$A14,"Experiment",E$5,"date",E$6))</f>
        <v>#N/A</v>
      </c>
      <c r="F14" t="e">
        <f>IF(GETPIVOTDATA(_xlfn.VALUETOTEXT($A$4),'PREFILL-PIVOT'!$A$3,_xlfn.VALUETOTEXT($A$6),$A14,"Experiment",F$5,"date",F$6)=0,NA(),GETPIVOTDATA(_xlfn.VALUETOTEXT($A$4),'PREFILL-PIVOT'!$A$3,_xlfn.VALUETOTEXT($A$6),$A14,"Experiment",F$5,"date",F$6))</f>
        <v>#N/A</v>
      </c>
      <c r="G14">
        <f>IF(GETPIVOTDATA(_xlfn.VALUETOTEXT($A$4),'PREFILL-PIVOT'!$A$3,_xlfn.VALUETOTEXT($A$6),$A14,"Experiment",G$5,"date",G$6)=0,NA(),GETPIVOTDATA(_xlfn.VALUETOTEXT($A$4),'PREFILL-PIVOT'!$A$3,_xlfn.VALUETOTEXT($A$6),$A14,"Experiment",G$5,"date",G$6))</f>
        <v>0.17878856696611251</v>
      </c>
      <c r="H14" t="e">
        <f>IF(GETPIVOTDATA(_xlfn.VALUETOTEXT($A$4),'PREFILL-PIVOT'!$A$3,_xlfn.VALUETOTEXT($A$6),$A14,"Experiment",H$5,"date",H$6)=0,NA(),GETPIVOTDATA(_xlfn.VALUETOTEXT($A$4),'PREFILL-PIVOT'!$A$3,_xlfn.VALUETOTEXT($A$6),$A14,"Experiment",H$5,"date",H$6))</f>
        <v>#N/A</v>
      </c>
      <c r="I14" t="e">
        <f>IF(GETPIVOTDATA(_xlfn.VALUETOTEXT($A$4),'PREFILL-PIVOT'!$A$3,_xlfn.VALUETOTEXT($A$6),$A14,"Experiment",I$5,"date",I$6)=0,NA(),GETPIVOTDATA(_xlfn.VALUETOTEXT($A$4),'PREFILL-PIVOT'!$A$3,_xlfn.VALUETOTEXT($A$6),$A14,"Experiment",I$5,"date",I$6))</f>
        <v>#REF!</v>
      </c>
      <c r="J14" t="e">
        <f>IF(GETPIVOTDATA(_xlfn.VALUETOTEXT($A$4),'PREFILL-PIVOT'!$A$3,_xlfn.VALUETOTEXT($A$6),$A14,"Experiment",J$5,"date",J$6)=0,NA(),GETPIVOTDATA(_xlfn.VALUETOTEXT($A$4),'PREFILL-PIVOT'!$A$3,_xlfn.VALUETOTEXT($A$6),$A14,"Experiment",J$5,"date",J$6))</f>
        <v>#REF!</v>
      </c>
      <c r="K14" t="e">
        <f>IF(GETPIVOTDATA(_xlfn.VALUETOTEXT($A$4),'PREFILL-PIVOT'!$A$3,_xlfn.VALUETOTEXT($A$6),$A14,"Experiment",K$5,"date",K$6)=0,NA(),GETPIVOTDATA(_xlfn.VALUETOTEXT($A$4),'PREFILL-PIVOT'!$A$3,_xlfn.VALUETOTEXT($A$6),$A14,"Experiment",K$5,"date",K$6))</f>
        <v>#REF!</v>
      </c>
      <c r="L14" t="e">
        <f>IF(GETPIVOTDATA(_xlfn.VALUETOTEXT($A$4),'PREFILL-PIVOT'!$A$3,_xlfn.VALUETOTEXT($A$6),$A14,"Experiment",L$5,"date",L$6)=0,NA(),GETPIVOTDATA(_xlfn.VALUETOTEXT($A$4),'PREFILL-PIVOT'!$A$3,_xlfn.VALUETOTEXT($A$6),$A14,"Experiment",L$5,"date",L$6))</f>
        <v>#REF!</v>
      </c>
      <c r="M14" t="e">
        <f>IF(GETPIVOTDATA(_xlfn.VALUETOTEXT($A$4),'PREFILL-PIVOT'!$A$3,_xlfn.VALUETOTEXT($A$6),$A14,"Experiment",M$5,"date",M$6)=0,NA(),GETPIVOTDATA(_xlfn.VALUETOTEXT($A$4),'PREFILL-PIVOT'!$A$3,_xlfn.VALUETOTEXT($A$6),$A14,"Experiment",M$5,"date",M$6))</f>
        <v>#REF!</v>
      </c>
    </row>
    <row r="15" spans="1:13" x14ac:dyDescent="0.25">
      <c r="A15" s="222">
        <f>IF('PREFILL-PIVOT'!A13=0,NA(),'PREFILL-PIVOT'!A13)</f>
        <v>3</v>
      </c>
      <c r="B15">
        <f>IF(GETPIVOTDATA(_xlfn.VALUETOTEXT($A$4),'PREFILL-PIVOT'!$A$3,_xlfn.VALUETOTEXT($A$6),$A15,"Experiment",B$5,"date",B$6)=0,NA(),GETPIVOTDATA(_xlfn.VALUETOTEXT($A$4),'PREFILL-PIVOT'!$A$3,_xlfn.VALUETOTEXT($A$6),$A15,"Experiment",B$5,"date",B$6))</f>
        <v>0.35638908945720671</v>
      </c>
      <c r="C15">
        <f>IF(GETPIVOTDATA(_xlfn.VALUETOTEXT($A$4),'PREFILL-PIVOT'!$A$3,_xlfn.VALUETOTEXT($A$6),$A15,"Experiment",C$5,"date",C$6)=0,NA(),GETPIVOTDATA(_xlfn.VALUETOTEXT($A$4),'PREFILL-PIVOT'!$A$3,_xlfn.VALUETOTEXT($A$6),$A15,"Experiment",C$5,"date",C$6))</f>
        <v>0.15744471102956686</v>
      </c>
      <c r="D15">
        <f>IF(GETPIVOTDATA(_xlfn.VALUETOTEXT($A$4),'PREFILL-PIVOT'!$A$3,_xlfn.VALUETOTEXT($A$6),$A15,"Experiment",D$5,"date",D$6)=0,NA(),GETPIVOTDATA(_xlfn.VALUETOTEXT($A$4),'PREFILL-PIVOT'!$A$3,_xlfn.VALUETOTEXT($A$6),$A15,"Experiment",D$5,"date",D$6))</f>
        <v>0.16534524085197999</v>
      </c>
      <c r="E15">
        <f>IF(GETPIVOTDATA(_xlfn.VALUETOTEXT($A$4),'PREFILL-PIVOT'!$A$3,_xlfn.VALUETOTEXT($A$6),$A15,"Experiment",E$5,"date",E$6)=0,NA(),GETPIVOTDATA(_xlfn.VALUETOTEXT($A$4),'PREFILL-PIVOT'!$A$3,_xlfn.VALUETOTEXT($A$6),$A15,"Experiment",E$5,"date",E$6))</f>
        <v>0.26971127856781363</v>
      </c>
      <c r="F15">
        <f>IF(GETPIVOTDATA(_xlfn.VALUETOTEXT($A$4),'PREFILL-PIVOT'!$A$3,_xlfn.VALUETOTEXT($A$6),$A15,"Experiment",F$5,"date",F$6)=0,NA(),GETPIVOTDATA(_xlfn.VALUETOTEXT($A$4),'PREFILL-PIVOT'!$A$3,_xlfn.VALUETOTEXT($A$6),$A15,"Experiment",F$5,"date",F$6))</f>
        <v>0.18832897591354758</v>
      </c>
      <c r="G15">
        <f>IF(GETPIVOTDATA(_xlfn.VALUETOTEXT($A$4),'PREFILL-PIVOT'!$A$3,_xlfn.VALUETOTEXT($A$6),$A15,"Experiment",G$5,"date",G$6)=0,NA(),GETPIVOTDATA(_xlfn.VALUETOTEXT($A$4),'PREFILL-PIVOT'!$A$3,_xlfn.VALUETOTEXT($A$6),$A15,"Experiment",G$5,"date",G$6))</f>
        <v>0.23918091659255114</v>
      </c>
      <c r="H15">
        <f>IF(GETPIVOTDATA(_xlfn.VALUETOTEXT($A$4),'PREFILL-PIVOT'!$A$3,_xlfn.VALUETOTEXT($A$6),$A15,"Experiment",H$5,"date",H$6)=0,NA(),GETPIVOTDATA(_xlfn.VALUETOTEXT($A$4),'PREFILL-PIVOT'!$A$3,_xlfn.VALUETOTEXT($A$6),$A15,"Experiment",H$5,"date",H$6))</f>
        <v>0.21283558649133549</v>
      </c>
      <c r="I15" t="e">
        <f>IF(GETPIVOTDATA(_xlfn.VALUETOTEXT($A$4),'PREFILL-PIVOT'!$A$3,_xlfn.VALUETOTEXT($A$6),$A15,"Experiment",I$5,"date",I$6)=0,NA(),GETPIVOTDATA(_xlfn.VALUETOTEXT($A$4),'PREFILL-PIVOT'!$A$3,_xlfn.VALUETOTEXT($A$6),$A15,"Experiment",I$5,"date",I$6))</f>
        <v>#REF!</v>
      </c>
      <c r="J15" t="e">
        <f>IF(GETPIVOTDATA(_xlfn.VALUETOTEXT($A$4),'PREFILL-PIVOT'!$A$3,_xlfn.VALUETOTEXT($A$6),$A15,"Experiment",J$5,"date",J$6)=0,NA(),GETPIVOTDATA(_xlfn.VALUETOTEXT($A$4),'PREFILL-PIVOT'!$A$3,_xlfn.VALUETOTEXT($A$6),$A15,"Experiment",J$5,"date",J$6))</f>
        <v>#REF!</v>
      </c>
      <c r="K15" t="e">
        <f>IF(GETPIVOTDATA(_xlfn.VALUETOTEXT($A$4),'PREFILL-PIVOT'!$A$3,_xlfn.VALUETOTEXT($A$6),$A15,"Experiment",K$5,"date",K$6)=0,NA(),GETPIVOTDATA(_xlfn.VALUETOTEXT($A$4),'PREFILL-PIVOT'!$A$3,_xlfn.VALUETOTEXT($A$6),$A15,"Experiment",K$5,"date",K$6))</f>
        <v>#REF!</v>
      </c>
      <c r="L15" t="e">
        <f>IF(GETPIVOTDATA(_xlfn.VALUETOTEXT($A$4),'PREFILL-PIVOT'!$A$3,_xlfn.VALUETOTEXT($A$6),$A15,"Experiment",L$5,"date",L$6)=0,NA(),GETPIVOTDATA(_xlfn.VALUETOTEXT($A$4),'PREFILL-PIVOT'!$A$3,_xlfn.VALUETOTEXT($A$6),$A15,"Experiment",L$5,"date",L$6))</f>
        <v>#REF!</v>
      </c>
      <c r="M15" t="e">
        <f>IF(GETPIVOTDATA(_xlfn.VALUETOTEXT($A$4),'PREFILL-PIVOT'!$A$3,_xlfn.VALUETOTEXT($A$6),$A15,"Experiment",M$5,"date",M$6)=0,NA(),GETPIVOTDATA(_xlfn.VALUETOTEXT($A$4),'PREFILL-PIVOT'!$A$3,_xlfn.VALUETOTEXT($A$6),$A15,"Experiment",M$5,"date",M$6))</f>
        <v>#REF!</v>
      </c>
    </row>
    <row r="16" spans="1:13" x14ac:dyDescent="0.25">
      <c r="A16" s="222">
        <f>IF('PREFILL-PIVOT'!A14=0,NA(),'PREFILL-PIVOT'!A14)</f>
        <v>3.2</v>
      </c>
      <c r="B16" t="e">
        <f>IF(GETPIVOTDATA(_xlfn.VALUETOTEXT($A$4),'PREFILL-PIVOT'!$A$3,_xlfn.VALUETOTEXT($A$6),$A16,"Experiment",B$5,"date",B$6)=0,NA(),GETPIVOTDATA(_xlfn.VALUETOTEXT($A$4),'PREFILL-PIVOT'!$A$3,_xlfn.VALUETOTEXT($A$6),$A16,"Experiment",B$5,"date",B$6))</f>
        <v>#N/A</v>
      </c>
      <c r="C16">
        <f>IF(GETPIVOTDATA(_xlfn.VALUETOTEXT($A$4),'PREFILL-PIVOT'!$A$3,_xlfn.VALUETOTEXT($A$6),$A16,"Experiment",C$5,"date",C$6)=0,NA(),GETPIVOTDATA(_xlfn.VALUETOTEXT($A$4),'PREFILL-PIVOT'!$A$3,_xlfn.VALUETOTEXT($A$6),$A16,"Experiment",C$5,"date",C$6))</f>
        <v>0.18370497780114689</v>
      </c>
      <c r="D16" t="e">
        <f>IF(GETPIVOTDATA(_xlfn.VALUETOTEXT($A$4),'PREFILL-PIVOT'!$A$3,_xlfn.VALUETOTEXT($A$6),$A16,"Experiment",D$5,"date",D$6)=0,NA(),GETPIVOTDATA(_xlfn.VALUETOTEXT($A$4),'PREFILL-PIVOT'!$A$3,_xlfn.VALUETOTEXT($A$6),$A16,"Experiment",D$5,"date",D$6))</f>
        <v>#N/A</v>
      </c>
      <c r="E16" t="e">
        <f>IF(GETPIVOTDATA(_xlfn.VALUETOTEXT($A$4),'PREFILL-PIVOT'!$A$3,_xlfn.VALUETOTEXT($A$6),$A16,"Experiment",E$5,"date",E$6)=0,NA(),GETPIVOTDATA(_xlfn.VALUETOTEXT($A$4),'PREFILL-PIVOT'!$A$3,_xlfn.VALUETOTEXT($A$6),$A16,"Experiment",E$5,"date",E$6))</f>
        <v>#N/A</v>
      </c>
      <c r="F16" t="e">
        <f>IF(GETPIVOTDATA(_xlfn.VALUETOTEXT($A$4),'PREFILL-PIVOT'!$A$3,_xlfn.VALUETOTEXT($A$6),$A16,"Experiment",F$5,"date",F$6)=0,NA(),GETPIVOTDATA(_xlfn.VALUETOTEXT($A$4),'PREFILL-PIVOT'!$A$3,_xlfn.VALUETOTEXT($A$6),$A16,"Experiment",F$5,"date",F$6))</f>
        <v>#N/A</v>
      </c>
      <c r="G16">
        <f>IF(GETPIVOTDATA(_xlfn.VALUETOTEXT($A$4),'PREFILL-PIVOT'!$A$3,_xlfn.VALUETOTEXT($A$6),$A16,"Experiment",G$5,"date",G$6)=0,NA(),GETPIVOTDATA(_xlfn.VALUETOTEXT($A$4),'PREFILL-PIVOT'!$A$3,_xlfn.VALUETOTEXT($A$6),$A16,"Experiment",G$5,"date",G$6))</f>
        <v>0.23780301124955791</v>
      </c>
      <c r="H16" t="e">
        <f>IF(GETPIVOTDATA(_xlfn.VALUETOTEXT($A$4),'PREFILL-PIVOT'!$A$3,_xlfn.VALUETOTEXT($A$6),$A16,"Experiment",H$5,"date",H$6)=0,NA(),GETPIVOTDATA(_xlfn.VALUETOTEXT($A$4),'PREFILL-PIVOT'!$A$3,_xlfn.VALUETOTEXT($A$6),$A16,"Experiment",H$5,"date",H$6))</f>
        <v>#N/A</v>
      </c>
      <c r="I16" t="e">
        <f>IF(GETPIVOTDATA(_xlfn.VALUETOTEXT($A$4),'PREFILL-PIVOT'!$A$3,_xlfn.VALUETOTEXT($A$6),$A16,"Experiment",I$5,"date",I$6)=0,NA(),GETPIVOTDATA(_xlfn.VALUETOTEXT($A$4),'PREFILL-PIVOT'!$A$3,_xlfn.VALUETOTEXT($A$6),$A16,"Experiment",I$5,"date",I$6))</f>
        <v>#REF!</v>
      </c>
      <c r="J16" t="e">
        <f>IF(GETPIVOTDATA(_xlfn.VALUETOTEXT($A$4),'PREFILL-PIVOT'!$A$3,_xlfn.VALUETOTEXT($A$6),$A16,"Experiment",J$5,"date",J$6)=0,NA(),GETPIVOTDATA(_xlfn.VALUETOTEXT($A$4),'PREFILL-PIVOT'!$A$3,_xlfn.VALUETOTEXT($A$6),$A16,"Experiment",J$5,"date",J$6))</f>
        <v>#REF!</v>
      </c>
      <c r="K16" t="e">
        <f>IF(GETPIVOTDATA(_xlfn.VALUETOTEXT($A$4),'PREFILL-PIVOT'!$A$3,_xlfn.VALUETOTEXT($A$6),$A16,"Experiment",K$5,"date",K$6)=0,NA(),GETPIVOTDATA(_xlfn.VALUETOTEXT($A$4),'PREFILL-PIVOT'!$A$3,_xlfn.VALUETOTEXT($A$6),$A16,"Experiment",K$5,"date",K$6))</f>
        <v>#REF!</v>
      </c>
      <c r="L16" t="e">
        <f>IF(GETPIVOTDATA(_xlfn.VALUETOTEXT($A$4),'PREFILL-PIVOT'!$A$3,_xlfn.VALUETOTEXT($A$6),$A16,"Experiment",L$5,"date",L$6)=0,NA(),GETPIVOTDATA(_xlfn.VALUETOTEXT($A$4),'PREFILL-PIVOT'!$A$3,_xlfn.VALUETOTEXT($A$6),$A16,"Experiment",L$5,"date",L$6))</f>
        <v>#REF!</v>
      </c>
      <c r="M16" t="e">
        <f>IF(GETPIVOTDATA(_xlfn.VALUETOTEXT($A$4),'PREFILL-PIVOT'!$A$3,_xlfn.VALUETOTEXT($A$6),$A16,"Experiment",M$5,"date",M$6)=0,NA(),GETPIVOTDATA(_xlfn.VALUETOTEXT($A$4),'PREFILL-PIVOT'!$A$3,_xlfn.VALUETOTEXT($A$6),$A16,"Experiment",M$5,"date",M$6))</f>
        <v>#REF!</v>
      </c>
    </row>
    <row r="17" spans="1:13" x14ac:dyDescent="0.25">
      <c r="A17" s="222">
        <f>IF('PREFILL-PIVOT'!A15=0,NA(),'PREFILL-PIVOT'!A15)</f>
        <v>3.2000000000000006</v>
      </c>
      <c r="B17" t="e">
        <f>IF(GETPIVOTDATA(_xlfn.VALUETOTEXT($A$4),'PREFILL-PIVOT'!$A$3,_xlfn.VALUETOTEXT($A$6),$A17,"Experiment",B$5,"date",B$6)=0,NA(),GETPIVOTDATA(_xlfn.VALUETOTEXT($A$4),'PREFILL-PIVOT'!$A$3,_xlfn.VALUETOTEXT($A$6),$A17,"Experiment",B$5,"date",B$6))</f>
        <v>#N/A</v>
      </c>
      <c r="C17" t="e">
        <f>IF(GETPIVOTDATA(_xlfn.VALUETOTEXT($A$4),'PREFILL-PIVOT'!$A$3,_xlfn.VALUETOTEXT($A$6),$A17,"Experiment",C$5,"date",C$6)=0,NA(),GETPIVOTDATA(_xlfn.VALUETOTEXT($A$4),'PREFILL-PIVOT'!$A$3,_xlfn.VALUETOTEXT($A$6),$A17,"Experiment",C$5,"date",C$6))</f>
        <v>#N/A</v>
      </c>
      <c r="D17">
        <f>IF(GETPIVOTDATA(_xlfn.VALUETOTEXT($A$4),'PREFILL-PIVOT'!$A$3,_xlfn.VALUETOTEXT($A$6),$A17,"Experiment",D$5,"date",D$6)=0,NA(),GETPIVOTDATA(_xlfn.VALUETOTEXT($A$4),'PREFILL-PIVOT'!$A$3,_xlfn.VALUETOTEXT($A$6),$A17,"Experiment",D$5,"date",D$6))</f>
        <v>0.18404528138351414</v>
      </c>
      <c r="E17" t="e">
        <f>IF(GETPIVOTDATA(_xlfn.VALUETOTEXT($A$4),'PREFILL-PIVOT'!$A$3,_xlfn.VALUETOTEXT($A$6),$A17,"Experiment",E$5,"date",E$6)=0,NA(),GETPIVOTDATA(_xlfn.VALUETOTEXT($A$4),'PREFILL-PIVOT'!$A$3,_xlfn.VALUETOTEXT($A$6),$A17,"Experiment",E$5,"date",E$6))</f>
        <v>#N/A</v>
      </c>
      <c r="F17">
        <f>IF(GETPIVOTDATA(_xlfn.VALUETOTEXT($A$4),'PREFILL-PIVOT'!$A$3,_xlfn.VALUETOTEXT($A$6),$A17,"Experiment",F$5,"date",F$6)=0,NA(),GETPIVOTDATA(_xlfn.VALUETOTEXT($A$4),'PREFILL-PIVOT'!$A$3,_xlfn.VALUETOTEXT($A$6),$A17,"Experiment",F$5,"date",F$6))</f>
        <v>0.18566078006176104</v>
      </c>
      <c r="G17" t="e">
        <f>IF(GETPIVOTDATA(_xlfn.VALUETOTEXT($A$4),'PREFILL-PIVOT'!$A$3,_xlfn.VALUETOTEXT($A$6),$A17,"Experiment",G$5,"date",G$6)=0,NA(),GETPIVOTDATA(_xlfn.VALUETOTEXT($A$4),'PREFILL-PIVOT'!$A$3,_xlfn.VALUETOTEXT($A$6),$A17,"Experiment",G$5,"date",G$6))</f>
        <v>#N/A</v>
      </c>
      <c r="H17">
        <f>IF(GETPIVOTDATA(_xlfn.VALUETOTEXT($A$4),'PREFILL-PIVOT'!$A$3,_xlfn.VALUETOTEXT($A$6),$A17,"Experiment",H$5,"date",H$6)=0,NA(),GETPIVOTDATA(_xlfn.VALUETOTEXT($A$4),'PREFILL-PIVOT'!$A$3,_xlfn.VALUETOTEXT($A$6),$A17,"Experiment",H$5,"date",H$6))</f>
        <v>0.22444158374208048</v>
      </c>
      <c r="I17" t="e">
        <f>IF(GETPIVOTDATA(_xlfn.VALUETOTEXT($A$4),'PREFILL-PIVOT'!$A$3,_xlfn.VALUETOTEXT($A$6),$A17,"Experiment",I$5,"date",I$6)=0,NA(),GETPIVOTDATA(_xlfn.VALUETOTEXT($A$4),'PREFILL-PIVOT'!$A$3,_xlfn.VALUETOTEXT($A$6),$A17,"Experiment",I$5,"date",I$6))</f>
        <v>#REF!</v>
      </c>
      <c r="J17" t="e">
        <f>IF(GETPIVOTDATA(_xlfn.VALUETOTEXT($A$4),'PREFILL-PIVOT'!$A$3,_xlfn.VALUETOTEXT($A$6),$A17,"Experiment",J$5,"date",J$6)=0,NA(),GETPIVOTDATA(_xlfn.VALUETOTEXT($A$4),'PREFILL-PIVOT'!$A$3,_xlfn.VALUETOTEXT($A$6),$A17,"Experiment",J$5,"date",J$6))</f>
        <v>#REF!</v>
      </c>
      <c r="K17" t="e">
        <f>IF(GETPIVOTDATA(_xlfn.VALUETOTEXT($A$4),'PREFILL-PIVOT'!$A$3,_xlfn.VALUETOTEXT($A$6),$A17,"Experiment",K$5,"date",K$6)=0,NA(),GETPIVOTDATA(_xlfn.VALUETOTEXT($A$4),'PREFILL-PIVOT'!$A$3,_xlfn.VALUETOTEXT($A$6),$A17,"Experiment",K$5,"date",K$6))</f>
        <v>#REF!</v>
      </c>
      <c r="L17" t="e">
        <f>IF(GETPIVOTDATA(_xlfn.VALUETOTEXT($A$4),'PREFILL-PIVOT'!$A$3,_xlfn.VALUETOTEXT($A$6),$A17,"Experiment",L$5,"date",L$6)=0,NA(),GETPIVOTDATA(_xlfn.VALUETOTEXT($A$4),'PREFILL-PIVOT'!$A$3,_xlfn.VALUETOTEXT($A$6),$A17,"Experiment",L$5,"date",L$6))</f>
        <v>#REF!</v>
      </c>
      <c r="M17" t="e">
        <f>IF(GETPIVOTDATA(_xlfn.VALUETOTEXT($A$4),'PREFILL-PIVOT'!$A$3,_xlfn.VALUETOTEXT($A$6),$A17,"Experiment",M$5,"date",M$6)=0,NA(),GETPIVOTDATA(_xlfn.VALUETOTEXT($A$4),'PREFILL-PIVOT'!$A$3,_xlfn.VALUETOTEXT($A$6),$A17,"Experiment",M$5,"date",M$6))</f>
        <v>#REF!</v>
      </c>
    </row>
    <row r="18" spans="1:13" x14ac:dyDescent="0.25">
      <c r="A18" s="222">
        <f>IF('PREFILL-PIVOT'!A16=0,NA(),'PREFILL-PIVOT'!A16)</f>
        <v>3.4</v>
      </c>
      <c r="B18" t="e">
        <f>IF(GETPIVOTDATA(_xlfn.VALUETOTEXT($A$4),'PREFILL-PIVOT'!$A$3,_xlfn.VALUETOTEXT($A$6),$A18,"Experiment",B$5,"date",B$6)=0,NA(),GETPIVOTDATA(_xlfn.VALUETOTEXT($A$4),'PREFILL-PIVOT'!$A$3,_xlfn.VALUETOTEXT($A$6),$A18,"Experiment",B$5,"date",B$6))</f>
        <v>#N/A</v>
      </c>
      <c r="C18">
        <f>IF(GETPIVOTDATA(_xlfn.VALUETOTEXT($A$4),'PREFILL-PIVOT'!$A$3,_xlfn.VALUETOTEXT($A$6),$A18,"Experiment",C$5,"date",C$6)=0,NA(),GETPIVOTDATA(_xlfn.VALUETOTEXT($A$4),'PREFILL-PIVOT'!$A$3,_xlfn.VALUETOTEXT($A$6),$A18,"Experiment",C$5,"date",C$6))</f>
        <v>0.17401289876308371</v>
      </c>
      <c r="D18">
        <f>IF(GETPIVOTDATA(_xlfn.VALUETOTEXT($A$4),'PREFILL-PIVOT'!$A$3,_xlfn.VALUETOTEXT($A$6),$A18,"Experiment",D$5,"date",D$6)=0,NA(),GETPIVOTDATA(_xlfn.VALUETOTEXT($A$4),'PREFILL-PIVOT'!$A$3,_xlfn.VALUETOTEXT($A$6),$A18,"Experiment",D$5,"date",D$6))</f>
        <v>0.20070684176064443</v>
      </c>
      <c r="E18" t="e">
        <f>IF(GETPIVOTDATA(_xlfn.VALUETOTEXT($A$4),'PREFILL-PIVOT'!$A$3,_xlfn.VALUETOTEXT($A$6),$A18,"Experiment",E$5,"date",E$6)=0,NA(),GETPIVOTDATA(_xlfn.VALUETOTEXT($A$4),'PREFILL-PIVOT'!$A$3,_xlfn.VALUETOTEXT($A$6),$A18,"Experiment",E$5,"date",E$6))</f>
        <v>#N/A</v>
      </c>
      <c r="F18">
        <f>IF(GETPIVOTDATA(_xlfn.VALUETOTEXT($A$4),'PREFILL-PIVOT'!$A$3,_xlfn.VALUETOTEXT($A$6),$A18,"Experiment",F$5,"date",F$6)=0,NA(),GETPIVOTDATA(_xlfn.VALUETOTEXT($A$4),'PREFILL-PIVOT'!$A$3,_xlfn.VALUETOTEXT($A$6),$A18,"Experiment",F$5,"date",F$6))</f>
        <v>0.19187203165454392</v>
      </c>
      <c r="G18">
        <f>IF(GETPIVOTDATA(_xlfn.VALUETOTEXT($A$4),'PREFILL-PIVOT'!$A$3,_xlfn.VALUETOTEXT($A$6),$A18,"Experiment",G$5,"date",G$6)=0,NA(),GETPIVOTDATA(_xlfn.VALUETOTEXT($A$4),'PREFILL-PIVOT'!$A$3,_xlfn.VALUETOTEXT($A$6),$A18,"Experiment",G$5,"date",G$6))</f>
        <v>1.1353691109673829</v>
      </c>
      <c r="H18">
        <f>IF(GETPIVOTDATA(_xlfn.VALUETOTEXT($A$4),'PREFILL-PIVOT'!$A$3,_xlfn.VALUETOTEXT($A$6),$A18,"Experiment",H$5,"date",H$6)=0,NA(),GETPIVOTDATA(_xlfn.VALUETOTEXT($A$4),'PREFILL-PIVOT'!$A$3,_xlfn.VALUETOTEXT($A$6),$A18,"Experiment",H$5,"date",H$6))</f>
        <v>0.24826633152047695</v>
      </c>
      <c r="I18" t="e">
        <f>IF(GETPIVOTDATA(_xlfn.VALUETOTEXT($A$4),'PREFILL-PIVOT'!$A$3,_xlfn.VALUETOTEXT($A$6),$A18,"Experiment",I$5,"date",I$6)=0,NA(),GETPIVOTDATA(_xlfn.VALUETOTEXT($A$4),'PREFILL-PIVOT'!$A$3,_xlfn.VALUETOTEXT($A$6),$A18,"Experiment",I$5,"date",I$6))</f>
        <v>#REF!</v>
      </c>
      <c r="J18" t="e">
        <f>IF(GETPIVOTDATA(_xlfn.VALUETOTEXT($A$4),'PREFILL-PIVOT'!$A$3,_xlfn.VALUETOTEXT($A$6),$A18,"Experiment",J$5,"date",J$6)=0,NA(),GETPIVOTDATA(_xlfn.VALUETOTEXT($A$4),'PREFILL-PIVOT'!$A$3,_xlfn.VALUETOTEXT($A$6),$A18,"Experiment",J$5,"date",J$6))</f>
        <v>#REF!</v>
      </c>
      <c r="K18" t="e">
        <f>IF(GETPIVOTDATA(_xlfn.VALUETOTEXT($A$4),'PREFILL-PIVOT'!$A$3,_xlfn.VALUETOTEXT($A$6),$A18,"Experiment",K$5,"date",K$6)=0,NA(),GETPIVOTDATA(_xlfn.VALUETOTEXT($A$4),'PREFILL-PIVOT'!$A$3,_xlfn.VALUETOTEXT($A$6),$A18,"Experiment",K$5,"date",K$6))</f>
        <v>#REF!</v>
      </c>
      <c r="L18" t="e">
        <f>IF(GETPIVOTDATA(_xlfn.VALUETOTEXT($A$4),'PREFILL-PIVOT'!$A$3,_xlfn.VALUETOTEXT($A$6),$A18,"Experiment",L$5,"date",L$6)=0,NA(),GETPIVOTDATA(_xlfn.VALUETOTEXT($A$4),'PREFILL-PIVOT'!$A$3,_xlfn.VALUETOTEXT($A$6),$A18,"Experiment",L$5,"date",L$6))</f>
        <v>#REF!</v>
      </c>
      <c r="M18" t="e">
        <f>IF(GETPIVOTDATA(_xlfn.VALUETOTEXT($A$4),'PREFILL-PIVOT'!$A$3,_xlfn.VALUETOTEXT($A$6),$A18,"Experiment",M$5,"date",M$6)=0,NA(),GETPIVOTDATA(_xlfn.VALUETOTEXT($A$4),'PREFILL-PIVOT'!$A$3,_xlfn.VALUETOTEXT($A$6),$A18,"Experiment",M$5,"date",M$6))</f>
        <v>#REF!</v>
      </c>
    </row>
    <row r="19" spans="1:13" x14ac:dyDescent="0.25">
      <c r="A19" s="222">
        <f>IF('PREFILL-PIVOT'!A17=0,NA(),'PREFILL-PIVOT'!A17)</f>
        <v>3.5</v>
      </c>
      <c r="B19" t="e">
        <f>IF(GETPIVOTDATA(_xlfn.VALUETOTEXT($A$4),'PREFILL-PIVOT'!$A$3,_xlfn.VALUETOTEXT($A$6),$A19,"Experiment",B$5,"date",B$6)=0,NA(),GETPIVOTDATA(_xlfn.VALUETOTEXT($A$4),'PREFILL-PIVOT'!$A$3,_xlfn.VALUETOTEXT($A$6),$A19,"Experiment",B$5,"date",B$6))</f>
        <v>#N/A</v>
      </c>
      <c r="C19" t="e">
        <f>IF(GETPIVOTDATA(_xlfn.VALUETOTEXT($A$4),'PREFILL-PIVOT'!$A$3,_xlfn.VALUETOTEXT($A$6),$A19,"Experiment",C$5,"date",C$6)=0,NA(),GETPIVOTDATA(_xlfn.VALUETOTEXT($A$4),'PREFILL-PIVOT'!$A$3,_xlfn.VALUETOTEXT($A$6),$A19,"Experiment",C$5,"date",C$6))</f>
        <v>#N/A</v>
      </c>
      <c r="D19" t="e">
        <f>IF(GETPIVOTDATA(_xlfn.VALUETOTEXT($A$4),'PREFILL-PIVOT'!$A$3,_xlfn.VALUETOTEXT($A$6),$A19,"Experiment",D$5,"date",D$6)=0,NA(),GETPIVOTDATA(_xlfn.VALUETOTEXT($A$4),'PREFILL-PIVOT'!$A$3,_xlfn.VALUETOTEXT($A$6),$A19,"Experiment",D$5,"date",D$6))</f>
        <v>#N/A</v>
      </c>
      <c r="E19" t="e">
        <f>IF(GETPIVOTDATA(_xlfn.VALUETOTEXT($A$4),'PREFILL-PIVOT'!$A$3,_xlfn.VALUETOTEXT($A$6),$A19,"Experiment",E$5,"date",E$6)=0,NA(),GETPIVOTDATA(_xlfn.VALUETOTEXT($A$4),'PREFILL-PIVOT'!$A$3,_xlfn.VALUETOTEXT($A$6),$A19,"Experiment",E$5,"date",E$6))</f>
        <v>#N/A</v>
      </c>
      <c r="F19" t="e">
        <f>IF(GETPIVOTDATA(_xlfn.VALUETOTEXT($A$4),'PREFILL-PIVOT'!$A$3,_xlfn.VALUETOTEXT($A$6),$A19,"Experiment",F$5,"date",F$6)=0,NA(),GETPIVOTDATA(_xlfn.VALUETOTEXT($A$4),'PREFILL-PIVOT'!$A$3,_xlfn.VALUETOTEXT($A$6),$A19,"Experiment",F$5,"date",F$6))</f>
        <v>#N/A</v>
      </c>
      <c r="G19">
        <f>IF(GETPIVOTDATA(_xlfn.VALUETOTEXT($A$4),'PREFILL-PIVOT'!$A$3,_xlfn.VALUETOTEXT($A$6),$A19,"Experiment",G$5,"date",G$6)=0,NA(),GETPIVOTDATA(_xlfn.VALUETOTEXT($A$4),'PREFILL-PIVOT'!$A$3,_xlfn.VALUETOTEXT($A$6),$A19,"Experiment",G$5,"date",G$6))</f>
        <v>0.31278119207276189</v>
      </c>
      <c r="H19" t="e">
        <f>IF(GETPIVOTDATA(_xlfn.VALUETOTEXT($A$4),'PREFILL-PIVOT'!$A$3,_xlfn.VALUETOTEXT($A$6),$A19,"Experiment",H$5,"date",H$6)=0,NA(),GETPIVOTDATA(_xlfn.VALUETOTEXT($A$4),'PREFILL-PIVOT'!$A$3,_xlfn.VALUETOTEXT($A$6),$A19,"Experiment",H$5,"date",H$6))</f>
        <v>#N/A</v>
      </c>
      <c r="I19" t="e">
        <f>IF(GETPIVOTDATA(_xlfn.VALUETOTEXT($A$4),'PREFILL-PIVOT'!$A$3,_xlfn.VALUETOTEXT($A$6),$A19,"Experiment",I$5,"date",I$6)=0,NA(),GETPIVOTDATA(_xlfn.VALUETOTEXT($A$4),'PREFILL-PIVOT'!$A$3,_xlfn.VALUETOTEXT($A$6),$A19,"Experiment",I$5,"date",I$6))</f>
        <v>#REF!</v>
      </c>
      <c r="J19" t="e">
        <f>IF(GETPIVOTDATA(_xlfn.VALUETOTEXT($A$4),'PREFILL-PIVOT'!$A$3,_xlfn.VALUETOTEXT($A$6),$A19,"Experiment",J$5,"date",J$6)=0,NA(),GETPIVOTDATA(_xlfn.VALUETOTEXT($A$4),'PREFILL-PIVOT'!$A$3,_xlfn.VALUETOTEXT($A$6),$A19,"Experiment",J$5,"date",J$6))</f>
        <v>#REF!</v>
      </c>
      <c r="K19" t="e">
        <f>IF(GETPIVOTDATA(_xlfn.VALUETOTEXT($A$4),'PREFILL-PIVOT'!$A$3,_xlfn.VALUETOTEXT($A$6),$A19,"Experiment",K$5,"date",K$6)=0,NA(),GETPIVOTDATA(_xlfn.VALUETOTEXT($A$4),'PREFILL-PIVOT'!$A$3,_xlfn.VALUETOTEXT($A$6),$A19,"Experiment",K$5,"date",K$6))</f>
        <v>#REF!</v>
      </c>
      <c r="L19" t="e">
        <f>IF(GETPIVOTDATA(_xlfn.VALUETOTEXT($A$4),'PREFILL-PIVOT'!$A$3,_xlfn.VALUETOTEXT($A$6),$A19,"Experiment",L$5,"date",L$6)=0,NA(),GETPIVOTDATA(_xlfn.VALUETOTEXT($A$4),'PREFILL-PIVOT'!$A$3,_xlfn.VALUETOTEXT($A$6),$A19,"Experiment",L$5,"date",L$6))</f>
        <v>#REF!</v>
      </c>
      <c r="M19" t="e">
        <f>IF(GETPIVOTDATA(_xlfn.VALUETOTEXT($A$4),'PREFILL-PIVOT'!$A$3,_xlfn.VALUETOTEXT($A$6),$A19,"Experiment",M$5,"date",M$6)=0,NA(),GETPIVOTDATA(_xlfn.VALUETOTEXT($A$4),'PREFILL-PIVOT'!$A$3,_xlfn.VALUETOTEXT($A$6),$A19,"Experiment",M$5,"date",M$6))</f>
        <v>#REF!</v>
      </c>
    </row>
    <row r="20" spans="1:13" x14ac:dyDescent="0.25">
      <c r="A20" s="222">
        <f>IF('PREFILL-PIVOT'!A18=0,NA(),'PREFILL-PIVOT'!A18)</f>
        <v>3.6</v>
      </c>
      <c r="B20" t="e">
        <f>IF(GETPIVOTDATA(_xlfn.VALUETOTEXT($A$4),'PREFILL-PIVOT'!$A$3,_xlfn.VALUETOTEXT($A$6),$A20,"Experiment",B$5,"date",B$6)=0,NA(),GETPIVOTDATA(_xlfn.VALUETOTEXT($A$4),'PREFILL-PIVOT'!$A$3,_xlfn.VALUETOTEXT($A$6),$A20,"Experiment",B$5,"date",B$6))</f>
        <v>#N/A</v>
      </c>
      <c r="C20" t="e">
        <f>IF(GETPIVOTDATA(_xlfn.VALUETOTEXT($A$4),'PREFILL-PIVOT'!$A$3,_xlfn.VALUETOTEXT($A$6),$A20,"Experiment",C$5,"date",C$6)=0,NA(),GETPIVOTDATA(_xlfn.VALUETOTEXT($A$4),'PREFILL-PIVOT'!$A$3,_xlfn.VALUETOTEXT($A$6),$A20,"Experiment",C$5,"date",C$6))</f>
        <v>#N/A</v>
      </c>
      <c r="D20" t="e">
        <f>IF(GETPIVOTDATA(_xlfn.VALUETOTEXT($A$4),'PREFILL-PIVOT'!$A$3,_xlfn.VALUETOTEXT($A$6),$A20,"Experiment",D$5,"date",D$6)=0,NA(),GETPIVOTDATA(_xlfn.VALUETOTEXT($A$4),'PREFILL-PIVOT'!$A$3,_xlfn.VALUETOTEXT($A$6),$A20,"Experiment",D$5,"date",D$6))</f>
        <v>#N/A</v>
      </c>
      <c r="E20" t="e">
        <f>IF(GETPIVOTDATA(_xlfn.VALUETOTEXT($A$4),'PREFILL-PIVOT'!$A$3,_xlfn.VALUETOTEXT($A$6),$A20,"Experiment",E$5,"date",E$6)=0,NA(),GETPIVOTDATA(_xlfn.VALUETOTEXT($A$4),'PREFILL-PIVOT'!$A$3,_xlfn.VALUETOTEXT($A$6),$A20,"Experiment",E$5,"date",E$6))</f>
        <v>#N/A</v>
      </c>
      <c r="F20" t="e">
        <f>IF(GETPIVOTDATA(_xlfn.VALUETOTEXT($A$4),'PREFILL-PIVOT'!$A$3,_xlfn.VALUETOTEXT($A$6),$A20,"Experiment",F$5,"date",F$6)=0,NA(),GETPIVOTDATA(_xlfn.VALUETOTEXT($A$4),'PREFILL-PIVOT'!$A$3,_xlfn.VALUETOTEXT($A$6),$A20,"Experiment",F$5,"date",F$6))</f>
        <v>#N/A</v>
      </c>
      <c r="G20">
        <f>IF(GETPIVOTDATA(_xlfn.VALUETOTEXT($A$4),'PREFILL-PIVOT'!$A$3,_xlfn.VALUETOTEXT($A$6),$A20,"Experiment",G$5,"date",G$6)=0,NA(),GETPIVOTDATA(_xlfn.VALUETOTEXT($A$4),'PREFILL-PIVOT'!$A$3,_xlfn.VALUETOTEXT($A$6),$A20,"Experiment",G$5,"date",G$6))</f>
        <v>0.52980489719111601</v>
      </c>
      <c r="H20" t="e">
        <f>IF(GETPIVOTDATA(_xlfn.VALUETOTEXT($A$4),'PREFILL-PIVOT'!$A$3,_xlfn.VALUETOTEXT($A$6),$A20,"Experiment",H$5,"date",H$6)=0,NA(),GETPIVOTDATA(_xlfn.VALUETOTEXT($A$4),'PREFILL-PIVOT'!$A$3,_xlfn.VALUETOTEXT($A$6),$A20,"Experiment",H$5,"date",H$6))</f>
        <v>#N/A</v>
      </c>
      <c r="I20" t="e">
        <f>IF(GETPIVOTDATA(_xlfn.VALUETOTEXT($A$4),'PREFILL-PIVOT'!$A$3,_xlfn.VALUETOTEXT($A$6),$A20,"Experiment",I$5,"date",I$6)=0,NA(),GETPIVOTDATA(_xlfn.VALUETOTEXT($A$4),'PREFILL-PIVOT'!$A$3,_xlfn.VALUETOTEXT($A$6),$A20,"Experiment",I$5,"date",I$6))</f>
        <v>#REF!</v>
      </c>
      <c r="J20" t="e">
        <f>IF(GETPIVOTDATA(_xlfn.VALUETOTEXT($A$4),'PREFILL-PIVOT'!$A$3,_xlfn.VALUETOTEXT($A$6),$A20,"Experiment",J$5,"date",J$6)=0,NA(),GETPIVOTDATA(_xlfn.VALUETOTEXT($A$4),'PREFILL-PIVOT'!$A$3,_xlfn.VALUETOTEXT($A$6),$A20,"Experiment",J$5,"date",J$6))</f>
        <v>#REF!</v>
      </c>
      <c r="K20" t="e">
        <f>IF(GETPIVOTDATA(_xlfn.VALUETOTEXT($A$4),'PREFILL-PIVOT'!$A$3,_xlfn.VALUETOTEXT($A$6),$A20,"Experiment",K$5,"date",K$6)=0,NA(),GETPIVOTDATA(_xlfn.VALUETOTEXT($A$4),'PREFILL-PIVOT'!$A$3,_xlfn.VALUETOTEXT($A$6),$A20,"Experiment",K$5,"date",K$6))</f>
        <v>#REF!</v>
      </c>
      <c r="L20" t="e">
        <f>IF(GETPIVOTDATA(_xlfn.VALUETOTEXT($A$4),'PREFILL-PIVOT'!$A$3,_xlfn.VALUETOTEXT($A$6),$A20,"Experiment",L$5,"date",L$6)=0,NA(),GETPIVOTDATA(_xlfn.VALUETOTEXT($A$4),'PREFILL-PIVOT'!$A$3,_xlfn.VALUETOTEXT($A$6),$A20,"Experiment",L$5,"date",L$6))</f>
        <v>#REF!</v>
      </c>
      <c r="M20" t="e">
        <f>IF(GETPIVOTDATA(_xlfn.VALUETOTEXT($A$4),'PREFILL-PIVOT'!$A$3,_xlfn.VALUETOTEXT($A$6),$A20,"Experiment",M$5,"date",M$6)=0,NA(),GETPIVOTDATA(_xlfn.VALUETOTEXT($A$4),'PREFILL-PIVOT'!$A$3,_xlfn.VALUETOTEXT($A$6),$A20,"Experiment",M$5,"date",M$6))</f>
        <v>#REF!</v>
      </c>
    </row>
    <row r="21" spans="1:13" x14ac:dyDescent="0.25">
      <c r="A21" s="222">
        <f>IF('PREFILL-PIVOT'!A19=0,NA(),'PREFILL-PIVOT'!A19)</f>
        <v>3.7999999999999994</v>
      </c>
      <c r="B21" t="e">
        <f>IF(GETPIVOTDATA(_xlfn.VALUETOTEXT($A$4),'PREFILL-PIVOT'!$A$3,_xlfn.VALUETOTEXT($A$6),$A21,"Experiment",B$5,"date",B$6)=0,NA(),GETPIVOTDATA(_xlfn.VALUETOTEXT($A$4),'PREFILL-PIVOT'!$A$3,_xlfn.VALUETOTEXT($A$6),$A21,"Experiment",B$5,"date",B$6))</f>
        <v>#N/A</v>
      </c>
      <c r="C21" t="e">
        <f>IF(GETPIVOTDATA(_xlfn.VALUETOTEXT($A$4),'PREFILL-PIVOT'!$A$3,_xlfn.VALUETOTEXT($A$6),$A21,"Experiment",C$5,"date",C$6)=0,NA(),GETPIVOTDATA(_xlfn.VALUETOTEXT($A$4),'PREFILL-PIVOT'!$A$3,_xlfn.VALUETOTEXT($A$6),$A21,"Experiment",C$5,"date",C$6))</f>
        <v>#N/A</v>
      </c>
      <c r="D21">
        <f>IF(GETPIVOTDATA(_xlfn.VALUETOTEXT($A$4),'PREFILL-PIVOT'!$A$3,_xlfn.VALUETOTEXT($A$6),$A21,"Experiment",D$5,"date",D$6)=0,NA(),GETPIVOTDATA(_xlfn.VALUETOTEXT($A$4),'PREFILL-PIVOT'!$A$3,_xlfn.VALUETOTEXT($A$6),$A21,"Experiment",D$5,"date",D$6))</f>
        <v>0.20060907582293877</v>
      </c>
      <c r="E21" t="e">
        <f>IF(GETPIVOTDATA(_xlfn.VALUETOTEXT($A$4),'PREFILL-PIVOT'!$A$3,_xlfn.VALUETOTEXT($A$6),$A21,"Experiment",E$5,"date",E$6)=0,NA(),GETPIVOTDATA(_xlfn.VALUETOTEXT($A$4),'PREFILL-PIVOT'!$A$3,_xlfn.VALUETOTEXT($A$6),$A21,"Experiment",E$5,"date",E$6))</f>
        <v>#N/A</v>
      </c>
      <c r="F21">
        <f>IF(GETPIVOTDATA(_xlfn.VALUETOTEXT($A$4),'PREFILL-PIVOT'!$A$3,_xlfn.VALUETOTEXT($A$6),$A21,"Experiment",F$5,"date",F$6)=0,NA(),GETPIVOTDATA(_xlfn.VALUETOTEXT($A$4),'PREFILL-PIVOT'!$A$3,_xlfn.VALUETOTEXT($A$6),$A21,"Experiment",F$5,"date",F$6))</f>
        <v>0.2141179992798363</v>
      </c>
      <c r="G21" t="e">
        <f>IF(GETPIVOTDATA(_xlfn.VALUETOTEXT($A$4),'PREFILL-PIVOT'!$A$3,_xlfn.VALUETOTEXT($A$6),$A21,"Experiment",G$5,"date",G$6)=0,NA(),GETPIVOTDATA(_xlfn.VALUETOTEXT($A$4),'PREFILL-PIVOT'!$A$3,_xlfn.VALUETOTEXT($A$6),$A21,"Experiment",G$5,"date",G$6))</f>
        <v>#N/A</v>
      </c>
      <c r="H21">
        <f>IF(GETPIVOTDATA(_xlfn.VALUETOTEXT($A$4),'PREFILL-PIVOT'!$A$3,_xlfn.VALUETOTEXT($A$6),$A21,"Experiment",H$5,"date",H$6)=0,NA(),GETPIVOTDATA(_xlfn.VALUETOTEXT($A$4),'PREFILL-PIVOT'!$A$3,_xlfn.VALUETOTEXT($A$6),$A21,"Experiment",H$5,"date",H$6))</f>
        <v>0.26500080159138367</v>
      </c>
      <c r="I21" t="e">
        <f>IF(GETPIVOTDATA(_xlfn.VALUETOTEXT($A$4),'PREFILL-PIVOT'!$A$3,_xlfn.VALUETOTEXT($A$6),$A21,"Experiment",I$5,"date",I$6)=0,NA(),GETPIVOTDATA(_xlfn.VALUETOTEXT($A$4),'PREFILL-PIVOT'!$A$3,_xlfn.VALUETOTEXT($A$6),$A21,"Experiment",I$5,"date",I$6))</f>
        <v>#REF!</v>
      </c>
      <c r="J21" t="e">
        <f>IF(GETPIVOTDATA(_xlfn.VALUETOTEXT($A$4),'PREFILL-PIVOT'!$A$3,_xlfn.VALUETOTEXT($A$6),$A21,"Experiment",J$5,"date",J$6)=0,NA(),GETPIVOTDATA(_xlfn.VALUETOTEXT($A$4),'PREFILL-PIVOT'!$A$3,_xlfn.VALUETOTEXT($A$6),$A21,"Experiment",J$5,"date",J$6))</f>
        <v>#REF!</v>
      </c>
      <c r="K21" t="e">
        <f>IF(GETPIVOTDATA(_xlfn.VALUETOTEXT($A$4),'PREFILL-PIVOT'!$A$3,_xlfn.VALUETOTEXT($A$6),$A21,"Experiment",K$5,"date",K$6)=0,NA(),GETPIVOTDATA(_xlfn.VALUETOTEXT($A$4),'PREFILL-PIVOT'!$A$3,_xlfn.VALUETOTEXT($A$6),$A21,"Experiment",K$5,"date",K$6))</f>
        <v>#REF!</v>
      </c>
      <c r="L21" t="e">
        <f>IF(GETPIVOTDATA(_xlfn.VALUETOTEXT($A$4),'PREFILL-PIVOT'!$A$3,_xlfn.VALUETOTEXT($A$6),$A21,"Experiment",L$5,"date",L$6)=0,NA(),GETPIVOTDATA(_xlfn.VALUETOTEXT($A$4),'PREFILL-PIVOT'!$A$3,_xlfn.VALUETOTEXT($A$6),$A21,"Experiment",L$5,"date",L$6))</f>
        <v>#REF!</v>
      </c>
      <c r="M21" t="e">
        <f>IF(GETPIVOTDATA(_xlfn.VALUETOTEXT($A$4),'PREFILL-PIVOT'!$A$3,_xlfn.VALUETOTEXT($A$6),$A21,"Experiment",M$5,"date",M$6)=0,NA(),GETPIVOTDATA(_xlfn.VALUETOTEXT($A$4),'PREFILL-PIVOT'!$A$3,_xlfn.VALUETOTEXT($A$6),$A21,"Experiment",M$5,"date",M$6))</f>
        <v>#REF!</v>
      </c>
    </row>
    <row r="22" spans="1:13" x14ac:dyDescent="0.25">
      <c r="A22" s="222">
        <f>IF('PREFILL-PIVOT'!A20=0,NA(),'PREFILL-PIVOT'!A20)</f>
        <v>3.8</v>
      </c>
      <c r="B22" t="e">
        <f>IF(GETPIVOTDATA(_xlfn.VALUETOTEXT($A$4),'PREFILL-PIVOT'!$A$3,_xlfn.VALUETOTEXT($A$6),$A22,"Experiment",B$5,"date",B$6)=0,NA(),GETPIVOTDATA(_xlfn.VALUETOTEXT($A$4),'PREFILL-PIVOT'!$A$3,_xlfn.VALUETOTEXT($A$6),$A22,"Experiment",B$5,"date",B$6))</f>
        <v>#N/A</v>
      </c>
      <c r="C22">
        <f>IF(GETPIVOTDATA(_xlfn.VALUETOTEXT($A$4),'PREFILL-PIVOT'!$A$3,_xlfn.VALUETOTEXT($A$6),$A22,"Experiment",C$5,"date",C$6)=0,NA(),GETPIVOTDATA(_xlfn.VALUETOTEXT($A$4),'PREFILL-PIVOT'!$A$3,_xlfn.VALUETOTEXT($A$6),$A22,"Experiment",C$5,"date",C$6))</f>
        <v>0.18666512909385616</v>
      </c>
      <c r="D22" t="e">
        <f>IF(GETPIVOTDATA(_xlfn.VALUETOTEXT($A$4),'PREFILL-PIVOT'!$A$3,_xlfn.VALUETOTEXT($A$6),$A22,"Experiment",D$5,"date",D$6)=0,NA(),GETPIVOTDATA(_xlfn.VALUETOTEXT($A$4),'PREFILL-PIVOT'!$A$3,_xlfn.VALUETOTEXT($A$6),$A22,"Experiment",D$5,"date",D$6))</f>
        <v>#N/A</v>
      </c>
      <c r="E22" t="e">
        <f>IF(GETPIVOTDATA(_xlfn.VALUETOTEXT($A$4),'PREFILL-PIVOT'!$A$3,_xlfn.VALUETOTEXT($A$6),$A22,"Experiment",E$5,"date",E$6)=0,NA(),GETPIVOTDATA(_xlfn.VALUETOTEXT($A$4),'PREFILL-PIVOT'!$A$3,_xlfn.VALUETOTEXT($A$6),$A22,"Experiment",E$5,"date",E$6))</f>
        <v>#N/A</v>
      </c>
      <c r="F22" t="e">
        <f>IF(GETPIVOTDATA(_xlfn.VALUETOTEXT($A$4),'PREFILL-PIVOT'!$A$3,_xlfn.VALUETOTEXT($A$6),$A22,"Experiment",F$5,"date",F$6)=0,NA(),GETPIVOTDATA(_xlfn.VALUETOTEXT($A$4),'PREFILL-PIVOT'!$A$3,_xlfn.VALUETOTEXT($A$6),$A22,"Experiment",F$5,"date",F$6))</f>
        <v>#N/A</v>
      </c>
      <c r="G22">
        <f>IF(GETPIVOTDATA(_xlfn.VALUETOTEXT($A$4),'PREFILL-PIVOT'!$A$3,_xlfn.VALUETOTEXT($A$6),$A22,"Experiment",G$5,"date",G$6)=0,NA(),GETPIVOTDATA(_xlfn.VALUETOTEXT($A$4),'PREFILL-PIVOT'!$A$3,_xlfn.VALUETOTEXT($A$6),$A22,"Experiment",G$5,"date",G$6))</f>
        <v>1.097514941873035</v>
      </c>
      <c r="H22" t="e">
        <f>IF(GETPIVOTDATA(_xlfn.VALUETOTEXT($A$4),'PREFILL-PIVOT'!$A$3,_xlfn.VALUETOTEXT($A$6),$A22,"Experiment",H$5,"date",H$6)=0,NA(),GETPIVOTDATA(_xlfn.VALUETOTEXT($A$4),'PREFILL-PIVOT'!$A$3,_xlfn.VALUETOTEXT($A$6),$A22,"Experiment",H$5,"date",H$6))</f>
        <v>#N/A</v>
      </c>
      <c r="I22" t="e">
        <f>IF(GETPIVOTDATA(_xlfn.VALUETOTEXT($A$4),'PREFILL-PIVOT'!$A$3,_xlfn.VALUETOTEXT($A$6),$A22,"Experiment",I$5,"date",I$6)=0,NA(),GETPIVOTDATA(_xlfn.VALUETOTEXT($A$4),'PREFILL-PIVOT'!$A$3,_xlfn.VALUETOTEXT($A$6),$A22,"Experiment",I$5,"date",I$6))</f>
        <v>#REF!</v>
      </c>
      <c r="J22" t="e">
        <f>IF(GETPIVOTDATA(_xlfn.VALUETOTEXT($A$4),'PREFILL-PIVOT'!$A$3,_xlfn.VALUETOTEXT($A$6),$A22,"Experiment",J$5,"date",J$6)=0,NA(),GETPIVOTDATA(_xlfn.VALUETOTEXT($A$4),'PREFILL-PIVOT'!$A$3,_xlfn.VALUETOTEXT($A$6),$A22,"Experiment",J$5,"date",J$6))</f>
        <v>#REF!</v>
      </c>
      <c r="K22" t="e">
        <f>IF(GETPIVOTDATA(_xlfn.VALUETOTEXT($A$4),'PREFILL-PIVOT'!$A$3,_xlfn.VALUETOTEXT($A$6),$A22,"Experiment",K$5,"date",K$6)=0,NA(),GETPIVOTDATA(_xlfn.VALUETOTEXT($A$4),'PREFILL-PIVOT'!$A$3,_xlfn.VALUETOTEXT($A$6),$A22,"Experiment",K$5,"date",K$6))</f>
        <v>#REF!</v>
      </c>
      <c r="L22" t="e">
        <f>IF(GETPIVOTDATA(_xlfn.VALUETOTEXT($A$4),'PREFILL-PIVOT'!$A$3,_xlfn.VALUETOTEXT($A$6),$A22,"Experiment",L$5,"date",L$6)=0,NA(),GETPIVOTDATA(_xlfn.VALUETOTEXT($A$4),'PREFILL-PIVOT'!$A$3,_xlfn.VALUETOTEXT($A$6),$A22,"Experiment",L$5,"date",L$6))</f>
        <v>#REF!</v>
      </c>
      <c r="M22" t="e">
        <f>IF(GETPIVOTDATA(_xlfn.VALUETOTEXT($A$4),'PREFILL-PIVOT'!$A$3,_xlfn.VALUETOTEXT($A$6),$A22,"Experiment",M$5,"date",M$6)=0,NA(),GETPIVOTDATA(_xlfn.VALUETOTEXT($A$4),'PREFILL-PIVOT'!$A$3,_xlfn.VALUETOTEXT($A$6),$A22,"Experiment",M$5,"date",M$6))</f>
        <v>#REF!</v>
      </c>
    </row>
    <row r="23" spans="1:13" x14ac:dyDescent="0.25">
      <c r="A23" s="222">
        <f>IF('PREFILL-PIVOT'!A21=0,NA(),'PREFILL-PIVOT'!A21)</f>
        <v>4</v>
      </c>
      <c r="B23" t="e">
        <f>IF(GETPIVOTDATA(_xlfn.VALUETOTEXT($A$4),'PREFILL-PIVOT'!$A$3,_xlfn.VALUETOTEXT($A$6),$A23,"Experiment",B$5,"date",B$6)=0,NA(),GETPIVOTDATA(_xlfn.VALUETOTEXT($A$4),'PREFILL-PIVOT'!$A$3,_xlfn.VALUETOTEXT($A$6),$A23,"Experiment",B$5,"date",B$6))</f>
        <v>#N/A</v>
      </c>
      <c r="C23">
        <f>IF(GETPIVOTDATA(_xlfn.VALUETOTEXT($A$4),'PREFILL-PIVOT'!$A$3,_xlfn.VALUETOTEXT($A$6),$A23,"Experiment",C$5,"date",C$6)=0,NA(),GETPIVOTDATA(_xlfn.VALUETOTEXT($A$4),'PREFILL-PIVOT'!$A$3,_xlfn.VALUETOTEXT($A$6),$A23,"Experiment",C$5,"date",C$6))</f>
        <v>0.20479113765244134</v>
      </c>
      <c r="D23">
        <f>IF(GETPIVOTDATA(_xlfn.VALUETOTEXT($A$4),'PREFILL-PIVOT'!$A$3,_xlfn.VALUETOTEXT($A$6),$A23,"Experiment",D$5,"date",D$6)=0,NA(),GETPIVOTDATA(_xlfn.VALUETOTEXT($A$4),'PREFILL-PIVOT'!$A$3,_xlfn.VALUETOTEXT($A$6),$A23,"Experiment",D$5,"date",D$6))</f>
        <v>0.21021471894285801</v>
      </c>
      <c r="E23">
        <f>IF(GETPIVOTDATA(_xlfn.VALUETOTEXT($A$4),'PREFILL-PIVOT'!$A$3,_xlfn.VALUETOTEXT($A$6),$A23,"Experiment",E$5,"date",E$6)=0,NA(),GETPIVOTDATA(_xlfn.VALUETOTEXT($A$4),'PREFILL-PIVOT'!$A$3,_xlfn.VALUETOTEXT($A$6),$A23,"Experiment",E$5,"date",E$6))</f>
        <v>0.24776598173587749</v>
      </c>
      <c r="F23">
        <f>IF(GETPIVOTDATA(_xlfn.VALUETOTEXT($A$4),'PREFILL-PIVOT'!$A$3,_xlfn.VALUETOTEXT($A$6),$A23,"Experiment",F$5,"date",F$6)=0,NA(),GETPIVOTDATA(_xlfn.VALUETOTEXT($A$4),'PREFILL-PIVOT'!$A$3,_xlfn.VALUETOTEXT($A$6),$A23,"Experiment",F$5,"date",F$6))</f>
        <v>0.22371002404670326</v>
      </c>
      <c r="G23">
        <f>IF(GETPIVOTDATA(_xlfn.VALUETOTEXT($A$4),'PREFILL-PIVOT'!$A$3,_xlfn.VALUETOTEXT($A$6),$A23,"Experiment",G$5,"date",G$6)=0,NA(),GETPIVOTDATA(_xlfn.VALUETOTEXT($A$4),'PREFILL-PIVOT'!$A$3,_xlfn.VALUETOTEXT($A$6),$A23,"Experiment",G$5,"date",G$6))</f>
        <v>0.48408511269759902</v>
      </c>
      <c r="H23">
        <f>IF(GETPIVOTDATA(_xlfn.VALUETOTEXT($A$4),'PREFILL-PIVOT'!$A$3,_xlfn.VALUETOTEXT($A$6),$A23,"Experiment",H$5,"date",H$6)=0,NA(),GETPIVOTDATA(_xlfn.VALUETOTEXT($A$4),'PREFILL-PIVOT'!$A$3,_xlfn.VALUETOTEXT($A$6),$A23,"Experiment",H$5,"date",H$6))</f>
        <v>0.34435389896390012</v>
      </c>
      <c r="I23" t="e">
        <f>IF(GETPIVOTDATA(_xlfn.VALUETOTEXT($A$4),'PREFILL-PIVOT'!$A$3,_xlfn.VALUETOTEXT($A$6),$A23,"Experiment",I$5,"date",I$6)=0,NA(),GETPIVOTDATA(_xlfn.VALUETOTEXT($A$4),'PREFILL-PIVOT'!$A$3,_xlfn.VALUETOTEXT($A$6),$A23,"Experiment",I$5,"date",I$6))</f>
        <v>#REF!</v>
      </c>
      <c r="J23" t="e">
        <f>IF(GETPIVOTDATA(_xlfn.VALUETOTEXT($A$4),'PREFILL-PIVOT'!$A$3,_xlfn.VALUETOTEXT($A$6),$A23,"Experiment",J$5,"date",J$6)=0,NA(),GETPIVOTDATA(_xlfn.VALUETOTEXT($A$4),'PREFILL-PIVOT'!$A$3,_xlfn.VALUETOTEXT($A$6),$A23,"Experiment",J$5,"date",J$6))</f>
        <v>#REF!</v>
      </c>
      <c r="K23" t="e">
        <f>IF(GETPIVOTDATA(_xlfn.VALUETOTEXT($A$4),'PREFILL-PIVOT'!$A$3,_xlfn.VALUETOTEXT($A$6),$A23,"Experiment",K$5,"date",K$6)=0,NA(),GETPIVOTDATA(_xlfn.VALUETOTEXT($A$4),'PREFILL-PIVOT'!$A$3,_xlfn.VALUETOTEXT($A$6),$A23,"Experiment",K$5,"date",K$6))</f>
        <v>#REF!</v>
      </c>
      <c r="L23" t="e">
        <f>IF(GETPIVOTDATA(_xlfn.VALUETOTEXT($A$4),'PREFILL-PIVOT'!$A$3,_xlfn.VALUETOTEXT($A$6),$A23,"Experiment",L$5,"date",L$6)=0,NA(),GETPIVOTDATA(_xlfn.VALUETOTEXT($A$4),'PREFILL-PIVOT'!$A$3,_xlfn.VALUETOTEXT($A$6),$A23,"Experiment",L$5,"date",L$6))</f>
        <v>#REF!</v>
      </c>
      <c r="M23" t="e">
        <f>IF(GETPIVOTDATA(_xlfn.VALUETOTEXT($A$4),'PREFILL-PIVOT'!$A$3,_xlfn.VALUETOTEXT($A$6),$A23,"Experiment",M$5,"date",M$6)=0,NA(),GETPIVOTDATA(_xlfn.VALUETOTEXT($A$4),'PREFILL-PIVOT'!$A$3,_xlfn.VALUETOTEXT($A$6),$A23,"Experiment",M$5,"date",M$6))</f>
        <v>#REF!</v>
      </c>
    </row>
    <row r="24" spans="1:13" x14ac:dyDescent="0.25">
      <c r="A24" s="222">
        <f>IF('PREFILL-PIVOT'!A22=0,NA(),'PREFILL-PIVOT'!A22)</f>
        <v>4.2</v>
      </c>
      <c r="B24" t="e">
        <f>IF(GETPIVOTDATA(_xlfn.VALUETOTEXT($A$4),'PREFILL-PIVOT'!$A$3,_xlfn.VALUETOTEXT($A$6),$A24,"Experiment",B$5,"date",B$6)=0,NA(),GETPIVOTDATA(_xlfn.VALUETOTEXT($A$4),'PREFILL-PIVOT'!$A$3,_xlfn.VALUETOTEXT($A$6),$A24,"Experiment",B$5,"date",B$6))</f>
        <v>#N/A</v>
      </c>
      <c r="C24">
        <f>IF(GETPIVOTDATA(_xlfn.VALUETOTEXT($A$4),'PREFILL-PIVOT'!$A$3,_xlfn.VALUETOTEXT($A$6),$A24,"Experiment",C$5,"date",C$6)=0,NA(),GETPIVOTDATA(_xlfn.VALUETOTEXT($A$4),'PREFILL-PIVOT'!$A$3,_xlfn.VALUETOTEXT($A$6),$A24,"Experiment",C$5,"date",C$6))</f>
        <v>0.18760349416758715</v>
      </c>
      <c r="D24">
        <f>IF(GETPIVOTDATA(_xlfn.VALUETOTEXT($A$4),'PREFILL-PIVOT'!$A$3,_xlfn.VALUETOTEXT($A$6),$A24,"Experiment",D$5,"date",D$6)=0,NA(),GETPIVOTDATA(_xlfn.VALUETOTEXT($A$4),'PREFILL-PIVOT'!$A$3,_xlfn.VALUETOTEXT($A$6),$A24,"Experiment",D$5,"date",D$6))</f>
        <v>0.25286004256319128</v>
      </c>
      <c r="E24" t="e">
        <f>IF(GETPIVOTDATA(_xlfn.VALUETOTEXT($A$4),'PREFILL-PIVOT'!$A$3,_xlfn.VALUETOTEXT($A$6),$A24,"Experiment",E$5,"date",E$6)=0,NA(),GETPIVOTDATA(_xlfn.VALUETOTEXT($A$4),'PREFILL-PIVOT'!$A$3,_xlfn.VALUETOTEXT($A$6),$A24,"Experiment",E$5,"date",E$6))</f>
        <v>#N/A</v>
      </c>
      <c r="F24">
        <f>IF(GETPIVOTDATA(_xlfn.VALUETOTEXT($A$4),'PREFILL-PIVOT'!$A$3,_xlfn.VALUETOTEXT($A$6),$A24,"Experiment",F$5,"date",F$6)=0,NA(),GETPIVOTDATA(_xlfn.VALUETOTEXT($A$4),'PREFILL-PIVOT'!$A$3,_xlfn.VALUETOTEXT($A$6),$A24,"Experiment",F$5,"date",F$6))</f>
        <v>0.22094525694475095</v>
      </c>
      <c r="G24" t="e">
        <f>IF(GETPIVOTDATA(_xlfn.VALUETOTEXT($A$4),'PREFILL-PIVOT'!$A$3,_xlfn.VALUETOTEXT($A$6),$A24,"Experiment",G$5,"date",G$6)=0,NA(),GETPIVOTDATA(_xlfn.VALUETOTEXT($A$4),'PREFILL-PIVOT'!$A$3,_xlfn.VALUETOTEXT($A$6),$A24,"Experiment",G$5,"date",G$6))</f>
        <v>#N/A</v>
      </c>
      <c r="H24">
        <f>IF(GETPIVOTDATA(_xlfn.VALUETOTEXT($A$4),'PREFILL-PIVOT'!$A$3,_xlfn.VALUETOTEXT($A$6),$A24,"Experiment",H$5,"date",H$6)=0,NA(),GETPIVOTDATA(_xlfn.VALUETOTEXT($A$4),'PREFILL-PIVOT'!$A$3,_xlfn.VALUETOTEXT($A$6),$A24,"Experiment",H$5,"date",H$6))</f>
        <v>0.3306238962355677</v>
      </c>
      <c r="I24" t="e">
        <f>IF(GETPIVOTDATA(_xlfn.VALUETOTEXT($A$4),'PREFILL-PIVOT'!$A$3,_xlfn.VALUETOTEXT($A$6),$A24,"Experiment",I$5,"date",I$6)=0,NA(),GETPIVOTDATA(_xlfn.VALUETOTEXT($A$4),'PREFILL-PIVOT'!$A$3,_xlfn.VALUETOTEXT($A$6),$A24,"Experiment",I$5,"date",I$6))</f>
        <v>#REF!</v>
      </c>
      <c r="J24" t="e">
        <f>IF(GETPIVOTDATA(_xlfn.VALUETOTEXT($A$4),'PREFILL-PIVOT'!$A$3,_xlfn.VALUETOTEXT($A$6),$A24,"Experiment",J$5,"date",J$6)=0,NA(),GETPIVOTDATA(_xlfn.VALUETOTEXT($A$4),'PREFILL-PIVOT'!$A$3,_xlfn.VALUETOTEXT($A$6),$A24,"Experiment",J$5,"date",J$6))</f>
        <v>#REF!</v>
      </c>
      <c r="K24" t="e">
        <f>IF(GETPIVOTDATA(_xlfn.VALUETOTEXT($A$4),'PREFILL-PIVOT'!$A$3,_xlfn.VALUETOTEXT($A$6),$A24,"Experiment",K$5,"date",K$6)=0,NA(),GETPIVOTDATA(_xlfn.VALUETOTEXT($A$4),'PREFILL-PIVOT'!$A$3,_xlfn.VALUETOTEXT($A$6),$A24,"Experiment",K$5,"date",K$6))</f>
        <v>#REF!</v>
      </c>
      <c r="L24" t="e">
        <f>IF(GETPIVOTDATA(_xlfn.VALUETOTEXT($A$4),'PREFILL-PIVOT'!$A$3,_xlfn.VALUETOTEXT($A$6),$A24,"Experiment",L$5,"date",L$6)=0,NA(),GETPIVOTDATA(_xlfn.VALUETOTEXT($A$4),'PREFILL-PIVOT'!$A$3,_xlfn.VALUETOTEXT($A$6),$A24,"Experiment",L$5,"date",L$6))</f>
        <v>#REF!</v>
      </c>
      <c r="M24" t="e">
        <f>IF(GETPIVOTDATA(_xlfn.VALUETOTEXT($A$4),'PREFILL-PIVOT'!$A$3,_xlfn.VALUETOTEXT($A$6),$A24,"Experiment",M$5,"date",M$6)=0,NA(),GETPIVOTDATA(_xlfn.VALUETOTEXT($A$4),'PREFILL-PIVOT'!$A$3,_xlfn.VALUETOTEXT($A$6),$A24,"Experiment",M$5,"date",M$6))</f>
        <v>#REF!</v>
      </c>
    </row>
    <row r="25" spans="1:13" x14ac:dyDescent="0.25">
      <c r="A25" s="222">
        <f>IF('PREFILL-PIVOT'!A23=0,NA(),'PREFILL-PIVOT'!A23)</f>
        <v>4.4000000000000004</v>
      </c>
      <c r="B25" t="e">
        <f>IF(GETPIVOTDATA(_xlfn.VALUETOTEXT($A$4),'PREFILL-PIVOT'!$A$3,_xlfn.VALUETOTEXT($A$6),$A25,"Experiment",B$5,"date",B$6)=0,NA(),GETPIVOTDATA(_xlfn.VALUETOTEXT($A$4),'PREFILL-PIVOT'!$A$3,_xlfn.VALUETOTEXT($A$6),$A25,"Experiment",B$5,"date",B$6))</f>
        <v>#N/A</v>
      </c>
      <c r="C25">
        <f>IF(GETPIVOTDATA(_xlfn.VALUETOTEXT($A$4),'PREFILL-PIVOT'!$A$3,_xlfn.VALUETOTEXT($A$6),$A25,"Experiment",C$5,"date",C$6)=0,NA(),GETPIVOTDATA(_xlfn.VALUETOTEXT($A$4),'PREFILL-PIVOT'!$A$3,_xlfn.VALUETOTEXT($A$6),$A25,"Experiment",C$5,"date",C$6))</f>
        <v>0.21398528934232625</v>
      </c>
      <c r="D25">
        <f>IF(GETPIVOTDATA(_xlfn.VALUETOTEXT($A$4),'PREFILL-PIVOT'!$A$3,_xlfn.VALUETOTEXT($A$6),$A25,"Experiment",D$5,"date",D$6)=0,NA(),GETPIVOTDATA(_xlfn.VALUETOTEXT($A$4),'PREFILL-PIVOT'!$A$3,_xlfn.VALUETOTEXT($A$6),$A25,"Experiment",D$5,"date",D$6))</f>
        <v>0.25693345001399481</v>
      </c>
      <c r="E25" t="e">
        <f>IF(GETPIVOTDATA(_xlfn.VALUETOTEXT($A$4),'PREFILL-PIVOT'!$A$3,_xlfn.VALUETOTEXT($A$6),$A25,"Experiment",E$5,"date",E$6)=0,NA(),GETPIVOTDATA(_xlfn.VALUETOTEXT($A$4),'PREFILL-PIVOT'!$A$3,_xlfn.VALUETOTEXT($A$6),$A25,"Experiment",E$5,"date",E$6))</f>
        <v>#N/A</v>
      </c>
      <c r="F25">
        <f>IF(GETPIVOTDATA(_xlfn.VALUETOTEXT($A$4),'PREFILL-PIVOT'!$A$3,_xlfn.VALUETOTEXT($A$6),$A25,"Experiment",F$5,"date",F$6)=0,NA(),GETPIVOTDATA(_xlfn.VALUETOTEXT($A$4),'PREFILL-PIVOT'!$A$3,_xlfn.VALUETOTEXT($A$6),$A25,"Experiment",F$5,"date",F$6))</f>
        <v>0.25435601002728703</v>
      </c>
      <c r="G25" t="e">
        <f>IF(GETPIVOTDATA(_xlfn.VALUETOTEXT($A$4),'PREFILL-PIVOT'!$A$3,_xlfn.VALUETOTEXT($A$6),$A25,"Experiment",G$5,"date",G$6)=0,NA(),GETPIVOTDATA(_xlfn.VALUETOTEXT($A$4),'PREFILL-PIVOT'!$A$3,_xlfn.VALUETOTEXT($A$6),$A25,"Experiment",G$5,"date",G$6))</f>
        <v>#N/A</v>
      </c>
      <c r="H25">
        <f>IF(GETPIVOTDATA(_xlfn.VALUETOTEXT($A$4),'PREFILL-PIVOT'!$A$3,_xlfn.VALUETOTEXT($A$6),$A25,"Experiment",H$5,"date",H$6)=0,NA(),GETPIVOTDATA(_xlfn.VALUETOTEXT($A$4),'PREFILL-PIVOT'!$A$3,_xlfn.VALUETOTEXT($A$6),$A25,"Experiment",H$5,"date",H$6))</f>
        <v>0.49033358348481709</v>
      </c>
      <c r="I25" t="e">
        <f>IF(GETPIVOTDATA(_xlfn.VALUETOTEXT($A$4),'PREFILL-PIVOT'!$A$3,_xlfn.VALUETOTEXT($A$6),$A25,"Experiment",I$5,"date",I$6)=0,NA(),GETPIVOTDATA(_xlfn.VALUETOTEXT($A$4),'PREFILL-PIVOT'!$A$3,_xlfn.VALUETOTEXT($A$6),$A25,"Experiment",I$5,"date",I$6))</f>
        <v>#REF!</v>
      </c>
      <c r="J25" t="e">
        <f>IF(GETPIVOTDATA(_xlfn.VALUETOTEXT($A$4),'PREFILL-PIVOT'!$A$3,_xlfn.VALUETOTEXT($A$6),$A25,"Experiment",J$5,"date",J$6)=0,NA(),GETPIVOTDATA(_xlfn.VALUETOTEXT($A$4),'PREFILL-PIVOT'!$A$3,_xlfn.VALUETOTEXT($A$6),$A25,"Experiment",J$5,"date",J$6))</f>
        <v>#REF!</v>
      </c>
      <c r="K25" t="e">
        <f>IF(GETPIVOTDATA(_xlfn.VALUETOTEXT($A$4),'PREFILL-PIVOT'!$A$3,_xlfn.VALUETOTEXT($A$6),$A25,"Experiment",K$5,"date",K$6)=0,NA(),GETPIVOTDATA(_xlfn.VALUETOTEXT($A$4),'PREFILL-PIVOT'!$A$3,_xlfn.VALUETOTEXT($A$6),$A25,"Experiment",K$5,"date",K$6))</f>
        <v>#REF!</v>
      </c>
      <c r="L25" t="e">
        <f>IF(GETPIVOTDATA(_xlfn.VALUETOTEXT($A$4),'PREFILL-PIVOT'!$A$3,_xlfn.VALUETOTEXT($A$6),$A25,"Experiment",L$5,"date",L$6)=0,NA(),GETPIVOTDATA(_xlfn.VALUETOTEXT($A$4),'PREFILL-PIVOT'!$A$3,_xlfn.VALUETOTEXT($A$6),$A25,"Experiment",L$5,"date",L$6))</f>
        <v>#REF!</v>
      </c>
      <c r="M25" t="e">
        <f>IF(GETPIVOTDATA(_xlfn.VALUETOTEXT($A$4),'PREFILL-PIVOT'!$A$3,_xlfn.VALUETOTEXT($A$6),$A25,"Experiment",M$5,"date",M$6)=0,NA(),GETPIVOTDATA(_xlfn.VALUETOTEXT($A$4),'PREFILL-PIVOT'!$A$3,_xlfn.VALUETOTEXT($A$6),$A25,"Experiment",M$5,"date",M$6))</f>
        <v>#REF!</v>
      </c>
    </row>
    <row r="26" spans="1:13" x14ac:dyDescent="0.25">
      <c r="A26" s="222">
        <f>IF('PREFILL-PIVOT'!A24=0,NA(),'PREFILL-PIVOT'!A24)</f>
        <v>4.5</v>
      </c>
      <c r="B26" t="e">
        <f>IF(GETPIVOTDATA(_xlfn.VALUETOTEXT($A$4),'PREFILL-PIVOT'!$A$3,_xlfn.VALUETOTEXT($A$6),$A26,"Experiment",B$5,"date",B$6)=0,NA(),GETPIVOTDATA(_xlfn.VALUETOTEXT($A$4),'PREFILL-PIVOT'!$A$3,_xlfn.VALUETOTEXT($A$6),$A26,"Experiment",B$5,"date",B$6))</f>
        <v>#N/A</v>
      </c>
      <c r="C26" t="e">
        <f>IF(GETPIVOTDATA(_xlfn.VALUETOTEXT($A$4),'PREFILL-PIVOT'!$A$3,_xlfn.VALUETOTEXT($A$6),$A26,"Experiment",C$5,"date",C$6)=0,NA(),GETPIVOTDATA(_xlfn.VALUETOTEXT($A$4),'PREFILL-PIVOT'!$A$3,_xlfn.VALUETOTEXT($A$6),$A26,"Experiment",C$5,"date",C$6))</f>
        <v>#N/A</v>
      </c>
      <c r="D26" t="e">
        <f>IF(GETPIVOTDATA(_xlfn.VALUETOTEXT($A$4),'PREFILL-PIVOT'!$A$3,_xlfn.VALUETOTEXT($A$6),$A26,"Experiment",D$5,"date",D$6)=0,NA(),GETPIVOTDATA(_xlfn.VALUETOTEXT($A$4),'PREFILL-PIVOT'!$A$3,_xlfn.VALUETOTEXT($A$6),$A26,"Experiment",D$5,"date",D$6))</f>
        <v>#N/A</v>
      </c>
      <c r="E26" t="e">
        <f>IF(GETPIVOTDATA(_xlfn.VALUETOTEXT($A$4),'PREFILL-PIVOT'!$A$3,_xlfn.VALUETOTEXT($A$6),$A26,"Experiment",E$5,"date",E$6)=0,NA(),GETPIVOTDATA(_xlfn.VALUETOTEXT($A$4),'PREFILL-PIVOT'!$A$3,_xlfn.VALUETOTEXT($A$6),$A26,"Experiment",E$5,"date",E$6))</f>
        <v>#N/A</v>
      </c>
      <c r="F26" t="e">
        <f>IF(GETPIVOTDATA(_xlfn.VALUETOTEXT($A$4),'PREFILL-PIVOT'!$A$3,_xlfn.VALUETOTEXT($A$6),$A26,"Experiment",F$5,"date",F$6)=0,NA(),GETPIVOTDATA(_xlfn.VALUETOTEXT($A$4),'PREFILL-PIVOT'!$A$3,_xlfn.VALUETOTEXT($A$6),$A26,"Experiment",F$5,"date",F$6))</f>
        <v>#N/A</v>
      </c>
      <c r="G26">
        <f>IF(GETPIVOTDATA(_xlfn.VALUETOTEXT($A$4),'PREFILL-PIVOT'!$A$3,_xlfn.VALUETOTEXT($A$6),$A26,"Experiment",G$5,"date",G$6)=0,NA(),GETPIVOTDATA(_xlfn.VALUETOTEXT($A$4),'PREFILL-PIVOT'!$A$3,_xlfn.VALUETOTEXT($A$6),$A26,"Experiment",G$5,"date",G$6))</f>
        <v>0.47236298177643204</v>
      </c>
      <c r="H26" t="e">
        <f>IF(GETPIVOTDATA(_xlfn.VALUETOTEXT($A$4),'PREFILL-PIVOT'!$A$3,_xlfn.VALUETOTEXT($A$6),$A26,"Experiment",H$5,"date",H$6)=0,NA(),GETPIVOTDATA(_xlfn.VALUETOTEXT($A$4),'PREFILL-PIVOT'!$A$3,_xlfn.VALUETOTEXT($A$6),$A26,"Experiment",H$5,"date",H$6))</f>
        <v>#N/A</v>
      </c>
      <c r="I26" t="e">
        <f>IF(GETPIVOTDATA(_xlfn.VALUETOTEXT($A$4),'PREFILL-PIVOT'!$A$3,_xlfn.VALUETOTEXT($A$6),$A26,"Experiment",I$5,"date",I$6)=0,NA(),GETPIVOTDATA(_xlfn.VALUETOTEXT($A$4),'PREFILL-PIVOT'!$A$3,_xlfn.VALUETOTEXT($A$6),$A26,"Experiment",I$5,"date",I$6))</f>
        <v>#REF!</v>
      </c>
      <c r="J26" t="e">
        <f>IF(GETPIVOTDATA(_xlfn.VALUETOTEXT($A$4),'PREFILL-PIVOT'!$A$3,_xlfn.VALUETOTEXT($A$6),$A26,"Experiment",J$5,"date",J$6)=0,NA(),GETPIVOTDATA(_xlfn.VALUETOTEXT($A$4),'PREFILL-PIVOT'!$A$3,_xlfn.VALUETOTEXT($A$6),$A26,"Experiment",J$5,"date",J$6))</f>
        <v>#REF!</v>
      </c>
      <c r="K26" t="e">
        <f>IF(GETPIVOTDATA(_xlfn.VALUETOTEXT($A$4),'PREFILL-PIVOT'!$A$3,_xlfn.VALUETOTEXT($A$6),$A26,"Experiment",K$5,"date",K$6)=0,NA(),GETPIVOTDATA(_xlfn.VALUETOTEXT($A$4),'PREFILL-PIVOT'!$A$3,_xlfn.VALUETOTEXT($A$6),$A26,"Experiment",K$5,"date",K$6))</f>
        <v>#REF!</v>
      </c>
      <c r="L26" t="e">
        <f>IF(GETPIVOTDATA(_xlfn.VALUETOTEXT($A$4),'PREFILL-PIVOT'!$A$3,_xlfn.VALUETOTEXT($A$6),$A26,"Experiment",L$5,"date",L$6)=0,NA(),GETPIVOTDATA(_xlfn.VALUETOTEXT($A$4),'PREFILL-PIVOT'!$A$3,_xlfn.VALUETOTEXT($A$6),$A26,"Experiment",L$5,"date",L$6))</f>
        <v>#REF!</v>
      </c>
      <c r="M26" t="e">
        <f>IF(GETPIVOTDATA(_xlfn.VALUETOTEXT($A$4),'PREFILL-PIVOT'!$A$3,_xlfn.VALUETOTEXT($A$6),$A26,"Experiment",M$5,"date",M$6)=0,NA(),GETPIVOTDATA(_xlfn.VALUETOTEXT($A$4),'PREFILL-PIVOT'!$A$3,_xlfn.VALUETOTEXT($A$6),$A26,"Experiment",M$5,"date",M$6))</f>
        <v>#REF!</v>
      </c>
    </row>
    <row r="27" spans="1:13" x14ac:dyDescent="0.25">
      <c r="A27" s="222">
        <f>IF('PREFILL-PIVOT'!A25=0,NA(),'PREFILL-PIVOT'!A25)</f>
        <v>4.5999999999999996</v>
      </c>
      <c r="B27" t="e">
        <f>IF(GETPIVOTDATA(_xlfn.VALUETOTEXT($A$4),'PREFILL-PIVOT'!$A$3,_xlfn.VALUETOTEXT($A$6),$A27,"Experiment",B$5,"date",B$6)=0,NA(),GETPIVOTDATA(_xlfn.VALUETOTEXT($A$4),'PREFILL-PIVOT'!$A$3,_xlfn.VALUETOTEXT($A$6),$A27,"Experiment",B$5,"date",B$6))</f>
        <v>#N/A</v>
      </c>
      <c r="C27">
        <f>IF(GETPIVOTDATA(_xlfn.VALUETOTEXT($A$4),'PREFILL-PIVOT'!$A$3,_xlfn.VALUETOTEXT($A$6),$A27,"Experiment",C$5,"date",C$6)=0,NA(),GETPIVOTDATA(_xlfn.VALUETOTEXT($A$4),'PREFILL-PIVOT'!$A$3,_xlfn.VALUETOTEXT($A$6),$A27,"Experiment",C$5,"date",C$6))</f>
        <v>0.22962988056941785</v>
      </c>
      <c r="D27">
        <f>IF(GETPIVOTDATA(_xlfn.VALUETOTEXT($A$4),'PREFILL-PIVOT'!$A$3,_xlfn.VALUETOTEXT($A$6),$A27,"Experiment",D$5,"date",D$6)=0,NA(),GETPIVOTDATA(_xlfn.VALUETOTEXT($A$4),'PREFILL-PIVOT'!$A$3,_xlfn.VALUETOTEXT($A$6),$A27,"Experiment",D$5,"date",D$6))</f>
        <v>0.27919130141827481</v>
      </c>
      <c r="E27" t="e">
        <f>IF(GETPIVOTDATA(_xlfn.VALUETOTEXT($A$4),'PREFILL-PIVOT'!$A$3,_xlfn.VALUETOTEXT($A$6),$A27,"Experiment",E$5,"date",E$6)=0,NA(),GETPIVOTDATA(_xlfn.VALUETOTEXT($A$4),'PREFILL-PIVOT'!$A$3,_xlfn.VALUETOTEXT($A$6),$A27,"Experiment",E$5,"date",E$6))</f>
        <v>#N/A</v>
      </c>
      <c r="F27" t="e">
        <f>IF(GETPIVOTDATA(_xlfn.VALUETOTEXT($A$4),'PREFILL-PIVOT'!$A$3,_xlfn.VALUETOTEXT($A$6),$A27,"Experiment",F$5,"date",F$6)=0,NA(),GETPIVOTDATA(_xlfn.VALUETOTEXT($A$4),'PREFILL-PIVOT'!$A$3,_xlfn.VALUETOTEXT($A$6),$A27,"Experiment",F$5,"date",F$6))</f>
        <v>#N/A</v>
      </c>
      <c r="G27" t="e">
        <f>IF(GETPIVOTDATA(_xlfn.VALUETOTEXT($A$4),'PREFILL-PIVOT'!$A$3,_xlfn.VALUETOTEXT($A$6),$A27,"Experiment",G$5,"date",G$6)=0,NA(),GETPIVOTDATA(_xlfn.VALUETOTEXT($A$4),'PREFILL-PIVOT'!$A$3,_xlfn.VALUETOTEXT($A$6),$A27,"Experiment",G$5,"date",G$6))</f>
        <v>#N/A</v>
      </c>
      <c r="H27">
        <f>IF(GETPIVOTDATA(_xlfn.VALUETOTEXT($A$4),'PREFILL-PIVOT'!$A$3,_xlfn.VALUETOTEXT($A$6),$A27,"Experiment",H$5,"date",H$6)=0,NA(),GETPIVOTDATA(_xlfn.VALUETOTEXT($A$4),'PREFILL-PIVOT'!$A$3,_xlfn.VALUETOTEXT($A$6),$A27,"Experiment",H$5,"date",H$6))</f>
        <v>0.3821734862349872</v>
      </c>
      <c r="I27" t="e">
        <f>IF(GETPIVOTDATA(_xlfn.VALUETOTEXT($A$4),'PREFILL-PIVOT'!$A$3,_xlfn.VALUETOTEXT($A$6),$A27,"Experiment",I$5,"date",I$6)=0,NA(),GETPIVOTDATA(_xlfn.VALUETOTEXT($A$4),'PREFILL-PIVOT'!$A$3,_xlfn.VALUETOTEXT($A$6),$A27,"Experiment",I$5,"date",I$6))</f>
        <v>#REF!</v>
      </c>
      <c r="J27" t="e">
        <f>IF(GETPIVOTDATA(_xlfn.VALUETOTEXT($A$4),'PREFILL-PIVOT'!$A$3,_xlfn.VALUETOTEXT($A$6),$A27,"Experiment",J$5,"date",J$6)=0,NA(),GETPIVOTDATA(_xlfn.VALUETOTEXT($A$4),'PREFILL-PIVOT'!$A$3,_xlfn.VALUETOTEXT($A$6),$A27,"Experiment",J$5,"date",J$6))</f>
        <v>#REF!</v>
      </c>
      <c r="K27" t="e">
        <f>IF(GETPIVOTDATA(_xlfn.VALUETOTEXT($A$4),'PREFILL-PIVOT'!$A$3,_xlfn.VALUETOTEXT($A$6),$A27,"Experiment",K$5,"date",K$6)=0,NA(),GETPIVOTDATA(_xlfn.VALUETOTEXT($A$4),'PREFILL-PIVOT'!$A$3,_xlfn.VALUETOTEXT($A$6),$A27,"Experiment",K$5,"date",K$6))</f>
        <v>#REF!</v>
      </c>
      <c r="L27" t="e">
        <f>IF(GETPIVOTDATA(_xlfn.VALUETOTEXT($A$4),'PREFILL-PIVOT'!$A$3,_xlfn.VALUETOTEXT($A$6),$A27,"Experiment",L$5,"date",L$6)=0,NA(),GETPIVOTDATA(_xlfn.VALUETOTEXT($A$4),'PREFILL-PIVOT'!$A$3,_xlfn.VALUETOTEXT($A$6),$A27,"Experiment",L$5,"date",L$6))</f>
        <v>#REF!</v>
      </c>
      <c r="M27" t="e">
        <f>IF(GETPIVOTDATA(_xlfn.VALUETOTEXT($A$4),'PREFILL-PIVOT'!$A$3,_xlfn.VALUETOTEXT($A$6),$A27,"Experiment",M$5,"date",M$6)=0,NA(),GETPIVOTDATA(_xlfn.VALUETOTEXT($A$4),'PREFILL-PIVOT'!$A$3,_xlfn.VALUETOTEXT($A$6),$A27,"Experiment",M$5,"date",M$6))</f>
        <v>#REF!</v>
      </c>
    </row>
    <row r="28" spans="1:13" x14ac:dyDescent="0.25">
      <c r="A28" s="222">
        <f>IF('PREFILL-PIVOT'!A26=0,NA(),'PREFILL-PIVOT'!A26)</f>
        <v>4.8</v>
      </c>
      <c r="B28" t="e">
        <f>IF(GETPIVOTDATA(_xlfn.VALUETOTEXT($A$4),'PREFILL-PIVOT'!$A$3,_xlfn.VALUETOTEXT($A$6),$A28,"Experiment",B$5,"date",B$6)=0,NA(),GETPIVOTDATA(_xlfn.VALUETOTEXT($A$4),'PREFILL-PIVOT'!$A$3,_xlfn.VALUETOTEXT($A$6),$A28,"Experiment",B$5,"date",B$6))</f>
        <v>#N/A</v>
      </c>
      <c r="C28">
        <f>IF(GETPIVOTDATA(_xlfn.VALUETOTEXT($A$4),'PREFILL-PIVOT'!$A$3,_xlfn.VALUETOTEXT($A$6),$A28,"Experiment",C$5,"date",C$6)=0,NA(),GETPIVOTDATA(_xlfn.VALUETOTEXT($A$4),'PREFILL-PIVOT'!$A$3,_xlfn.VALUETOTEXT($A$6),$A28,"Experiment",C$5,"date",C$6))</f>
        <v>0.25079316509162963</v>
      </c>
      <c r="D28">
        <f>IF(GETPIVOTDATA(_xlfn.VALUETOTEXT($A$4),'PREFILL-PIVOT'!$A$3,_xlfn.VALUETOTEXT($A$6),$A28,"Experiment",D$5,"date",D$6)=0,NA(),GETPIVOTDATA(_xlfn.VALUETOTEXT($A$4),'PREFILL-PIVOT'!$A$3,_xlfn.VALUETOTEXT($A$6),$A28,"Experiment",D$5,"date",D$6))</f>
        <v>0.59217835931553797</v>
      </c>
      <c r="E28" t="e">
        <f>IF(GETPIVOTDATA(_xlfn.VALUETOTEXT($A$4),'PREFILL-PIVOT'!$A$3,_xlfn.VALUETOTEXT($A$6),$A28,"Experiment",E$5,"date",E$6)=0,NA(),GETPIVOTDATA(_xlfn.VALUETOTEXT($A$4),'PREFILL-PIVOT'!$A$3,_xlfn.VALUETOTEXT($A$6),$A28,"Experiment",E$5,"date",E$6))</f>
        <v>#N/A</v>
      </c>
      <c r="F28" t="e">
        <f>IF(GETPIVOTDATA(_xlfn.VALUETOTEXT($A$4),'PREFILL-PIVOT'!$A$3,_xlfn.VALUETOTEXT($A$6),$A28,"Experiment",F$5,"date",F$6)=0,NA(),GETPIVOTDATA(_xlfn.VALUETOTEXT($A$4),'PREFILL-PIVOT'!$A$3,_xlfn.VALUETOTEXT($A$6),$A28,"Experiment",F$5,"date",F$6))</f>
        <v>#N/A</v>
      </c>
      <c r="G28" t="e">
        <f>IF(GETPIVOTDATA(_xlfn.VALUETOTEXT($A$4),'PREFILL-PIVOT'!$A$3,_xlfn.VALUETOTEXT($A$6),$A28,"Experiment",G$5,"date",G$6)=0,NA(),GETPIVOTDATA(_xlfn.VALUETOTEXT($A$4),'PREFILL-PIVOT'!$A$3,_xlfn.VALUETOTEXT($A$6),$A28,"Experiment",G$5,"date",G$6))</f>
        <v>#N/A</v>
      </c>
      <c r="H28">
        <f>IF(GETPIVOTDATA(_xlfn.VALUETOTEXT($A$4),'PREFILL-PIVOT'!$A$3,_xlfn.VALUETOTEXT($A$6),$A28,"Experiment",H$5,"date",H$6)=0,NA(),GETPIVOTDATA(_xlfn.VALUETOTEXT($A$4),'PREFILL-PIVOT'!$A$3,_xlfn.VALUETOTEXT($A$6),$A28,"Experiment",H$5,"date",H$6))</f>
        <v>0.58959784170468954</v>
      </c>
      <c r="I28" t="e">
        <f>IF(GETPIVOTDATA(_xlfn.VALUETOTEXT($A$4),'PREFILL-PIVOT'!$A$3,_xlfn.VALUETOTEXT($A$6),$A28,"Experiment",I$5,"date",I$6)=0,NA(),GETPIVOTDATA(_xlfn.VALUETOTEXT($A$4),'PREFILL-PIVOT'!$A$3,_xlfn.VALUETOTEXT($A$6),$A28,"Experiment",I$5,"date",I$6))</f>
        <v>#REF!</v>
      </c>
      <c r="J28" t="e">
        <f>IF(GETPIVOTDATA(_xlfn.VALUETOTEXT($A$4),'PREFILL-PIVOT'!$A$3,_xlfn.VALUETOTEXT($A$6),$A28,"Experiment",J$5,"date",J$6)=0,NA(),GETPIVOTDATA(_xlfn.VALUETOTEXT($A$4),'PREFILL-PIVOT'!$A$3,_xlfn.VALUETOTEXT($A$6),$A28,"Experiment",J$5,"date",J$6))</f>
        <v>#REF!</v>
      </c>
      <c r="K28" t="e">
        <f>IF(GETPIVOTDATA(_xlfn.VALUETOTEXT($A$4),'PREFILL-PIVOT'!$A$3,_xlfn.VALUETOTEXT($A$6),$A28,"Experiment",K$5,"date",K$6)=0,NA(),GETPIVOTDATA(_xlfn.VALUETOTEXT($A$4),'PREFILL-PIVOT'!$A$3,_xlfn.VALUETOTEXT($A$6),$A28,"Experiment",K$5,"date",K$6))</f>
        <v>#REF!</v>
      </c>
      <c r="L28" t="e">
        <f>IF(GETPIVOTDATA(_xlfn.VALUETOTEXT($A$4),'PREFILL-PIVOT'!$A$3,_xlfn.VALUETOTEXT($A$6),$A28,"Experiment",L$5,"date",L$6)=0,NA(),GETPIVOTDATA(_xlfn.VALUETOTEXT($A$4),'PREFILL-PIVOT'!$A$3,_xlfn.VALUETOTEXT($A$6),$A28,"Experiment",L$5,"date",L$6))</f>
        <v>#REF!</v>
      </c>
      <c r="M28" t="e">
        <f>IF(GETPIVOTDATA(_xlfn.VALUETOTEXT($A$4),'PREFILL-PIVOT'!$A$3,_xlfn.VALUETOTEXT($A$6),$A28,"Experiment",M$5,"date",M$6)=0,NA(),GETPIVOTDATA(_xlfn.VALUETOTEXT($A$4),'PREFILL-PIVOT'!$A$3,_xlfn.VALUETOTEXT($A$6),$A28,"Experiment",M$5,"date",M$6))</f>
        <v>#REF!</v>
      </c>
    </row>
    <row r="29" spans="1:13" x14ac:dyDescent="0.25">
      <c r="A29" s="222">
        <f>IF('PREFILL-PIVOT'!A27=0,NA(),'PREFILL-PIVOT'!A27)</f>
        <v>5</v>
      </c>
      <c r="B29" t="e">
        <f>IF(GETPIVOTDATA(_xlfn.VALUETOTEXT($A$4),'PREFILL-PIVOT'!$A$3,_xlfn.VALUETOTEXT($A$6),$A29,"Experiment",B$5,"date",B$6)=0,NA(),GETPIVOTDATA(_xlfn.VALUETOTEXT($A$4),'PREFILL-PIVOT'!$A$3,_xlfn.VALUETOTEXT($A$6),$A29,"Experiment",B$5,"date",B$6))</f>
        <v>#N/A</v>
      </c>
      <c r="C29">
        <f>IF(GETPIVOTDATA(_xlfn.VALUETOTEXT($A$4),'PREFILL-PIVOT'!$A$3,_xlfn.VALUETOTEXT($A$6),$A29,"Experiment",C$5,"date",C$6)=0,NA(),GETPIVOTDATA(_xlfn.VALUETOTEXT($A$4),'PREFILL-PIVOT'!$A$3,_xlfn.VALUETOTEXT($A$6),$A29,"Experiment",C$5,"date",C$6))</f>
        <v>0.233589265452812</v>
      </c>
      <c r="D29">
        <f>IF(GETPIVOTDATA(_xlfn.VALUETOTEXT($A$4),'PREFILL-PIVOT'!$A$3,_xlfn.VALUETOTEXT($A$6),$A29,"Experiment",D$5,"date",D$6)=0,NA(),GETPIVOTDATA(_xlfn.VALUETOTEXT($A$4),'PREFILL-PIVOT'!$A$3,_xlfn.VALUETOTEXT($A$6),$A29,"Experiment",D$5,"date",D$6))</f>
        <v>0.98734279889595244</v>
      </c>
      <c r="E29">
        <f>IF(GETPIVOTDATA(_xlfn.VALUETOTEXT($A$4),'PREFILL-PIVOT'!$A$3,_xlfn.VALUETOTEXT($A$6),$A29,"Experiment",E$5,"date",E$6)=0,NA(),GETPIVOTDATA(_xlfn.VALUETOTEXT($A$4),'PREFILL-PIVOT'!$A$3,_xlfn.VALUETOTEXT($A$6),$A29,"Experiment",E$5,"date",E$6))</f>
        <v>0.94486020957379535</v>
      </c>
      <c r="F29" t="e">
        <f>IF(GETPIVOTDATA(_xlfn.VALUETOTEXT($A$4),'PREFILL-PIVOT'!$A$3,_xlfn.VALUETOTEXT($A$6),$A29,"Experiment",F$5,"date",F$6)=0,NA(),GETPIVOTDATA(_xlfn.VALUETOTEXT($A$4),'PREFILL-PIVOT'!$A$3,_xlfn.VALUETOTEXT($A$6),$A29,"Experiment",F$5,"date",F$6))</f>
        <v>#N/A</v>
      </c>
      <c r="G29">
        <f>IF(GETPIVOTDATA(_xlfn.VALUETOTEXT($A$4),'PREFILL-PIVOT'!$A$3,_xlfn.VALUETOTEXT($A$6),$A29,"Experiment",G$5,"date",G$6)=0,NA(),GETPIVOTDATA(_xlfn.VALUETOTEXT($A$4),'PREFILL-PIVOT'!$A$3,_xlfn.VALUETOTEXT($A$6),$A29,"Experiment",G$5,"date",G$6))</f>
        <v>0.70102937710468272</v>
      </c>
      <c r="H29">
        <f>IF(GETPIVOTDATA(_xlfn.VALUETOTEXT($A$4),'PREFILL-PIVOT'!$A$3,_xlfn.VALUETOTEXT($A$6),$A29,"Experiment",H$5,"date",H$6)=0,NA(),GETPIVOTDATA(_xlfn.VALUETOTEXT($A$4),'PREFILL-PIVOT'!$A$3,_xlfn.VALUETOTEXT($A$6),$A29,"Experiment",H$5,"date",H$6))</f>
        <v>0.50133485819597334</v>
      </c>
      <c r="I29" t="e">
        <f>IF(GETPIVOTDATA(_xlfn.VALUETOTEXT($A$4),'PREFILL-PIVOT'!$A$3,_xlfn.VALUETOTEXT($A$6),$A29,"Experiment",I$5,"date",I$6)=0,NA(),GETPIVOTDATA(_xlfn.VALUETOTEXT($A$4),'PREFILL-PIVOT'!$A$3,_xlfn.VALUETOTEXT($A$6),$A29,"Experiment",I$5,"date",I$6))</f>
        <v>#REF!</v>
      </c>
      <c r="J29" t="e">
        <f>IF(GETPIVOTDATA(_xlfn.VALUETOTEXT($A$4),'PREFILL-PIVOT'!$A$3,_xlfn.VALUETOTEXT($A$6),$A29,"Experiment",J$5,"date",J$6)=0,NA(),GETPIVOTDATA(_xlfn.VALUETOTEXT($A$4),'PREFILL-PIVOT'!$A$3,_xlfn.VALUETOTEXT($A$6),$A29,"Experiment",J$5,"date",J$6))</f>
        <v>#REF!</v>
      </c>
      <c r="K29" t="e">
        <f>IF(GETPIVOTDATA(_xlfn.VALUETOTEXT($A$4),'PREFILL-PIVOT'!$A$3,_xlfn.VALUETOTEXT($A$6),$A29,"Experiment",K$5,"date",K$6)=0,NA(),GETPIVOTDATA(_xlfn.VALUETOTEXT($A$4),'PREFILL-PIVOT'!$A$3,_xlfn.VALUETOTEXT($A$6),$A29,"Experiment",K$5,"date",K$6))</f>
        <v>#REF!</v>
      </c>
      <c r="L29" t="e">
        <f>IF(GETPIVOTDATA(_xlfn.VALUETOTEXT($A$4),'PREFILL-PIVOT'!$A$3,_xlfn.VALUETOTEXT($A$6),$A29,"Experiment",L$5,"date",L$6)=0,NA(),GETPIVOTDATA(_xlfn.VALUETOTEXT($A$4),'PREFILL-PIVOT'!$A$3,_xlfn.VALUETOTEXT($A$6),$A29,"Experiment",L$5,"date",L$6))</f>
        <v>#REF!</v>
      </c>
      <c r="M29" t="e">
        <f>IF(GETPIVOTDATA(_xlfn.VALUETOTEXT($A$4),'PREFILL-PIVOT'!$A$3,_xlfn.VALUETOTEXT($A$6),$A29,"Experiment",M$5,"date",M$6)=0,NA(),GETPIVOTDATA(_xlfn.VALUETOTEXT($A$4),'PREFILL-PIVOT'!$A$3,_xlfn.VALUETOTEXT($A$6),$A29,"Experiment",M$5,"date",M$6))</f>
        <v>#REF!</v>
      </c>
    </row>
    <row r="30" spans="1:13" x14ac:dyDescent="0.25">
      <c r="A30" s="222">
        <f>IF('PREFILL-PIVOT'!A28=0,NA(),'PREFILL-PIVOT'!A28)</f>
        <v>5.2</v>
      </c>
      <c r="B30" t="e">
        <f>IF(GETPIVOTDATA(_xlfn.VALUETOTEXT($A$4),'PREFILL-PIVOT'!$A$3,_xlfn.VALUETOTEXT($A$6),$A30,"Experiment",B$5,"date",B$6)=0,NA(),GETPIVOTDATA(_xlfn.VALUETOTEXT($A$4),'PREFILL-PIVOT'!$A$3,_xlfn.VALUETOTEXT($A$6),$A30,"Experiment",B$5,"date",B$6))</f>
        <v>#N/A</v>
      </c>
      <c r="C30">
        <f>IF(GETPIVOTDATA(_xlfn.VALUETOTEXT($A$4),'PREFILL-PIVOT'!$A$3,_xlfn.VALUETOTEXT($A$6),$A30,"Experiment",C$5,"date",C$6)=0,NA(),GETPIVOTDATA(_xlfn.VALUETOTEXT($A$4),'PREFILL-PIVOT'!$A$3,_xlfn.VALUETOTEXT($A$6),$A30,"Experiment",C$5,"date",C$6))</f>
        <v>0.33392263269015754</v>
      </c>
      <c r="D30">
        <f>IF(GETPIVOTDATA(_xlfn.VALUETOTEXT($A$4),'PREFILL-PIVOT'!$A$3,_xlfn.VALUETOTEXT($A$6),$A30,"Experiment",D$5,"date",D$6)=0,NA(),GETPIVOTDATA(_xlfn.VALUETOTEXT($A$4),'PREFILL-PIVOT'!$A$3,_xlfn.VALUETOTEXT($A$6),$A30,"Experiment",D$5,"date",D$6))</f>
        <v>0.86688896098379542</v>
      </c>
      <c r="E30" t="e">
        <f>IF(GETPIVOTDATA(_xlfn.VALUETOTEXT($A$4),'PREFILL-PIVOT'!$A$3,_xlfn.VALUETOTEXT($A$6),$A30,"Experiment",E$5,"date",E$6)=0,NA(),GETPIVOTDATA(_xlfn.VALUETOTEXT($A$4),'PREFILL-PIVOT'!$A$3,_xlfn.VALUETOTEXT($A$6),$A30,"Experiment",E$5,"date",E$6))</f>
        <v>#N/A</v>
      </c>
      <c r="F30" t="e">
        <f>IF(GETPIVOTDATA(_xlfn.VALUETOTEXT($A$4),'PREFILL-PIVOT'!$A$3,_xlfn.VALUETOTEXT($A$6),$A30,"Experiment",F$5,"date",F$6)=0,NA(),GETPIVOTDATA(_xlfn.VALUETOTEXT($A$4),'PREFILL-PIVOT'!$A$3,_xlfn.VALUETOTEXT($A$6),$A30,"Experiment",F$5,"date",F$6))</f>
        <v>#N/A</v>
      </c>
      <c r="G30" t="e">
        <f>IF(GETPIVOTDATA(_xlfn.VALUETOTEXT($A$4),'PREFILL-PIVOT'!$A$3,_xlfn.VALUETOTEXT($A$6),$A30,"Experiment",G$5,"date",G$6)=0,NA(),GETPIVOTDATA(_xlfn.VALUETOTEXT($A$4),'PREFILL-PIVOT'!$A$3,_xlfn.VALUETOTEXT($A$6),$A30,"Experiment",G$5,"date",G$6))</f>
        <v>#N/A</v>
      </c>
      <c r="H30">
        <f>IF(GETPIVOTDATA(_xlfn.VALUETOTEXT($A$4),'PREFILL-PIVOT'!$A$3,_xlfn.VALUETOTEXT($A$6),$A30,"Experiment",H$5,"date",H$6)=0,NA(),GETPIVOTDATA(_xlfn.VALUETOTEXT($A$4),'PREFILL-PIVOT'!$A$3,_xlfn.VALUETOTEXT($A$6),$A30,"Experiment",H$5,"date",H$6))</f>
        <v>0.74375447320014987</v>
      </c>
      <c r="I30" t="e">
        <f>IF(GETPIVOTDATA(_xlfn.VALUETOTEXT($A$4),'PREFILL-PIVOT'!$A$3,_xlfn.VALUETOTEXT($A$6),$A30,"Experiment",I$5,"date",I$6)=0,NA(),GETPIVOTDATA(_xlfn.VALUETOTEXT($A$4),'PREFILL-PIVOT'!$A$3,_xlfn.VALUETOTEXT($A$6),$A30,"Experiment",I$5,"date",I$6))</f>
        <v>#REF!</v>
      </c>
      <c r="J30" t="e">
        <f>IF(GETPIVOTDATA(_xlfn.VALUETOTEXT($A$4),'PREFILL-PIVOT'!$A$3,_xlfn.VALUETOTEXT($A$6),$A30,"Experiment",J$5,"date",J$6)=0,NA(),GETPIVOTDATA(_xlfn.VALUETOTEXT($A$4),'PREFILL-PIVOT'!$A$3,_xlfn.VALUETOTEXT($A$6),$A30,"Experiment",J$5,"date",J$6))</f>
        <v>#REF!</v>
      </c>
      <c r="K30" t="e">
        <f>IF(GETPIVOTDATA(_xlfn.VALUETOTEXT($A$4),'PREFILL-PIVOT'!$A$3,_xlfn.VALUETOTEXT($A$6),$A30,"Experiment",K$5,"date",K$6)=0,NA(),GETPIVOTDATA(_xlfn.VALUETOTEXT($A$4),'PREFILL-PIVOT'!$A$3,_xlfn.VALUETOTEXT($A$6),$A30,"Experiment",K$5,"date",K$6))</f>
        <v>#REF!</v>
      </c>
      <c r="L30" t="e">
        <f>IF(GETPIVOTDATA(_xlfn.VALUETOTEXT($A$4),'PREFILL-PIVOT'!$A$3,_xlfn.VALUETOTEXT($A$6),$A30,"Experiment",L$5,"date",L$6)=0,NA(),GETPIVOTDATA(_xlfn.VALUETOTEXT($A$4),'PREFILL-PIVOT'!$A$3,_xlfn.VALUETOTEXT($A$6),$A30,"Experiment",L$5,"date",L$6))</f>
        <v>#REF!</v>
      </c>
      <c r="M30" t="e">
        <f>IF(GETPIVOTDATA(_xlfn.VALUETOTEXT($A$4),'PREFILL-PIVOT'!$A$3,_xlfn.VALUETOTEXT($A$6),$A30,"Experiment",M$5,"date",M$6)=0,NA(),GETPIVOTDATA(_xlfn.VALUETOTEXT($A$4),'PREFILL-PIVOT'!$A$3,_xlfn.VALUETOTEXT($A$6),$A30,"Experiment",M$5,"date",M$6))</f>
        <v>#REF!</v>
      </c>
    </row>
    <row r="31" spans="1:13" x14ac:dyDescent="0.25">
      <c r="A31" s="222">
        <f>IF('PREFILL-PIVOT'!A29=0,NA(),'PREFILL-PIVOT'!A29)</f>
        <v>5.4</v>
      </c>
      <c r="B31" t="e">
        <f>IF(GETPIVOTDATA(_xlfn.VALUETOTEXT($A$4),'PREFILL-PIVOT'!$A$3,_xlfn.VALUETOTEXT($A$6),$A31,"Experiment",B$5,"date",B$6)=0,NA(),GETPIVOTDATA(_xlfn.VALUETOTEXT($A$4),'PREFILL-PIVOT'!$A$3,_xlfn.VALUETOTEXT($A$6),$A31,"Experiment",B$5,"date",B$6))</f>
        <v>#N/A</v>
      </c>
      <c r="C31">
        <f>IF(GETPIVOTDATA(_xlfn.VALUETOTEXT($A$4),'PREFILL-PIVOT'!$A$3,_xlfn.VALUETOTEXT($A$6),$A31,"Experiment",C$5,"date",C$6)=0,NA(),GETPIVOTDATA(_xlfn.VALUETOTEXT($A$4),'PREFILL-PIVOT'!$A$3,_xlfn.VALUETOTEXT($A$6),$A31,"Experiment",C$5,"date",C$6))</f>
        <v>0.27550645379253225</v>
      </c>
      <c r="D31" t="e">
        <f>IF(GETPIVOTDATA(_xlfn.VALUETOTEXT($A$4),'PREFILL-PIVOT'!$A$3,_xlfn.VALUETOTEXT($A$6),$A31,"Experiment",D$5,"date",D$6)=0,NA(),GETPIVOTDATA(_xlfn.VALUETOTEXT($A$4),'PREFILL-PIVOT'!$A$3,_xlfn.VALUETOTEXT($A$6),$A31,"Experiment",D$5,"date",D$6))</f>
        <v>#N/A</v>
      </c>
      <c r="E31" t="e">
        <f>IF(GETPIVOTDATA(_xlfn.VALUETOTEXT($A$4),'PREFILL-PIVOT'!$A$3,_xlfn.VALUETOTEXT($A$6),$A31,"Experiment",E$5,"date",E$6)=0,NA(),GETPIVOTDATA(_xlfn.VALUETOTEXT($A$4),'PREFILL-PIVOT'!$A$3,_xlfn.VALUETOTEXT($A$6),$A31,"Experiment",E$5,"date",E$6))</f>
        <v>#N/A</v>
      </c>
      <c r="F31" t="e">
        <f>IF(GETPIVOTDATA(_xlfn.VALUETOTEXT($A$4),'PREFILL-PIVOT'!$A$3,_xlfn.VALUETOTEXT($A$6),$A31,"Experiment",F$5,"date",F$6)=0,NA(),GETPIVOTDATA(_xlfn.VALUETOTEXT($A$4),'PREFILL-PIVOT'!$A$3,_xlfn.VALUETOTEXT($A$6),$A31,"Experiment",F$5,"date",F$6))</f>
        <v>#N/A</v>
      </c>
      <c r="G31" t="e">
        <f>IF(GETPIVOTDATA(_xlfn.VALUETOTEXT($A$4),'PREFILL-PIVOT'!$A$3,_xlfn.VALUETOTEXT($A$6),$A31,"Experiment",G$5,"date",G$6)=0,NA(),GETPIVOTDATA(_xlfn.VALUETOTEXT($A$4),'PREFILL-PIVOT'!$A$3,_xlfn.VALUETOTEXT($A$6),$A31,"Experiment",G$5,"date",G$6))</f>
        <v>#N/A</v>
      </c>
      <c r="H31" t="e">
        <f>IF(GETPIVOTDATA(_xlfn.VALUETOTEXT($A$4),'PREFILL-PIVOT'!$A$3,_xlfn.VALUETOTEXT($A$6),$A31,"Experiment",H$5,"date",H$6)=0,NA(),GETPIVOTDATA(_xlfn.VALUETOTEXT($A$4),'PREFILL-PIVOT'!$A$3,_xlfn.VALUETOTEXT($A$6),$A31,"Experiment",H$5,"date",H$6))</f>
        <v>#N/A</v>
      </c>
      <c r="I31" t="e">
        <f>IF(GETPIVOTDATA(_xlfn.VALUETOTEXT($A$4),'PREFILL-PIVOT'!$A$3,_xlfn.VALUETOTEXT($A$6),$A31,"Experiment",I$5,"date",I$6)=0,NA(),GETPIVOTDATA(_xlfn.VALUETOTEXT($A$4),'PREFILL-PIVOT'!$A$3,_xlfn.VALUETOTEXT($A$6),$A31,"Experiment",I$5,"date",I$6))</f>
        <v>#REF!</v>
      </c>
      <c r="J31" t="e">
        <f>IF(GETPIVOTDATA(_xlfn.VALUETOTEXT($A$4),'PREFILL-PIVOT'!$A$3,_xlfn.VALUETOTEXT($A$6),$A31,"Experiment",J$5,"date",J$6)=0,NA(),GETPIVOTDATA(_xlfn.VALUETOTEXT($A$4),'PREFILL-PIVOT'!$A$3,_xlfn.VALUETOTEXT($A$6),$A31,"Experiment",J$5,"date",J$6))</f>
        <v>#REF!</v>
      </c>
      <c r="K31" t="e">
        <f>IF(GETPIVOTDATA(_xlfn.VALUETOTEXT($A$4),'PREFILL-PIVOT'!$A$3,_xlfn.VALUETOTEXT($A$6),$A31,"Experiment",K$5,"date",K$6)=0,NA(),GETPIVOTDATA(_xlfn.VALUETOTEXT($A$4),'PREFILL-PIVOT'!$A$3,_xlfn.VALUETOTEXT($A$6),$A31,"Experiment",K$5,"date",K$6))</f>
        <v>#REF!</v>
      </c>
      <c r="L31" t="e">
        <f>IF(GETPIVOTDATA(_xlfn.VALUETOTEXT($A$4),'PREFILL-PIVOT'!$A$3,_xlfn.VALUETOTEXT($A$6),$A31,"Experiment",L$5,"date",L$6)=0,NA(),GETPIVOTDATA(_xlfn.VALUETOTEXT($A$4),'PREFILL-PIVOT'!$A$3,_xlfn.VALUETOTEXT($A$6),$A31,"Experiment",L$5,"date",L$6))</f>
        <v>#REF!</v>
      </c>
      <c r="M31" t="e">
        <f>IF(GETPIVOTDATA(_xlfn.VALUETOTEXT($A$4),'PREFILL-PIVOT'!$A$3,_xlfn.VALUETOTEXT($A$6),$A31,"Experiment",M$5,"date",M$6)=0,NA(),GETPIVOTDATA(_xlfn.VALUETOTEXT($A$4),'PREFILL-PIVOT'!$A$3,_xlfn.VALUETOTEXT($A$6),$A31,"Experiment",M$5,"date",M$6))</f>
        <v>#REF!</v>
      </c>
    </row>
    <row r="32" spans="1:13" x14ac:dyDescent="0.25">
      <c r="A32" s="222">
        <f>IF('PREFILL-PIVOT'!A30=0,NA(),'PREFILL-PIVOT'!A30)</f>
        <v>5.4000000000000012</v>
      </c>
      <c r="B32" t="e">
        <f>IF(GETPIVOTDATA(_xlfn.VALUETOTEXT($A$4),'PREFILL-PIVOT'!$A$3,_xlfn.VALUETOTEXT($A$6),$A32,"Experiment",B$5,"date",B$6)=0,NA(),GETPIVOTDATA(_xlfn.VALUETOTEXT($A$4),'PREFILL-PIVOT'!$A$3,_xlfn.VALUETOTEXT($A$6),$A32,"Experiment",B$5,"date",B$6))</f>
        <v>#N/A</v>
      </c>
      <c r="C32" t="e">
        <f>IF(GETPIVOTDATA(_xlfn.VALUETOTEXT($A$4),'PREFILL-PIVOT'!$A$3,_xlfn.VALUETOTEXT($A$6),$A32,"Experiment",C$5,"date",C$6)=0,NA(),GETPIVOTDATA(_xlfn.VALUETOTEXT($A$4),'PREFILL-PIVOT'!$A$3,_xlfn.VALUETOTEXT($A$6),$A32,"Experiment",C$5,"date",C$6))</f>
        <v>#N/A</v>
      </c>
      <c r="D32">
        <f>IF(GETPIVOTDATA(_xlfn.VALUETOTEXT($A$4),'PREFILL-PIVOT'!$A$3,_xlfn.VALUETOTEXT($A$6),$A32,"Experiment",D$5,"date",D$6)=0,NA(),GETPIVOTDATA(_xlfn.VALUETOTEXT($A$4),'PREFILL-PIVOT'!$A$3,_xlfn.VALUETOTEXT($A$6),$A32,"Experiment",D$5,"date",D$6))</f>
        <v>1.1216695541638895</v>
      </c>
      <c r="E32" t="e">
        <f>IF(GETPIVOTDATA(_xlfn.VALUETOTEXT($A$4),'PREFILL-PIVOT'!$A$3,_xlfn.VALUETOTEXT($A$6),$A32,"Experiment",E$5,"date",E$6)=0,NA(),GETPIVOTDATA(_xlfn.VALUETOTEXT($A$4),'PREFILL-PIVOT'!$A$3,_xlfn.VALUETOTEXT($A$6),$A32,"Experiment",E$5,"date",E$6))</f>
        <v>#N/A</v>
      </c>
      <c r="F32" t="e">
        <f>IF(GETPIVOTDATA(_xlfn.VALUETOTEXT($A$4),'PREFILL-PIVOT'!$A$3,_xlfn.VALUETOTEXT($A$6),$A32,"Experiment",F$5,"date",F$6)=0,NA(),GETPIVOTDATA(_xlfn.VALUETOTEXT($A$4),'PREFILL-PIVOT'!$A$3,_xlfn.VALUETOTEXT($A$6),$A32,"Experiment",F$5,"date",F$6))</f>
        <v>#N/A</v>
      </c>
      <c r="G32" t="e">
        <f>IF(GETPIVOTDATA(_xlfn.VALUETOTEXT($A$4),'PREFILL-PIVOT'!$A$3,_xlfn.VALUETOTEXT($A$6),$A32,"Experiment",G$5,"date",G$6)=0,NA(),GETPIVOTDATA(_xlfn.VALUETOTEXT($A$4),'PREFILL-PIVOT'!$A$3,_xlfn.VALUETOTEXT($A$6),$A32,"Experiment",G$5,"date",G$6))</f>
        <v>#N/A</v>
      </c>
      <c r="H32">
        <f>IF(GETPIVOTDATA(_xlfn.VALUETOTEXT($A$4),'PREFILL-PIVOT'!$A$3,_xlfn.VALUETOTEXT($A$6),$A32,"Experiment",H$5,"date",H$6)=0,NA(),GETPIVOTDATA(_xlfn.VALUETOTEXT($A$4),'PREFILL-PIVOT'!$A$3,_xlfn.VALUETOTEXT($A$6),$A32,"Experiment",H$5,"date",H$6))</f>
        <v>0.61902965535370225</v>
      </c>
      <c r="I32" t="e">
        <f>IF(GETPIVOTDATA(_xlfn.VALUETOTEXT($A$4),'PREFILL-PIVOT'!$A$3,_xlfn.VALUETOTEXT($A$6),$A32,"Experiment",I$5,"date",I$6)=0,NA(),GETPIVOTDATA(_xlfn.VALUETOTEXT($A$4),'PREFILL-PIVOT'!$A$3,_xlfn.VALUETOTEXT($A$6),$A32,"Experiment",I$5,"date",I$6))</f>
        <v>#REF!</v>
      </c>
      <c r="J32" t="e">
        <f>IF(GETPIVOTDATA(_xlfn.VALUETOTEXT($A$4),'PREFILL-PIVOT'!$A$3,_xlfn.VALUETOTEXT($A$6),$A32,"Experiment",J$5,"date",J$6)=0,NA(),GETPIVOTDATA(_xlfn.VALUETOTEXT($A$4),'PREFILL-PIVOT'!$A$3,_xlfn.VALUETOTEXT($A$6),$A32,"Experiment",J$5,"date",J$6))</f>
        <v>#REF!</v>
      </c>
      <c r="K32" t="e">
        <f>IF(GETPIVOTDATA(_xlfn.VALUETOTEXT($A$4),'PREFILL-PIVOT'!$A$3,_xlfn.VALUETOTEXT($A$6),$A32,"Experiment",K$5,"date",K$6)=0,NA(),GETPIVOTDATA(_xlfn.VALUETOTEXT($A$4),'PREFILL-PIVOT'!$A$3,_xlfn.VALUETOTEXT($A$6),$A32,"Experiment",K$5,"date",K$6))</f>
        <v>#REF!</v>
      </c>
      <c r="L32" t="e">
        <f>IF(GETPIVOTDATA(_xlfn.VALUETOTEXT($A$4),'PREFILL-PIVOT'!$A$3,_xlfn.VALUETOTEXT($A$6),$A32,"Experiment",L$5,"date",L$6)=0,NA(),GETPIVOTDATA(_xlfn.VALUETOTEXT($A$4),'PREFILL-PIVOT'!$A$3,_xlfn.VALUETOTEXT($A$6),$A32,"Experiment",L$5,"date",L$6))</f>
        <v>#REF!</v>
      </c>
      <c r="M32" t="e">
        <f>IF(GETPIVOTDATA(_xlfn.VALUETOTEXT($A$4),'PREFILL-PIVOT'!$A$3,_xlfn.VALUETOTEXT($A$6),$A32,"Experiment",M$5,"date",M$6)=0,NA(),GETPIVOTDATA(_xlfn.VALUETOTEXT($A$4),'PREFILL-PIVOT'!$A$3,_xlfn.VALUETOTEXT($A$6),$A32,"Experiment",M$5,"date",M$6))</f>
        <v>#REF!</v>
      </c>
    </row>
    <row r="33" spans="1:13" x14ac:dyDescent="0.25">
      <c r="A33" s="222">
        <f>IF('PREFILL-PIVOT'!A31=0,NA(),'PREFILL-PIVOT'!A31)</f>
        <v>5.5</v>
      </c>
      <c r="B33" t="e">
        <f>IF(GETPIVOTDATA(_xlfn.VALUETOTEXT($A$4),'PREFILL-PIVOT'!$A$3,_xlfn.VALUETOTEXT($A$6),$A33,"Experiment",B$5,"date",B$6)=0,NA(),GETPIVOTDATA(_xlfn.VALUETOTEXT($A$4),'PREFILL-PIVOT'!$A$3,_xlfn.VALUETOTEXT($A$6),$A33,"Experiment",B$5,"date",B$6))</f>
        <v>#N/A</v>
      </c>
      <c r="C33" t="e">
        <f>IF(GETPIVOTDATA(_xlfn.VALUETOTEXT($A$4),'PREFILL-PIVOT'!$A$3,_xlfn.VALUETOTEXT($A$6),$A33,"Experiment",C$5,"date",C$6)=0,NA(),GETPIVOTDATA(_xlfn.VALUETOTEXT($A$4),'PREFILL-PIVOT'!$A$3,_xlfn.VALUETOTEXT($A$6),$A33,"Experiment",C$5,"date",C$6))</f>
        <v>#N/A</v>
      </c>
      <c r="D33" t="e">
        <f>IF(GETPIVOTDATA(_xlfn.VALUETOTEXT($A$4),'PREFILL-PIVOT'!$A$3,_xlfn.VALUETOTEXT($A$6),$A33,"Experiment",D$5,"date",D$6)=0,NA(),GETPIVOTDATA(_xlfn.VALUETOTEXT($A$4),'PREFILL-PIVOT'!$A$3,_xlfn.VALUETOTEXT($A$6),$A33,"Experiment",D$5,"date",D$6))</f>
        <v>#N/A</v>
      </c>
      <c r="E33" t="e">
        <f>IF(GETPIVOTDATA(_xlfn.VALUETOTEXT($A$4),'PREFILL-PIVOT'!$A$3,_xlfn.VALUETOTEXT($A$6),$A33,"Experiment",E$5,"date",E$6)=0,NA(),GETPIVOTDATA(_xlfn.VALUETOTEXT($A$4),'PREFILL-PIVOT'!$A$3,_xlfn.VALUETOTEXT($A$6),$A33,"Experiment",E$5,"date",E$6))</f>
        <v>#N/A</v>
      </c>
      <c r="F33" t="e">
        <f>IF(GETPIVOTDATA(_xlfn.VALUETOTEXT($A$4),'PREFILL-PIVOT'!$A$3,_xlfn.VALUETOTEXT($A$6),$A33,"Experiment",F$5,"date",F$6)=0,NA(),GETPIVOTDATA(_xlfn.VALUETOTEXT($A$4),'PREFILL-PIVOT'!$A$3,_xlfn.VALUETOTEXT($A$6),$A33,"Experiment",F$5,"date",F$6))</f>
        <v>#N/A</v>
      </c>
      <c r="G33">
        <f>IF(GETPIVOTDATA(_xlfn.VALUETOTEXT($A$4),'PREFILL-PIVOT'!$A$3,_xlfn.VALUETOTEXT($A$6),$A33,"Experiment",G$5,"date",G$6)=0,NA(),GETPIVOTDATA(_xlfn.VALUETOTEXT($A$4),'PREFILL-PIVOT'!$A$3,_xlfn.VALUETOTEXT($A$6),$A33,"Experiment",G$5,"date",G$6))</f>
        <v>0.43838685597627414</v>
      </c>
      <c r="H33" t="e">
        <f>IF(GETPIVOTDATA(_xlfn.VALUETOTEXT($A$4),'PREFILL-PIVOT'!$A$3,_xlfn.VALUETOTEXT($A$6),$A33,"Experiment",H$5,"date",H$6)=0,NA(),GETPIVOTDATA(_xlfn.VALUETOTEXT($A$4),'PREFILL-PIVOT'!$A$3,_xlfn.VALUETOTEXT($A$6),$A33,"Experiment",H$5,"date",H$6))</f>
        <v>#N/A</v>
      </c>
      <c r="I33" t="e">
        <f>IF(GETPIVOTDATA(_xlfn.VALUETOTEXT($A$4),'PREFILL-PIVOT'!$A$3,_xlfn.VALUETOTEXT($A$6),$A33,"Experiment",I$5,"date",I$6)=0,NA(),GETPIVOTDATA(_xlfn.VALUETOTEXT($A$4),'PREFILL-PIVOT'!$A$3,_xlfn.VALUETOTEXT($A$6),$A33,"Experiment",I$5,"date",I$6))</f>
        <v>#REF!</v>
      </c>
      <c r="J33" t="e">
        <f>IF(GETPIVOTDATA(_xlfn.VALUETOTEXT($A$4),'PREFILL-PIVOT'!$A$3,_xlfn.VALUETOTEXT($A$6),$A33,"Experiment",J$5,"date",J$6)=0,NA(),GETPIVOTDATA(_xlfn.VALUETOTEXT($A$4),'PREFILL-PIVOT'!$A$3,_xlfn.VALUETOTEXT($A$6),$A33,"Experiment",J$5,"date",J$6))</f>
        <v>#REF!</v>
      </c>
      <c r="K33" t="e">
        <f>IF(GETPIVOTDATA(_xlfn.VALUETOTEXT($A$4),'PREFILL-PIVOT'!$A$3,_xlfn.VALUETOTEXT($A$6),$A33,"Experiment",K$5,"date",K$6)=0,NA(),GETPIVOTDATA(_xlfn.VALUETOTEXT($A$4),'PREFILL-PIVOT'!$A$3,_xlfn.VALUETOTEXT($A$6),$A33,"Experiment",K$5,"date",K$6))</f>
        <v>#REF!</v>
      </c>
      <c r="L33" t="e">
        <f>IF(GETPIVOTDATA(_xlfn.VALUETOTEXT($A$4),'PREFILL-PIVOT'!$A$3,_xlfn.VALUETOTEXT($A$6),$A33,"Experiment",L$5,"date",L$6)=0,NA(),GETPIVOTDATA(_xlfn.VALUETOTEXT($A$4),'PREFILL-PIVOT'!$A$3,_xlfn.VALUETOTEXT($A$6),$A33,"Experiment",L$5,"date",L$6))</f>
        <v>#REF!</v>
      </c>
      <c r="M33" t="e">
        <f>IF(GETPIVOTDATA(_xlfn.VALUETOTEXT($A$4),'PREFILL-PIVOT'!$A$3,_xlfn.VALUETOTEXT($A$6),$A33,"Experiment",M$5,"date",M$6)=0,NA(),GETPIVOTDATA(_xlfn.VALUETOTEXT($A$4),'PREFILL-PIVOT'!$A$3,_xlfn.VALUETOTEXT($A$6),$A33,"Experiment",M$5,"date",M$6))</f>
        <v>#REF!</v>
      </c>
    </row>
    <row r="34" spans="1:13" x14ac:dyDescent="0.25">
      <c r="A34" s="222">
        <f>IF('PREFILL-PIVOT'!A32=0,NA(),'PREFILL-PIVOT'!A32)</f>
        <v>5.6</v>
      </c>
      <c r="B34" t="e">
        <f>IF(GETPIVOTDATA(_xlfn.VALUETOTEXT($A$4),'PREFILL-PIVOT'!$A$3,_xlfn.VALUETOTEXT($A$6),$A34,"Experiment",B$5,"date",B$6)=0,NA(),GETPIVOTDATA(_xlfn.VALUETOTEXT($A$4),'PREFILL-PIVOT'!$A$3,_xlfn.VALUETOTEXT($A$6),$A34,"Experiment",B$5,"date",B$6))</f>
        <v>#N/A</v>
      </c>
      <c r="C34">
        <f>IF(GETPIVOTDATA(_xlfn.VALUETOTEXT($A$4),'PREFILL-PIVOT'!$A$3,_xlfn.VALUETOTEXT($A$6),$A34,"Experiment",C$5,"date",C$6)=0,NA(),GETPIVOTDATA(_xlfn.VALUETOTEXT($A$4),'PREFILL-PIVOT'!$A$3,_xlfn.VALUETOTEXT($A$6),$A34,"Experiment",C$5,"date",C$6))</f>
        <v>0.27738673965273308</v>
      </c>
      <c r="D34" t="e">
        <f>IF(GETPIVOTDATA(_xlfn.VALUETOTEXT($A$4),'PREFILL-PIVOT'!$A$3,_xlfn.VALUETOTEXT($A$6),$A34,"Experiment",D$5,"date",D$6)=0,NA(),GETPIVOTDATA(_xlfn.VALUETOTEXT($A$4),'PREFILL-PIVOT'!$A$3,_xlfn.VALUETOTEXT($A$6),$A34,"Experiment",D$5,"date",D$6))</f>
        <v>#N/A</v>
      </c>
      <c r="E34" t="e">
        <f>IF(GETPIVOTDATA(_xlfn.VALUETOTEXT($A$4),'PREFILL-PIVOT'!$A$3,_xlfn.VALUETOTEXT($A$6),$A34,"Experiment",E$5,"date",E$6)=0,NA(),GETPIVOTDATA(_xlfn.VALUETOTEXT($A$4),'PREFILL-PIVOT'!$A$3,_xlfn.VALUETOTEXT($A$6),$A34,"Experiment",E$5,"date",E$6))</f>
        <v>#N/A</v>
      </c>
      <c r="F34" t="e">
        <f>IF(GETPIVOTDATA(_xlfn.VALUETOTEXT($A$4),'PREFILL-PIVOT'!$A$3,_xlfn.VALUETOTEXT($A$6),$A34,"Experiment",F$5,"date",F$6)=0,NA(),GETPIVOTDATA(_xlfn.VALUETOTEXT($A$4),'PREFILL-PIVOT'!$A$3,_xlfn.VALUETOTEXT($A$6),$A34,"Experiment",F$5,"date",F$6))</f>
        <v>#N/A</v>
      </c>
      <c r="G34" t="e">
        <f>IF(GETPIVOTDATA(_xlfn.VALUETOTEXT($A$4),'PREFILL-PIVOT'!$A$3,_xlfn.VALUETOTEXT($A$6),$A34,"Experiment",G$5,"date",G$6)=0,NA(),GETPIVOTDATA(_xlfn.VALUETOTEXT($A$4),'PREFILL-PIVOT'!$A$3,_xlfn.VALUETOTEXT($A$6),$A34,"Experiment",G$5,"date",G$6))</f>
        <v>#N/A</v>
      </c>
      <c r="H34" t="e">
        <f>IF(GETPIVOTDATA(_xlfn.VALUETOTEXT($A$4),'PREFILL-PIVOT'!$A$3,_xlfn.VALUETOTEXT($A$6),$A34,"Experiment",H$5,"date",H$6)=0,NA(),GETPIVOTDATA(_xlfn.VALUETOTEXT($A$4),'PREFILL-PIVOT'!$A$3,_xlfn.VALUETOTEXT($A$6),$A34,"Experiment",H$5,"date",H$6))</f>
        <v>#N/A</v>
      </c>
      <c r="I34" t="e">
        <f>IF(GETPIVOTDATA(_xlfn.VALUETOTEXT($A$4),'PREFILL-PIVOT'!$A$3,_xlfn.VALUETOTEXT($A$6),$A34,"Experiment",I$5,"date",I$6)=0,NA(),GETPIVOTDATA(_xlfn.VALUETOTEXT($A$4),'PREFILL-PIVOT'!$A$3,_xlfn.VALUETOTEXT($A$6),$A34,"Experiment",I$5,"date",I$6))</f>
        <v>#REF!</v>
      </c>
      <c r="J34" t="e">
        <f>IF(GETPIVOTDATA(_xlfn.VALUETOTEXT($A$4),'PREFILL-PIVOT'!$A$3,_xlfn.VALUETOTEXT($A$6),$A34,"Experiment",J$5,"date",J$6)=0,NA(),GETPIVOTDATA(_xlfn.VALUETOTEXT($A$4),'PREFILL-PIVOT'!$A$3,_xlfn.VALUETOTEXT($A$6),$A34,"Experiment",J$5,"date",J$6))</f>
        <v>#REF!</v>
      </c>
      <c r="K34" t="e">
        <f>IF(GETPIVOTDATA(_xlfn.VALUETOTEXT($A$4),'PREFILL-PIVOT'!$A$3,_xlfn.VALUETOTEXT($A$6),$A34,"Experiment",K$5,"date",K$6)=0,NA(),GETPIVOTDATA(_xlfn.VALUETOTEXT($A$4),'PREFILL-PIVOT'!$A$3,_xlfn.VALUETOTEXT($A$6),$A34,"Experiment",K$5,"date",K$6))</f>
        <v>#REF!</v>
      </c>
      <c r="L34" t="e">
        <f>IF(GETPIVOTDATA(_xlfn.VALUETOTEXT($A$4),'PREFILL-PIVOT'!$A$3,_xlfn.VALUETOTEXT($A$6),$A34,"Experiment",L$5,"date",L$6)=0,NA(),GETPIVOTDATA(_xlfn.VALUETOTEXT($A$4),'PREFILL-PIVOT'!$A$3,_xlfn.VALUETOTEXT($A$6),$A34,"Experiment",L$5,"date",L$6))</f>
        <v>#REF!</v>
      </c>
      <c r="M34" t="e">
        <f>IF(GETPIVOTDATA(_xlfn.VALUETOTEXT($A$4),'PREFILL-PIVOT'!$A$3,_xlfn.VALUETOTEXT($A$6),$A34,"Experiment",M$5,"date",M$6)=0,NA(),GETPIVOTDATA(_xlfn.VALUETOTEXT($A$4),'PREFILL-PIVOT'!$A$3,_xlfn.VALUETOTEXT($A$6),$A34,"Experiment",M$5,"date",M$6))</f>
        <v>#REF!</v>
      </c>
    </row>
    <row r="35" spans="1:13" x14ac:dyDescent="0.25">
      <c r="A35" s="222">
        <f>IF('PREFILL-PIVOT'!A33=0,NA(),'PREFILL-PIVOT'!A33)</f>
        <v>5.8</v>
      </c>
      <c r="B35" t="e">
        <f>IF(GETPIVOTDATA(_xlfn.VALUETOTEXT($A$4),'PREFILL-PIVOT'!$A$3,_xlfn.VALUETOTEXT($A$6),$A35,"Experiment",B$5,"date",B$6)=0,NA(),GETPIVOTDATA(_xlfn.VALUETOTEXT($A$4),'PREFILL-PIVOT'!$A$3,_xlfn.VALUETOTEXT($A$6),$A35,"Experiment",B$5,"date",B$6))</f>
        <v>#N/A</v>
      </c>
      <c r="C35">
        <f>IF(GETPIVOTDATA(_xlfn.VALUETOTEXT($A$4),'PREFILL-PIVOT'!$A$3,_xlfn.VALUETOTEXT($A$6),$A35,"Experiment",C$5,"date",C$6)=0,NA(),GETPIVOTDATA(_xlfn.VALUETOTEXT($A$4),'PREFILL-PIVOT'!$A$3,_xlfn.VALUETOTEXT($A$6),$A35,"Experiment",C$5,"date",C$6))</f>
        <v>0.32256835789510263</v>
      </c>
      <c r="D35">
        <f>IF(GETPIVOTDATA(_xlfn.VALUETOTEXT($A$4),'PREFILL-PIVOT'!$A$3,_xlfn.VALUETOTEXT($A$6),$A35,"Experiment",D$5,"date",D$6)=0,NA(),GETPIVOTDATA(_xlfn.VALUETOTEXT($A$4),'PREFILL-PIVOT'!$A$3,_xlfn.VALUETOTEXT($A$6),$A35,"Experiment",D$5,"date",D$6))</f>
        <v>1.0457511996065998</v>
      </c>
      <c r="E35" t="e">
        <f>IF(GETPIVOTDATA(_xlfn.VALUETOTEXT($A$4),'PREFILL-PIVOT'!$A$3,_xlfn.VALUETOTEXT($A$6),$A35,"Experiment",E$5,"date",E$6)=0,NA(),GETPIVOTDATA(_xlfn.VALUETOTEXT($A$4),'PREFILL-PIVOT'!$A$3,_xlfn.VALUETOTEXT($A$6),$A35,"Experiment",E$5,"date",E$6))</f>
        <v>#N/A</v>
      </c>
      <c r="F35" t="e">
        <f>IF(GETPIVOTDATA(_xlfn.VALUETOTEXT($A$4),'PREFILL-PIVOT'!$A$3,_xlfn.VALUETOTEXT($A$6),$A35,"Experiment",F$5,"date",F$6)=0,NA(),GETPIVOTDATA(_xlfn.VALUETOTEXT($A$4),'PREFILL-PIVOT'!$A$3,_xlfn.VALUETOTEXT($A$6),$A35,"Experiment",F$5,"date",F$6))</f>
        <v>#N/A</v>
      </c>
      <c r="G35" t="e">
        <f>IF(GETPIVOTDATA(_xlfn.VALUETOTEXT($A$4),'PREFILL-PIVOT'!$A$3,_xlfn.VALUETOTEXT($A$6),$A35,"Experiment",G$5,"date",G$6)=0,NA(),GETPIVOTDATA(_xlfn.VALUETOTEXT($A$4),'PREFILL-PIVOT'!$A$3,_xlfn.VALUETOTEXT($A$6),$A35,"Experiment",G$5,"date",G$6))</f>
        <v>#N/A</v>
      </c>
      <c r="H35">
        <f>IF(GETPIVOTDATA(_xlfn.VALUETOTEXT($A$4),'PREFILL-PIVOT'!$A$3,_xlfn.VALUETOTEXT($A$6),$A35,"Experiment",H$5,"date",H$6)=0,NA(),GETPIVOTDATA(_xlfn.VALUETOTEXT($A$4),'PREFILL-PIVOT'!$A$3,_xlfn.VALUETOTEXT($A$6),$A35,"Experiment",H$5,"date",H$6))</f>
        <v>1.3774511413063049</v>
      </c>
      <c r="I35" t="e">
        <f>IF(GETPIVOTDATA(_xlfn.VALUETOTEXT($A$4),'PREFILL-PIVOT'!$A$3,_xlfn.VALUETOTEXT($A$6),$A35,"Experiment",I$5,"date",I$6)=0,NA(),GETPIVOTDATA(_xlfn.VALUETOTEXT($A$4),'PREFILL-PIVOT'!$A$3,_xlfn.VALUETOTEXT($A$6),$A35,"Experiment",I$5,"date",I$6))</f>
        <v>#REF!</v>
      </c>
      <c r="J35" t="e">
        <f>IF(GETPIVOTDATA(_xlfn.VALUETOTEXT($A$4),'PREFILL-PIVOT'!$A$3,_xlfn.VALUETOTEXT($A$6),$A35,"Experiment",J$5,"date",J$6)=0,NA(),GETPIVOTDATA(_xlfn.VALUETOTEXT($A$4),'PREFILL-PIVOT'!$A$3,_xlfn.VALUETOTEXT($A$6),$A35,"Experiment",J$5,"date",J$6))</f>
        <v>#REF!</v>
      </c>
      <c r="K35" t="e">
        <f>IF(GETPIVOTDATA(_xlfn.VALUETOTEXT($A$4),'PREFILL-PIVOT'!$A$3,_xlfn.VALUETOTEXT($A$6),$A35,"Experiment",K$5,"date",K$6)=0,NA(),GETPIVOTDATA(_xlfn.VALUETOTEXT($A$4),'PREFILL-PIVOT'!$A$3,_xlfn.VALUETOTEXT($A$6),$A35,"Experiment",K$5,"date",K$6))</f>
        <v>#REF!</v>
      </c>
      <c r="L35" t="e">
        <f>IF(GETPIVOTDATA(_xlfn.VALUETOTEXT($A$4),'PREFILL-PIVOT'!$A$3,_xlfn.VALUETOTEXT($A$6),$A35,"Experiment",L$5,"date",L$6)=0,NA(),GETPIVOTDATA(_xlfn.VALUETOTEXT($A$4),'PREFILL-PIVOT'!$A$3,_xlfn.VALUETOTEXT($A$6),$A35,"Experiment",L$5,"date",L$6))</f>
        <v>#REF!</v>
      </c>
      <c r="M35" t="e">
        <f>IF(GETPIVOTDATA(_xlfn.VALUETOTEXT($A$4),'PREFILL-PIVOT'!$A$3,_xlfn.VALUETOTEXT($A$6),$A35,"Experiment",M$5,"date",M$6)=0,NA(),GETPIVOTDATA(_xlfn.VALUETOTEXT($A$4),'PREFILL-PIVOT'!$A$3,_xlfn.VALUETOTEXT($A$6),$A35,"Experiment",M$5,"date",M$6))</f>
        <v>#REF!</v>
      </c>
    </row>
    <row r="36" spans="1:13" x14ac:dyDescent="0.25">
      <c r="A36" s="222">
        <f>IF('PREFILL-PIVOT'!A34=0,NA(),'PREFILL-PIVOT'!A34)</f>
        <v>6</v>
      </c>
      <c r="B36" t="e">
        <f>IF(GETPIVOTDATA(_xlfn.VALUETOTEXT($A$4),'PREFILL-PIVOT'!$A$3,_xlfn.VALUETOTEXT($A$6),$A36,"Experiment",B$5,"date",B$6)=0,NA(),GETPIVOTDATA(_xlfn.VALUETOTEXT($A$4),'PREFILL-PIVOT'!$A$3,_xlfn.VALUETOTEXT($A$6),$A36,"Experiment",B$5,"date",B$6))</f>
        <v>#N/A</v>
      </c>
      <c r="C36">
        <f>IF(GETPIVOTDATA(_xlfn.VALUETOTEXT($A$4),'PREFILL-PIVOT'!$A$3,_xlfn.VALUETOTEXT($A$6),$A36,"Experiment",C$5,"date",C$6)=0,NA(),GETPIVOTDATA(_xlfn.VALUETOTEXT($A$4),'PREFILL-PIVOT'!$A$3,_xlfn.VALUETOTEXT($A$6),$A36,"Experiment",C$5,"date",C$6))</f>
        <v>0.31669270171251629</v>
      </c>
      <c r="D36">
        <f>IF(GETPIVOTDATA(_xlfn.VALUETOTEXT($A$4),'PREFILL-PIVOT'!$A$3,_xlfn.VALUETOTEXT($A$6),$A36,"Experiment",D$5,"date",D$6)=0,NA(),GETPIVOTDATA(_xlfn.VALUETOTEXT($A$4),'PREFILL-PIVOT'!$A$3,_xlfn.VALUETOTEXT($A$6),$A36,"Experiment",D$5,"date",D$6))</f>
        <v>1.4690196156259414</v>
      </c>
      <c r="E36">
        <f>IF(GETPIVOTDATA(_xlfn.VALUETOTEXT($A$4),'PREFILL-PIVOT'!$A$3,_xlfn.VALUETOTEXT($A$6),$A36,"Experiment",E$5,"date",E$6)=0,NA(),GETPIVOTDATA(_xlfn.VALUETOTEXT($A$4),'PREFILL-PIVOT'!$A$3,_xlfn.VALUETOTEXT($A$6),$A36,"Experiment",E$5,"date",E$6))</f>
        <v>1.0033520229788151</v>
      </c>
      <c r="F36" t="e">
        <f>IF(GETPIVOTDATA(_xlfn.VALUETOTEXT($A$4),'PREFILL-PIVOT'!$A$3,_xlfn.VALUETOTEXT($A$6),$A36,"Experiment",F$5,"date",F$6)=0,NA(),GETPIVOTDATA(_xlfn.VALUETOTEXT($A$4),'PREFILL-PIVOT'!$A$3,_xlfn.VALUETOTEXT($A$6),$A36,"Experiment",F$5,"date",F$6))</f>
        <v>#N/A</v>
      </c>
      <c r="G36">
        <f>IF(GETPIVOTDATA(_xlfn.VALUETOTEXT($A$4),'PREFILL-PIVOT'!$A$3,_xlfn.VALUETOTEXT($A$6),$A36,"Experiment",G$5,"date",G$6)=0,NA(),GETPIVOTDATA(_xlfn.VALUETOTEXT($A$4),'PREFILL-PIVOT'!$A$3,_xlfn.VALUETOTEXT($A$6),$A36,"Experiment",G$5,"date",G$6))</f>
        <v>0.46343671585796753</v>
      </c>
      <c r="H36">
        <f>IF(GETPIVOTDATA(_xlfn.VALUETOTEXT($A$4),'PREFILL-PIVOT'!$A$3,_xlfn.VALUETOTEXT($A$6),$A36,"Experiment",H$5,"date",H$6)=0,NA(),GETPIVOTDATA(_xlfn.VALUETOTEXT($A$4),'PREFILL-PIVOT'!$A$3,_xlfn.VALUETOTEXT($A$6),$A36,"Experiment",H$5,"date",H$6))</f>
        <v>1.2817617600254509</v>
      </c>
      <c r="I36" t="e">
        <f>IF(GETPIVOTDATA(_xlfn.VALUETOTEXT($A$4),'PREFILL-PIVOT'!$A$3,_xlfn.VALUETOTEXT($A$6),$A36,"Experiment",I$5,"date",I$6)=0,NA(),GETPIVOTDATA(_xlfn.VALUETOTEXT($A$4),'PREFILL-PIVOT'!$A$3,_xlfn.VALUETOTEXT($A$6),$A36,"Experiment",I$5,"date",I$6))</f>
        <v>#REF!</v>
      </c>
      <c r="J36" t="e">
        <f>IF(GETPIVOTDATA(_xlfn.VALUETOTEXT($A$4),'PREFILL-PIVOT'!$A$3,_xlfn.VALUETOTEXT($A$6),$A36,"Experiment",J$5,"date",J$6)=0,NA(),GETPIVOTDATA(_xlfn.VALUETOTEXT($A$4),'PREFILL-PIVOT'!$A$3,_xlfn.VALUETOTEXT($A$6),$A36,"Experiment",J$5,"date",J$6))</f>
        <v>#REF!</v>
      </c>
      <c r="K36" t="e">
        <f>IF(GETPIVOTDATA(_xlfn.VALUETOTEXT($A$4),'PREFILL-PIVOT'!$A$3,_xlfn.VALUETOTEXT($A$6),$A36,"Experiment",K$5,"date",K$6)=0,NA(),GETPIVOTDATA(_xlfn.VALUETOTEXT($A$4),'PREFILL-PIVOT'!$A$3,_xlfn.VALUETOTEXT($A$6),$A36,"Experiment",K$5,"date",K$6))</f>
        <v>#REF!</v>
      </c>
      <c r="L36" t="e">
        <f>IF(GETPIVOTDATA(_xlfn.VALUETOTEXT($A$4),'PREFILL-PIVOT'!$A$3,_xlfn.VALUETOTEXT($A$6),$A36,"Experiment",L$5,"date",L$6)=0,NA(),GETPIVOTDATA(_xlfn.VALUETOTEXT($A$4),'PREFILL-PIVOT'!$A$3,_xlfn.VALUETOTEXT($A$6),$A36,"Experiment",L$5,"date",L$6))</f>
        <v>#REF!</v>
      </c>
      <c r="M36" t="e">
        <f>IF(GETPIVOTDATA(_xlfn.VALUETOTEXT($A$4),'PREFILL-PIVOT'!$A$3,_xlfn.VALUETOTEXT($A$6),$A36,"Experiment",M$5,"date",M$6)=0,NA(),GETPIVOTDATA(_xlfn.VALUETOTEXT($A$4),'PREFILL-PIVOT'!$A$3,_xlfn.VALUETOTEXT($A$6),$A36,"Experiment",M$5,"date",M$6))</f>
        <v>#REF!</v>
      </c>
    </row>
    <row r="37" spans="1:13" x14ac:dyDescent="0.25">
      <c r="A37" s="222">
        <f>IF('PREFILL-PIVOT'!A35=0,NA(),'PREFILL-PIVOT'!A35)</f>
        <v>6.2</v>
      </c>
      <c r="B37" t="e">
        <f>IF(GETPIVOTDATA(_xlfn.VALUETOTEXT($A$4),'PREFILL-PIVOT'!$A$3,_xlfn.VALUETOTEXT($A$6),$A37,"Experiment",B$5,"date",B$6)=0,NA(),GETPIVOTDATA(_xlfn.VALUETOTEXT($A$4),'PREFILL-PIVOT'!$A$3,_xlfn.VALUETOTEXT($A$6),$A37,"Experiment",B$5,"date",B$6))</f>
        <v>#N/A</v>
      </c>
      <c r="C37">
        <f>IF(GETPIVOTDATA(_xlfn.VALUETOTEXT($A$4),'PREFILL-PIVOT'!$A$3,_xlfn.VALUETOTEXT($A$6),$A37,"Experiment",C$5,"date",C$6)=0,NA(),GETPIVOTDATA(_xlfn.VALUETOTEXT($A$4),'PREFILL-PIVOT'!$A$3,_xlfn.VALUETOTEXT($A$6),$A37,"Experiment",C$5,"date",C$6))</f>
        <v>0.35329870931130669</v>
      </c>
      <c r="D37">
        <f>IF(GETPIVOTDATA(_xlfn.VALUETOTEXT($A$4),'PREFILL-PIVOT'!$A$3,_xlfn.VALUETOTEXT($A$6),$A37,"Experiment",D$5,"date",D$6)=0,NA(),GETPIVOTDATA(_xlfn.VALUETOTEXT($A$4),'PREFILL-PIVOT'!$A$3,_xlfn.VALUETOTEXT($A$6),$A37,"Experiment",D$5,"date",D$6))</f>
        <v>1.8639268350212816</v>
      </c>
      <c r="E37" t="e">
        <f>IF(GETPIVOTDATA(_xlfn.VALUETOTEXT($A$4),'PREFILL-PIVOT'!$A$3,_xlfn.VALUETOTEXT($A$6),$A37,"Experiment",E$5,"date",E$6)=0,NA(),GETPIVOTDATA(_xlfn.VALUETOTEXT($A$4),'PREFILL-PIVOT'!$A$3,_xlfn.VALUETOTEXT($A$6),$A37,"Experiment",E$5,"date",E$6))</f>
        <v>#N/A</v>
      </c>
      <c r="F37" t="e">
        <f>IF(GETPIVOTDATA(_xlfn.VALUETOTEXT($A$4),'PREFILL-PIVOT'!$A$3,_xlfn.VALUETOTEXT($A$6),$A37,"Experiment",F$5,"date",F$6)=0,NA(),GETPIVOTDATA(_xlfn.VALUETOTEXT($A$4),'PREFILL-PIVOT'!$A$3,_xlfn.VALUETOTEXT($A$6),$A37,"Experiment",F$5,"date",F$6))</f>
        <v>#N/A</v>
      </c>
      <c r="G37" t="e">
        <f>IF(GETPIVOTDATA(_xlfn.VALUETOTEXT($A$4),'PREFILL-PIVOT'!$A$3,_xlfn.VALUETOTEXT($A$6),$A37,"Experiment",G$5,"date",G$6)=0,NA(),GETPIVOTDATA(_xlfn.VALUETOTEXT($A$4),'PREFILL-PIVOT'!$A$3,_xlfn.VALUETOTEXT($A$6),$A37,"Experiment",G$5,"date",G$6))</f>
        <v>#N/A</v>
      </c>
      <c r="H37">
        <f>IF(GETPIVOTDATA(_xlfn.VALUETOTEXT($A$4),'PREFILL-PIVOT'!$A$3,_xlfn.VALUETOTEXT($A$6),$A37,"Experiment",H$5,"date",H$6)=0,NA(),GETPIVOTDATA(_xlfn.VALUETOTEXT($A$4),'PREFILL-PIVOT'!$A$3,_xlfn.VALUETOTEXT($A$6),$A37,"Experiment",H$5,"date",H$6))</f>
        <v>1.227755021093192</v>
      </c>
      <c r="I37" t="e">
        <f>IF(GETPIVOTDATA(_xlfn.VALUETOTEXT($A$4),'PREFILL-PIVOT'!$A$3,_xlfn.VALUETOTEXT($A$6),$A37,"Experiment",I$5,"date",I$6)=0,NA(),GETPIVOTDATA(_xlfn.VALUETOTEXT($A$4),'PREFILL-PIVOT'!$A$3,_xlfn.VALUETOTEXT($A$6),$A37,"Experiment",I$5,"date",I$6))</f>
        <v>#REF!</v>
      </c>
      <c r="J37" t="e">
        <f>IF(GETPIVOTDATA(_xlfn.VALUETOTEXT($A$4),'PREFILL-PIVOT'!$A$3,_xlfn.VALUETOTEXT($A$6),$A37,"Experiment",J$5,"date",J$6)=0,NA(),GETPIVOTDATA(_xlfn.VALUETOTEXT($A$4),'PREFILL-PIVOT'!$A$3,_xlfn.VALUETOTEXT($A$6),$A37,"Experiment",J$5,"date",J$6))</f>
        <v>#REF!</v>
      </c>
      <c r="K37" t="e">
        <f>IF(GETPIVOTDATA(_xlfn.VALUETOTEXT($A$4),'PREFILL-PIVOT'!$A$3,_xlfn.VALUETOTEXT($A$6),$A37,"Experiment",K$5,"date",K$6)=0,NA(),GETPIVOTDATA(_xlfn.VALUETOTEXT($A$4),'PREFILL-PIVOT'!$A$3,_xlfn.VALUETOTEXT($A$6),$A37,"Experiment",K$5,"date",K$6))</f>
        <v>#REF!</v>
      </c>
      <c r="L37" t="e">
        <f>IF(GETPIVOTDATA(_xlfn.VALUETOTEXT($A$4),'PREFILL-PIVOT'!$A$3,_xlfn.VALUETOTEXT($A$6),$A37,"Experiment",L$5,"date",L$6)=0,NA(),GETPIVOTDATA(_xlfn.VALUETOTEXT($A$4),'PREFILL-PIVOT'!$A$3,_xlfn.VALUETOTEXT($A$6),$A37,"Experiment",L$5,"date",L$6))</f>
        <v>#REF!</v>
      </c>
      <c r="M37" t="e">
        <f>IF(GETPIVOTDATA(_xlfn.VALUETOTEXT($A$4),'PREFILL-PIVOT'!$A$3,_xlfn.VALUETOTEXT($A$6),$A37,"Experiment",M$5,"date",M$6)=0,NA(),GETPIVOTDATA(_xlfn.VALUETOTEXT($A$4),'PREFILL-PIVOT'!$A$3,_xlfn.VALUETOTEXT($A$6),$A37,"Experiment",M$5,"date",M$6))</f>
        <v>#REF!</v>
      </c>
    </row>
    <row r="38" spans="1:13" x14ac:dyDescent="0.25">
      <c r="A38" s="222">
        <f>IF('PREFILL-PIVOT'!A36=0,NA(),'PREFILL-PIVOT'!A36)</f>
        <v>6.4</v>
      </c>
      <c r="B38" t="e">
        <f>IF(GETPIVOTDATA(_xlfn.VALUETOTEXT($A$4),'PREFILL-PIVOT'!$A$3,_xlfn.VALUETOTEXT($A$6),$A38,"Experiment",B$5,"date",B$6)=0,NA(),GETPIVOTDATA(_xlfn.VALUETOTEXT($A$4),'PREFILL-PIVOT'!$A$3,_xlfn.VALUETOTEXT($A$6),$A38,"Experiment",B$5,"date",B$6))</f>
        <v>#N/A</v>
      </c>
      <c r="C38">
        <f>IF(GETPIVOTDATA(_xlfn.VALUETOTEXT($A$4),'PREFILL-PIVOT'!$A$3,_xlfn.VALUETOTEXT($A$6),$A38,"Experiment",C$5,"date",C$6)=0,NA(),GETPIVOTDATA(_xlfn.VALUETOTEXT($A$4),'PREFILL-PIVOT'!$A$3,_xlfn.VALUETOTEXT($A$6),$A38,"Experiment",C$5,"date",C$6))</f>
        <v>0.34844500523617583</v>
      </c>
      <c r="D38" t="e">
        <f>IF(GETPIVOTDATA(_xlfn.VALUETOTEXT($A$4),'PREFILL-PIVOT'!$A$3,_xlfn.VALUETOTEXT($A$6),$A38,"Experiment",D$5,"date",D$6)=0,NA(),GETPIVOTDATA(_xlfn.VALUETOTEXT($A$4),'PREFILL-PIVOT'!$A$3,_xlfn.VALUETOTEXT($A$6),$A38,"Experiment",D$5,"date",D$6))</f>
        <v>#N/A</v>
      </c>
      <c r="E38" t="e">
        <f>IF(GETPIVOTDATA(_xlfn.VALUETOTEXT($A$4),'PREFILL-PIVOT'!$A$3,_xlfn.VALUETOTEXT($A$6),$A38,"Experiment",E$5,"date",E$6)=0,NA(),GETPIVOTDATA(_xlfn.VALUETOTEXT($A$4),'PREFILL-PIVOT'!$A$3,_xlfn.VALUETOTEXT($A$6),$A38,"Experiment",E$5,"date",E$6))</f>
        <v>#N/A</v>
      </c>
      <c r="F38" t="e">
        <f>IF(GETPIVOTDATA(_xlfn.VALUETOTEXT($A$4),'PREFILL-PIVOT'!$A$3,_xlfn.VALUETOTEXT($A$6),$A38,"Experiment",F$5,"date",F$6)=0,NA(),GETPIVOTDATA(_xlfn.VALUETOTEXT($A$4),'PREFILL-PIVOT'!$A$3,_xlfn.VALUETOTEXT($A$6),$A38,"Experiment",F$5,"date",F$6))</f>
        <v>#N/A</v>
      </c>
      <c r="G38" t="e">
        <f>IF(GETPIVOTDATA(_xlfn.VALUETOTEXT($A$4),'PREFILL-PIVOT'!$A$3,_xlfn.VALUETOTEXT($A$6),$A38,"Experiment",G$5,"date",G$6)=0,NA(),GETPIVOTDATA(_xlfn.VALUETOTEXT($A$4),'PREFILL-PIVOT'!$A$3,_xlfn.VALUETOTEXT($A$6),$A38,"Experiment",G$5,"date",G$6))</f>
        <v>#N/A</v>
      </c>
      <c r="H38" t="e">
        <f>IF(GETPIVOTDATA(_xlfn.VALUETOTEXT($A$4),'PREFILL-PIVOT'!$A$3,_xlfn.VALUETOTEXT($A$6),$A38,"Experiment",H$5,"date",H$6)=0,NA(),GETPIVOTDATA(_xlfn.VALUETOTEXT($A$4),'PREFILL-PIVOT'!$A$3,_xlfn.VALUETOTEXT($A$6),$A38,"Experiment",H$5,"date",H$6))</f>
        <v>#N/A</v>
      </c>
      <c r="I38" t="e">
        <f>IF(GETPIVOTDATA(_xlfn.VALUETOTEXT($A$4),'PREFILL-PIVOT'!$A$3,_xlfn.VALUETOTEXT($A$6),$A38,"Experiment",I$5,"date",I$6)=0,NA(),GETPIVOTDATA(_xlfn.VALUETOTEXT($A$4),'PREFILL-PIVOT'!$A$3,_xlfn.VALUETOTEXT($A$6),$A38,"Experiment",I$5,"date",I$6))</f>
        <v>#REF!</v>
      </c>
      <c r="J38" t="e">
        <f>IF(GETPIVOTDATA(_xlfn.VALUETOTEXT($A$4),'PREFILL-PIVOT'!$A$3,_xlfn.VALUETOTEXT($A$6),$A38,"Experiment",J$5,"date",J$6)=0,NA(),GETPIVOTDATA(_xlfn.VALUETOTEXT($A$4),'PREFILL-PIVOT'!$A$3,_xlfn.VALUETOTEXT($A$6),$A38,"Experiment",J$5,"date",J$6))</f>
        <v>#REF!</v>
      </c>
      <c r="K38" t="e">
        <f>IF(GETPIVOTDATA(_xlfn.VALUETOTEXT($A$4),'PREFILL-PIVOT'!$A$3,_xlfn.VALUETOTEXT($A$6),$A38,"Experiment",K$5,"date",K$6)=0,NA(),GETPIVOTDATA(_xlfn.VALUETOTEXT($A$4),'PREFILL-PIVOT'!$A$3,_xlfn.VALUETOTEXT($A$6),$A38,"Experiment",K$5,"date",K$6))</f>
        <v>#REF!</v>
      </c>
      <c r="L38" t="e">
        <f>IF(GETPIVOTDATA(_xlfn.VALUETOTEXT($A$4),'PREFILL-PIVOT'!$A$3,_xlfn.VALUETOTEXT($A$6),$A38,"Experiment",L$5,"date",L$6)=0,NA(),GETPIVOTDATA(_xlfn.VALUETOTEXT($A$4),'PREFILL-PIVOT'!$A$3,_xlfn.VALUETOTEXT($A$6),$A38,"Experiment",L$5,"date",L$6))</f>
        <v>#REF!</v>
      </c>
      <c r="M38" t="e">
        <f>IF(GETPIVOTDATA(_xlfn.VALUETOTEXT($A$4),'PREFILL-PIVOT'!$A$3,_xlfn.VALUETOTEXT($A$6),$A38,"Experiment",M$5,"date",M$6)=0,NA(),GETPIVOTDATA(_xlfn.VALUETOTEXT($A$4),'PREFILL-PIVOT'!$A$3,_xlfn.VALUETOTEXT($A$6),$A38,"Experiment",M$5,"date",M$6))</f>
        <v>#REF!</v>
      </c>
    </row>
    <row r="39" spans="1:13" x14ac:dyDescent="0.25">
      <c r="A39" s="222">
        <f>IF('PREFILL-PIVOT'!A37=0,NA(),'PREFILL-PIVOT'!A37)</f>
        <v>6.4000000000000012</v>
      </c>
      <c r="B39" t="e">
        <f>IF(GETPIVOTDATA(_xlfn.VALUETOTEXT($A$4),'PREFILL-PIVOT'!$A$3,_xlfn.VALUETOTEXT($A$6),$A39,"Experiment",B$5,"date",B$6)=0,NA(),GETPIVOTDATA(_xlfn.VALUETOTEXT($A$4),'PREFILL-PIVOT'!$A$3,_xlfn.VALUETOTEXT($A$6),$A39,"Experiment",B$5,"date",B$6))</f>
        <v>#N/A</v>
      </c>
      <c r="C39" t="e">
        <f>IF(GETPIVOTDATA(_xlfn.VALUETOTEXT($A$4),'PREFILL-PIVOT'!$A$3,_xlfn.VALUETOTEXT($A$6),$A39,"Experiment",C$5,"date",C$6)=0,NA(),GETPIVOTDATA(_xlfn.VALUETOTEXT($A$4),'PREFILL-PIVOT'!$A$3,_xlfn.VALUETOTEXT($A$6),$A39,"Experiment",C$5,"date",C$6))</f>
        <v>#N/A</v>
      </c>
      <c r="D39">
        <f>IF(GETPIVOTDATA(_xlfn.VALUETOTEXT($A$4),'PREFILL-PIVOT'!$A$3,_xlfn.VALUETOTEXT($A$6),$A39,"Experiment",D$5,"date",D$6)=0,NA(),GETPIVOTDATA(_xlfn.VALUETOTEXT($A$4),'PREFILL-PIVOT'!$A$3,_xlfn.VALUETOTEXT($A$6),$A39,"Experiment",D$5,"date",D$6))</f>
        <v>1.3741587436765066</v>
      </c>
      <c r="E39" t="e">
        <f>IF(GETPIVOTDATA(_xlfn.VALUETOTEXT($A$4),'PREFILL-PIVOT'!$A$3,_xlfn.VALUETOTEXT($A$6),$A39,"Experiment",E$5,"date",E$6)=0,NA(),GETPIVOTDATA(_xlfn.VALUETOTEXT($A$4),'PREFILL-PIVOT'!$A$3,_xlfn.VALUETOTEXT($A$6),$A39,"Experiment",E$5,"date",E$6))</f>
        <v>#N/A</v>
      </c>
      <c r="F39" t="e">
        <f>IF(GETPIVOTDATA(_xlfn.VALUETOTEXT($A$4),'PREFILL-PIVOT'!$A$3,_xlfn.VALUETOTEXT($A$6),$A39,"Experiment",F$5,"date",F$6)=0,NA(),GETPIVOTDATA(_xlfn.VALUETOTEXT($A$4),'PREFILL-PIVOT'!$A$3,_xlfn.VALUETOTEXT($A$6),$A39,"Experiment",F$5,"date",F$6))</f>
        <v>#N/A</v>
      </c>
      <c r="G39" t="e">
        <f>IF(GETPIVOTDATA(_xlfn.VALUETOTEXT($A$4),'PREFILL-PIVOT'!$A$3,_xlfn.VALUETOTEXT($A$6),$A39,"Experiment",G$5,"date",G$6)=0,NA(),GETPIVOTDATA(_xlfn.VALUETOTEXT($A$4),'PREFILL-PIVOT'!$A$3,_xlfn.VALUETOTEXT($A$6),$A39,"Experiment",G$5,"date",G$6))</f>
        <v>#N/A</v>
      </c>
      <c r="H39">
        <f>IF(GETPIVOTDATA(_xlfn.VALUETOTEXT($A$4),'PREFILL-PIVOT'!$A$3,_xlfn.VALUETOTEXT($A$6),$A39,"Experiment",H$5,"date",H$6)=0,NA(),GETPIVOTDATA(_xlfn.VALUETOTEXT($A$4),'PREFILL-PIVOT'!$A$3,_xlfn.VALUETOTEXT($A$6),$A39,"Experiment",H$5,"date",H$6))</f>
        <v>1.1255584311320885</v>
      </c>
      <c r="I39" t="e">
        <f>IF(GETPIVOTDATA(_xlfn.VALUETOTEXT($A$4),'PREFILL-PIVOT'!$A$3,_xlfn.VALUETOTEXT($A$6),$A39,"Experiment",I$5,"date",I$6)=0,NA(),GETPIVOTDATA(_xlfn.VALUETOTEXT($A$4),'PREFILL-PIVOT'!$A$3,_xlfn.VALUETOTEXT($A$6),$A39,"Experiment",I$5,"date",I$6))</f>
        <v>#REF!</v>
      </c>
      <c r="J39" t="e">
        <f>IF(GETPIVOTDATA(_xlfn.VALUETOTEXT($A$4),'PREFILL-PIVOT'!$A$3,_xlfn.VALUETOTEXT($A$6),$A39,"Experiment",J$5,"date",J$6)=0,NA(),GETPIVOTDATA(_xlfn.VALUETOTEXT($A$4),'PREFILL-PIVOT'!$A$3,_xlfn.VALUETOTEXT($A$6),$A39,"Experiment",J$5,"date",J$6))</f>
        <v>#REF!</v>
      </c>
      <c r="K39" t="e">
        <f>IF(GETPIVOTDATA(_xlfn.VALUETOTEXT($A$4),'PREFILL-PIVOT'!$A$3,_xlfn.VALUETOTEXT($A$6),$A39,"Experiment",K$5,"date",K$6)=0,NA(),GETPIVOTDATA(_xlfn.VALUETOTEXT($A$4),'PREFILL-PIVOT'!$A$3,_xlfn.VALUETOTEXT($A$6),$A39,"Experiment",K$5,"date",K$6))</f>
        <v>#REF!</v>
      </c>
      <c r="L39" t="e">
        <f>IF(GETPIVOTDATA(_xlfn.VALUETOTEXT($A$4),'PREFILL-PIVOT'!$A$3,_xlfn.VALUETOTEXT($A$6),$A39,"Experiment",L$5,"date",L$6)=0,NA(),GETPIVOTDATA(_xlfn.VALUETOTEXT($A$4),'PREFILL-PIVOT'!$A$3,_xlfn.VALUETOTEXT($A$6),$A39,"Experiment",L$5,"date",L$6))</f>
        <v>#REF!</v>
      </c>
      <c r="M39" t="e">
        <f>IF(GETPIVOTDATA(_xlfn.VALUETOTEXT($A$4),'PREFILL-PIVOT'!$A$3,_xlfn.VALUETOTEXT($A$6),$A39,"Experiment",M$5,"date",M$6)=0,NA(),GETPIVOTDATA(_xlfn.VALUETOTEXT($A$4),'PREFILL-PIVOT'!$A$3,_xlfn.VALUETOTEXT($A$6),$A39,"Experiment",M$5,"date",M$6))</f>
        <v>#REF!</v>
      </c>
    </row>
    <row r="40" spans="1:13" x14ac:dyDescent="0.25">
      <c r="A40" s="222">
        <f>IF('PREFILL-PIVOT'!A38=0,NA(),'PREFILL-PIVOT'!A38)</f>
        <v>6.5</v>
      </c>
      <c r="B40" t="e">
        <f>IF(GETPIVOTDATA(_xlfn.VALUETOTEXT($A$4),'PREFILL-PIVOT'!$A$3,_xlfn.VALUETOTEXT($A$6),$A40,"Experiment",B$5,"date",B$6)=0,NA(),GETPIVOTDATA(_xlfn.VALUETOTEXT($A$4),'PREFILL-PIVOT'!$A$3,_xlfn.VALUETOTEXT($A$6),$A40,"Experiment",B$5,"date",B$6))</f>
        <v>#N/A</v>
      </c>
      <c r="C40" t="e">
        <f>IF(GETPIVOTDATA(_xlfn.VALUETOTEXT($A$4),'PREFILL-PIVOT'!$A$3,_xlfn.VALUETOTEXT($A$6),$A40,"Experiment",C$5,"date",C$6)=0,NA(),GETPIVOTDATA(_xlfn.VALUETOTEXT($A$4),'PREFILL-PIVOT'!$A$3,_xlfn.VALUETOTEXT($A$6),$A40,"Experiment",C$5,"date",C$6))</f>
        <v>#N/A</v>
      </c>
      <c r="D40" t="e">
        <f>IF(GETPIVOTDATA(_xlfn.VALUETOTEXT($A$4),'PREFILL-PIVOT'!$A$3,_xlfn.VALUETOTEXT($A$6),$A40,"Experiment",D$5,"date",D$6)=0,NA(),GETPIVOTDATA(_xlfn.VALUETOTEXT($A$4),'PREFILL-PIVOT'!$A$3,_xlfn.VALUETOTEXT($A$6),$A40,"Experiment",D$5,"date",D$6))</f>
        <v>#N/A</v>
      </c>
      <c r="E40" t="e">
        <f>IF(GETPIVOTDATA(_xlfn.VALUETOTEXT($A$4),'PREFILL-PIVOT'!$A$3,_xlfn.VALUETOTEXT($A$6),$A40,"Experiment",E$5,"date",E$6)=0,NA(),GETPIVOTDATA(_xlfn.VALUETOTEXT($A$4),'PREFILL-PIVOT'!$A$3,_xlfn.VALUETOTEXT($A$6),$A40,"Experiment",E$5,"date",E$6))</f>
        <v>#N/A</v>
      </c>
      <c r="F40" t="e">
        <f>IF(GETPIVOTDATA(_xlfn.VALUETOTEXT($A$4),'PREFILL-PIVOT'!$A$3,_xlfn.VALUETOTEXT($A$6),$A40,"Experiment",F$5,"date",F$6)=0,NA(),GETPIVOTDATA(_xlfn.VALUETOTEXT($A$4),'PREFILL-PIVOT'!$A$3,_xlfn.VALUETOTEXT($A$6),$A40,"Experiment",F$5,"date",F$6))</f>
        <v>#N/A</v>
      </c>
      <c r="G40">
        <f>IF(GETPIVOTDATA(_xlfn.VALUETOTEXT($A$4),'PREFILL-PIVOT'!$A$3,_xlfn.VALUETOTEXT($A$6),$A40,"Experiment",G$5,"date",G$6)=0,NA(),GETPIVOTDATA(_xlfn.VALUETOTEXT($A$4),'PREFILL-PIVOT'!$A$3,_xlfn.VALUETOTEXT($A$6),$A40,"Experiment",G$5,"date",G$6))</f>
        <v>0.51192707631293743</v>
      </c>
      <c r="H40" t="e">
        <f>IF(GETPIVOTDATA(_xlfn.VALUETOTEXT($A$4),'PREFILL-PIVOT'!$A$3,_xlfn.VALUETOTEXT($A$6),$A40,"Experiment",H$5,"date",H$6)=0,NA(),GETPIVOTDATA(_xlfn.VALUETOTEXT($A$4),'PREFILL-PIVOT'!$A$3,_xlfn.VALUETOTEXT($A$6),$A40,"Experiment",H$5,"date",H$6))</f>
        <v>#N/A</v>
      </c>
      <c r="I40" t="e">
        <f>IF(GETPIVOTDATA(_xlfn.VALUETOTEXT($A$4),'PREFILL-PIVOT'!$A$3,_xlfn.VALUETOTEXT($A$6),$A40,"Experiment",I$5,"date",I$6)=0,NA(),GETPIVOTDATA(_xlfn.VALUETOTEXT($A$4),'PREFILL-PIVOT'!$A$3,_xlfn.VALUETOTEXT($A$6),$A40,"Experiment",I$5,"date",I$6))</f>
        <v>#REF!</v>
      </c>
      <c r="J40" t="e">
        <f>IF(GETPIVOTDATA(_xlfn.VALUETOTEXT($A$4),'PREFILL-PIVOT'!$A$3,_xlfn.VALUETOTEXT($A$6),$A40,"Experiment",J$5,"date",J$6)=0,NA(),GETPIVOTDATA(_xlfn.VALUETOTEXT($A$4),'PREFILL-PIVOT'!$A$3,_xlfn.VALUETOTEXT($A$6),$A40,"Experiment",J$5,"date",J$6))</f>
        <v>#REF!</v>
      </c>
      <c r="K40" t="e">
        <f>IF(GETPIVOTDATA(_xlfn.VALUETOTEXT($A$4),'PREFILL-PIVOT'!$A$3,_xlfn.VALUETOTEXT($A$6),$A40,"Experiment",K$5,"date",K$6)=0,NA(),GETPIVOTDATA(_xlfn.VALUETOTEXT($A$4),'PREFILL-PIVOT'!$A$3,_xlfn.VALUETOTEXT($A$6),$A40,"Experiment",K$5,"date",K$6))</f>
        <v>#REF!</v>
      </c>
      <c r="L40" t="e">
        <f>IF(GETPIVOTDATA(_xlfn.VALUETOTEXT($A$4),'PREFILL-PIVOT'!$A$3,_xlfn.VALUETOTEXT($A$6),$A40,"Experiment",L$5,"date",L$6)=0,NA(),GETPIVOTDATA(_xlfn.VALUETOTEXT($A$4),'PREFILL-PIVOT'!$A$3,_xlfn.VALUETOTEXT($A$6),$A40,"Experiment",L$5,"date",L$6))</f>
        <v>#REF!</v>
      </c>
      <c r="M40" t="e">
        <f>IF(GETPIVOTDATA(_xlfn.VALUETOTEXT($A$4),'PREFILL-PIVOT'!$A$3,_xlfn.VALUETOTEXT($A$6),$A40,"Experiment",M$5,"date",M$6)=0,NA(),GETPIVOTDATA(_xlfn.VALUETOTEXT($A$4),'PREFILL-PIVOT'!$A$3,_xlfn.VALUETOTEXT($A$6),$A40,"Experiment",M$5,"date",M$6))</f>
        <v>#REF!</v>
      </c>
    </row>
    <row r="41" spans="1:13" x14ac:dyDescent="0.25">
      <c r="A41" s="222">
        <f>IF('PREFILL-PIVOT'!A39=0,NA(),'PREFILL-PIVOT'!A39)</f>
        <v>6.5999999999999988</v>
      </c>
      <c r="B41" t="e">
        <f>IF(GETPIVOTDATA(_xlfn.VALUETOTEXT($A$4),'PREFILL-PIVOT'!$A$3,_xlfn.VALUETOTEXT($A$6),$A41,"Experiment",B$5,"date",B$6)=0,NA(),GETPIVOTDATA(_xlfn.VALUETOTEXT($A$4),'PREFILL-PIVOT'!$A$3,_xlfn.VALUETOTEXT($A$6),$A41,"Experiment",B$5,"date",B$6))</f>
        <v>#N/A</v>
      </c>
      <c r="C41" t="e">
        <f>IF(GETPIVOTDATA(_xlfn.VALUETOTEXT($A$4),'PREFILL-PIVOT'!$A$3,_xlfn.VALUETOTEXT($A$6),$A41,"Experiment",C$5,"date",C$6)=0,NA(),GETPIVOTDATA(_xlfn.VALUETOTEXT($A$4),'PREFILL-PIVOT'!$A$3,_xlfn.VALUETOTEXT($A$6),$A41,"Experiment",C$5,"date",C$6))</f>
        <v>#N/A</v>
      </c>
      <c r="D41">
        <f>IF(GETPIVOTDATA(_xlfn.VALUETOTEXT($A$4),'PREFILL-PIVOT'!$A$3,_xlfn.VALUETOTEXT($A$6),$A41,"Experiment",D$5,"date",D$6)=0,NA(),GETPIVOTDATA(_xlfn.VALUETOTEXT($A$4),'PREFILL-PIVOT'!$A$3,_xlfn.VALUETOTEXT($A$6),$A41,"Experiment",D$5,"date",D$6))</f>
        <v>1.2600287174116651</v>
      </c>
      <c r="E41" t="e">
        <f>IF(GETPIVOTDATA(_xlfn.VALUETOTEXT($A$4),'PREFILL-PIVOT'!$A$3,_xlfn.VALUETOTEXT($A$6),$A41,"Experiment",E$5,"date",E$6)=0,NA(),GETPIVOTDATA(_xlfn.VALUETOTEXT($A$4),'PREFILL-PIVOT'!$A$3,_xlfn.VALUETOTEXT($A$6),$A41,"Experiment",E$5,"date",E$6))</f>
        <v>#N/A</v>
      </c>
      <c r="F41" t="e">
        <f>IF(GETPIVOTDATA(_xlfn.VALUETOTEXT($A$4),'PREFILL-PIVOT'!$A$3,_xlfn.VALUETOTEXT($A$6),$A41,"Experiment",F$5,"date",F$6)=0,NA(),GETPIVOTDATA(_xlfn.VALUETOTEXT($A$4),'PREFILL-PIVOT'!$A$3,_xlfn.VALUETOTEXT($A$6),$A41,"Experiment",F$5,"date",F$6))</f>
        <v>#N/A</v>
      </c>
      <c r="G41" t="e">
        <f>IF(GETPIVOTDATA(_xlfn.VALUETOTEXT($A$4),'PREFILL-PIVOT'!$A$3,_xlfn.VALUETOTEXT($A$6),$A41,"Experiment",G$5,"date",G$6)=0,NA(),GETPIVOTDATA(_xlfn.VALUETOTEXT($A$4),'PREFILL-PIVOT'!$A$3,_xlfn.VALUETOTEXT($A$6),$A41,"Experiment",G$5,"date",G$6))</f>
        <v>#N/A</v>
      </c>
      <c r="H41">
        <f>IF(GETPIVOTDATA(_xlfn.VALUETOTEXT($A$4),'PREFILL-PIVOT'!$A$3,_xlfn.VALUETOTEXT($A$6),$A41,"Experiment",H$5,"date",H$6)=0,NA(),GETPIVOTDATA(_xlfn.VALUETOTEXT($A$4),'PREFILL-PIVOT'!$A$3,_xlfn.VALUETOTEXT($A$6),$A41,"Experiment",H$5,"date",H$6))</f>
        <v>1.0074532958660602</v>
      </c>
      <c r="I41" t="e">
        <f>IF(GETPIVOTDATA(_xlfn.VALUETOTEXT($A$4),'PREFILL-PIVOT'!$A$3,_xlfn.VALUETOTEXT($A$6),$A41,"Experiment",I$5,"date",I$6)=0,NA(),GETPIVOTDATA(_xlfn.VALUETOTEXT($A$4),'PREFILL-PIVOT'!$A$3,_xlfn.VALUETOTEXT($A$6),$A41,"Experiment",I$5,"date",I$6))</f>
        <v>#REF!</v>
      </c>
      <c r="J41" t="e">
        <f>IF(GETPIVOTDATA(_xlfn.VALUETOTEXT($A$4),'PREFILL-PIVOT'!$A$3,_xlfn.VALUETOTEXT($A$6),$A41,"Experiment",J$5,"date",J$6)=0,NA(),GETPIVOTDATA(_xlfn.VALUETOTEXT($A$4),'PREFILL-PIVOT'!$A$3,_xlfn.VALUETOTEXT($A$6),$A41,"Experiment",J$5,"date",J$6))</f>
        <v>#REF!</v>
      </c>
      <c r="K41" t="e">
        <f>IF(GETPIVOTDATA(_xlfn.VALUETOTEXT($A$4),'PREFILL-PIVOT'!$A$3,_xlfn.VALUETOTEXT($A$6),$A41,"Experiment",K$5,"date",K$6)=0,NA(),GETPIVOTDATA(_xlfn.VALUETOTEXT($A$4),'PREFILL-PIVOT'!$A$3,_xlfn.VALUETOTEXT($A$6),$A41,"Experiment",K$5,"date",K$6))</f>
        <v>#REF!</v>
      </c>
      <c r="L41" t="e">
        <f>IF(GETPIVOTDATA(_xlfn.VALUETOTEXT($A$4),'PREFILL-PIVOT'!$A$3,_xlfn.VALUETOTEXT($A$6),$A41,"Experiment",L$5,"date",L$6)=0,NA(),GETPIVOTDATA(_xlfn.VALUETOTEXT($A$4),'PREFILL-PIVOT'!$A$3,_xlfn.VALUETOTEXT($A$6),$A41,"Experiment",L$5,"date",L$6))</f>
        <v>#REF!</v>
      </c>
      <c r="M41" t="e">
        <f>IF(GETPIVOTDATA(_xlfn.VALUETOTEXT($A$4),'PREFILL-PIVOT'!$A$3,_xlfn.VALUETOTEXT($A$6),$A41,"Experiment",M$5,"date",M$6)=0,NA(),GETPIVOTDATA(_xlfn.VALUETOTEXT($A$4),'PREFILL-PIVOT'!$A$3,_xlfn.VALUETOTEXT($A$6),$A41,"Experiment",M$5,"date",M$6))</f>
        <v>#REF!</v>
      </c>
    </row>
    <row r="42" spans="1:13" x14ac:dyDescent="0.25">
      <c r="A42" s="222">
        <f>IF('PREFILL-PIVOT'!A40=0,NA(),'PREFILL-PIVOT'!A40)</f>
        <v>6.6</v>
      </c>
      <c r="B42" t="e">
        <f>IF(GETPIVOTDATA(_xlfn.VALUETOTEXT($A$4),'PREFILL-PIVOT'!$A$3,_xlfn.VALUETOTEXT($A$6),$A42,"Experiment",B$5,"date",B$6)=0,NA(),GETPIVOTDATA(_xlfn.VALUETOTEXT($A$4),'PREFILL-PIVOT'!$A$3,_xlfn.VALUETOTEXT($A$6),$A42,"Experiment",B$5,"date",B$6))</f>
        <v>#N/A</v>
      </c>
      <c r="C42">
        <f>IF(GETPIVOTDATA(_xlfn.VALUETOTEXT($A$4),'PREFILL-PIVOT'!$A$3,_xlfn.VALUETOTEXT($A$6),$A42,"Experiment",C$5,"date",C$6)=0,NA(),GETPIVOTDATA(_xlfn.VALUETOTEXT($A$4),'PREFILL-PIVOT'!$A$3,_xlfn.VALUETOTEXT($A$6),$A42,"Experiment",C$5,"date",C$6))</f>
        <v>0.34354937586510081</v>
      </c>
      <c r="D42" t="e">
        <f>IF(GETPIVOTDATA(_xlfn.VALUETOTEXT($A$4),'PREFILL-PIVOT'!$A$3,_xlfn.VALUETOTEXT($A$6),$A42,"Experiment",D$5,"date",D$6)=0,NA(),GETPIVOTDATA(_xlfn.VALUETOTEXT($A$4),'PREFILL-PIVOT'!$A$3,_xlfn.VALUETOTEXT($A$6),$A42,"Experiment",D$5,"date",D$6))</f>
        <v>#N/A</v>
      </c>
      <c r="E42" t="e">
        <f>IF(GETPIVOTDATA(_xlfn.VALUETOTEXT($A$4),'PREFILL-PIVOT'!$A$3,_xlfn.VALUETOTEXT($A$6),$A42,"Experiment",E$5,"date",E$6)=0,NA(),GETPIVOTDATA(_xlfn.VALUETOTEXT($A$4),'PREFILL-PIVOT'!$A$3,_xlfn.VALUETOTEXT($A$6),$A42,"Experiment",E$5,"date",E$6))</f>
        <v>#N/A</v>
      </c>
      <c r="F42" t="e">
        <f>IF(GETPIVOTDATA(_xlfn.VALUETOTEXT($A$4),'PREFILL-PIVOT'!$A$3,_xlfn.VALUETOTEXT($A$6),$A42,"Experiment",F$5,"date",F$6)=0,NA(),GETPIVOTDATA(_xlfn.VALUETOTEXT($A$4),'PREFILL-PIVOT'!$A$3,_xlfn.VALUETOTEXT($A$6),$A42,"Experiment",F$5,"date",F$6))</f>
        <v>#N/A</v>
      </c>
      <c r="G42" t="e">
        <f>IF(GETPIVOTDATA(_xlfn.VALUETOTEXT($A$4),'PREFILL-PIVOT'!$A$3,_xlfn.VALUETOTEXT($A$6),$A42,"Experiment",G$5,"date",G$6)=0,NA(),GETPIVOTDATA(_xlfn.VALUETOTEXT($A$4),'PREFILL-PIVOT'!$A$3,_xlfn.VALUETOTEXT($A$6),$A42,"Experiment",G$5,"date",G$6))</f>
        <v>#N/A</v>
      </c>
      <c r="H42" t="e">
        <f>IF(GETPIVOTDATA(_xlfn.VALUETOTEXT($A$4),'PREFILL-PIVOT'!$A$3,_xlfn.VALUETOTEXT($A$6),$A42,"Experiment",H$5,"date",H$6)=0,NA(),GETPIVOTDATA(_xlfn.VALUETOTEXT($A$4),'PREFILL-PIVOT'!$A$3,_xlfn.VALUETOTEXT($A$6),$A42,"Experiment",H$5,"date",H$6))</f>
        <v>#N/A</v>
      </c>
      <c r="I42" t="e">
        <f>IF(GETPIVOTDATA(_xlfn.VALUETOTEXT($A$4),'PREFILL-PIVOT'!$A$3,_xlfn.VALUETOTEXT($A$6),$A42,"Experiment",I$5,"date",I$6)=0,NA(),GETPIVOTDATA(_xlfn.VALUETOTEXT($A$4),'PREFILL-PIVOT'!$A$3,_xlfn.VALUETOTEXT($A$6),$A42,"Experiment",I$5,"date",I$6))</f>
        <v>#REF!</v>
      </c>
      <c r="J42" t="e">
        <f>IF(GETPIVOTDATA(_xlfn.VALUETOTEXT($A$4),'PREFILL-PIVOT'!$A$3,_xlfn.VALUETOTEXT($A$6),$A42,"Experiment",J$5,"date",J$6)=0,NA(),GETPIVOTDATA(_xlfn.VALUETOTEXT($A$4),'PREFILL-PIVOT'!$A$3,_xlfn.VALUETOTEXT($A$6),$A42,"Experiment",J$5,"date",J$6))</f>
        <v>#REF!</v>
      </c>
      <c r="K42" t="e">
        <f>IF(GETPIVOTDATA(_xlfn.VALUETOTEXT($A$4),'PREFILL-PIVOT'!$A$3,_xlfn.VALUETOTEXT($A$6),$A42,"Experiment",K$5,"date",K$6)=0,NA(),GETPIVOTDATA(_xlfn.VALUETOTEXT($A$4),'PREFILL-PIVOT'!$A$3,_xlfn.VALUETOTEXT($A$6),$A42,"Experiment",K$5,"date",K$6))</f>
        <v>#REF!</v>
      </c>
      <c r="L42" t="e">
        <f>IF(GETPIVOTDATA(_xlfn.VALUETOTEXT($A$4),'PREFILL-PIVOT'!$A$3,_xlfn.VALUETOTEXT($A$6),$A42,"Experiment",L$5,"date",L$6)=0,NA(),GETPIVOTDATA(_xlfn.VALUETOTEXT($A$4),'PREFILL-PIVOT'!$A$3,_xlfn.VALUETOTEXT($A$6),$A42,"Experiment",L$5,"date",L$6))</f>
        <v>#REF!</v>
      </c>
      <c r="M42" t="e">
        <f>IF(GETPIVOTDATA(_xlfn.VALUETOTEXT($A$4),'PREFILL-PIVOT'!$A$3,_xlfn.VALUETOTEXT($A$6),$A42,"Experiment",M$5,"date",M$6)=0,NA(),GETPIVOTDATA(_xlfn.VALUETOTEXT($A$4),'PREFILL-PIVOT'!$A$3,_xlfn.VALUETOTEXT($A$6),$A42,"Experiment",M$5,"date",M$6))</f>
        <v>#REF!</v>
      </c>
    </row>
    <row r="43" spans="1:13" x14ac:dyDescent="0.25">
      <c r="A43" s="222">
        <f>IF('PREFILL-PIVOT'!A41=0,NA(),'PREFILL-PIVOT'!A41)</f>
        <v>6.8</v>
      </c>
      <c r="B43" t="e">
        <f>IF(GETPIVOTDATA(_xlfn.VALUETOTEXT($A$4),'PREFILL-PIVOT'!$A$3,_xlfn.VALUETOTEXT($A$6),$A43,"Experiment",B$5,"date",B$6)=0,NA(),GETPIVOTDATA(_xlfn.VALUETOTEXT($A$4),'PREFILL-PIVOT'!$A$3,_xlfn.VALUETOTEXT($A$6),$A43,"Experiment",B$5,"date",B$6))</f>
        <v>#N/A</v>
      </c>
      <c r="C43">
        <f>IF(GETPIVOTDATA(_xlfn.VALUETOTEXT($A$4),'PREFILL-PIVOT'!$A$3,_xlfn.VALUETOTEXT($A$6),$A43,"Experiment",C$5,"date",C$6)=0,NA(),GETPIVOTDATA(_xlfn.VALUETOTEXT($A$4),'PREFILL-PIVOT'!$A$3,_xlfn.VALUETOTEXT($A$6),$A43,"Experiment",C$5,"date",C$6))</f>
        <v>0.38880960210423587</v>
      </c>
      <c r="D43">
        <f>IF(GETPIVOTDATA(_xlfn.VALUETOTEXT($A$4),'PREFILL-PIVOT'!$A$3,_xlfn.VALUETOTEXT($A$6),$A43,"Experiment",D$5,"date",D$6)=0,NA(),GETPIVOTDATA(_xlfn.VALUETOTEXT($A$4),'PREFILL-PIVOT'!$A$3,_xlfn.VALUETOTEXT($A$6),$A43,"Experiment",D$5,"date",D$6))</f>
        <v>1.0035043611307832</v>
      </c>
      <c r="E43" t="e">
        <f>IF(GETPIVOTDATA(_xlfn.VALUETOTEXT($A$4),'PREFILL-PIVOT'!$A$3,_xlfn.VALUETOTEXT($A$6),$A43,"Experiment",E$5,"date",E$6)=0,NA(),GETPIVOTDATA(_xlfn.VALUETOTEXT($A$4),'PREFILL-PIVOT'!$A$3,_xlfn.VALUETOTEXT($A$6),$A43,"Experiment",E$5,"date",E$6))</f>
        <v>#N/A</v>
      </c>
      <c r="F43" t="e">
        <f>IF(GETPIVOTDATA(_xlfn.VALUETOTEXT($A$4),'PREFILL-PIVOT'!$A$3,_xlfn.VALUETOTEXT($A$6),$A43,"Experiment",F$5,"date",F$6)=0,NA(),GETPIVOTDATA(_xlfn.VALUETOTEXT($A$4),'PREFILL-PIVOT'!$A$3,_xlfn.VALUETOTEXT($A$6),$A43,"Experiment",F$5,"date",F$6))</f>
        <v>#N/A</v>
      </c>
      <c r="G43" t="e">
        <f>IF(GETPIVOTDATA(_xlfn.VALUETOTEXT($A$4),'PREFILL-PIVOT'!$A$3,_xlfn.VALUETOTEXT($A$6),$A43,"Experiment",G$5,"date",G$6)=0,NA(),GETPIVOTDATA(_xlfn.VALUETOTEXT($A$4),'PREFILL-PIVOT'!$A$3,_xlfn.VALUETOTEXT($A$6),$A43,"Experiment",G$5,"date",G$6))</f>
        <v>#N/A</v>
      </c>
      <c r="H43">
        <f>IF(GETPIVOTDATA(_xlfn.VALUETOTEXT($A$4),'PREFILL-PIVOT'!$A$3,_xlfn.VALUETOTEXT($A$6),$A43,"Experiment",H$5,"date",H$6)=0,NA(),GETPIVOTDATA(_xlfn.VALUETOTEXT($A$4),'PREFILL-PIVOT'!$A$3,_xlfn.VALUETOTEXT($A$6),$A43,"Experiment",H$5,"date",H$6))</f>
        <v>1.3392629044221371</v>
      </c>
      <c r="I43" t="e">
        <f>IF(GETPIVOTDATA(_xlfn.VALUETOTEXT($A$4),'PREFILL-PIVOT'!$A$3,_xlfn.VALUETOTEXT($A$6),$A43,"Experiment",I$5,"date",I$6)=0,NA(),GETPIVOTDATA(_xlfn.VALUETOTEXT($A$4),'PREFILL-PIVOT'!$A$3,_xlfn.VALUETOTEXT($A$6),$A43,"Experiment",I$5,"date",I$6))</f>
        <v>#REF!</v>
      </c>
      <c r="J43" t="e">
        <f>IF(GETPIVOTDATA(_xlfn.VALUETOTEXT($A$4),'PREFILL-PIVOT'!$A$3,_xlfn.VALUETOTEXT($A$6),$A43,"Experiment",J$5,"date",J$6)=0,NA(),GETPIVOTDATA(_xlfn.VALUETOTEXT($A$4),'PREFILL-PIVOT'!$A$3,_xlfn.VALUETOTEXT($A$6),$A43,"Experiment",J$5,"date",J$6))</f>
        <v>#REF!</v>
      </c>
      <c r="K43" t="e">
        <f>IF(GETPIVOTDATA(_xlfn.VALUETOTEXT($A$4),'PREFILL-PIVOT'!$A$3,_xlfn.VALUETOTEXT($A$6),$A43,"Experiment",K$5,"date",K$6)=0,NA(),GETPIVOTDATA(_xlfn.VALUETOTEXT($A$4),'PREFILL-PIVOT'!$A$3,_xlfn.VALUETOTEXT($A$6),$A43,"Experiment",K$5,"date",K$6))</f>
        <v>#REF!</v>
      </c>
      <c r="L43" t="e">
        <f>IF(GETPIVOTDATA(_xlfn.VALUETOTEXT($A$4),'PREFILL-PIVOT'!$A$3,_xlfn.VALUETOTEXT($A$6),$A43,"Experiment",L$5,"date",L$6)=0,NA(),GETPIVOTDATA(_xlfn.VALUETOTEXT($A$4),'PREFILL-PIVOT'!$A$3,_xlfn.VALUETOTEXT($A$6),$A43,"Experiment",L$5,"date",L$6))</f>
        <v>#REF!</v>
      </c>
      <c r="M43" t="e">
        <f>IF(GETPIVOTDATA(_xlfn.VALUETOTEXT($A$4),'PREFILL-PIVOT'!$A$3,_xlfn.VALUETOTEXT($A$6),$A43,"Experiment",M$5,"date",M$6)=0,NA(),GETPIVOTDATA(_xlfn.VALUETOTEXT($A$4),'PREFILL-PIVOT'!$A$3,_xlfn.VALUETOTEXT($A$6),$A43,"Experiment",M$5,"date",M$6))</f>
        <v>#REF!</v>
      </c>
    </row>
    <row r="44" spans="1:13" x14ac:dyDescent="0.25">
      <c r="A44" s="222">
        <f>IF('PREFILL-PIVOT'!A42=0,NA(),'PREFILL-PIVOT'!A42)</f>
        <v>7</v>
      </c>
      <c r="B44" t="e">
        <f>IF(GETPIVOTDATA(_xlfn.VALUETOTEXT($A$4),'PREFILL-PIVOT'!$A$3,_xlfn.VALUETOTEXT($A$6),$A44,"Experiment",B$5,"date",B$6)=0,NA(),GETPIVOTDATA(_xlfn.VALUETOTEXT($A$4),'PREFILL-PIVOT'!$A$3,_xlfn.VALUETOTEXT($A$6),$A44,"Experiment",B$5,"date",B$6))</f>
        <v>#N/A</v>
      </c>
      <c r="C44" t="e">
        <f>IF(GETPIVOTDATA(_xlfn.VALUETOTEXT($A$4),'PREFILL-PIVOT'!$A$3,_xlfn.VALUETOTEXT($A$6),$A44,"Experiment",C$5,"date",C$6)=0,NA(),GETPIVOTDATA(_xlfn.VALUETOTEXT($A$4),'PREFILL-PIVOT'!$A$3,_xlfn.VALUETOTEXT($A$6),$A44,"Experiment",C$5,"date",C$6))</f>
        <v>#N/A</v>
      </c>
      <c r="D44" t="e">
        <f>IF(GETPIVOTDATA(_xlfn.VALUETOTEXT($A$4),'PREFILL-PIVOT'!$A$3,_xlfn.VALUETOTEXT($A$6),$A44,"Experiment",D$5,"date",D$6)=0,NA(),GETPIVOTDATA(_xlfn.VALUETOTEXT($A$4),'PREFILL-PIVOT'!$A$3,_xlfn.VALUETOTEXT($A$6),$A44,"Experiment",D$5,"date",D$6))</f>
        <v>#N/A</v>
      </c>
      <c r="E44">
        <f>IF(GETPIVOTDATA(_xlfn.VALUETOTEXT($A$4),'PREFILL-PIVOT'!$A$3,_xlfn.VALUETOTEXT($A$6),$A44,"Experiment",E$5,"date",E$6)=0,NA(),GETPIVOTDATA(_xlfn.VALUETOTEXT($A$4),'PREFILL-PIVOT'!$A$3,_xlfn.VALUETOTEXT($A$6),$A44,"Experiment",E$5,"date",E$6))</f>
        <v>0.95899900142358907</v>
      </c>
      <c r="F44" t="e">
        <f>IF(GETPIVOTDATA(_xlfn.VALUETOTEXT($A$4),'PREFILL-PIVOT'!$A$3,_xlfn.VALUETOTEXT($A$6),$A44,"Experiment",F$5,"date",F$6)=0,NA(),GETPIVOTDATA(_xlfn.VALUETOTEXT($A$4),'PREFILL-PIVOT'!$A$3,_xlfn.VALUETOTEXT($A$6),$A44,"Experiment",F$5,"date",F$6))</f>
        <v>#N/A</v>
      </c>
      <c r="G44">
        <f>IF(GETPIVOTDATA(_xlfn.VALUETOTEXT($A$4),'PREFILL-PIVOT'!$A$3,_xlfn.VALUETOTEXT($A$6),$A44,"Experiment",G$5,"date",G$6)=0,NA(),GETPIVOTDATA(_xlfn.VALUETOTEXT($A$4),'PREFILL-PIVOT'!$A$3,_xlfn.VALUETOTEXT($A$6),$A44,"Experiment",G$5,"date",G$6))</f>
        <v>0.46475651800967327</v>
      </c>
      <c r="H44">
        <f>IF(GETPIVOTDATA(_xlfn.VALUETOTEXT($A$4),'PREFILL-PIVOT'!$A$3,_xlfn.VALUETOTEXT($A$6),$A44,"Experiment",H$5,"date",H$6)=0,NA(),GETPIVOTDATA(_xlfn.VALUETOTEXT($A$4),'PREFILL-PIVOT'!$A$3,_xlfn.VALUETOTEXT($A$6),$A44,"Experiment",H$5,"date",H$6))</f>
        <v>1.3740283270689924</v>
      </c>
      <c r="I44" t="e">
        <f>IF(GETPIVOTDATA(_xlfn.VALUETOTEXT($A$4),'PREFILL-PIVOT'!$A$3,_xlfn.VALUETOTEXT($A$6),$A44,"Experiment",I$5,"date",I$6)=0,NA(),GETPIVOTDATA(_xlfn.VALUETOTEXT($A$4),'PREFILL-PIVOT'!$A$3,_xlfn.VALUETOTEXT($A$6),$A44,"Experiment",I$5,"date",I$6))</f>
        <v>#REF!</v>
      </c>
      <c r="J44" t="e">
        <f>IF(GETPIVOTDATA(_xlfn.VALUETOTEXT($A$4),'PREFILL-PIVOT'!$A$3,_xlfn.VALUETOTEXT($A$6),$A44,"Experiment",J$5,"date",J$6)=0,NA(),GETPIVOTDATA(_xlfn.VALUETOTEXT($A$4),'PREFILL-PIVOT'!$A$3,_xlfn.VALUETOTEXT($A$6),$A44,"Experiment",J$5,"date",J$6))</f>
        <v>#REF!</v>
      </c>
      <c r="K44" t="e">
        <f>IF(GETPIVOTDATA(_xlfn.VALUETOTEXT($A$4),'PREFILL-PIVOT'!$A$3,_xlfn.VALUETOTEXT($A$6),$A44,"Experiment",K$5,"date",K$6)=0,NA(),GETPIVOTDATA(_xlfn.VALUETOTEXT($A$4),'PREFILL-PIVOT'!$A$3,_xlfn.VALUETOTEXT($A$6),$A44,"Experiment",K$5,"date",K$6))</f>
        <v>#REF!</v>
      </c>
      <c r="L44" t="e">
        <f>IF(GETPIVOTDATA(_xlfn.VALUETOTEXT($A$4),'PREFILL-PIVOT'!$A$3,_xlfn.VALUETOTEXT($A$6),$A44,"Experiment",L$5,"date",L$6)=0,NA(),GETPIVOTDATA(_xlfn.VALUETOTEXT($A$4),'PREFILL-PIVOT'!$A$3,_xlfn.VALUETOTEXT($A$6),$A44,"Experiment",L$5,"date",L$6))</f>
        <v>#REF!</v>
      </c>
      <c r="M44" t="e">
        <f>IF(GETPIVOTDATA(_xlfn.VALUETOTEXT($A$4),'PREFILL-PIVOT'!$A$3,_xlfn.VALUETOTEXT($A$6),$A44,"Experiment",M$5,"date",M$6)=0,NA(),GETPIVOTDATA(_xlfn.VALUETOTEXT($A$4),'PREFILL-PIVOT'!$A$3,_xlfn.VALUETOTEXT($A$6),$A44,"Experiment",M$5,"date",M$6))</f>
        <v>#REF!</v>
      </c>
    </row>
    <row r="45" spans="1:13" x14ac:dyDescent="0.25">
      <c r="A45" s="222" t="e">
        <f>IF('PREFILL-PIVOT'!A43=0,NA(),'PREFILL-PIVOT'!A43)</f>
        <v>#N/A</v>
      </c>
      <c r="B45" t="e">
        <f>IF(GETPIVOTDATA(_xlfn.VALUETOTEXT($A$4),'PREFILL-PIVOT'!$A$3,_xlfn.VALUETOTEXT($A$6),$A45,"Experiment",B$5,"date",B$6)=0,NA(),GETPIVOTDATA(_xlfn.VALUETOTEXT($A$4),'PREFILL-PIVOT'!$A$3,_xlfn.VALUETOTEXT($A$6),$A45,"Experiment",B$5,"date",B$6))</f>
        <v>#REF!</v>
      </c>
      <c r="C45" t="e">
        <f>IF(GETPIVOTDATA(_xlfn.VALUETOTEXT($A$4),'PREFILL-PIVOT'!$A$3,_xlfn.VALUETOTEXT($A$6),$A45,"Experiment",C$5,"date",C$6)=0,NA(),GETPIVOTDATA(_xlfn.VALUETOTEXT($A$4),'PREFILL-PIVOT'!$A$3,_xlfn.VALUETOTEXT($A$6),$A45,"Experiment",C$5,"date",C$6))</f>
        <v>#REF!</v>
      </c>
      <c r="D45" t="e">
        <f>IF(GETPIVOTDATA(_xlfn.VALUETOTEXT($A$4),'PREFILL-PIVOT'!$A$3,_xlfn.VALUETOTEXT($A$6),$A45,"Experiment",D$5,"date",D$6)=0,NA(),GETPIVOTDATA(_xlfn.VALUETOTEXT($A$4),'PREFILL-PIVOT'!$A$3,_xlfn.VALUETOTEXT($A$6),$A45,"Experiment",D$5,"date",D$6))</f>
        <v>#REF!</v>
      </c>
      <c r="E45" t="e">
        <f>IF(GETPIVOTDATA(_xlfn.VALUETOTEXT($A$4),'PREFILL-PIVOT'!$A$3,_xlfn.VALUETOTEXT($A$6),$A45,"Experiment",E$5,"date",E$6)=0,NA(),GETPIVOTDATA(_xlfn.VALUETOTEXT($A$4),'PREFILL-PIVOT'!$A$3,_xlfn.VALUETOTEXT($A$6),$A45,"Experiment",E$5,"date",E$6))</f>
        <v>#REF!</v>
      </c>
      <c r="F45" t="e">
        <f>IF(GETPIVOTDATA(_xlfn.VALUETOTEXT($A$4),'PREFILL-PIVOT'!$A$3,_xlfn.VALUETOTEXT($A$6),$A45,"Experiment",F$5,"date",F$6)=0,NA(),GETPIVOTDATA(_xlfn.VALUETOTEXT($A$4),'PREFILL-PIVOT'!$A$3,_xlfn.VALUETOTEXT($A$6),$A45,"Experiment",F$5,"date",F$6))</f>
        <v>#REF!</v>
      </c>
      <c r="G45" t="e">
        <f>IF(GETPIVOTDATA(_xlfn.VALUETOTEXT($A$4),'PREFILL-PIVOT'!$A$3,_xlfn.VALUETOTEXT($A$6),$A45,"Experiment",G$5,"date",G$6)=0,NA(),GETPIVOTDATA(_xlfn.VALUETOTEXT($A$4),'PREFILL-PIVOT'!$A$3,_xlfn.VALUETOTEXT($A$6),$A45,"Experiment",G$5,"date",G$6))</f>
        <v>#REF!</v>
      </c>
      <c r="H45" t="e">
        <f>IF(GETPIVOTDATA(_xlfn.VALUETOTEXT($A$4),'PREFILL-PIVOT'!$A$3,_xlfn.VALUETOTEXT($A$6),$A45,"Experiment",H$5,"date",H$6)=0,NA(),GETPIVOTDATA(_xlfn.VALUETOTEXT($A$4),'PREFILL-PIVOT'!$A$3,_xlfn.VALUETOTEXT($A$6),$A45,"Experiment",H$5,"date",H$6))</f>
        <v>#REF!</v>
      </c>
      <c r="I45" t="e">
        <f>IF(GETPIVOTDATA(_xlfn.VALUETOTEXT($A$4),'PREFILL-PIVOT'!$A$3,_xlfn.VALUETOTEXT($A$6),$A45,"Experiment",I$5,"date",I$6)=0,NA(),GETPIVOTDATA(_xlfn.VALUETOTEXT($A$4),'PREFILL-PIVOT'!$A$3,_xlfn.VALUETOTEXT($A$6),$A45,"Experiment",I$5,"date",I$6))</f>
        <v>#REF!</v>
      </c>
      <c r="J45" t="e">
        <f>IF(GETPIVOTDATA(_xlfn.VALUETOTEXT($A$4),'PREFILL-PIVOT'!$A$3,_xlfn.VALUETOTEXT($A$6),$A45,"Experiment",J$5,"date",J$6)=0,NA(),GETPIVOTDATA(_xlfn.VALUETOTEXT($A$4),'PREFILL-PIVOT'!$A$3,_xlfn.VALUETOTEXT($A$6),$A45,"Experiment",J$5,"date",J$6))</f>
        <v>#REF!</v>
      </c>
      <c r="K45" t="e">
        <f>IF(GETPIVOTDATA(_xlfn.VALUETOTEXT($A$4),'PREFILL-PIVOT'!$A$3,_xlfn.VALUETOTEXT($A$6),$A45,"Experiment",K$5,"date",K$6)=0,NA(),GETPIVOTDATA(_xlfn.VALUETOTEXT($A$4),'PREFILL-PIVOT'!$A$3,_xlfn.VALUETOTEXT($A$6),$A45,"Experiment",K$5,"date",K$6))</f>
        <v>#REF!</v>
      </c>
      <c r="L45" t="e">
        <f>IF(GETPIVOTDATA(_xlfn.VALUETOTEXT($A$4),'PREFILL-PIVOT'!$A$3,_xlfn.VALUETOTEXT($A$6),$A45,"Experiment",L$5,"date",L$6)=0,NA(),GETPIVOTDATA(_xlfn.VALUETOTEXT($A$4),'PREFILL-PIVOT'!$A$3,_xlfn.VALUETOTEXT($A$6),$A45,"Experiment",L$5,"date",L$6))</f>
        <v>#REF!</v>
      </c>
      <c r="M45" t="e">
        <f>IF(GETPIVOTDATA(_xlfn.VALUETOTEXT($A$4),'PREFILL-PIVOT'!$A$3,_xlfn.VALUETOTEXT($A$6),$A45,"Experiment",M$5,"date",M$6)=0,NA(),GETPIVOTDATA(_xlfn.VALUETOTEXT($A$4),'PREFILL-PIVOT'!$A$3,_xlfn.VALUETOTEXT($A$6),$A45,"Experiment",M$5,"date",M$6))</f>
        <v>#REF!</v>
      </c>
    </row>
    <row r="46" spans="1:13" x14ac:dyDescent="0.25">
      <c r="A46" s="222" t="e">
        <f>IF('PREFILL-PIVOT'!A44=0,NA(),'PREFILL-PIVOT'!A44)</f>
        <v>#N/A</v>
      </c>
      <c r="B46" t="e">
        <f>IF(GETPIVOTDATA(_xlfn.VALUETOTEXT($A$4),'PREFILL-PIVOT'!$A$3,_xlfn.VALUETOTEXT($A$6),$A46,"Experiment",B$5,"date",B$6)=0,NA(),GETPIVOTDATA(_xlfn.VALUETOTEXT($A$4),'PREFILL-PIVOT'!$A$3,_xlfn.VALUETOTEXT($A$6),$A46,"Experiment",B$5,"date",B$6))</f>
        <v>#REF!</v>
      </c>
      <c r="C46" t="e">
        <f>IF(GETPIVOTDATA(_xlfn.VALUETOTEXT($A$4),'PREFILL-PIVOT'!$A$3,_xlfn.VALUETOTEXT($A$6),$A46,"Experiment",C$5,"date",C$6)=0,NA(),GETPIVOTDATA(_xlfn.VALUETOTEXT($A$4),'PREFILL-PIVOT'!$A$3,_xlfn.VALUETOTEXT($A$6),$A46,"Experiment",C$5,"date",C$6))</f>
        <v>#REF!</v>
      </c>
      <c r="D46" t="e">
        <f>IF(GETPIVOTDATA(_xlfn.VALUETOTEXT($A$4),'PREFILL-PIVOT'!$A$3,_xlfn.VALUETOTEXT($A$6),$A46,"Experiment",D$5,"date",D$6)=0,NA(),GETPIVOTDATA(_xlfn.VALUETOTEXT($A$4),'PREFILL-PIVOT'!$A$3,_xlfn.VALUETOTEXT($A$6),$A46,"Experiment",D$5,"date",D$6))</f>
        <v>#REF!</v>
      </c>
      <c r="E46" t="e">
        <f>IF(GETPIVOTDATA(_xlfn.VALUETOTEXT($A$4),'PREFILL-PIVOT'!$A$3,_xlfn.VALUETOTEXT($A$6),$A46,"Experiment",E$5,"date",E$6)=0,NA(),GETPIVOTDATA(_xlfn.VALUETOTEXT($A$4),'PREFILL-PIVOT'!$A$3,_xlfn.VALUETOTEXT($A$6),$A46,"Experiment",E$5,"date",E$6))</f>
        <v>#REF!</v>
      </c>
      <c r="F46" t="e">
        <f>IF(GETPIVOTDATA(_xlfn.VALUETOTEXT($A$4),'PREFILL-PIVOT'!$A$3,_xlfn.VALUETOTEXT($A$6),$A46,"Experiment",F$5,"date",F$6)=0,NA(),GETPIVOTDATA(_xlfn.VALUETOTEXT($A$4),'PREFILL-PIVOT'!$A$3,_xlfn.VALUETOTEXT($A$6),$A46,"Experiment",F$5,"date",F$6))</f>
        <v>#REF!</v>
      </c>
      <c r="G46" t="e">
        <f>IF(GETPIVOTDATA(_xlfn.VALUETOTEXT($A$4),'PREFILL-PIVOT'!$A$3,_xlfn.VALUETOTEXT($A$6),$A46,"Experiment",G$5,"date",G$6)=0,NA(),GETPIVOTDATA(_xlfn.VALUETOTEXT($A$4),'PREFILL-PIVOT'!$A$3,_xlfn.VALUETOTEXT($A$6),$A46,"Experiment",G$5,"date",G$6))</f>
        <v>#REF!</v>
      </c>
      <c r="H46" t="e">
        <f>IF(GETPIVOTDATA(_xlfn.VALUETOTEXT($A$4),'PREFILL-PIVOT'!$A$3,_xlfn.VALUETOTEXT($A$6),$A46,"Experiment",H$5,"date",H$6)=0,NA(),GETPIVOTDATA(_xlfn.VALUETOTEXT($A$4),'PREFILL-PIVOT'!$A$3,_xlfn.VALUETOTEXT($A$6),$A46,"Experiment",H$5,"date",H$6))</f>
        <v>#REF!</v>
      </c>
      <c r="I46" t="e">
        <f>IF(GETPIVOTDATA(_xlfn.VALUETOTEXT($A$4),'PREFILL-PIVOT'!$A$3,_xlfn.VALUETOTEXT($A$6),$A46,"Experiment",I$5,"date",I$6)=0,NA(),GETPIVOTDATA(_xlfn.VALUETOTEXT($A$4),'PREFILL-PIVOT'!$A$3,_xlfn.VALUETOTEXT($A$6),$A46,"Experiment",I$5,"date",I$6))</f>
        <v>#REF!</v>
      </c>
      <c r="J46" t="e">
        <f>IF(GETPIVOTDATA(_xlfn.VALUETOTEXT($A$4),'PREFILL-PIVOT'!$A$3,_xlfn.VALUETOTEXT($A$6),$A46,"Experiment",J$5,"date",J$6)=0,NA(),GETPIVOTDATA(_xlfn.VALUETOTEXT($A$4),'PREFILL-PIVOT'!$A$3,_xlfn.VALUETOTEXT($A$6),$A46,"Experiment",J$5,"date",J$6))</f>
        <v>#REF!</v>
      </c>
      <c r="K46" t="e">
        <f>IF(GETPIVOTDATA(_xlfn.VALUETOTEXT($A$4),'PREFILL-PIVOT'!$A$3,_xlfn.VALUETOTEXT($A$6),$A46,"Experiment",K$5,"date",K$6)=0,NA(),GETPIVOTDATA(_xlfn.VALUETOTEXT($A$4),'PREFILL-PIVOT'!$A$3,_xlfn.VALUETOTEXT($A$6),$A46,"Experiment",K$5,"date",K$6))</f>
        <v>#REF!</v>
      </c>
      <c r="L46" t="e">
        <f>IF(GETPIVOTDATA(_xlfn.VALUETOTEXT($A$4),'PREFILL-PIVOT'!$A$3,_xlfn.VALUETOTEXT($A$6),$A46,"Experiment",L$5,"date",L$6)=0,NA(),GETPIVOTDATA(_xlfn.VALUETOTEXT($A$4),'PREFILL-PIVOT'!$A$3,_xlfn.VALUETOTEXT($A$6),$A46,"Experiment",L$5,"date",L$6))</f>
        <v>#REF!</v>
      </c>
      <c r="M46" t="e">
        <f>IF(GETPIVOTDATA(_xlfn.VALUETOTEXT($A$4),'PREFILL-PIVOT'!$A$3,_xlfn.VALUETOTEXT($A$6),$A46,"Experiment",M$5,"date",M$6)=0,NA(),GETPIVOTDATA(_xlfn.VALUETOTEXT($A$4),'PREFILL-PIVOT'!$A$3,_xlfn.VALUETOTEXT($A$6),$A46,"Experiment",M$5,"date",M$6))</f>
        <v>#REF!</v>
      </c>
    </row>
    <row r="47" spans="1:13" x14ac:dyDescent="0.25">
      <c r="A47" s="222" t="e">
        <f>IF('PREFILL-PIVOT'!A45=0,NA(),'PREFILL-PIVOT'!A45)</f>
        <v>#N/A</v>
      </c>
      <c r="B47" t="e">
        <f>IF(GETPIVOTDATA(_xlfn.VALUETOTEXT($A$4),'PREFILL-PIVOT'!$A$3,_xlfn.VALUETOTEXT($A$6),$A47,"Experiment",B$5,"date",B$6)=0,NA(),GETPIVOTDATA(_xlfn.VALUETOTEXT($A$4),'PREFILL-PIVOT'!$A$3,_xlfn.VALUETOTEXT($A$6),$A47,"Experiment",B$5,"date",B$6))</f>
        <v>#REF!</v>
      </c>
      <c r="C47" t="e">
        <f>IF(GETPIVOTDATA(_xlfn.VALUETOTEXT($A$4),'PREFILL-PIVOT'!$A$3,_xlfn.VALUETOTEXT($A$6),$A47,"Experiment",C$5,"date",C$6)=0,NA(),GETPIVOTDATA(_xlfn.VALUETOTEXT($A$4),'PREFILL-PIVOT'!$A$3,_xlfn.VALUETOTEXT($A$6),$A47,"Experiment",C$5,"date",C$6))</f>
        <v>#REF!</v>
      </c>
      <c r="D47" t="e">
        <f>IF(GETPIVOTDATA(_xlfn.VALUETOTEXT($A$4),'PREFILL-PIVOT'!$A$3,_xlfn.VALUETOTEXT($A$6),$A47,"Experiment",D$5,"date",D$6)=0,NA(),GETPIVOTDATA(_xlfn.VALUETOTEXT($A$4),'PREFILL-PIVOT'!$A$3,_xlfn.VALUETOTEXT($A$6),$A47,"Experiment",D$5,"date",D$6))</f>
        <v>#REF!</v>
      </c>
      <c r="E47" t="e">
        <f>IF(GETPIVOTDATA(_xlfn.VALUETOTEXT($A$4),'PREFILL-PIVOT'!$A$3,_xlfn.VALUETOTEXT($A$6),$A47,"Experiment",E$5,"date",E$6)=0,NA(),GETPIVOTDATA(_xlfn.VALUETOTEXT($A$4),'PREFILL-PIVOT'!$A$3,_xlfn.VALUETOTEXT($A$6),$A47,"Experiment",E$5,"date",E$6))</f>
        <v>#REF!</v>
      </c>
      <c r="F47" t="e">
        <f>IF(GETPIVOTDATA(_xlfn.VALUETOTEXT($A$4),'PREFILL-PIVOT'!$A$3,_xlfn.VALUETOTEXT($A$6),$A47,"Experiment",F$5,"date",F$6)=0,NA(),GETPIVOTDATA(_xlfn.VALUETOTEXT($A$4),'PREFILL-PIVOT'!$A$3,_xlfn.VALUETOTEXT($A$6),$A47,"Experiment",F$5,"date",F$6))</f>
        <v>#REF!</v>
      </c>
      <c r="G47" t="e">
        <f>IF(GETPIVOTDATA(_xlfn.VALUETOTEXT($A$4),'PREFILL-PIVOT'!$A$3,_xlfn.VALUETOTEXT($A$6),$A47,"Experiment",G$5,"date",G$6)=0,NA(),GETPIVOTDATA(_xlfn.VALUETOTEXT($A$4),'PREFILL-PIVOT'!$A$3,_xlfn.VALUETOTEXT($A$6),$A47,"Experiment",G$5,"date",G$6))</f>
        <v>#REF!</v>
      </c>
      <c r="H47" t="e">
        <f>IF(GETPIVOTDATA(_xlfn.VALUETOTEXT($A$4),'PREFILL-PIVOT'!$A$3,_xlfn.VALUETOTEXT($A$6),$A47,"Experiment",H$5,"date",H$6)=0,NA(),GETPIVOTDATA(_xlfn.VALUETOTEXT($A$4),'PREFILL-PIVOT'!$A$3,_xlfn.VALUETOTEXT($A$6),$A47,"Experiment",H$5,"date",H$6))</f>
        <v>#REF!</v>
      </c>
      <c r="I47" t="e">
        <f>IF(GETPIVOTDATA(_xlfn.VALUETOTEXT($A$4),'PREFILL-PIVOT'!$A$3,_xlfn.VALUETOTEXT($A$6),$A47,"Experiment",I$5,"date",I$6)=0,NA(),GETPIVOTDATA(_xlfn.VALUETOTEXT($A$4),'PREFILL-PIVOT'!$A$3,_xlfn.VALUETOTEXT($A$6),$A47,"Experiment",I$5,"date",I$6))</f>
        <v>#REF!</v>
      </c>
      <c r="J47" t="e">
        <f>IF(GETPIVOTDATA(_xlfn.VALUETOTEXT($A$4),'PREFILL-PIVOT'!$A$3,_xlfn.VALUETOTEXT($A$6),$A47,"Experiment",J$5,"date",J$6)=0,NA(),GETPIVOTDATA(_xlfn.VALUETOTEXT($A$4),'PREFILL-PIVOT'!$A$3,_xlfn.VALUETOTEXT($A$6),$A47,"Experiment",J$5,"date",J$6))</f>
        <v>#REF!</v>
      </c>
      <c r="K47" t="e">
        <f>IF(GETPIVOTDATA(_xlfn.VALUETOTEXT($A$4),'PREFILL-PIVOT'!$A$3,_xlfn.VALUETOTEXT($A$6),$A47,"Experiment",K$5,"date",K$6)=0,NA(),GETPIVOTDATA(_xlfn.VALUETOTEXT($A$4),'PREFILL-PIVOT'!$A$3,_xlfn.VALUETOTEXT($A$6),$A47,"Experiment",K$5,"date",K$6))</f>
        <v>#REF!</v>
      </c>
      <c r="L47" t="e">
        <f>IF(GETPIVOTDATA(_xlfn.VALUETOTEXT($A$4),'PREFILL-PIVOT'!$A$3,_xlfn.VALUETOTEXT($A$6),$A47,"Experiment",L$5,"date",L$6)=0,NA(),GETPIVOTDATA(_xlfn.VALUETOTEXT($A$4),'PREFILL-PIVOT'!$A$3,_xlfn.VALUETOTEXT($A$6),$A47,"Experiment",L$5,"date",L$6))</f>
        <v>#REF!</v>
      </c>
      <c r="M47" t="e">
        <f>IF(GETPIVOTDATA(_xlfn.VALUETOTEXT($A$4),'PREFILL-PIVOT'!$A$3,_xlfn.VALUETOTEXT($A$6),$A47,"Experiment",M$5,"date",M$6)=0,NA(),GETPIVOTDATA(_xlfn.VALUETOTEXT($A$4),'PREFILL-PIVOT'!$A$3,_xlfn.VALUETOTEXT($A$6),$A47,"Experiment",M$5,"date",M$6))</f>
        <v>#REF!</v>
      </c>
    </row>
    <row r="48" spans="1:13" x14ac:dyDescent="0.25">
      <c r="A48" s="222" t="e">
        <f>IF('PREFILL-PIVOT'!A46=0,NA(),'PREFILL-PIVOT'!A46)</f>
        <v>#N/A</v>
      </c>
      <c r="B48" t="e">
        <f>IF(GETPIVOTDATA(_xlfn.VALUETOTEXT($A$4),'PREFILL-PIVOT'!$A$3,_xlfn.VALUETOTEXT($A$6),$A48,"Experiment",B$5,"date",B$6)=0,NA(),GETPIVOTDATA(_xlfn.VALUETOTEXT($A$4),'PREFILL-PIVOT'!$A$3,_xlfn.VALUETOTEXT($A$6),$A48,"Experiment",B$5,"date",B$6))</f>
        <v>#REF!</v>
      </c>
      <c r="C48" t="e">
        <f>IF(GETPIVOTDATA(_xlfn.VALUETOTEXT($A$4),'PREFILL-PIVOT'!$A$3,_xlfn.VALUETOTEXT($A$6),$A48,"Experiment",C$5,"date",C$6)=0,NA(),GETPIVOTDATA(_xlfn.VALUETOTEXT($A$4),'PREFILL-PIVOT'!$A$3,_xlfn.VALUETOTEXT($A$6),$A48,"Experiment",C$5,"date",C$6))</f>
        <v>#REF!</v>
      </c>
      <c r="D48" t="e">
        <f>IF(GETPIVOTDATA(_xlfn.VALUETOTEXT($A$4),'PREFILL-PIVOT'!$A$3,_xlfn.VALUETOTEXT($A$6),$A48,"Experiment",D$5,"date",D$6)=0,NA(),GETPIVOTDATA(_xlfn.VALUETOTEXT($A$4),'PREFILL-PIVOT'!$A$3,_xlfn.VALUETOTEXT($A$6),$A48,"Experiment",D$5,"date",D$6))</f>
        <v>#REF!</v>
      </c>
      <c r="E48" t="e">
        <f>IF(GETPIVOTDATA(_xlfn.VALUETOTEXT($A$4),'PREFILL-PIVOT'!$A$3,_xlfn.VALUETOTEXT($A$6),$A48,"Experiment",E$5,"date",E$6)=0,NA(),GETPIVOTDATA(_xlfn.VALUETOTEXT($A$4),'PREFILL-PIVOT'!$A$3,_xlfn.VALUETOTEXT($A$6),$A48,"Experiment",E$5,"date",E$6))</f>
        <v>#REF!</v>
      </c>
      <c r="F48" t="e">
        <f>IF(GETPIVOTDATA(_xlfn.VALUETOTEXT($A$4),'PREFILL-PIVOT'!$A$3,_xlfn.VALUETOTEXT($A$6),$A48,"Experiment",F$5,"date",F$6)=0,NA(),GETPIVOTDATA(_xlfn.VALUETOTEXT($A$4),'PREFILL-PIVOT'!$A$3,_xlfn.VALUETOTEXT($A$6),$A48,"Experiment",F$5,"date",F$6))</f>
        <v>#REF!</v>
      </c>
      <c r="G48" t="e">
        <f>IF(GETPIVOTDATA(_xlfn.VALUETOTEXT($A$4),'PREFILL-PIVOT'!$A$3,_xlfn.VALUETOTEXT($A$6),$A48,"Experiment",G$5,"date",G$6)=0,NA(),GETPIVOTDATA(_xlfn.VALUETOTEXT($A$4),'PREFILL-PIVOT'!$A$3,_xlfn.VALUETOTEXT($A$6),$A48,"Experiment",G$5,"date",G$6))</f>
        <v>#REF!</v>
      </c>
      <c r="H48" t="e">
        <f>IF(GETPIVOTDATA(_xlfn.VALUETOTEXT($A$4),'PREFILL-PIVOT'!$A$3,_xlfn.VALUETOTEXT($A$6),$A48,"Experiment",H$5,"date",H$6)=0,NA(),GETPIVOTDATA(_xlfn.VALUETOTEXT($A$4),'PREFILL-PIVOT'!$A$3,_xlfn.VALUETOTEXT($A$6),$A48,"Experiment",H$5,"date",H$6))</f>
        <v>#REF!</v>
      </c>
      <c r="I48" t="e">
        <f>IF(GETPIVOTDATA(_xlfn.VALUETOTEXT($A$4),'PREFILL-PIVOT'!$A$3,_xlfn.VALUETOTEXT($A$6),$A48,"Experiment",I$5,"date",I$6)=0,NA(),GETPIVOTDATA(_xlfn.VALUETOTEXT($A$4),'PREFILL-PIVOT'!$A$3,_xlfn.VALUETOTEXT($A$6),$A48,"Experiment",I$5,"date",I$6))</f>
        <v>#REF!</v>
      </c>
      <c r="J48" t="e">
        <f>IF(GETPIVOTDATA(_xlfn.VALUETOTEXT($A$4),'PREFILL-PIVOT'!$A$3,_xlfn.VALUETOTEXT($A$6),$A48,"Experiment",J$5,"date",J$6)=0,NA(),GETPIVOTDATA(_xlfn.VALUETOTEXT($A$4),'PREFILL-PIVOT'!$A$3,_xlfn.VALUETOTEXT($A$6),$A48,"Experiment",J$5,"date",J$6))</f>
        <v>#REF!</v>
      </c>
      <c r="K48" t="e">
        <f>IF(GETPIVOTDATA(_xlfn.VALUETOTEXT($A$4),'PREFILL-PIVOT'!$A$3,_xlfn.VALUETOTEXT($A$6),$A48,"Experiment",K$5,"date",K$6)=0,NA(),GETPIVOTDATA(_xlfn.VALUETOTEXT($A$4),'PREFILL-PIVOT'!$A$3,_xlfn.VALUETOTEXT($A$6),$A48,"Experiment",K$5,"date",K$6))</f>
        <v>#REF!</v>
      </c>
      <c r="L48" t="e">
        <f>IF(GETPIVOTDATA(_xlfn.VALUETOTEXT($A$4),'PREFILL-PIVOT'!$A$3,_xlfn.VALUETOTEXT($A$6),$A48,"Experiment",L$5,"date",L$6)=0,NA(),GETPIVOTDATA(_xlfn.VALUETOTEXT($A$4),'PREFILL-PIVOT'!$A$3,_xlfn.VALUETOTEXT($A$6),$A48,"Experiment",L$5,"date",L$6))</f>
        <v>#REF!</v>
      </c>
      <c r="M48" t="e">
        <f>IF(GETPIVOTDATA(_xlfn.VALUETOTEXT($A$4),'PREFILL-PIVOT'!$A$3,_xlfn.VALUETOTEXT($A$6),$A48,"Experiment",M$5,"date",M$6)=0,NA(),GETPIVOTDATA(_xlfn.VALUETOTEXT($A$4),'PREFILL-PIVOT'!$A$3,_xlfn.VALUETOTEXT($A$6),$A48,"Experiment",M$5,"date",M$6))</f>
        <v>#REF!</v>
      </c>
    </row>
    <row r="49" spans="1:13" x14ac:dyDescent="0.25">
      <c r="A49" s="222" t="e">
        <f>IF('PREFILL-PIVOT'!A47=0,NA(),'PREFILL-PIVOT'!A47)</f>
        <v>#N/A</v>
      </c>
      <c r="B49" t="e">
        <f>IF(GETPIVOTDATA(_xlfn.VALUETOTEXT($A$4),'PREFILL-PIVOT'!$A$3,_xlfn.VALUETOTEXT($A$6),$A49,"Experiment",B$5,"date",B$6)=0,NA(),GETPIVOTDATA(_xlfn.VALUETOTEXT($A$4),'PREFILL-PIVOT'!$A$3,_xlfn.VALUETOTEXT($A$6),$A49,"Experiment",B$5,"date",B$6))</f>
        <v>#REF!</v>
      </c>
      <c r="C49" t="e">
        <f>IF(GETPIVOTDATA(_xlfn.VALUETOTEXT($A$4),'PREFILL-PIVOT'!$A$3,_xlfn.VALUETOTEXT($A$6),$A49,"Experiment",C$5,"date",C$6)=0,NA(),GETPIVOTDATA(_xlfn.VALUETOTEXT($A$4),'PREFILL-PIVOT'!$A$3,_xlfn.VALUETOTEXT($A$6),$A49,"Experiment",C$5,"date",C$6))</f>
        <v>#REF!</v>
      </c>
      <c r="D49" t="e">
        <f>IF(GETPIVOTDATA(_xlfn.VALUETOTEXT($A$4),'PREFILL-PIVOT'!$A$3,_xlfn.VALUETOTEXT($A$6),$A49,"Experiment",D$5,"date",D$6)=0,NA(),GETPIVOTDATA(_xlfn.VALUETOTEXT($A$4),'PREFILL-PIVOT'!$A$3,_xlfn.VALUETOTEXT($A$6),$A49,"Experiment",D$5,"date",D$6))</f>
        <v>#REF!</v>
      </c>
      <c r="E49" t="e">
        <f>IF(GETPIVOTDATA(_xlfn.VALUETOTEXT($A$4),'PREFILL-PIVOT'!$A$3,_xlfn.VALUETOTEXT($A$6),$A49,"Experiment",E$5,"date",E$6)=0,NA(),GETPIVOTDATA(_xlfn.VALUETOTEXT($A$4),'PREFILL-PIVOT'!$A$3,_xlfn.VALUETOTEXT($A$6),$A49,"Experiment",E$5,"date",E$6))</f>
        <v>#REF!</v>
      </c>
      <c r="F49" t="e">
        <f>IF(GETPIVOTDATA(_xlfn.VALUETOTEXT($A$4),'PREFILL-PIVOT'!$A$3,_xlfn.VALUETOTEXT($A$6),$A49,"Experiment",F$5,"date",F$6)=0,NA(),GETPIVOTDATA(_xlfn.VALUETOTEXT($A$4),'PREFILL-PIVOT'!$A$3,_xlfn.VALUETOTEXT($A$6),$A49,"Experiment",F$5,"date",F$6))</f>
        <v>#REF!</v>
      </c>
      <c r="G49" t="e">
        <f>IF(GETPIVOTDATA(_xlfn.VALUETOTEXT($A$4),'PREFILL-PIVOT'!$A$3,_xlfn.VALUETOTEXT($A$6),$A49,"Experiment",G$5,"date",G$6)=0,NA(),GETPIVOTDATA(_xlfn.VALUETOTEXT($A$4),'PREFILL-PIVOT'!$A$3,_xlfn.VALUETOTEXT($A$6),$A49,"Experiment",G$5,"date",G$6))</f>
        <v>#REF!</v>
      </c>
      <c r="H49" t="e">
        <f>IF(GETPIVOTDATA(_xlfn.VALUETOTEXT($A$4),'PREFILL-PIVOT'!$A$3,_xlfn.VALUETOTEXT($A$6),$A49,"Experiment",H$5,"date",H$6)=0,NA(),GETPIVOTDATA(_xlfn.VALUETOTEXT($A$4),'PREFILL-PIVOT'!$A$3,_xlfn.VALUETOTEXT($A$6),$A49,"Experiment",H$5,"date",H$6))</f>
        <v>#REF!</v>
      </c>
      <c r="I49" t="e">
        <f>IF(GETPIVOTDATA(_xlfn.VALUETOTEXT($A$4),'PREFILL-PIVOT'!$A$3,_xlfn.VALUETOTEXT($A$6),$A49,"Experiment",I$5,"date",I$6)=0,NA(),GETPIVOTDATA(_xlfn.VALUETOTEXT($A$4),'PREFILL-PIVOT'!$A$3,_xlfn.VALUETOTEXT($A$6),$A49,"Experiment",I$5,"date",I$6))</f>
        <v>#REF!</v>
      </c>
      <c r="J49" t="e">
        <f>IF(GETPIVOTDATA(_xlfn.VALUETOTEXT($A$4),'PREFILL-PIVOT'!$A$3,_xlfn.VALUETOTEXT($A$6),$A49,"Experiment",J$5,"date",J$6)=0,NA(),GETPIVOTDATA(_xlfn.VALUETOTEXT($A$4),'PREFILL-PIVOT'!$A$3,_xlfn.VALUETOTEXT($A$6),$A49,"Experiment",J$5,"date",J$6))</f>
        <v>#REF!</v>
      </c>
      <c r="K49" t="e">
        <f>IF(GETPIVOTDATA(_xlfn.VALUETOTEXT($A$4),'PREFILL-PIVOT'!$A$3,_xlfn.VALUETOTEXT($A$6),$A49,"Experiment",K$5,"date",K$6)=0,NA(),GETPIVOTDATA(_xlfn.VALUETOTEXT($A$4),'PREFILL-PIVOT'!$A$3,_xlfn.VALUETOTEXT($A$6),$A49,"Experiment",K$5,"date",K$6))</f>
        <v>#REF!</v>
      </c>
      <c r="L49" t="e">
        <f>IF(GETPIVOTDATA(_xlfn.VALUETOTEXT($A$4),'PREFILL-PIVOT'!$A$3,_xlfn.VALUETOTEXT($A$6),$A49,"Experiment",L$5,"date",L$6)=0,NA(),GETPIVOTDATA(_xlfn.VALUETOTEXT($A$4),'PREFILL-PIVOT'!$A$3,_xlfn.VALUETOTEXT($A$6),$A49,"Experiment",L$5,"date",L$6))</f>
        <v>#REF!</v>
      </c>
      <c r="M49" t="e">
        <f>IF(GETPIVOTDATA(_xlfn.VALUETOTEXT($A$4),'PREFILL-PIVOT'!$A$3,_xlfn.VALUETOTEXT($A$6),$A49,"Experiment",M$5,"date",M$6)=0,NA(),GETPIVOTDATA(_xlfn.VALUETOTEXT($A$4),'PREFILL-PIVOT'!$A$3,_xlfn.VALUETOTEXT($A$6),$A49,"Experiment",M$5,"date",M$6))</f>
        <v>#REF!</v>
      </c>
    </row>
    <row r="50" spans="1:13" x14ac:dyDescent="0.25">
      <c r="A50" s="222" t="e">
        <f>IF('PREFILL-PIVOT'!A48=0,NA(),'PREFILL-PIVOT'!A48)</f>
        <v>#N/A</v>
      </c>
      <c r="B50" t="e">
        <f>IF(GETPIVOTDATA(_xlfn.VALUETOTEXT($A$4),'PREFILL-PIVOT'!$A$3,_xlfn.VALUETOTEXT($A$6),$A50,"Experiment",B$5,"date",B$6)=0,NA(),GETPIVOTDATA(_xlfn.VALUETOTEXT($A$4),'PREFILL-PIVOT'!$A$3,_xlfn.VALUETOTEXT($A$6),$A50,"Experiment",B$5,"date",B$6))</f>
        <v>#REF!</v>
      </c>
      <c r="C50" t="e">
        <f>IF(GETPIVOTDATA(_xlfn.VALUETOTEXT($A$4),'PREFILL-PIVOT'!$A$3,_xlfn.VALUETOTEXT($A$6),$A50,"Experiment",C$5,"date",C$6)=0,NA(),GETPIVOTDATA(_xlfn.VALUETOTEXT($A$4),'PREFILL-PIVOT'!$A$3,_xlfn.VALUETOTEXT($A$6),$A50,"Experiment",C$5,"date",C$6))</f>
        <v>#REF!</v>
      </c>
      <c r="D50" t="e">
        <f>IF(GETPIVOTDATA(_xlfn.VALUETOTEXT($A$4),'PREFILL-PIVOT'!$A$3,_xlfn.VALUETOTEXT($A$6),$A50,"Experiment",D$5,"date",D$6)=0,NA(),GETPIVOTDATA(_xlfn.VALUETOTEXT($A$4),'PREFILL-PIVOT'!$A$3,_xlfn.VALUETOTEXT($A$6),$A50,"Experiment",D$5,"date",D$6))</f>
        <v>#REF!</v>
      </c>
      <c r="E50" t="e">
        <f>IF(GETPIVOTDATA(_xlfn.VALUETOTEXT($A$4),'PREFILL-PIVOT'!$A$3,_xlfn.VALUETOTEXT($A$6),$A50,"Experiment",E$5,"date",E$6)=0,NA(),GETPIVOTDATA(_xlfn.VALUETOTEXT($A$4),'PREFILL-PIVOT'!$A$3,_xlfn.VALUETOTEXT($A$6),$A50,"Experiment",E$5,"date",E$6))</f>
        <v>#REF!</v>
      </c>
      <c r="F50" t="e">
        <f>IF(GETPIVOTDATA(_xlfn.VALUETOTEXT($A$4),'PREFILL-PIVOT'!$A$3,_xlfn.VALUETOTEXT($A$6),$A50,"Experiment",F$5,"date",F$6)=0,NA(),GETPIVOTDATA(_xlfn.VALUETOTEXT($A$4),'PREFILL-PIVOT'!$A$3,_xlfn.VALUETOTEXT($A$6),$A50,"Experiment",F$5,"date",F$6))</f>
        <v>#REF!</v>
      </c>
      <c r="G50" t="e">
        <f>IF(GETPIVOTDATA(_xlfn.VALUETOTEXT($A$4),'PREFILL-PIVOT'!$A$3,_xlfn.VALUETOTEXT($A$6),$A50,"Experiment",G$5,"date",G$6)=0,NA(),GETPIVOTDATA(_xlfn.VALUETOTEXT($A$4),'PREFILL-PIVOT'!$A$3,_xlfn.VALUETOTEXT($A$6),$A50,"Experiment",G$5,"date",G$6))</f>
        <v>#REF!</v>
      </c>
      <c r="H50" t="e">
        <f>IF(GETPIVOTDATA(_xlfn.VALUETOTEXT($A$4),'PREFILL-PIVOT'!$A$3,_xlfn.VALUETOTEXT($A$6),$A50,"Experiment",H$5,"date",H$6)=0,NA(),GETPIVOTDATA(_xlfn.VALUETOTEXT($A$4),'PREFILL-PIVOT'!$A$3,_xlfn.VALUETOTEXT($A$6),$A50,"Experiment",H$5,"date",H$6))</f>
        <v>#REF!</v>
      </c>
      <c r="I50" t="e">
        <f>IF(GETPIVOTDATA(_xlfn.VALUETOTEXT($A$4),'PREFILL-PIVOT'!$A$3,_xlfn.VALUETOTEXT($A$6),$A50,"Experiment",I$5,"date",I$6)=0,NA(),GETPIVOTDATA(_xlfn.VALUETOTEXT($A$4),'PREFILL-PIVOT'!$A$3,_xlfn.VALUETOTEXT($A$6),$A50,"Experiment",I$5,"date",I$6))</f>
        <v>#REF!</v>
      </c>
      <c r="J50" t="e">
        <f>IF(GETPIVOTDATA(_xlfn.VALUETOTEXT($A$4),'PREFILL-PIVOT'!$A$3,_xlfn.VALUETOTEXT($A$6),$A50,"Experiment",J$5,"date",J$6)=0,NA(),GETPIVOTDATA(_xlfn.VALUETOTEXT($A$4),'PREFILL-PIVOT'!$A$3,_xlfn.VALUETOTEXT($A$6),$A50,"Experiment",J$5,"date",J$6))</f>
        <v>#REF!</v>
      </c>
      <c r="K50" t="e">
        <f>IF(GETPIVOTDATA(_xlfn.VALUETOTEXT($A$4),'PREFILL-PIVOT'!$A$3,_xlfn.VALUETOTEXT($A$6),$A50,"Experiment",K$5,"date",K$6)=0,NA(),GETPIVOTDATA(_xlfn.VALUETOTEXT($A$4),'PREFILL-PIVOT'!$A$3,_xlfn.VALUETOTEXT($A$6),$A50,"Experiment",K$5,"date",K$6))</f>
        <v>#REF!</v>
      </c>
      <c r="L50" t="e">
        <f>IF(GETPIVOTDATA(_xlfn.VALUETOTEXT($A$4),'PREFILL-PIVOT'!$A$3,_xlfn.VALUETOTEXT($A$6),$A50,"Experiment",L$5,"date",L$6)=0,NA(),GETPIVOTDATA(_xlfn.VALUETOTEXT($A$4),'PREFILL-PIVOT'!$A$3,_xlfn.VALUETOTEXT($A$6),$A50,"Experiment",L$5,"date",L$6))</f>
        <v>#REF!</v>
      </c>
      <c r="M50" t="e">
        <f>IF(GETPIVOTDATA(_xlfn.VALUETOTEXT($A$4),'PREFILL-PIVOT'!$A$3,_xlfn.VALUETOTEXT($A$6),$A50,"Experiment",M$5,"date",M$6)=0,NA(),GETPIVOTDATA(_xlfn.VALUETOTEXT($A$4),'PREFILL-PIVOT'!$A$3,_xlfn.VALUETOTEXT($A$6),$A50,"Experiment",M$5,"date",M$6))</f>
        <v>#REF!</v>
      </c>
    </row>
    <row r="51" spans="1:13" x14ac:dyDescent="0.25">
      <c r="A51" s="222" t="e">
        <f>IF('PREFILL-PIVOT'!A49=0,NA(),'PREFILL-PIVOT'!A49)</f>
        <v>#N/A</v>
      </c>
      <c r="B51" t="e">
        <f>IF(GETPIVOTDATA(_xlfn.VALUETOTEXT($A$4),'PREFILL-PIVOT'!$A$3,_xlfn.VALUETOTEXT($A$6),$A51,"Experiment",B$5,"date",B$6)=0,NA(),GETPIVOTDATA(_xlfn.VALUETOTEXT($A$4),'PREFILL-PIVOT'!$A$3,_xlfn.VALUETOTEXT($A$6),$A51,"Experiment",B$5,"date",B$6))</f>
        <v>#REF!</v>
      </c>
      <c r="C51" t="e">
        <f>IF(GETPIVOTDATA(_xlfn.VALUETOTEXT($A$4),'PREFILL-PIVOT'!$A$3,_xlfn.VALUETOTEXT($A$6),$A51,"Experiment",C$5,"date",C$6)=0,NA(),GETPIVOTDATA(_xlfn.VALUETOTEXT($A$4),'PREFILL-PIVOT'!$A$3,_xlfn.VALUETOTEXT($A$6),$A51,"Experiment",C$5,"date",C$6))</f>
        <v>#REF!</v>
      </c>
      <c r="D51" t="e">
        <f>IF(GETPIVOTDATA(_xlfn.VALUETOTEXT($A$4),'PREFILL-PIVOT'!$A$3,_xlfn.VALUETOTEXT($A$6),$A51,"Experiment",D$5,"date",D$6)=0,NA(),GETPIVOTDATA(_xlfn.VALUETOTEXT($A$4),'PREFILL-PIVOT'!$A$3,_xlfn.VALUETOTEXT($A$6),$A51,"Experiment",D$5,"date",D$6))</f>
        <v>#REF!</v>
      </c>
      <c r="E51" t="e">
        <f>IF(GETPIVOTDATA(_xlfn.VALUETOTEXT($A$4),'PREFILL-PIVOT'!$A$3,_xlfn.VALUETOTEXT($A$6),$A51,"Experiment",E$5,"date",E$6)=0,NA(),GETPIVOTDATA(_xlfn.VALUETOTEXT($A$4),'PREFILL-PIVOT'!$A$3,_xlfn.VALUETOTEXT($A$6),$A51,"Experiment",E$5,"date",E$6))</f>
        <v>#REF!</v>
      </c>
      <c r="F51" t="e">
        <f>IF(GETPIVOTDATA(_xlfn.VALUETOTEXT($A$4),'PREFILL-PIVOT'!$A$3,_xlfn.VALUETOTEXT($A$6),$A51,"Experiment",F$5,"date",F$6)=0,NA(),GETPIVOTDATA(_xlfn.VALUETOTEXT($A$4),'PREFILL-PIVOT'!$A$3,_xlfn.VALUETOTEXT($A$6),$A51,"Experiment",F$5,"date",F$6))</f>
        <v>#REF!</v>
      </c>
      <c r="G51" t="e">
        <f>IF(GETPIVOTDATA(_xlfn.VALUETOTEXT($A$4),'PREFILL-PIVOT'!$A$3,_xlfn.VALUETOTEXT($A$6),$A51,"Experiment",G$5,"date",G$6)=0,NA(),GETPIVOTDATA(_xlfn.VALUETOTEXT($A$4),'PREFILL-PIVOT'!$A$3,_xlfn.VALUETOTEXT($A$6),$A51,"Experiment",G$5,"date",G$6))</f>
        <v>#REF!</v>
      </c>
      <c r="H51" t="e">
        <f>IF(GETPIVOTDATA(_xlfn.VALUETOTEXT($A$4),'PREFILL-PIVOT'!$A$3,_xlfn.VALUETOTEXT($A$6),$A51,"Experiment",H$5,"date",H$6)=0,NA(),GETPIVOTDATA(_xlfn.VALUETOTEXT($A$4),'PREFILL-PIVOT'!$A$3,_xlfn.VALUETOTEXT($A$6),$A51,"Experiment",H$5,"date",H$6))</f>
        <v>#REF!</v>
      </c>
      <c r="I51" t="e">
        <f>IF(GETPIVOTDATA(_xlfn.VALUETOTEXT($A$4),'PREFILL-PIVOT'!$A$3,_xlfn.VALUETOTEXT($A$6),$A51,"Experiment",I$5,"date",I$6)=0,NA(),GETPIVOTDATA(_xlfn.VALUETOTEXT($A$4),'PREFILL-PIVOT'!$A$3,_xlfn.VALUETOTEXT($A$6),$A51,"Experiment",I$5,"date",I$6))</f>
        <v>#REF!</v>
      </c>
      <c r="J51" t="e">
        <f>IF(GETPIVOTDATA(_xlfn.VALUETOTEXT($A$4),'PREFILL-PIVOT'!$A$3,_xlfn.VALUETOTEXT($A$6),$A51,"Experiment",J$5,"date",J$6)=0,NA(),GETPIVOTDATA(_xlfn.VALUETOTEXT($A$4),'PREFILL-PIVOT'!$A$3,_xlfn.VALUETOTEXT($A$6),$A51,"Experiment",J$5,"date",J$6))</f>
        <v>#REF!</v>
      </c>
      <c r="K51" t="e">
        <f>IF(GETPIVOTDATA(_xlfn.VALUETOTEXT($A$4),'PREFILL-PIVOT'!$A$3,_xlfn.VALUETOTEXT($A$6),$A51,"Experiment",K$5,"date",K$6)=0,NA(),GETPIVOTDATA(_xlfn.VALUETOTEXT($A$4),'PREFILL-PIVOT'!$A$3,_xlfn.VALUETOTEXT($A$6),$A51,"Experiment",K$5,"date",K$6))</f>
        <v>#REF!</v>
      </c>
      <c r="L51" t="e">
        <f>IF(GETPIVOTDATA(_xlfn.VALUETOTEXT($A$4),'PREFILL-PIVOT'!$A$3,_xlfn.VALUETOTEXT($A$6),$A51,"Experiment",L$5,"date",L$6)=0,NA(),GETPIVOTDATA(_xlfn.VALUETOTEXT($A$4),'PREFILL-PIVOT'!$A$3,_xlfn.VALUETOTEXT($A$6),$A51,"Experiment",L$5,"date",L$6))</f>
        <v>#REF!</v>
      </c>
      <c r="M51" t="e">
        <f>IF(GETPIVOTDATA(_xlfn.VALUETOTEXT($A$4),'PREFILL-PIVOT'!$A$3,_xlfn.VALUETOTEXT($A$6),$A51,"Experiment",M$5,"date",M$6)=0,NA(),GETPIVOTDATA(_xlfn.VALUETOTEXT($A$4),'PREFILL-PIVOT'!$A$3,_xlfn.VALUETOTEXT($A$6),$A51,"Experiment",M$5,"date",M$6))</f>
        <v>#REF!</v>
      </c>
    </row>
    <row r="52" spans="1:13" x14ac:dyDescent="0.25">
      <c r="A52" s="222" t="e">
        <f>IF('PREFILL-PIVOT'!A50=0,NA(),'PREFILL-PIVOT'!A50)</f>
        <v>#N/A</v>
      </c>
      <c r="B52" t="e">
        <f>IF(GETPIVOTDATA(_xlfn.VALUETOTEXT($A$4),'PREFILL-PIVOT'!$A$3,_xlfn.VALUETOTEXT($A$6),$A52,"Experiment",B$5,"date",B$6)=0,NA(),GETPIVOTDATA(_xlfn.VALUETOTEXT($A$4),'PREFILL-PIVOT'!$A$3,_xlfn.VALUETOTEXT($A$6),$A52,"Experiment",B$5,"date",B$6))</f>
        <v>#REF!</v>
      </c>
      <c r="C52" t="e">
        <f>IF(GETPIVOTDATA(_xlfn.VALUETOTEXT($A$4),'PREFILL-PIVOT'!$A$3,_xlfn.VALUETOTEXT($A$6),$A52,"Experiment",C$5,"date",C$6)=0,NA(),GETPIVOTDATA(_xlfn.VALUETOTEXT($A$4),'PREFILL-PIVOT'!$A$3,_xlfn.VALUETOTEXT($A$6),$A52,"Experiment",C$5,"date",C$6))</f>
        <v>#REF!</v>
      </c>
      <c r="D52" t="e">
        <f>IF(GETPIVOTDATA(_xlfn.VALUETOTEXT($A$4),'PREFILL-PIVOT'!$A$3,_xlfn.VALUETOTEXT($A$6),$A52,"Experiment",D$5,"date",D$6)=0,NA(),GETPIVOTDATA(_xlfn.VALUETOTEXT($A$4),'PREFILL-PIVOT'!$A$3,_xlfn.VALUETOTEXT($A$6),$A52,"Experiment",D$5,"date",D$6))</f>
        <v>#REF!</v>
      </c>
      <c r="E52" t="e">
        <f>IF(GETPIVOTDATA(_xlfn.VALUETOTEXT($A$4),'PREFILL-PIVOT'!$A$3,_xlfn.VALUETOTEXT($A$6),$A52,"Experiment",E$5,"date",E$6)=0,NA(),GETPIVOTDATA(_xlfn.VALUETOTEXT($A$4),'PREFILL-PIVOT'!$A$3,_xlfn.VALUETOTEXT($A$6),$A52,"Experiment",E$5,"date",E$6))</f>
        <v>#REF!</v>
      </c>
      <c r="F52" t="e">
        <f>IF(GETPIVOTDATA(_xlfn.VALUETOTEXT($A$4),'PREFILL-PIVOT'!$A$3,_xlfn.VALUETOTEXT($A$6),$A52,"Experiment",F$5,"date",F$6)=0,NA(),GETPIVOTDATA(_xlfn.VALUETOTEXT($A$4),'PREFILL-PIVOT'!$A$3,_xlfn.VALUETOTEXT($A$6),$A52,"Experiment",F$5,"date",F$6))</f>
        <v>#REF!</v>
      </c>
      <c r="G52" t="e">
        <f>IF(GETPIVOTDATA(_xlfn.VALUETOTEXT($A$4),'PREFILL-PIVOT'!$A$3,_xlfn.VALUETOTEXT($A$6),$A52,"Experiment",G$5,"date",G$6)=0,NA(),GETPIVOTDATA(_xlfn.VALUETOTEXT($A$4),'PREFILL-PIVOT'!$A$3,_xlfn.VALUETOTEXT($A$6),$A52,"Experiment",G$5,"date",G$6))</f>
        <v>#REF!</v>
      </c>
      <c r="H52" t="e">
        <f>IF(GETPIVOTDATA(_xlfn.VALUETOTEXT($A$4),'PREFILL-PIVOT'!$A$3,_xlfn.VALUETOTEXT($A$6),$A52,"Experiment",H$5,"date",H$6)=0,NA(),GETPIVOTDATA(_xlfn.VALUETOTEXT($A$4),'PREFILL-PIVOT'!$A$3,_xlfn.VALUETOTEXT($A$6),$A52,"Experiment",H$5,"date",H$6))</f>
        <v>#REF!</v>
      </c>
      <c r="I52" t="e">
        <f>IF(GETPIVOTDATA(_xlfn.VALUETOTEXT($A$4),'PREFILL-PIVOT'!$A$3,_xlfn.VALUETOTEXT($A$6),$A52,"Experiment",I$5,"date",I$6)=0,NA(),GETPIVOTDATA(_xlfn.VALUETOTEXT($A$4),'PREFILL-PIVOT'!$A$3,_xlfn.VALUETOTEXT($A$6),$A52,"Experiment",I$5,"date",I$6))</f>
        <v>#REF!</v>
      </c>
      <c r="J52" t="e">
        <f>IF(GETPIVOTDATA(_xlfn.VALUETOTEXT($A$4),'PREFILL-PIVOT'!$A$3,_xlfn.VALUETOTEXT($A$6),$A52,"Experiment",J$5,"date",J$6)=0,NA(),GETPIVOTDATA(_xlfn.VALUETOTEXT($A$4),'PREFILL-PIVOT'!$A$3,_xlfn.VALUETOTEXT($A$6),$A52,"Experiment",J$5,"date",J$6))</f>
        <v>#REF!</v>
      </c>
      <c r="K52" t="e">
        <f>IF(GETPIVOTDATA(_xlfn.VALUETOTEXT($A$4),'PREFILL-PIVOT'!$A$3,_xlfn.VALUETOTEXT($A$6),$A52,"Experiment",K$5,"date",K$6)=0,NA(),GETPIVOTDATA(_xlfn.VALUETOTEXT($A$4),'PREFILL-PIVOT'!$A$3,_xlfn.VALUETOTEXT($A$6),$A52,"Experiment",K$5,"date",K$6))</f>
        <v>#REF!</v>
      </c>
      <c r="L52" t="e">
        <f>IF(GETPIVOTDATA(_xlfn.VALUETOTEXT($A$4),'PREFILL-PIVOT'!$A$3,_xlfn.VALUETOTEXT($A$6),$A52,"Experiment",L$5,"date",L$6)=0,NA(),GETPIVOTDATA(_xlfn.VALUETOTEXT($A$4),'PREFILL-PIVOT'!$A$3,_xlfn.VALUETOTEXT($A$6),$A52,"Experiment",L$5,"date",L$6))</f>
        <v>#REF!</v>
      </c>
      <c r="M52" t="e">
        <f>IF(GETPIVOTDATA(_xlfn.VALUETOTEXT($A$4),'PREFILL-PIVOT'!$A$3,_xlfn.VALUETOTEXT($A$6),$A52,"Experiment",M$5,"date",M$6)=0,NA(),GETPIVOTDATA(_xlfn.VALUETOTEXT($A$4),'PREFILL-PIVOT'!$A$3,_xlfn.VALUETOTEXT($A$6),$A52,"Experiment",M$5,"date",M$6))</f>
        <v>#REF!</v>
      </c>
    </row>
    <row r="53" spans="1:13" x14ac:dyDescent="0.25">
      <c r="A53" s="222" t="e">
        <f>IF('PREFILL-PIVOT'!A51=0,NA(),'PREFILL-PIVOT'!A51)</f>
        <v>#N/A</v>
      </c>
      <c r="B53" t="e">
        <f>IF(GETPIVOTDATA(_xlfn.VALUETOTEXT($A$4),'PREFILL-PIVOT'!$A$3,_xlfn.VALUETOTEXT($A$6),$A53,"Experiment",B$5,"date",B$6)=0,NA(),GETPIVOTDATA(_xlfn.VALUETOTEXT($A$4),'PREFILL-PIVOT'!$A$3,_xlfn.VALUETOTEXT($A$6),$A53,"Experiment",B$5,"date",B$6))</f>
        <v>#REF!</v>
      </c>
      <c r="C53" t="e">
        <f>IF(GETPIVOTDATA(_xlfn.VALUETOTEXT($A$4),'PREFILL-PIVOT'!$A$3,_xlfn.VALUETOTEXT($A$6),$A53,"Experiment",C$5,"date",C$6)=0,NA(),GETPIVOTDATA(_xlfn.VALUETOTEXT($A$4),'PREFILL-PIVOT'!$A$3,_xlfn.VALUETOTEXT($A$6),$A53,"Experiment",C$5,"date",C$6))</f>
        <v>#REF!</v>
      </c>
      <c r="D53" t="e">
        <f>IF(GETPIVOTDATA(_xlfn.VALUETOTEXT($A$4),'PREFILL-PIVOT'!$A$3,_xlfn.VALUETOTEXT($A$6),$A53,"Experiment",D$5,"date",D$6)=0,NA(),GETPIVOTDATA(_xlfn.VALUETOTEXT($A$4),'PREFILL-PIVOT'!$A$3,_xlfn.VALUETOTEXT($A$6),$A53,"Experiment",D$5,"date",D$6))</f>
        <v>#REF!</v>
      </c>
      <c r="E53" t="e">
        <f>IF(GETPIVOTDATA(_xlfn.VALUETOTEXT($A$4),'PREFILL-PIVOT'!$A$3,_xlfn.VALUETOTEXT($A$6),$A53,"Experiment",E$5,"date",E$6)=0,NA(),GETPIVOTDATA(_xlfn.VALUETOTEXT($A$4),'PREFILL-PIVOT'!$A$3,_xlfn.VALUETOTEXT($A$6),$A53,"Experiment",E$5,"date",E$6))</f>
        <v>#REF!</v>
      </c>
      <c r="F53" t="e">
        <f>IF(GETPIVOTDATA(_xlfn.VALUETOTEXT($A$4),'PREFILL-PIVOT'!$A$3,_xlfn.VALUETOTEXT($A$6),$A53,"Experiment",F$5,"date",F$6)=0,NA(),GETPIVOTDATA(_xlfn.VALUETOTEXT($A$4),'PREFILL-PIVOT'!$A$3,_xlfn.VALUETOTEXT($A$6),$A53,"Experiment",F$5,"date",F$6))</f>
        <v>#REF!</v>
      </c>
      <c r="G53" t="e">
        <f>IF(GETPIVOTDATA(_xlfn.VALUETOTEXT($A$4),'PREFILL-PIVOT'!$A$3,_xlfn.VALUETOTEXT($A$6),$A53,"Experiment",G$5,"date",G$6)=0,NA(),GETPIVOTDATA(_xlfn.VALUETOTEXT($A$4),'PREFILL-PIVOT'!$A$3,_xlfn.VALUETOTEXT($A$6),$A53,"Experiment",G$5,"date",G$6))</f>
        <v>#REF!</v>
      </c>
      <c r="H53" t="e">
        <f>IF(GETPIVOTDATA(_xlfn.VALUETOTEXT($A$4),'PREFILL-PIVOT'!$A$3,_xlfn.VALUETOTEXT($A$6),$A53,"Experiment",H$5,"date",H$6)=0,NA(),GETPIVOTDATA(_xlfn.VALUETOTEXT($A$4),'PREFILL-PIVOT'!$A$3,_xlfn.VALUETOTEXT($A$6),$A53,"Experiment",H$5,"date",H$6))</f>
        <v>#REF!</v>
      </c>
      <c r="I53" t="e">
        <f>IF(GETPIVOTDATA(_xlfn.VALUETOTEXT($A$4),'PREFILL-PIVOT'!$A$3,_xlfn.VALUETOTEXT($A$6),$A53,"Experiment",I$5,"date",I$6)=0,NA(),GETPIVOTDATA(_xlfn.VALUETOTEXT($A$4),'PREFILL-PIVOT'!$A$3,_xlfn.VALUETOTEXT($A$6),$A53,"Experiment",I$5,"date",I$6))</f>
        <v>#REF!</v>
      </c>
      <c r="J53" t="e">
        <f>IF(GETPIVOTDATA(_xlfn.VALUETOTEXT($A$4),'PREFILL-PIVOT'!$A$3,_xlfn.VALUETOTEXT($A$6),$A53,"Experiment",J$5,"date",J$6)=0,NA(),GETPIVOTDATA(_xlfn.VALUETOTEXT($A$4),'PREFILL-PIVOT'!$A$3,_xlfn.VALUETOTEXT($A$6),$A53,"Experiment",J$5,"date",J$6))</f>
        <v>#REF!</v>
      </c>
      <c r="K53" t="e">
        <f>IF(GETPIVOTDATA(_xlfn.VALUETOTEXT($A$4),'PREFILL-PIVOT'!$A$3,_xlfn.VALUETOTEXT($A$6),$A53,"Experiment",K$5,"date",K$6)=0,NA(),GETPIVOTDATA(_xlfn.VALUETOTEXT($A$4),'PREFILL-PIVOT'!$A$3,_xlfn.VALUETOTEXT($A$6),$A53,"Experiment",K$5,"date",K$6))</f>
        <v>#REF!</v>
      </c>
      <c r="L53" t="e">
        <f>IF(GETPIVOTDATA(_xlfn.VALUETOTEXT($A$4),'PREFILL-PIVOT'!$A$3,_xlfn.VALUETOTEXT($A$6),$A53,"Experiment",L$5,"date",L$6)=0,NA(),GETPIVOTDATA(_xlfn.VALUETOTEXT($A$4),'PREFILL-PIVOT'!$A$3,_xlfn.VALUETOTEXT($A$6),$A53,"Experiment",L$5,"date",L$6))</f>
        <v>#REF!</v>
      </c>
      <c r="M53" t="e">
        <f>IF(GETPIVOTDATA(_xlfn.VALUETOTEXT($A$4),'PREFILL-PIVOT'!$A$3,_xlfn.VALUETOTEXT($A$6),$A53,"Experiment",M$5,"date",M$6)=0,NA(),GETPIVOTDATA(_xlfn.VALUETOTEXT($A$4),'PREFILL-PIVOT'!$A$3,_xlfn.VALUETOTEXT($A$6),$A53,"Experiment",M$5,"date",M$6))</f>
        <v>#REF!</v>
      </c>
    </row>
    <row r="54" spans="1:13" x14ac:dyDescent="0.25">
      <c r="A54" s="222" t="e">
        <f>IF('PREFILL-PIVOT'!A52=0,NA(),'PREFILL-PIVOT'!A52)</f>
        <v>#N/A</v>
      </c>
      <c r="B54" t="e">
        <f>IF(GETPIVOTDATA(_xlfn.VALUETOTEXT($A$4),'PREFILL-PIVOT'!$A$3,_xlfn.VALUETOTEXT($A$6),$A54,"Experiment",B$5,"date",B$6)=0,NA(),GETPIVOTDATA(_xlfn.VALUETOTEXT($A$4),'PREFILL-PIVOT'!$A$3,_xlfn.VALUETOTEXT($A$6),$A54,"Experiment",B$5,"date",B$6))</f>
        <v>#REF!</v>
      </c>
      <c r="C54" t="e">
        <f>IF(GETPIVOTDATA(_xlfn.VALUETOTEXT($A$4),'PREFILL-PIVOT'!$A$3,_xlfn.VALUETOTEXT($A$6),$A54,"Experiment",C$5,"date",C$6)=0,NA(),GETPIVOTDATA(_xlfn.VALUETOTEXT($A$4),'PREFILL-PIVOT'!$A$3,_xlfn.VALUETOTEXT($A$6),$A54,"Experiment",C$5,"date",C$6))</f>
        <v>#REF!</v>
      </c>
      <c r="D54" t="e">
        <f>IF(GETPIVOTDATA(_xlfn.VALUETOTEXT($A$4),'PREFILL-PIVOT'!$A$3,_xlfn.VALUETOTEXT($A$6),$A54,"Experiment",D$5,"date",D$6)=0,NA(),GETPIVOTDATA(_xlfn.VALUETOTEXT($A$4),'PREFILL-PIVOT'!$A$3,_xlfn.VALUETOTEXT($A$6),$A54,"Experiment",D$5,"date",D$6))</f>
        <v>#REF!</v>
      </c>
      <c r="E54" t="e">
        <f>IF(GETPIVOTDATA(_xlfn.VALUETOTEXT($A$4),'PREFILL-PIVOT'!$A$3,_xlfn.VALUETOTEXT($A$6),$A54,"Experiment",E$5,"date",E$6)=0,NA(),GETPIVOTDATA(_xlfn.VALUETOTEXT($A$4),'PREFILL-PIVOT'!$A$3,_xlfn.VALUETOTEXT($A$6),$A54,"Experiment",E$5,"date",E$6))</f>
        <v>#REF!</v>
      </c>
      <c r="F54" t="e">
        <f>IF(GETPIVOTDATA(_xlfn.VALUETOTEXT($A$4),'PREFILL-PIVOT'!$A$3,_xlfn.VALUETOTEXT($A$6),$A54,"Experiment",F$5,"date",F$6)=0,NA(),GETPIVOTDATA(_xlfn.VALUETOTEXT($A$4),'PREFILL-PIVOT'!$A$3,_xlfn.VALUETOTEXT($A$6),$A54,"Experiment",F$5,"date",F$6))</f>
        <v>#REF!</v>
      </c>
      <c r="G54" t="e">
        <f>IF(GETPIVOTDATA(_xlfn.VALUETOTEXT($A$4),'PREFILL-PIVOT'!$A$3,_xlfn.VALUETOTEXT($A$6),$A54,"Experiment",G$5,"date",G$6)=0,NA(),GETPIVOTDATA(_xlfn.VALUETOTEXT($A$4),'PREFILL-PIVOT'!$A$3,_xlfn.VALUETOTEXT($A$6),$A54,"Experiment",G$5,"date",G$6))</f>
        <v>#REF!</v>
      </c>
      <c r="H54" t="e">
        <f>IF(GETPIVOTDATA(_xlfn.VALUETOTEXT($A$4),'PREFILL-PIVOT'!$A$3,_xlfn.VALUETOTEXT($A$6),$A54,"Experiment",H$5,"date",H$6)=0,NA(),GETPIVOTDATA(_xlfn.VALUETOTEXT($A$4),'PREFILL-PIVOT'!$A$3,_xlfn.VALUETOTEXT($A$6),$A54,"Experiment",H$5,"date",H$6))</f>
        <v>#REF!</v>
      </c>
      <c r="I54" t="e">
        <f>IF(GETPIVOTDATA(_xlfn.VALUETOTEXT($A$4),'PREFILL-PIVOT'!$A$3,_xlfn.VALUETOTEXT($A$6),$A54,"Experiment",I$5,"date",I$6)=0,NA(),GETPIVOTDATA(_xlfn.VALUETOTEXT($A$4),'PREFILL-PIVOT'!$A$3,_xlfn.VALUETOTEXT($A$6),$A54,"Experiment",I$5,"date",I$6))</f>
        <v>#REF!</v>
      </c>
      <c r="J54" t="e">
        <f>IF(GETPIVOTDATA(_xlfn.VALUETOTEXT($A$4),'PREFILL-PIVOT'!$A$3,_xlfn.VALUETOTEXT($A$6),$A54,"Experiment",J$5,"date",J$6)=0,NA(),GETPIVOTDATA(_xlfn.VALUETOTEXT($A$4),'PREFILL-PIVOT'!$A$3,_xlfn.VALUETOTEXT($A$6),$A54,"Experiment",J$5,"date",J$6))</f>
        <v>#REF!</v>
      </c>
      <c r="K54" t="e">
        <f>IF(GETPIVOTDATA(_xlfn.VALUETOTEXT($A$4),'PREFILL-PIVOT'!$A$3,_xlfn.VALUETOTEXT($A$6),$A54,"Experiment",K$5,"date",K$6)=0,NA(),GETPIVOTDATA(_xlfn.VALUETOTEXT($A$4),'PREFILL-PIVOT'!$A$3,_xlfn.VALUETOTEXT($A$6),$A54,"Experiment",K$5,"date",K$6))</f>
        <v>#REF!</v>
      </c>
      <c r="L54" t="e">
        <f>IF(GETPIVOTDATA(_xlfn.VALUETOTEXT($A$4),'PREFILL-PIVOT'!$A$3,_xlfn.VALUETOTEXT($A$6),$A54,"Experiment",L$5,"date",L$6)=0,NA(),GETPIVOTDATA(_xlfn.VALUETOTEXT($A$4),'PREFILL-PIVOT'!$A$3,_xlfn.VALUETOTEXT($A$6),$A54,"Experiment",L$5,"date",L$6))</f>
        <v>#REF!</v>
      </c>
      <c r="M54" t="e">
        <f>IF(GETPIVOTDATA(_xlfn.VALUETOTEXT($A$4),'PREFILL-PIVOT'!$A$3,_xlfn.VALUETOTEXT($A$6),$A54,"Experiment",M$5,"date",M$6)=0,NA(),GETPIVOTDATA(_xlfn.VALUETOTEXT($A$4),'PREFILL-PIVOT'!$A$3,_xlfn.VALUETOTEXT($A$6),$A54,"Experiment",M$5,"date",M$6))</f>
        <v>#REF!</v>
      </c>
    </row>
    <row r="55" spans="1:13" x14ac:dyDescent="0.25">
      <c r="A55" s="222" t="e">
        <f>IF('PREFILL-PIVOT'!A53=0,NA(),'PREFILL-PIVOT'!A53)</f>
        <v>#N/A</v>
      </c>
      <c r="B55" t="e">
        <f>IF(GETPIVOTDATA(_xlfn.VALUETOTEXT($A$4),'PREFILL-PIVOT'!$A$3,_xlfn.VALUETOTEXT($A$6),$A55,"Experiment",B$5,"date",B$6)=0,NA(),GETPIVOTDATA(_xlfn.VALUETOTEXT($A$4),'PREFILL-PIVOT'!$A$3,_xlfn.VALUETOTEXT($A$6),$A55,"Experiment",B$5,"date",B$6))</f>
        <v>#REF!</v>
      </c>
      <c r="C55" t="e">
        <f>IF(GETPIVOTDATA(_xlfn.VALUETOTEXT($A$4),'PREFILL-PIVOT'!$A$3,_xlfn.VALUETOTEXT($A$6),$A55,"Experiment",C$5,"date",C$6)=0,NA(),GETPIVOTDATA(_xlfn.VALUETOTEXT($A$4),'PREFILL-PIVOT'!$A$3,_xlfn.VALUETOTEXT($A$6),$A55,"Experiment",C$5,"date",C$6))</f>
        <v>#REF!</v>
      </c>
      <c r="D55" t="e">
        <f>IF(GETPIVOTDATA(_xlfn.VALUETOTEXT($A$4),'PREFILL-PIVOT'!$A$3,_xlfn.VALUETOTEXT($A$6),$A55,"Experiment",D$5,"date",D$6)=0,NA(),GETPIVOTDATA(_xlfn.VALUETOTEXT($A$4),'PREFILL-PIVOT'!$A$3,_xlfn.VALUETOTEXT($A$6),$A55,"Experiment",D$5,"date",D$6))</f>
        <v>#REF!</v>
      </c>
      <c r="E55" t="e">
        <f>IF(GETPIVOTDATA(_xlfn.VALUETOTEXT($A$4),'PREFILL-PIVOT'!$A$3,_xlfn.VALUETOTEXT($A$6),$A55,"Experiment",E$5,"date",E$6)=0,NA(),GETPIVOTDATA(_xlfn.VALUETOTEXT($A$4),'PREFILL-PIVOT'!$A$3,_xlfn.VALUETOTEXT($A$6),$A55,"Experiment",E$5,"date",E$6))</f>
        <v>#REF!</v>
      </c>
      <c r="F55" t="e">
        <f>IF(GETPIVOTDATA(_xlfn.VALUETOTEXT($A$4),'PREFILL-PIVOT'!$A$3,_xlfn.VALUETOTEXT($A$6),$A55,"Experiment",F$5,"date",F$6)=0,NA(),GETPIVOTDATA(_xlfn.VALUETOTEXT($A$4),'PREFILL-PIVOT'!$A$3,_xlfn.VALUETOTEXT($A$6),$A55,"Experiment",F$5,"date",F$6))</f>
        <v>#REF!</v>
      </c>
      <c r="G55" t="e">
        <f>IF(GETPIVOTDATA(_xlfn.VALUETOTEXT($A$4),'PREFILL-PIVOT'!$A$3,_xlfn.VALUETOTEXT($A$6),$A55,"Experiment",G$5,"date",G$6)=0,NA(),GETPIVOTDATA(_xlfn.VALUETOTEXT($A$4),'PREFILL-PIVOT'!$A$3,_xlfn.VALUETOTEXT($A$6),$A55,"Experiment",G$5,"date",G$6))</f>
        <v>#REF!</v>
      </c>
      <c r="H55" t="e">
        <f>IF(GETPIVOTDATA(_xlfn.VALUETOTEXT($A$4),'PREFILL-PIVOT'!$A$3,_xlfn.VALUETOTEXT($A$6),$A55,"Experiment",H$5,"date",H$6)=0,NA(),GETPIVOTDATA(_xlfn.VALUETOTEXT($A$4),'PREFILL-PIVOT'!$A$3,_xlfn.VALUETOTEXT($A$6),$A55,"Experiment",H$5,"date",H$6))</f>
        <v>#REF!</v>
      </c>
      <c r="I55" t="e">
        <f>IF(GETPIVOTDATA(_xlfn.VALUETOTEXT($A$4),'PREFILL-PIVOT'!$A$3,_xlfn.VALUETOTEXT($A$6),$A55,"Experiment",I$5,"date",I$6)=0,NA(),GETPIVOTDATA(_xlfn.VALUETOTEXT($A$4),'PREFILL-PIVOT'!$A$3,_xlfn.VALUETOTEXT($A$6),$A55,"Experiment",I$5,"date",I$6))</f>
        <v>#REF!</v>
      </c>
      <c r="J55" t="e">
        <f>IF(GETPIVOTDATA(_xlfn.VALUETOTEXT($A$4),'PREFILL-PIVOT'!$A$3,_xlfn.VALUETOTEXT($A$6),$A55,"Experiment",J$5,"date",J$6)=0,NA(),GETPIVOTDATA(_xlfn.VALUETOTEXT($A$4),'PREFILL-PIVOT'!$A$3,_xlfn.VALUETOTEXT($A$6),$A55,"Experiment",J$5,"date",J$6))</f>
        <v>#REF!</v>
      </c>
      <c r="K55" t="e">
        <f>IF(GETPIVOTDATA(_xlfn.VALUETOTEXT($A$4),'PREFILL-PIVOT'!$A$3,_xlfn.VALUETOTEXT($A$6),$A55,"Experiment",K$5,"date",K$6)=0,NA(),GETPIVOTDATA(_xlfn.VALUETOTEXT($A$4),'PREFILL-PIVOT'!$A$3,_xlfn.VALUETOTEXT($A$6),$A55,"Experiment",K$5,"date",K$6))</f>
        <v>#REF!</v>
      </c>
      <c r="L55" t="e">
        <f>IF(GETPIVOTDATA(_xlfn.VALUETOTEXT($A$4),'PREFILL-PIVOT'!$A$3,_xlfn.VALUETOTEXT($A$6),$A55,"Experiment",L$5,"date",L$6)=0,NA(),GETPIVOTDATA(_xlfn.VALUETOTEXT($A$4),'PREFILL-PIVOT'!$A$3,_xlfn.VALUETOTEXT($A$6),$A55,"Experiment",L$5,"date",L$6))</f>
        <v>#REF!</v>
      </c>
      <c r="M55" t="e">
        <f>IF(GETPIVOTDATA(_xlfn.VALUETOTEXT($A$4),'PREFILL-PIVOT'!$A$3,_xlfn.VALUETOTEXT($A$6),$A55,"Experiment",M$5,"date",M$6)=0,NA(),GETPIVOTDATA(_xlfn.VALUETOTEXT($A$4),'PREFILL-PIVOT'!$A$3,_xlfn.VALUETOTEXT($A$6),$A55,"Experiment",M$5,"date",M$6))</f>
        <v>#REF!</v>
      </c>
    </row>
    <row r="56" spans="1:13" x14ac:dyDescent="0.25">
      <c r="A56" s="222" t="e">
        <f>IF('PREFILL-PIVOT'!A54=0,NA(),'PREFILL-PIVOT'!A54)</f>
        <v>#N/A</v>
      </c>
      <c r="B56" t="e">
        <f>IF(GETPIVOTDATA(_xlfn.VALUETOTEXT($A$4),'PREFILL-PIVOT'!$A$3,_xlfn.VALUETOTEXT($A$6),$A56,"Experiment",B$5,"date",B$6)=0,NA(),GETPIVOTDATA(_xlfn.VALUETOTEXT($A$4),'PREFILL-PIVOT'!$A$3,_xlfn.VALUETOTEXT($A$6),$A56,"Experiment",B$5,"date",B$6))</f>
        <v>#REF!</v>
      </c>
      <c r="C56" t="e">
        <f>IF(GETPIVOTDATA(_xlfn.VALUETOTEXT($A$4),'PREFILL-PIVOT'!$A$3,_xlfn.VALUETOTEXT($A$6),$A56,"Experiment",C$5,"date",C$6)=0,NA(),GETPIVOTDATA(_xlfn.VALUETOTEXT($A$4),'PREFILL-PIVOT'!$A$3,_xlfn.VALUETOTEXT($A$6),$A56,"Experiment",C$5,"date",C$6))</f>
        <v>#REF!</v>
      </c>
      <c r="D56" t="e">
        <f>IF(GETPIVOTDATA(_xlfn.VALUETOTEXT($A$4),'PREFILL-PIVOT'!$A$3,_xlfn.VALUETOTEXT($A$6),$A56,"Experiment",D$5,"date",D$6)=0,NA(),GETPIVOTDATA(_xlfn.VALUETOTEXT($A$4),'PREFILL-PIVOT'!$A$3,_xlfn.VALUETOTEXT($A$6),$A56,"Experiment",D$5,"date",D$6))</f>
        <v>#REF!</v>
      </c>
      <c r="E56" t="e">
        <f>IF(GETPIVOTDATA(_xlfn.VALUETOTEXT($A$4),'PREFILL-PIVOT'!$A$3,_xlfn.VALUETOTEXT($A$6),$A56,"Experiment",E$5,"date",E$6)=0,NA(),GETPIVOTDATA(_xlfn.VALUETOTEXT($A$4),'PREFILL-PIVOT'!$A$3,_xlfn.VALUETOTEXT($A$6),$A56,"Experiment",E$5,"date",E$6))</f>
        <v>#REF!</v>
      </c>
      <c r="F56" t="e">
        <f>IF(GETPIVOTDATA(_xlfn.VALUETOTEXT($A$4),'PREFILL-PIVOT'!$A$3,_xlfn.VALUETOTEXT($A$6),$A56,"Experiment",F$5,"date",F$6)=0,NA(),GETPIVOTDATA(_xlfn.VALUETOTEXT($A$4),'PREFILL-PIVOT'!$A$3,_xlfn.VALUETOTEXT($A$6),$A56,"Experiment",F$5,"date",F$6))</f>
        <v>#REF!</v>
      </c>
      <c r="G56" t="e">
        <f>IF(GETPIVOTDATA(_xlfn.VALUETOTEXT($A$4),'PREFILL-PIVOT'!$A$3,_xlfn.VALUETOTEXT($A$6),$A56,"Experiment",G$5,"date",G$6)=0,NA(),GETPIVOTDATA(_xlfn.VALUETOTEXT($A$4),'PREFILL-PIVOT'!$A$3,_xlfn.VALUETOTEXT($A$6),$A56,"Experiment",G$5,"date",G$6))</f>
        <v>#REF!</v>
      </c>
      <c r="H56" t="e">
        <f>IF(GETPIVOTDATA(_xlfn.VALUETOTEXT($A$4),'PREFILL-PIVOT'!$A$3,_xlfn.VALUETOTEXT($A$6),$A56,"Experiment",H$5,"date",H$6)=0,NA(),GETPIVOTDATA(_xlfn.VALUETOTEXT($A$4),'PREFILL-PIVOT'!$A$3,_xlfn.VALUETOTEXT($A$6),$A56,"Experiment",H$5,"date",H$6))</f>
        <v>#REF!</v>
      </c>
      <c r="I56" t="e">
        <f>IF(GETPIVOTDATA(_xlfn.VALUETOTEXT($A$4),'PREFILL-PIVOT'!$A$3,_xlfn.VALUETOTEXT($A$6),$A56,"Experiment",I$5,"date",I$6)=0,NA(),GETPIVOTDATA(_xlfn.VALUETOTEXT($A$4),'PREFILL-PIVOT'!$A$3,_xlfn.VALUETOTEXT($A$6),$A56,"Experiment",I$5,"date",I$6))</f>
        <v>#REF!</v>
      </c>
      <c r="J56" t="e">
        <f>IF(GETPIVOTDATA(_xlfn.VALUETOTEXT($A$4),'PREFILL-PIVOT'!$A$3,_xlfn.VALUETOTEXT($A$6),$A56,"Experiment",J$5,"date",J$6)=0,NA(),GETPIVOTDATA(_xlfn.VALUETOTEXT($A$4),'PREFILL-PIVOT'!$A$3,_xlfn.VALUETOTEXT($A$6),$A56,"Experiment",J$5,"date",J$6))</f>
        <v>#REF!</v>
      </c>
      <c r="K56" t="e">
        <f>IF(GETPIVOTDATA(_xlfn.VALUETOTEXT($A$4),'PREFILL-PIVOT'!$A$3,_xlfn.VALUETOTEXT($A$6),$A56,"Experiment",K$5,"date",K$6)=0,NA(),GETPIVOTDATA(_xlfn.VALUETOTEXT($A$4),'PREFILL-PIVOT'!$A$3,_xlfn.VALUETOTEXT($A$6),$A56,"Experiment",K$5,"date",K$6))</f>
        <v>#REF!</v>
      </c>
      <c r="L56" t="e">
        <f>IF(GETPIVOTDATA(_xlfn.VALUETOTEXT($A$4),'PREFILL-PIVOT'!$A$3,_xlfn.VALUETOTEXT($A$6),$A56,"Experiment",L$5,"date",L$6)=0,NA(),GETPIVOTDATA(_xlfn.VALUETOTEXT($A$4),'PREFILL-PIVOT'!$A$3,_xlfn.VALUETOTEXT($A$6),$A56,"Experiment",L$5,"date",L$6))</f>
        <v>#REF!</v>
      </c>
      <c r="M56" t="e">
        <f>IF(GETPIVOTDATA(_xlfn.VALUETOTEXT($A$4),'PREFILL-PIVOT'!$A$3,_xlfn.VALUETOTEXT($A$6),$A56,"Experiment",M$5,"date",M$6)=0,NA(),GETPIVOTDATA(_xlfn.VALUETOTEXT($A$4),'PREFILL-PIVOT'!$A$3,_xlfn.VALUETOTEXT($A$6),$A56,"Experiment",M$5,"date",M$6))</f>
        <v>#REF!</v>
      </c>
    </row>
    <row r="57" spans="1:13" x14ac:dyDescent="0.25">
      <c r="A57" s="222" t="e">
        <f>IF('PREFILL-PIVOT'!A55=0,NA(),'PREFILL-PIVOT'!A55)</f>
        <v>#N/A</v>
      </c>
      <c r="B57" t="e">
        <f>IF(GETPIVOTDATA(_xlfn.VALUETOTEXT($A$4),'PREFILL-PIVOT'!$A$3,_xlfn.VALUETOTEXT($A$6),$A57,"Experiment",B$5,"date",B$6)=0,NA(),GETPIVOTDATA(_xlfn.VALUETOTEXT($A$4),'PREFILL-PIVOT'!$A$3,_xlfn.VALUETOTEXT($A$6),$A57,"Experiment",B$5,"date",B$6))</f>
        <v>#REF!</v>
      </c>
      <c r="C57" t="e">
        <f>IF(GETPIVOTDATA(_xlfn.VALUETOTEXT($A$4),'PREFILL-PIVOT'!$A$3,_xlfn.VALUETOTEXT($A$6),$A57,"Experiment",C$5,"date",C$6)=0,NA(),GETPIVOTDATA(_xlfn.VALUETOTEXT($A$4),'PREFILL-PIVOT'!$A$3,_xlfn.VALUETOTEXT($A$6),$A57,"Experiment",C$5,"date",C$6))</f>
        <v>#REF!</v>
      </c>
      <c r="D57" t="e">
        <f>IF(GETPIVOTDATA(_xlfn.VALUETOTEXT($A$4),'PREFILL-PIVOT'!$A$3,_xlfn.VALUETOTEXT($A$6),$A57,"Experiment",D$5,"date",D$6)=0,NA(),GETPIVOTDATA(_xlfn.VALUETOTEXT($A$4),'PREFILL-PIVOT'!$A$3,_xlfn.VALUETOTEXT($A$6),$A57,"Experiment",D$5,"date",D$6))</f>
        <v>#REF!</v>
      </c>
      <c r="E57" t="e">
        <f>IF(GETPIVOTDATA(_xlfn.VALUETOTEXT($A$4),'PREFILL-PIVOT'!$A$3,_xlfn.VALUETOTEXT($A$6),$A57,"Experiment",E$5,"date",E$6)=0,NA(),GETPIVOTDATA(_xlfn.VALUETOTEXT($A$4),'PREFILL-PIVOT'!$A$3,_xlfn.VALUETOTEXT($A$6),$A57,"Experiment",E$5,"date",E$6))</f>
        <v>#REF!</v>
      </c>
      <c r="F57" t="e">
        <f>IF(GETPIVOTDATA(_xlfn.VALUETOTEXT($A$4),'PREFILL-PIVOT'!$A$3,_xlfn.VALUETOTEXT($A$6),$A57,"Experiment",F$5,"date",F$6)=0,NA(),GETPIVOTDATA(_xlfn.VALUETOTEXT($A$4),'PREFILL-PIVOT'!$A$3,_xlfn.VALUETOTEXT($A$6),$A57,"Experiment",F$5,"date",F$6))</f>
        <v>#REF!</v>
      </c>
      <c r="G57" t="e">
        <f>IF(GETPIVOTDATA(_xlfn.VALUETOTEXT($A$4),'PREFILL-PIVOT'!$A$3,_xlfn.VALUETOTEXT($A$6),$A57,"Experiment",G$5,"date",G$6)=0,NA(),GETPIVOTDATA(_xlfn.VALUETOTEXT($A$4),'PREFILL-PIVOT'!$A$3,_xlfn.VALUETOTEXT($A$6),$A57,"Experiment",G$5,"date",G$6))</f>
        <v>#REF!</v>
      </c>
      <c r="H57" t="e">
        <f>IF(GETPIVOTDATA(_xlfn.VALUETOTEXT($A$4),'PREFILL-PIVOT'!$A$3,_xlfn.VALUETOTEXT($A$6),$A57,"Experiment",H$5,"date",H$6)=0,NA(),GETPIVOTDATA(_xlfn.VALUETOTEXT($A$4),'PREFILL-PIVOT'!$A$3,_xlfn.VALUETOTEXT($A$6),$A57,"Experiment",H$5,"date",H$6))</f>
        <v>#REF!</v>
      </c>
      <c r="I57" t="e">
        <f>IF(GETPIVOTDATA(_xlfn.VALUETOTEXT($A$4),'PREFILL-PIVOT'!$A$3,_xlfn.VALUETOTEXT($A$6),$A57,"Experiment",I$5,"date",I$6)=0,NA(),GETPIVOTDATA(_xlfn.VALUETOTEXT($A$4),'PREFILL-PIVOT'!$A$3,_xlfn.VALUETOTEXT($A$6),$A57,"Experiment",I$5,"date",I$6))</f>
        <v>#REF!</v>
      </c>
      <c r="J57" t="e">
        <f>IF(GETPIVOTDATA(_xlfn.VALUETOTEXT($A$4),'PREFILL-PIVOT'!$A$3,_xlfn.VALUETOTEXT($A$6),$A57,"Experiment",J$5,"date",J$6)=0,NA(),GETPIVOTDATA(_xlfn.VALUETOTEXT($A$4),'PREFILL-PIVOT'!$A$3,_xlfn.VALUETOTEXT($A$6),$A57,"Experiment",J$5,"date",J$6))</f>
        <v>#REF!</v>
      </c>
      <c r="K57" t="e">
        <f>IF(GETPIVOTDATA(_xlfn.VALUETOTEXT($A$4),'PREFILL-PIVOT'!$A$3,_xlfn.VALUETOTEXT($A$6),$A57,"Experiment",K$5,"date",K$6)=0,NA(),GETPIVOTDATA(_xlfn.VALUETOTEXT($A$4),'PREFILL-PIVOT'!$A$3,_xlfn.VALUETOTEXT($A$6),$A57,"Experiment",K$5,"date",K$6))</f>
        <v>#REF!</v>
      </c>
      <c r="L57" t="e">
        <f>IF(GETPIVOTDATA(_xlfn.VALUETOTEXT($A$4),'PREFILL-PIVOT'!$A$3,_xlfn.VALUETOTEXT($A$6),$A57,"Experiment",L$5,"date",L$6)=0,NA(),GETPIVOTDATA(_xlfn.VALUETOTEXT($A$4),'PREFILL-PIVOT'!$A$3,_xlfn.VALUETOTEXT($A$6),$A57,"Experiment",L$5,"date",L$6))</f>
        <v>#REF!</v>
      </c>
      <c r="M57" t="e">
        <f>IF(GETPIVOTDATA(_xlfn.VALUETOTEXT($A$4),'PREFILL-PIVOT'!$A$3,_xlfn.VALUETOTEXT($A$6),$A57,"Experiment",M$5,"date",M$6)=0,NA(),GETPIVOTDATA(_xlfn.VALUETOTEXT($A$4),'PREFILL-PIVOT'!$A$3,_xlfn.VALUETOTEXT($A$6),$A57,"Experiment",M$5,"date",M$6))</f>
        <v>#REF!</v>
      </c>
    </row>
    <row r="58" spans="1:13" x14ac:dyDescent="0.25">
      <c r="A58" s="222" t="e">
        <f>IF('PREFILL-PIVOT'!A56=0,NA(),'PREFILL-PIVOT'!A56)</f>
        <v>#N/A</v>
      </c>
      <c r="B58" t="e">
        <f>IF(GETPIVOTDATA(_xlfn.VALUETOTEXT($A$4),'PREFILL-PIVOT'!$A$3,_xlfn.VALUETOTEXT($A$6),$A58,"Experiment",B$5,"date",B$6)=0,NA(),GETPIVOTDATA(_xlfn.VALUETOTEXT($A$4),'PREFILL-PIVOT'!$A$3,_xlfn.VALUETOTEXT($A$6),$A58,"Experiment",B$5,"date",B$6))</f>
        <v>#REF!</v>
      </c>
      <c r="C58" t="e">
        <f>IF(GETPIVOTDATA(_xlfn.VALUETOTEXT($A$4),'PREFILL-PIVOT'!$A$3,_xlfn.VALUETOTEXT($A$6),$A58,"Experiment",C$5,"date",C$6)=0,NA(),GETPIVOTDATA(_xlfn.VALUETOTEXT($A$4),'PREFILL-PIVOT'!$A$3,_xlfn.VALUETOTEXT($A$6),$A58,"Experiment",C$5,"date",C$6))</f>
        <v>#REF!</v>
      </c>
      <c r="D58" t="e">
        <f>IF(GETPIVOTDATA(_xlfn.VALUETOTEXT($A$4),'PREFILL-PIVOT'!$A$3,_xlfn.VALUETOTEXT($A$6),$A58,"Experiment",D$5,"date",D$6)=0,NA(),GETPIVOTDATA(_xlfn.VALUETOTEXT($A$4),'PREFILL-PIVOT'!$A$3,_xlfn.VALUETOTEXT($A$6),$A58,"Experiment",D$5,"date",D$6))</f>
        <v>#REF!</v>
      </c>
      <c r="E58" t="e">
        <f>IF(GETPIVOTDATA(_xlfn.VALUETOTEXT($A$4),'PREFILL-PIVOT'!$A$3,_xlfn.VALUETOTEXT($A$6),$A58,"Experiment",E$5,"date",E$6)=0,NA(),GETPIVOTDATA(_xlfn.VALUETOTEXT($A$4),'PREFILL-PIVOT'!$A$3,_xlfn.VALUETOTEXT($A$6),$A58,"Experiment",E$5,"date",E$6))</f>
        <v>#REF!</v>
      </c>
      <c r="F58" t="e">
        <f>IF(GETPIVOTDATA(_xlfn.VALUETOTEXT($A$4),'PREFILL-PIVOT'!$A$3,_xlfn.VALUETOTEXT($A$6),$A58,"Experiment",F$5,"date",F$6)=0,NA(),GETPIVOTDATA(_xlfn.VALUETOTEXT($A$4),'PREFILL-PIVOT'!$A$3,_xlfn.VALUETOTEXT($A$6),$A58,"Experiment",F$5,"date",F$6))</f>
        <v>#REF!</v>
      </c>
      <c r="G58" t="e">
        <f>IF(GETPIVOTDATA(_xlfn.VALUETOTEXT($A$4),'PREFILL-PIVOT'!$A$3,_xlfn.VALUETOTEXT($A$6),$A58,"Experiment",G$5,"date",G$6)=0,NA(),GETPIVOTDATA(_xlfn.VALUETOTEXT($A$4),'PREFILL-PIVOT'!$A$3,_xlfn.VALUETOTEXT($A$6),$A58,"Experiment",G$5,"date",G$6))</f>
        <v>#REF!</v>
      </c>
      <c r="H58" t="e">
        <f>IF(GETPIVOTDATA(_xlfn.VALUETOTEXT($A$4),'PREFILL-PIVOT'!$A$3,_xlfn.VALUETOTEXT($A$6),$A58,"Experiment",H$5,"date",H$6)=0,NA(),GETPIVOTDATA(_xlfn.VALUETOTEXT($A$4),'PREFILL-PIVOT'!$A$3,_xlfn.VALUETOTEXT($A$6),$A58,"Experiment",H$5,"date",H$6))</f>
        <v>#REF!</v>
      </c>
      <c r="I58" t="e">
        <f>IF(GETPIVOTDATA(_xlfn.VALUETOTEXT($A$4),'PREFILL-PIVOT'!$A$3,_xlfn.VALUETOTEXT($A$6),$A58,"Experiment",I$5,"date",I$6)=0,NA(),GETPIVOTDATA(_xlfn.VALUETOTEXT($A$4),'PREFILL-PIVOT'!$A$3,_xlfn.VALUETOTEXT($A$6),$A58,"Experiment",I$5,"date",I$6))</f>
        <v>#REF!</v>
      </c>
      <c r="J58" t="e">
        <f>IF(GETPIVOTDATA(_xlfn.VALUETOTEXT($A$4),'PREFILL-PIVOT'!$A$3,_xlfn.VALUETOTEXT($A$6),$A58,"Experiment",J$5,"date",J$6)=0,NA(),GETPIVOTDATA(_xlfn.VALUETOTEXT($A$4),'PREFILL-PIVOT'!$A$3,_xlfn.VALUETOTEXT($A$6),$A58,"Experiment",J$5,"date",J$6))</f>
        <v>#REF!</v>
      </c>
      <c r="K58" t="e">
        <f>IF(GETPIVOTDATA(_xlfn.VALUETOTEXT($A$4),'PREFILL-PIVOT'!$A$3,_xlfn.VALUETOTEXT($A$6),$A58,"Experiment",K$5,"date",K$6)=0,NA(),GETPIVOTDATA(_xlfn.VALUETOTEXT($A$4),'PREFILL-PIVOT'!$A$3,_xlfn.VALUETOTEXT($A$6),$A58,"Experiment",K$5,"date",K$6))</f>
        <v>#REF!</v>
      </c>
      <c r="L58" t="e">
        <f>IF(GETPIVOTDATA(_xlfn.VALUETOTEXT($A$4),'PREFILL-PIVOT'!$A$3,_xlfn.VALUETOTEXT($A$6),$A58,"Experiment",L$5,"date",L$6)=0,NA(),GETPIVOTDATA(_xlfn.VALUETOTEXT($A$4),'PREFILL-PIVOT'!$A$3,_xlfn.VALUETOTEXT($A$6),$A58,"Experiment",L$5,"date",L$6))</f>
        <v>#REF!</v>
      </c>
      <c r="M58" t="e">
        <f>IF(GETPIVOTDATA(_xlfn.VALUETOTEXT($A$4),'PREFILL-PIVOT'!$A$3,_xlfn.VALUETOTEXT($A$6),$A58,"Experiment",M$5,"date",M$6)=0,NA(),GETPIVOTDATA(_xlfn.VALUETOTEXT($A$4),'PREFILL-PIVOT'!$A$3,_xlfn.VALUETOTEXT($A$6),$A58,"Experiment",M$5,"date",M$6))</f>
        <v>#REF!</v>
      </c>
    </row>
    <row r="59" spans="1:13" x14ac:dyDescent="0.25">
      <c r="A59" s="222" t="e">
        <f>IF('PREFILL-PIVOT'!A57=0,NA(),'PREFILL-PIVOT'!A57)</f>
        <v>#N/A</v>
      </c>
      <c r="B59" t="e">
        <f>IF(GETPIVOTDATA(_xlfn.VALUETOTEXT($A$4),'PREFILL-PIVOT'!$A$3,_xlfn.VALUETOTEXT($A$6),$A59,"Experiment",B$5,"date",B$6)=0,NA(),GETPIVOTDATA(_xlfn.VALUETOTEXT($A$4),'PREFILL-PIVOT'!$A$3,_xlfn.VALUETOTEXT($A$6),$A59,"Experiment",B$5,"date",B$6))</f>
        <v>#REF!</v>
      </c>
      <c r="C59" t="e">
        <f>IF(GETPIVOTDATA(_xlfn.VALUETOTEXT($A$4),'PREFILL-PIVOT'!$A$3,_xlfn.VALUETOTEXT($A$6),$A59,"Experiment",C$5,"date",C$6)=0,NA(),GETPIVOTDATA(_xlfn.VALUETOTEXT($A$4),'PREFILL-PIVOT'!$A$3,_xlfn.VALUETOTEXT($A$6),$A59,"Experiment",C$5,"date",C$6))</f>
        <v>#REF!</v>
      </c>
      <c r="D59" t="e">
        <f>IF(GETPIVOTDATA(_xlfn.VALUETOTEXT($A$4),'PREFILL-PIVOT'!$A$3,_xlfn.VALUETOTEXT($A$6),$A59,"Experiment",D$5,"date",D$6)=0,NA(),GETPIVOTDATA(_xlfn.VALUETOTEXT($A$4),'PREFILL-PIVOT'!$A$3,_xlfn.VALUETOTEXT($A$6),$A59,"Experiment",D$5,"date",D$6))</f>
        <v>#REF!</v>
      </c>
      <c r="E59" t="e">
        <f>IF(GETPIVOTDATA(_xlfn.VALUETOTEXT($A$4),'PREFILL-PIVOT'!$A$3,_xlfn.VALUETOTEXT($A$6),$A59,"Experiment",E$5,"date",E$6)=0,NA(),GETPIVOTDATA(_xlfn.VALUETOTEXT($A$4),'PREFILL-PIVOT'!$A$3,_xlfn.VALUETOTEXT($A$6),$A59,"Experiment",E$5,"date",E$6))</f>
        <v>#REF!</v>
      </c>
      <c r="F59" t="e">
        <f>IF(GETPIVOTDATA(_xlfn.VALUETOTEXT($A$4),'PREFILL-PIVOT'!$A$3,_xlfn.VALUETOTEXT($A$6),$A59,"Experiment",F$5,"date",F$6)=0,NA(),GETPIVOTDATA(_xlfn.VALUETOTEXT($A$4),'PREFILL-PIVOT'!$A$3,_xlfn.VALUETOTEXT($A$6),$A59,"Experiment",F$5,"date",F$6))</f>
        <v>#REF!</v>
      </c>
      <c r="G59" t="e">
        <f>IF(GETPIVOTDATA(_xlfn.VALUETOTEXT($A$4),'PREFILL-PIVOT'!$A$3,_xlfn.VALUETOTEXT($A$6),$A59,"Experiment",G$5,"date",G$6)=0,NA(),GETPIVOTDATA(_xlfn.VALUETOTEXT($A$4),'PREFILL-PIVOT'!$A$3,_xlfn.VALUETOTEXT($A$6),$A59,"Experiment",G$5,"date",G$6))</f>
        <v>#REF!</v>
      </c>
      <c r="H59" t="e">
        <f>IF(GETPIVOTDATA(_xlfn.VALUETOTEXT($A$4),'PREFILL-PIVOT'!$A$3,_xlfn.VALUETOTEXT($A$6),$A59,"Experiment",H$5,"date",H$6)=0,NA(),GETPIVOTDATA(_xlfn.VALUETOTEXT($A$4),'PREFILL-PIVOT'!$A$3,_xlfn.VALUETOTEXT($A$6),$A59,"Experiment",H$5,"date",H$6))</f>
        <v>#REF!</v>
      </c>
      <c r="I59" t="e">
        <f>IF(GETPIVOTDATA(_xlfn.VALUETOTEXT($A$4),'PREFILL-PIVOT'!$A$3,_xlfn.VALUETOTEXT($A$6),$A59,"Experiment",I$5,"date",I$6)=0,NA(),GETPIVOTDATA(_xlfn.VALUETOTEXT($A$4),'PREFILL-PIVOT'!$A$3,_xlfn.VALUETOTEXT($A$6),$A59,"Experiment",I$5,"date",I$6))</f>
        <v>#REF!</v>
      </c>
      <c r="J59" t="e">
        <f>IF(GETPIVOTDATA(_xlfn.VALUETOTEXT($A$4),'PREFILL-PIVOT'!$A$3,_xlfn.VALUETOTEXT($A$6),$A59,"Experiment",J$5,"date",J$6)=0,NA(),GETPIVOTDATA(_xlfn.VALUETOTEXT($A$4),'PREFILL-PIVOT'!$A$3,_xlfn.VALUETOTEXT($A$6),$A59,"Experiment",J$5,"date",J$6))</f>
        <v>#REF!</v>
      </c>
      <c r="K59" t="e">
        <f>IF(GETPIVOTDATA(_xlfn.VALUETOTEXT($A$4),'PREFILL-PIVOT'!$A$3,_xlfn.VALUETOTEXT($A$6),$A59,"Experiment",K$5,"date",K$6)=0,NA(),GETPIVOTDATA(_xlfn.VALUETOTEXT($A$4),'PREFILL-PIVOT'!$A$3,_xlfn.VALUETOTEXT($A$6),$A59,"Experiment",K$5,"date",K$6))</f>
        <v>#REF!</v>
      </c>
      <c r="L59" t="e">
        <f>IF(GETPIVOTDATA(_xlfn.VALUETOTEXT($A$4),'PREFILL-PIVOT'!$A$3,_xlfn.VALUETOTEXT($A$6),$A59,"Experiment",L$5,"date",L$6)=0,NA(),GETPIVOTDATA(_xlfn.VALUETOTEXT($A$4),'PREFILL-PIVOT'!$A$3,_xlfn.VALUETOTEXT($A$6),$A59,"Experiment",L$5,"date",L$6))</f>
        <v>#REF!</v>
      </c>
      <c r="M59" t="e">
        <f>IF(GETPIVOTDATA(_xlfn.VALUETOTEXT($A$4),'PREFILL-PIVOT'!$A$3,_xlfn.VALUETOTEXT($A$6),$A59,"Experiment",M$5,"date",M$6)=0,NA(),GETPIVOTDATA(_xlfn.VALUETOTEXT($A$4),'PREFILL-PIVOT'!$A$3,_xlfn.VALUETOTEXT($A$6),$A59,"Experiment",M$5,"date",M$6))</f>
        <v>#REF!</v>
      </c>
    </row>
    <row r="60" spans="1:13" x14ac:dyDescent="0.25">
      <c r="A60" s="222" t="e">
        <f>IF('PREFILL-PIVOT'!A58=0,NA(),'PREFILL-PIVOT'!A58)</f>
        <v>#N/A</v>
      </c>
      <c r="B60" t="e">
        <f>IF(GETPIVOTDATA(_xlfn.VALUETOTEXT($A$4),'PREFILL-PIVOT'!$A$3,_xlfn.VALUETOTEXT($A$6),$A60,"Experiment",B$5,"date",B$6)=0,NA(),GETPIVOTDATA(_xlfn.VALUETOTEXT($A$4),'PREFILL-PIVOT'!$A$3,_xlfn.VALUETOTEXT($A$6),$A60,"Experiment",B$5,"date",B$6))</f>
        <v>#REF!</v>
      </c>
      <c r="C60" t="e">
        <f>IF(GETPIVOTDATA(_xlfn.VALUETOTEXT($A$4),'PREFILL-PIVOT'!$A$3,_xlfn.VALUETOTEXT($A$6),$A60,"Experiment",C$5,"date",C$6)=0,NA(),GETPIVOTDATA(_xlfn.VALUETOTEXT($A$4),'PREFILL-PIVOT'!$A$3,_xlfn.VALUETOTEXT($A$6),$A60,"Experiment",C$5,"date",C$6))</f>
        <v>#REF!</v>
      </c>
      <c r="D60" t="e">
        <f>IF(GETPIVOTDATA(_xlfn.VALUETOTEXT($A$4),'PREFILL-PIVOT'!$A$3,_xlfn.VALUETOTEXT($A$6),$A60,"Experiment",D$5,"date",D$6)=0,NA(),GETPIVOTDATA(_xlfn.VALUETOTEXT($A$4),'PREFILL-PIVOT'!$A$3,_xlfn.VALUETOTEXT($A$6),$A60,"Experiment",D$5,"date",D$6))</f>
        <v>#REF!</v>
      </c>
      <c r="E60" t="e">
        <f>IF(GETPIVOTDATA(_xlfn.VALUETOTEXT($A$4),'PREFILL-PIVOT'!$A$3,_xlfn.VALUETOTEXT($A$6),$A60,"Experiment",E$5,"date",E$6)=0,NA(),GETPIVOTDATA(_xlfn.VALUETOTEXT($A$4),'PREFILL-PIVOT'!$A$3,_xlfn.VALUETOTEXT($A$6),$A60,"Experiment",E$5,"date",E$6))</f>
        <v>#REF!</v>
      </c>
      <c r="F60" t="e">
        <f>IF(GETPIVOTDATA(_xlfn.VALUETOTEXT($A$4),'PREFILL-PIVOT'!$A$3,_xlfn.VALUETOTEXT($A$6),$A60,"Experiment",F$5,"date",F$6)=0,NA(),GETPIVOTDATA(_xlfn.VALUETOTEXT($A$4),'PREFILL-PIVOT'!$A$3,_xlfn.VALUETOTEXT($A$6),$A60,"Experiment",F$5,"date",F$6))</f>
        <v>#REF!</v>
      </c>
      <c r="G60" t="e">
        <f>IF(GETPIVOTDATA(_xlfn.VALUETOTEXT($A$4),'PREFILL-PIVOT'!$A$3,_xlfn.VALUETOTEXT($A$6),$A60,"Experiment",G$5,"date",G$6)=0,NA(),GETPIVOTDATA(_xlfn.VALUETOTEXT($A$4),'PREFILL-PIVOT'!$A$3,_xlfn.VALUETOTEXT($A$6),$A60,"Experiment",G$5,"date",G$6))</f>
        <v>#REF!</v>
      </c>
      <c r="H60" t="e">
        <f>IF(GETPIVOTDATA(_xlfn.VALUETOTEXT($A$4),'PREFILL-PIVOT'!$A$3,_xlfn.VALUETOTEXT($A$6),$A60,"Experiment",H$5,"date",H$6)=0,NA(),GETPIVOTDATA(_xlfn.VALUETOTEXT($A$4),'PREFILL-PIVOT'!$A$3,_xlfn.VALUETOTEXT($A$6),$A60,"Experiment",H$5,"date",H$6))</f>
        <v>#REF!</v>
      </c>
      <c r="I60" t="e">
        <f>IF(GETPIVOTDATA(_xlfn.VALUETOTEXT($A$4),'PREFILL-PIVOT'!$A$3,_xlfn.VALUETOTEXT($A$6),$A60,"Experiment",I$5,"date",I$6)=0,NA(),GETPIVOTDATA(_xlfn.VALUETOTEXT($A$4),'PREFILL-PIVOT'!$A$3,_xlfn.VALUETOTEXT($A$6),$A60,"Experiment",I$5,"date",I$6))</f>
        <v>#REF!</v>
      </c>
      <c r="J60" t="e">
        <f>IF(GETPIVOTDATA(_xlfn.VALUETOTEXT($A$4),'PREFILL-PIVOT'!$A$3,_xlfn.VALUETOTEXT($A$6),$A60,"Experiment",J$5,"date",J$6)=0,NA(),GETPIVOTDATA(_xlfn.VALUETOTEXT($A$4),'PREFILL-PIVOT'!$A$3,_xlfn.VALUETOTEXT($A$6),$A60,"Experiment",J$5,"date",J$6))</f>
        <v>#REF!</v>
      </c>
      <c r="K60" t="e">
        <f>IF(GETPIVOTDATA(_xlfn.VALUETOTEXT($A$4),'PREFILL-PIVOT'!$A$3,_xlfn.VALUETOTEXT($A$6),$A60,"Experiment",K$5,"date",K$6)=0,NA(),GETPIVOTDATA(_xlfn.VALUETOTEXT($A$4),'PREFILL-PIVOT'!$A$3,_xlfn.VALUETOTEXT($A$6),$A60,"Experiment",K$5,"date",K$6))</f>
        <v>#REF!</v>
      </c>
      <c r="L60" t="e">
        <f>IF(GETPIVOTDATA(_xlfn.VALUETOTEXT($A$4),'PREFILL-PIVOT'!$A$3,_xlfn.VALUETOTEXT($A$6),$A60,"Experiment",L$5,"date",L$6)=0,NA(),GETPIVOTDATA(_xlfn.VALUETOTEXT($A$4),'PREFILL-PIVOT'!$A$3,_xlfn.VALUETOTEXT($A$6),$A60,"Experiment",L$5,"date",L$6))</f>
        <v>#REF!</v>
      </c>
      <c r="M60" t="e">
        <f>IF(GETPIVOTDATA(_xlfn.VALUETOTEXT($A$4),'PREFILL-PIVOT'!$A$3,_xlfn.VALUETOTEXT($A$6),$A60,"Experiment",M$5,"date",M$6)=0,NA(),GETPIVOTDATA(_xlfn.VALUETOTEXT($A$4),'PREFILL-PIVOT'!$A$3,_xlfn.VALUETOTEXT($A$6),$A60,"Experiment",M$5,"date",M$6))</f>
        <v>#REF!</v>
      </c>
    </row>
    <row r="61" spans="1:13" x14ac:dyDescent="0.25">
      <c r="A61" s="222" t="e">
        <f>IF('PREFILL-PIVOT'!A59=0,NA(),'PREFILL-PIVOT'!A59)</f>
        <v>#N/A</v>
      </c>
      <c r="B61" t="e">
        <f>IF(GETPIVOTDATA(_xlfn.VALUETOTEXT($A$4),'PREFILL-PIVOT'!$A$3,_xlfn.VALUETOTEXT($A$6),$A61,"Experiment",B$5,"date",B$6)=0,NA(),GETPIVOTDATA(_xlfn.VALUETOTEXT($A$4),'PREFILL-PIVOT'!$A$3,_xlfn.VALUETOTEXT($A$6),$A61,"Experiment",B$5,"date",B$6))</f>
        <v>#REF!</v>
      </c>
      <c r="C61" t="e">
        <f>IF(GETPIVOTDATA(_xlfn.VALUETOTEXT($A$4),'PREFILL-PIVOT'!$A$3,_xlfn.VALUETOTEXT($A$6),$A61,"Experiment",C$5,"date",C$6)=0,NA(),GETPIVOTDATA(_xlfn.VALUETOTEXT($A$4),'PREFILL-PIVOT'!$A$3,_xlfn.VALUETOTEXT($A$6),$A61,"Experiment",C$5,"date",C$6))</f>
        <v>#REF!</v>
      </c>
      <c r="D61" t="e">
        <f>IF(GETPIVOTDATA(_xlfn.VALUETOTEXT($A$4),'PREFILL-PIVOT'!$A$3,_xlfn.VALUETOTEXT($A$6),$A61,"Experiment",D$5,"date",D$6)=0,NA(),GETPIVOTDATA(_xlfn.VALUETOTEXT($A$4),'PREFILL-PIVOT'!$A$3,_xlfn.VALUETOTEXT($A$6),$A61,"Experiment",D$5,"date",D$6))</f>
        <v>#REF!</v>
      </c>
      <c r="E61" t="e">
        <f>IF(GETPIVOTDATA(_xlfn.VALUETOTEXT($A$4),'PREFILL-PIVOT'!$A$3,_xlfn.VALUETOTEXT($A$6),$A61,"Experiment",E$5,"date",E$6)=0,NA(),GETPIVOTDATA(_xlfn.VALUETOTEXT($A$4),'PREFILL-PIVOT'!$A$3,_xlfn.VALUETOTEXT($A$6),$A61,"Experiment",E$5,"date",E$6))</f>
        <v>#REF!</v>
      </c>
      <c r="F61" t="e">
        <f>IF(GETPIVOTDATA(_xlfn.VALUETOTEXT($A$4),'PREFILL-PIVOT'!$A$3,_xlfn.VALUETOTEXT($A$6),$A61,"Experiment",F$5,"date",F$6)=0,NA(),GETPIVOTDATA(_xlfn.VALUETOTEXT($A$4),'PREFILL-PIVOT'!$A$3,_xlfn.VALUETOTEXT($A$6),$A61,"Experiment",F$5,"date",F$6))</f>
        <v>#REF!</v>
      </c>
      <c r="G61" t="e">
        <f>IF(GETPIVOTDATA(_xlfn.VALUETOTEXT($A$4),'PREFILL-PIVOT'!$A$3,_xlfn.VALUETOTEXT($A$6),$A61,"Experiment",G$5,"date",G$6)=0,NA(),GETPIVOTDATA(_xlfn.VALUETOTEXT($A$4),'PREFILL-PIVOT'!$A$3,_xlfn.VALUETOTEXT($A$6),$A61,"Experiment",G$5,"date",G$6))</f>
        <v>#REF!</v>
      </c>
      <c r="H61" t="e">
        <f>IF(GETPIVOTDATA(_xlfn.VALUETOTEXT($A$4),'PREFILL-PIVOT'!$A$3,_xlfn.VALUETOTEXT($A$6),$A61,"Experiment",H$5,"date",H$6)=0,NA(),GETPIVOTDATA(_xlfn.VALUETOTEXT($A$4),'PREFILL-PIVOT'!$A$3,_xlfn.VALUETOTEXT($A$6),$A61,"Experiment",H$5,"date",H$6))</f>
        <v>#REF!</v>
      </c>
      <c r="I61" t="e">
        <f>IF(GETPIVOTDATA(_xlfn.VALUETOTEXT($A$4),'PREFILL-PIVOT'!$A$3,_xlfn.VALUETOTEXT($A$6),$A61,"Experiment",I$5,"date",I$6)=0,NA(),GETPIVOTDATA(_xlfn.VALUETOTEXT($A$4),'PREFILL-PIVOT'!$A$3,_xlfn.VALUETOTEXT($A$6),$A61,"Experiment",I$5,"date",I$6))</f>
        <v>#REF!</v>
      </c>
      <c r="J61" t="e">
        <f>IF(GETPIVOTDATA(_xlfn.VALUETOTEXT($A$4),'PREFILL-PIVOT'!$A$3,_xlfn.VALUETOTEXT($A$6),$A61,"Experiment",J$5,"date",J$6)=0,NA(),GETPIVOTDATA(_xlfn.VALUETOTEXT($A$4),'PREFILL-PIVOT'!$A$3,_xlfn.VALUETOTEXT($A$6),$A61,"Experiment",J$5,"date",J$6))</f>
        <v>#REF!</v>
      </c>
      <c r="K61" t="e">
        <f>IF(GETPIVOTDATA(_xlfn.VALUETOTEXT($A$4),'PREFILL-PIVOT'!$A$3,_xlfn.VALUETOTEXT($A$6),$A61,"Experiment",K$5,"date",K$6)=0,NA(),GETPIVOTDATA(_xlfn.VALUETOTEXT($A$4),'PREFILL-PIVOT'!$A$3,_xlfn.VALUETOTEXT($A$6),$A61,"Experiment",K$5,"date",K$6))</f>
        <v>#REF!</v>
      </c>
      <c r="L61" t="e">
        <f>IF(GETPIVOTDATA(_xlfn.VALUETOTEXT($A$4),'PREFILL-PIVOT'!$A$3,_xlfn.VALUETOTEXT($A$6),$A61,"Experiment",L$5,"date",L$6)=0,NA(),GETPIVOTDATA(_xlfn.VALUETOTEXT($A$4),'PREFILL-PIVOT'!$A$3,_xlfn.VALUETOTEXT($A$6),$A61,"Experiment",L$5,"date",L$6))</f>
        <v>#REF!</v>
      </c>
      <c r="M61" t="e">
        <f>IF(GETPIVOTDATA(_xlfn.VALUETOTEXT($A$4),'PREFILL-PIVOT'!$A$3,_xlfn.VALUETOTEXT($A$6),$A61,"Experiment",M$5,"date",M$6)=0,NA(),GETPIVOTDATA(_xlfn.VALUETOTEXT($A$4),'PREFILL-PIVOT'!$A$3,_xlfn.VALUETOTEXT($A$6),$A61,"Experiment",M$5,"date",M$6))</f>
        <v>#REF!</v>
      </c>
    </row>
    <row r="62" spans="1:13" x14ac:dyDescent="0.25">
      <c r="A62" s="222" t="e">
        <f>IF('PREFILL-PIVOT'!A60=0,NA(),'PREFILL-PIVOT'!A60)</f>
        <v>#N/A</v>
      </c>
      <c r="B62" t="e">
        <f>IF(GETPIVOTDATA(_xlfn.VALUETOTEXT($A$4),'PREFILL-PIVOT'!$A$3,_xlfn.VALUETOTEXT($A$6),$A62,"Experiment",B$5,"date",B$6)=0,NA(),GETPIVOTDATA(_xlfn.VALUETOTEXT($A$4),'PREFILL-PIVOT'!$A$3,_xlfn.VALUETOTEXT($A$6),$A62,"Experiment",B$5,"date",B$6))</f>
        <v>#REF!</v>
      </c>
      <c r="C62" t="e">
        <f>IF(GETPIVOTDATA(_xlfn.VALUETOTEXT($A$4),'PREFILL-PIVOT'!$A$3,_xlfn.VALUETOTEXT($A$6),$A62,"Experiment",C$5,"date",C$6)=0,NA(),GETPIVOTDATA(_xlfn.VALUETOTEXT($A$4),'PREFILL-PIVOT'!$A$3,_xlfn.VALUETOTEXT($A$6),$A62,"Experiment",C$5,"date",C$6))</f>
        <v>#REF!</v>
      </c>
      <c r="D62" t="e">
        <f>IF(GETPIVOTDATA(_xlfn.VALUETOTEXT($A$4),'PREFILL-PIVOT'!$A$3,_xlfn.VALUETOTEXT($A$6),$A62,"Experiment",D$5,"date",D$6)=0,NA(),GETPIVOTDATA(_xlfn.VALUETOTEXT($A$4),'PREFILL-PIVOT'!$A$3,_xlfn.VALUETOTEXT($A$6),$A62,"Experiment",D$5,"date",D$6))</f>
        <v>#REF!</v>
      </c>
      <c r="E62" t="e">
        <f>IF(GETPIVOTDATA(_xlfn.VALUETOTEXT($A$4),'PREFILL-PIVOT'!$A$3,_xlfn.VALUETOTEXT($A$6),$A62,"Experiment",E$5,"date",E$6)=0,NA(),GETPIVOTDATA(_xlfn.VALUETOTEXT($A$4),'PREFILL-PIVOT'!$A$3,_xlfn.VALUETOTEXT($A$6),$A62,"Experiment",E$5,"date",E$6))</f>
        <v>#REF!</v>
      </c>
      <c r="F62" t="e">
        <f>IF(GETPIVOTDATA(_xlfn.VALUETOTEXT($A$4),'PREFILL-PIVOT'!$A$3,_xlfn.VALUETOTEXT($A$6),$A62,"Experiment",F$5,"date",F$6)=0,NA(),GETPIVOTDATA(_xlfn.VALUETOTEXT($A$4),'PREFILL-PIVOT'!$A$3,_xlfn.VALUETOTEXT($A$6),$A62,"Experiment",F$5,"date",F$6))</f>
        <v>#REF!</v>
      </c>
      <c r="G62" t="e">
        <f>IF(GETPIVOTDATA(_xlfn.VALUETOTEXT($A$4),'PREFILL-PIVOT'!$A$3,_xlfn.VALUETOTEXT($A$6),$A62,"Experiment",G$5,"date",G$6)=0,NA(),GETPIVOTDATA(_xlfn.VALUETOTEXT($A$4),'PREFILL-PIVOT'!$A$3,_xlfn.VALUETOTEXT($A$6),$A62,"Experiment",G$5,"date",G$6))</f>
        <v>#REF!</v>
      </c>
      <c r="H62" t="e">
        <f>IF(GETPIVOTDATA(_xlfn.VALUETOTEXT($A$4),'PREFILL-PIVOT'!$A$3,_xlfn.VALUETOTEXT($A$6),$A62,"Experiment",H$5,"date",H$6)=0,NA(),GETPIVOTDATA(_xlfn.VALUETOTEXT($A$4),'PREFILL-PIVOT'!$A$3,_xlfn.VALUETOTEXT($A$6),$A62,"Experiment",H$5,"date",H$6))</f>
        <v>#REF!</v>
      </c>
      <c r="I62" t="e">
        <f>IF(GETPIVOTDATA(_xlfn.VALUETOTEXT($A$4),'PREFILL-PIVOT'!$A$3,_xlfn.VALUETOTEXT($A$6),$A62,"Experiment",I$5,"date",I$6)=0,NA(),GETPIVOTDATA(_xlfn.VALUETOTEXT($A$4),'PREFILL-PIVOT'!$A$3,_xlfn.VALUETOTEXT($A$6),$A62,"Experiment",I$5,"date",I$6))</f>
        <v>#REF!</v>
      </c>
      <c r="J62" t="e">
        <f>IF(GETPIVOTDATA(_xlfn.VALUETOTEXT($A$4),'PREFILL-PIVOT'!$A$3,_xlfn.VALUETOTEXT($A$6),$A62,"Experiment",J$5,"date",J$6)=0,NA(),GETPIVOTDATA(_xlfn.VALUETOTEXT($A$4),'PREFILL-PIVOT'!$A$3,_xlfn.VALUETOTEXT($A$6),$A62,"Experiment",J$5,"date",J$6))</f>
        <v>#REF!</v>
      </c>
      <c r="K62" t="e">
        <f>IF(GETPIVOTDATA(_xlfn.VALUETOTEXT($A$4),'PREFILL-PIVOT'!$A$3,_xlfn.VALUETOTEXT($A$6),$A62,"Experiment",K$5,"date",K$6)=0,NA(),GETPIVOTDATA(_xlfn.VALUETOTEXT($A$4),'PREFILL-PIVOT'!$A$3,_xlfn.VALUETOTEXT($A$6),$A62,"Experiment",K$5,"date",K$6))</f>
        <v>#REF!</v>
      </c>
      <c r="L62" t="e">
        <f>IF(GETPIVOTDATA(_xlfn.VALUETOTEXT($A$4),'PREFILL-PIVOT'!$A$3,_xlfn.VALUETOTEXT($A$6),$A62,"Experiment",L$5,"date",L$6)=0,NA(),GETPIVOTDATA(_xlfn.VALUETOTEXT($A$4),'PREFILL-PIVOT'!$A$3,_xlfn.VALUETOTEXT($A$6),$A62,"Experiment",L$5,"date",L$6))</f>
        <v>#REF!</v>
      </c>
      <c r="M62" t="e">
        <f>IF(GETPIVOTDATA(_xlfn.VALUETOTEXT($A$4),'PREFILL-PIVOT'!$A$3,_xlfn.VALUETOTEXT($A$6),$A62,"Experiment",M$5,"date",M$6)=0,NA(),GETPIVOTDATA(_xlfn.VALUETOTEXT($A$4),'PREFILL-PIVOT'!$A$3,_xlfn.VALUETOTEXT($A$6),$A62,"Experiment",M$5,"date",M$6))</f>
        <v>#REF!</v>
      </c>
    </row>
    <row r="63" spans="1:13" x14ac:dyDescent="0.25">
      <c r="A63" s="222" t="e">
        <f>IF('PREFILL-PIVOT'!A61=0,NA(),'PREFILL-PIVOT'!A61)</f>
        <v>#N/A</v>
      </c>
      <c r="B63" t="e">
        <f>IF(GETPIVOTDATA(_xlfn.VALUETOTEXT($A$4),'PREFILL-PIVOT'!$A$3,_xlfn.VALUETOTEXT($A$6),$A63,"Experiment",B$5,"date",B$6)=0,NA(),GETPIVOTDATA(_xlfn.VALUETOTEXT($A$4),'PREFILL-PIVOT'!$A$3,_xlfn.VALUETOTEXT($A$6),$A63,"Experiment",B$5,"date",B$6))</f>
        <v>#REF!</v>
      </c>
      <c r="C63" t="e">
        <f>IF(GETPIVOTDATA(_xlfn.VALUETOTEXT($A$4),'PREFILL-PIVOT'!$A$3,_xlfn.VALUETOTEXT($A$6),$A63,"Experiment",C$5,"date",C$6)=0,NA(),GETPIVOTDATA(_xlfn.VALUETOTEXT($A$4),'PREFILL-PIVOT'!$A$3,_xlfn.VALUETOTEXT($A$6),$A63,"Experiment",C$5,"date",C$6))</f>
        <v>#REF!</v>
      </c>
      <c r="D63" t="e">
        <f>IF(GETPIVOTDATA(_xlfn.VALUETOTEXT($A$4),'PREFILL-PIVOT'!$A$3,_xlfn.VALUETOTEXT($A$6),$A63,"Experiment",D$5,"date",D$6)=0,NA(),GETPIVOTDATA(_xlfn.VALUETOTEXT($A$4),'PREFILL-PIVOT'!$A$3,_xlfn.VALUETOTEXT($A$6),$A63,"Experiment",D$5,"date",D$6))</f>
        <v>#REF!</v>
      </c>
      <c r="E63" t="e">
        <f>IF(GETPIVOTDATA(_xlfn.VALUETOTEXT($A$4),'PREFILL-PIVOT'!$A$3,_xlfn.VALUETOTEXT($A$6),$A63,"Experiment",E$5,"date",E$6)=0,NA(),GETPIVOTDATA(_xlfn.VALUETOTEXT($A$4),'PREFILL-PIVOT'!$A$3,_xlfn.VALUETOTEXT($A$6),$A63,"Experiment",E$5,"date",E$6))</f>
        <v>#REF!</v>
      </c>
      <c r="F63" t="e">
        <f>IF(GETPIVOTDATA(_xlfn.VALUETOTEXT($A$4),'PREFILL-PIVOT'!$A$3,_xlfn.VALUETOTEXT($A$6),$A63,"Experiment",F$5,"date",F$6)=0,NA(),GETPIVOTDATA(_xlfn.VALUETOTEXT($A$4),'PREFILL-PIVOT'!$A$3,_xlfn.VALUETOTEXT($A$6),$A63,"Experiment",F$5,"date",F$6))</f>
        <v>#REF!</v>
      </c>
      <c r="G63" t="e">
        <f>IF(GETPIVOTDATA(_xlfn.VALUETOTEXT($A$4),'PREFILL-PIVOT'!$A$3,_xlfn.VALUETOTEXT($A$6),$A63,"Experiment",G$5,"date",G$6)=0,NA(),GETPIVOTDATA(_xlfn.VALUETOTEXT($A$4),'PREFILL-PIVOT'!$A$3,_xlfn.VALUETOTEXT($A$6),$A63,"Experiment",G$5,"date",G$6))</f>
        <v>#REF!</v>
      </c>
      <c r="H63" t="e">
        <f>IF(GETPIVOTDATA(_xlfn.VALUETOTEXT($A$4),'PREFILL-PIVOT'!$A$3,_xlfn.VALUETOTEXT($A$6),$A63,"Experiment",H$5,"date",H$6)=0,NA(),GETPIVOTDATA(_xlfn.VALUETOTEXT($A$4),'PREFILL-PIVOT'!$A$3,_xlfn.VALUETOTEXT($A$6),$A63,"Experiment",H$5,"date",H$6))</f>
        <v>#REF!</v>
      </c>
      <c r="I63" t="e">
        <f>IF(GETPIVOTDATA(_xlfn.VALUETOTEXT($A$4),'PREFILL-PIVOT'!$A$3,_xlfn.VALUETOTEXT($A$6),$A63,"Experiment",I$5,"date",I$6)=0,NA(),GETPIVOTDATA(_xlfn.VALUETOTEXT($A$4),'PREFILL-PIVOT'!$A$3,_xlfn.VALUETOTEXT($A$6),$A63,"Experiment",I$5,"date",I$6))</f>
        <v>#REF!</v>
      </c>
      <c r="J63" t="e">
        <f>IF(GETPIVOTDATA(_xlfn.VALUETOTEXT($A$4),'PREFILL-PIVOT'!$A$3,_xlfn.VALUETOTEXT($A$6),$A63,"Experiment",J$5,"date",J$6)=0,NA(),GETPIVOTDATA(_xlfn.VALUETOTEXT($A$4),'PREFILL-PIVOT'!$A$3,_xlfn.VALUETOTEXT($A$6),$A63,"Experiment",J$5,"date",J$6))</f>
        <v>#REF!</v>
      </c>
      <c r="K63" t="e">
        <f>IF(GETPIVOTDATA(_xlfn.VALUETOTEXT($A$4),'PREFILL-PIVOT'!$A$3,_xlfn.VALUETOTEXT($A$6),$A63,"Experiment",K$5,"date",K$6)=0,NA(),GETPIVOTDATA(_xlfn.VALUETOTEXT($A$4),'PREFILL-PIVOT'!$A$3,_xlfn.VALUETOTEXT($A$6),$A63,"Experiment",K$5,"date",K$6))</f>
        <v>#REF!</v>
      </c>
      <c r="L63" t="e">
        <f>IF(GETPIVOTDATA(_xlfn.VALUETOTEXT($A$4),'PREFILL-PIVOT'!$A$3,_xlfn.VALUETOTEXT($A$6),$A63,"Experiment",L$5,"date",L$6)=0,NA(),GETPIVOTDATA(_xlfn.VALUETOTEXT($A$4),'PREFILL-PIVOT'!$A$3,_xlfn.VALUETOTEXT($A$6),$A63,"Experiment",L$5,"date",L$6))</f>
        <v>#REF!</v>
      </c>
      <c r="M63" t="e">
        <f>IF(GETPIVOTDATA(_xlfn.VALUETOTEXT($A$4),'PREFILL-PIVOT'!$A$3,_xlfn.VALUETOTEXT($A$6),$A63,"Experiment",M$5,"date",M$6)=0,NA(),GETPIVOTDATA(_xlfn.VALUETOTEXT($A$4),'PREFILL-PIVOT'!$A$3,_xlfn.VALUETOTEXT($A$6),$A63,"Experiment",M$5,"date",M$6))</f>
        <v>#REF!</v>
      </c>
    </row>
    <row r="64" spans="1:13" x14ac:dyDescent="0.25">
      <c r="A64" s="222" t="e">
        <f>IF('PREFILL-PIVOT'!A62=0,NA(),'PREFILL-PIVOT'!A62)</f>
        <v>#N/A</v>
      </c>
      <c r="B64" t="e">
        <f>IF(GETPIVOTDATA(_xlfn.VALUETOTEXT($A$4),'PREFILL-PIVOT'!$A$3,_xlfn.VALUETOTEXT($A$6),$A64,"Experiment",B$5,"date",B$6)=0,NA(),GETPIVOTDATA(_xlfn.VALUETOTEXT($A$4),'PREFILL-PIVOT'!$A$3,_xlfn.VALUETOTEXT($A$6),$A64,"Experiment",B$5,"date",B$6))</f>
        <v>#REF!</v>
      </c>
      <c r="C64" t="e">
        <f>IF(GETPIVOTDATA(_xlfn.VALUETOTEXT($A$4),'PREFILL-PIVOT'!$A$3,_xlfn.VALUETOTEXT($A$6),$A64,"Experiment",C$5,"date",C$6)=0,NA(),GETPIVOTDATA(_xlfn.VALUETOTEXT($A$4),'PREFILL-PIVOT'!$A$3,_xlfn.VALUETOTEXT($A$6),$A64,"Experiment",C$5,"date",C$6))</f>
        <v>#REF!</v>
      </c>
      <c r="D64" t="e">
        <f>IF(GETPIVOTDATA(_xlfn.VALUETOTEXT($A$4),'PREFILL-PIVOT'!$A$3,_xlfn.VALUETOTEXT($A$6),$A64,"Experiment",D$5,"date",D$6)=0,NA(),GETPIVOTDATA(_xlfn.VALUETOTEXT($A$4),'PREFILL-PIVOT'!$A$3,_xlfn.VALUETOTEXT($A$6),$A64,"Experiment",D$5,"date",D$6))</f>
        <v>#REF!</v>
      </c>
      <c r="E64" t="e">
        <f>IF(GETPIVOTDATA(_xlfn.VALUETOTEXT($A$4),'PREFILL-PIVOT'!$A$3,_xlfn.VALUETOTEXT($A$6),$A64,"Experiment",E$5,"date",E$6)=0,NA(),GETPIVOTDATA(_xlfn.VALUETOTEXT($A$4),'PREFILL-PIVOT'!$A$3,_xlfn.VALUETOTEXT($A$6),$A64,"Experiment",E$5,"date",E$6))</f>
        <v>#REF!</v>
      </c>
      <c r="F64" t="e">
        <f>IF(GETPIVOTDATA(_xlfn.VALUETOTEXT($A$4),'PREFILL-PIVOT'!$A$3,_xlfn.VALUETOTEXT($A$6),$A64,"Experiment",F$5,"date",F$6)=0,NA(),GETPIVOTDATA(_xlfn.VALUETOTEXT($A$4),'PREFILL-PIVOT'!$A$3,_xlfn.VALUETOTEXT($A$6),$A64,"Experiment",F$5,"date",F$6))</f>
        <v>#REF!</v>
      </c>
      <c r="G64" t="e">
        <f>IF(GETPIVOTDATA(_xlfn.VALUETOTEXT($A$4),'PREFILL-PIVOT'!$A$3,_xlfn.VALUETOTEXT($A$6),$A64,"Experiment",G$5,"date",G$6)=0,NA(),GETPIVOTDATA(_xlfn.VALUETOTEXT($A$4),'PREFILL-PIVOT'!$A$3,_xlfn.VALUETOTEXT($A$6),$A64,"Experiment",G$5,"date",G$6))</f>
        <v>#REF!</v>
      </c>
      <c r="H64" t="e">
        <f>IF(GETPIVOTDATA(_xlfn.VALUETOTEXT($A$4),'PREFILL-PIVOT'!$A$3,_xlfn.VALUETOTEXT($A$6),$A64,"Experiment",H$5,"date",H$6)=0,NA(),GETPIVOTDATA(_xlfn.VALUETOTEXT($A$4),'PREFILL-PIVOT'!$A$3,_xlfn.VALUETOTEXT($A$6),$A64,"Experiment",H$5,"date",H$6))</f>
        <v>#REF!</v>
      </c>
      <c r="I64" t="e">
        <f>IF(GETPIVOTDATA(_xlfn.VALUETOTEXT($A$4),'PREFILL-PIVOT'!$A$3,_xlfn.VALUETOTEXT($A$6),$A64,"Experiment",I$5,"date",I$6)=0,NA(),GETPIVOTDATA(_xlfn.VALUETOTEXT($A$4),'PREFILL-PIVOT'!$A$3,_xlfn.VALUETOTEXT($A$6),$A64,"Experiment",I$5,"date",I$6))</f>
        <v>#REF!</v>
      </c>
      <c r="J64" t="e">
        <f>IF(GETPIVOTDATA(_xlfn.VALUETOTEXT($A$4),'PREFILL-PIVOT'!$A$3,_xlfn.VALUETOTEXT($A$6),$A64,"Experiment",J$5,"date",J$6)=0,NA(),GETPIVOTDATA(_xlfn.VALUETOTEXT($A$4),'PREFILL-PIVOT'!$A$3,_xlfn.VALUETOTEXT($A$6),$A64,"Experiment",J$5,"date",J$6))</f>
        <v>#REF!</v>
      </c>
      <c r="K64" t="e">
        <f>IF(GETPIVOTDATA(_xlfn.VALUETOTEXT($A$4),'PREFILL-PIVOT'!$A$3,_xlfn.VALUETOTEXT($A$6),$A64,"Experiment",K$5,"date",K$6)=0,NA(),GETPIVOTDATA(_xlfn.VALUETOTEXT($A$4),'PREFILL-PIVOT'!$A$3,_xlfn.VALUETOTEXT($A$6),$A64,"Experiment",K$5,"date",K$6))</f>
        <v>#REF!</v>
      </c>
      <c r="L64" t="e">
        <f>IF(GETPIVOTDATA(_xlfn.VALUETOTEXT($A$4),'PREFILL-PIVOT'!$A$3,_xlfn.VALUETOTEXT($A$6),$A64,"Experiment",L$5,"date",L$6)=0,NA(),GETPIVOTDATA(_xlfn.VALUETOTEXT($A$4),'PREFILL-PIVOT'!$A$3,_xlfn.VALUETOTEXT($A$6),$A64,"Experiment",L$5,"date",L$6))</f>
        <v>#REF!</v>
      </c>
      <c r="M64" t="e">
        <f>IF(GETPIVOTDATA(_xlfn.VALUETOTEXT($A$4),'PREFILL-PIVOT'!$A$3,_xlfn.VALUETOTEXT($A$6),$A64,"Experiment",M$5,"date",M$6)=0,NA(),GETPIVOTDATA(_xlfn.VALUETOTEXT($A$4),'PREFILL-PIVOT'!$A$3,_xlfn.VALUETOTEXT($A$6),$A64,"Experiment",M$5,"date",M$6))</f>
        <v>#REF!</v>
      </c>
    </row>
    <row r="65" spans="1:13" x14ac:dyDescent="0.25">
      <c r="A65" s="222" t="e">
        <f>IF('PREFILL-PIVOT'!A63=0,NA(),'PREFILL-PIVOT'!A63)</f>
        <v>#N/A</v>
      </c>
      <c r="B65" t="e">
        <f>IF(GETPIVOTDATA(_xlfn.VALUETOTEXT($A$4),'PREFILL-PIVOT'!$A$3,_xlfn.VALUETOTEXT($A$6),$A65,"Experiment",B$5,"date",B$6)=0,NA(),GETPIVOTDATA(_xlfn.VALUETOTEXT($A$4),'PREFILL-PIVOT'!$A$3,_xlfn.VALUETOTEXT($A$6),$A65,"Experiment",B$5,"date",B$6))</f>
        <v>#REF!</v>
      </c>
      <c r="C65" t="e">
        <f>IF(GETPIVOTDATA(_xlfn.VALUETOTEXT($A$4),'PREFILL-PIVOT'!$A$3,_xlfn.VALUETOTEXT($A$6),$A65,"Experiment",C$5,"date",C$6)=0,NA(),GETPIVOTDATA(_xlfn.VALUETOTEXT($A$4),'PREFILL-PIVOT'!$A$3,_xlfn.VALUETOTEXT($A$6),$A65,"Experiment",C$5,"date",C$6))</f>
        <v>#REF!</v>
      </c>
      <c r="D65" t="e">
        <f>IF(GETPIVOTDATA(_xlfn.VALUETOTEXT($A$4),'PREFILL-PIVOT'!$A$3,_xlfn.VALUETOTEXT($A$6),$A65,"Experiment",D$5,"date",D$6)=0,NA(),GETPIVOTDATA(_xlfn.VALUETOTEXT($A$4),'PREFILL-PIVOT'!$A$3,_xlfn.VALUETOTEXT($A$6),$A65,"Experiment",D$5,"date",D$6))</f>
        <v>#REF!</v>
      </c>
      <c r="E65" t="e">
        <f>IF(GETPIVOTDATA(_xlfn.VALUETOTEXT($A$4),'PREFILL-PIVOT'!$A$3,_xlfn.VALUETOTEXT($A$6),$A65,"Experiment",E$5,"date",E$6)=0,NA(),GETPIVOTDATA(_xlfn.VALUETOTEXT($A$4),'PREFILL-PIVOT'!$A$3,_xlfn.VALUETOTEXT($A$6),$A65,"Experiment",E$5,"date",E$6))</f>
        <v>#REF!</v>
      </c>
      <c r="F65" t="e">
        <f>IF(GETPIVOTDATA(_xlfn.VALUETOTEXT($A$4),'PREFILL-PIVOT'!$A$3,_xlfn.VALUETOTEXT($A$6),$A65,"Experiment",F$5,"date",F$6)=0,NA(),GETPIVOTDATA(_xlfn.VALUETOTEXT($A$4),'PREFILL-PIVOT'!$A$3,_xlfn.VALUETOTEXT($A$6),$A65,"Experiment",F$5,"date",F$6))</f>
        <v>#REF!</v>
      </c>
      <c r="G65" t="e">
        <f>IF(GETPIVOTDATA(_xlfn.VALUETOTEXT($A$4),'PREFILL-PIVOT'!$A$3,_xlfn.VALUETOTEXT($A$6),$A65,"Experiment",G$5,"date",G$6)=0,NA(),GETPIVOTDATA(_xlfn.VALUETOTEXT($A$4),'PREFILL-PIVOT'!$A$3,_xlfn.VALUETOTEXT($A$6),$A65,"Experiment",G$5,"date",G$6))</f>
        <v>#REF!</v>
      </c>
      <c r="H65" t="e">
        <f>IF(GETPIVOTDATA(_xlfn.VALUETOTEXT($A$4),'PREFILL-PIVOT'!$A$3,_xlfn.VALUETOTEXT($A$6),$A65,"Experiment",H$5,"date",H$6)=0,NA(),GETPIVOTDATA(_xlfn.VALUETOTEXT($A$4),'PREFILL-PIVOT'!$A$3,_xlfn.VALUETOTEXT($A$6),$A65,"Experiment",H$5,"date",H$6))</f>
        <v>#REF!</v>
      </c>
      <c r="I65" t="e">
        <f>IF(GETPIVOTDATA(_xlfn.VALUETOTEXT($A$4),'PREFILL-PIVOT'!$A$3,_xlfn.VALUETOTEXT($A$6),$A65,"Experiment",I$5,"date",I$6)=0,NA(),GETPIVOTDATA(_xlfn.VALUETOTEXT($A$4),'PREFILL-PIVOT'!$A$3,_xlfn.VALUETOTEXT($A$6),$A65,"Experiment",I$5,"date",I$6))</f>
        <v>#REF!</v>
      </c>
      <c r="J65" t="e">
        <f>IF(GETPIVOTDATA(_xlfn.VALUETOTEXT($A$4),'PREFILL-PIVOT'!$A$3,_xlfn.VALUETOTEXT($A$6),$A65,"Experiment",J$5,"date",J$6)=0,NA(),GETPIVOTDATA(_xlfn.VALUETOTEXT($A$4),'PREFILL-PIVOT'!$A$3,_xlfn.VALUETOTEXT($A$6),$A65,"Experiment",J$5,"date",J$6))</f>
        <v>#REF!</v>
      </c>
      <c r="K65" t="e">
        <f>IF(GETPIVOTDATA(_xlfn.VALUETOTEXT($A$4),'PREFILL-PIVOT'!$A$3,_xlfn.VALUETOTEXT($A$6),$A65,"Experiment",K$5,"date",K$6)=0,NA(),GETPIVOTDATA(_xlfn.VALUETOTEXT($A$4),'PREFILL-PIVOT'!$A$3,_xlfn.VALUETOTEXT($A$6),$A65,"Experiment",K$5,"date",K$6))</f>
        <v>#REF!</v>
      </c>
      <c r="L65" t="e">
        <f>IF(GETPIVOTDATA(_xlfn.VALUETOTEXT($A$4),'PREFILL-PIVOT'!$A$3,_xlfn.VALUETOTEXT($A$6),$A65,"Experiment",L$5,"date",L$6)=0,NA(),GETPIVOTDATA(_xlfn.VALUETOTEXT($A$4),'PREFILL-PIVOT'!$A$3,_xlfn.VALUETOTEXT($A$6),$A65,"Experiment",L$5,"date",L$6))</f>
        <v>#REF!</v>
      </c>
      <c r="M65" t="e">
        <f>IF(GETPIVOTDATA(_xlfn.VALUETOTEXT($A$4),'PREFILL-PIVOT'!$A$3,_xlfn.VALUETOTEXT($A$6),$A65,"Experiment",M$5,"date",M$6)=0,NA(),GETPIVOTDATA(_xlfn.VALUETOTEXT($A$4),'PREFILL-PIVOT'!$A$3,_xlfn.VALUETOTEXT($A$6),$A65,"Experiment",M$5,"date",M$6))</f>
        <v>#REF!</v>
      </c>
    </row>
    <row r="66" spans="1:13" x14ac:dyDescent="0.25">
      <c r="A66" s="222" t="e">
        <f>IF('PREFILL-PIVOT'!A64=0,NA(),'PREFILL-PIVOT'!A64)</f>
        <v>#N/A</v>
      </c>
      <c r="B66" t="e">
        <f>IF(GETPIVOTDATA(_xlfn.VALUETOTEXT($A$4),'PREFILL-PIVOT'!$A$3,_xlfn.VALUETOTEXT($A$6),$A66,"Experiment",B$5,"date",B$6)=0,NA(),GETPIVOTDATA(_xlfn.VALUETOTEXT($A$4),'PREFILL-PIVOT'!$A$3,_xlfn.VALUETOTEXT($A$6),$A66,"Experiment",B$5,"date",B$6))</f>
        <v>#REF!</v>
      </c>
      <c r="C66" t="e">
        <f>IF(GETPIVOTDATA(_xlfn.VALUETOTEXT($A$4),'PREFILL-PIVOT'!$A$3,_xlfn.VALUETOTEXT($A$6),$A66,"Experiment",C$5,"date",C$6)=0,NA(),GETPIVOTDATA(_xlfn.VALUETOTEXT($A$4),'PREFILL-PIVOT'!$A$3,_xlfn.VALUETOTEXT($A$6),$A66,"Experiment",C$5,"date",C$6))</f>
        <v>#REF!</v>
      </c>
      <c r="D66" t="e">
        <f>IF(GETPIVOTDATA(_xlfn.VALUETOTEXT($A$4),'PREFILL-PIVOT'!$A$3,_xlfn.VALUETOTEXT($A$6),$A66,"Experiment",D$5,"date",D$6)=0,NA(),GETPIVOTDATA(_xlfn.VALUETOTEXT($A$4),'PREFILL-PIVOT'!$A$3,_xlfn.VALUETOTEXT($A$6),$A66,"Experiment",D$5,"date",D$6))</f>
        <v>#REF!</v>
      </c>
      <c r="E66" t="e">
        <f>IF(GETPIVOTDATA(_xlfn.VALUETOTEXT($A$4),'PREFILL-PIVOT'!$A$3,_xlfn.VALUETOTEXT($A$6),$A66,"Experiment",E$5,"date",E$6)=0,NA(),GETPIVOTDATA(_xlfn.VALUETOTEXT($A$4),'PREFILL-PIVOT'!$A$3,_xlfn.VALUETOTEXT($A$6),$A66,"Experiment",E$5,"date",E$6))</f>
        <v>#REF!</v>
      </c>
      <c r="F66" t="e">
        <f>IF(GETPIVOTDATA(_xlfn.VALUETOTEXT($A$4),'PREFILL-PIVOT'!$A$3,_xlfn.VALUETOTEXT($A$6),$A66,"Experiment",F$5,"date",F$6)=0,NA(),GETPIVOTDATA(_xlfn.VALUETOTEXT($A$4),'PREFILL-PIVOT'!$A$3,_xlfn.VALUETOTEXT($A$6),$A66,"Experiment",F$5,"date",F$6))</f>
        <v>#REF!</v>
      </c>
      <c r="G66" t="e">
        <f>IF(GETPIVOTDATA(_xlfn.VALUETOTEXT($A$4),'PREFILL-PIVOT'!$A$3,_xlfn.VALUETOTEXT($A$6),$A66,"Experiment",G$5,"date",G$6)=0,NA(),GETPIVOTDATA(_xlfn.VALUETOTEXT($A$4),'PREFILL-PIVOT'!$A$3,_xlfn.VALUETOTEXT($A$6),$A66,"Experiment",G$5,"date",G$6))</f>
        <v>#REF!</v>
      </c>
      <c r="H66" t="e">
        <f>IF(GETPIVOTDATA(_xlfn.VALUETOTEXT($A$4),'PREFILL-PIVOT'!$A$3,_xlfn.VALUETOTEXT($A$6),$A66,"Experiment",H$5,"date",H$6)=0,NA(),GETPIVOTDATA(_xlfn.VALUETOTEXT($A$4),'PREFILL-PIVOT'!$A$3,_xlfn.VALUETOTEXT($A$6),$A66,"Experiment",H$5,"date",H$6))</f>
        <v>#REF!</v>
      </c>
      <c r="I66" t="e">
        <f>IF(GETPIVOTDATA(_xlfn.VALUETOTEXT($A$4),'PREFILL-PIVOT'!$A$3,_xlfn.VALUETOTEXT($A$6),$A66,"Experiment",I$5,"date",I$6)=0,NA(),GETPIVOTDATA(_xlfn.VALUETOTEXT($A$4),'PREFILL-PIVOT'!$A$3,_xlfn.VALUETOTEXT($A$6),$A66,"Experiment",I$5,"date",I$6))</f>
        <v>#REF!</v>
      </c>
      <c r="J66" t="e">
        <f>IF(GETPIVOTDATA(_xlfn.VALUETOTEXT($A$4),'PREFILL-PIVOT'!$A$3,_xlfn.VALUETOTEXT($A$6),$A66,"Experiment",J$5,"date",J$6)=0,NA(),GETPIVOTDATA(_xlfn.VALUETOTEXT($A$4),'PREFILL-PIVOT'!$A$3,_xlfn.VALUETOTEXT($A$6),$A66,"Experiment",J$5,"date",J$6))</f>
        <v>#REF!</v>
      </c>
      <c r="K66" t="e">
        <f>IF(GETPIVOTDATA(_xlfn.VALUETOTEXT($A$4),'PREFILL-PIVOT'!$A$3,_xlfn.VALUETOTEXT($A$6),$A66,"Experiment",K$5,"date",K$6)=0,NA(),GETPIVOTDATA(_xlfn.VALUETOTEXT($A$4),'PREFILL-PIVOT'!$A$3,_xlfn.VALUETOTEXT($A$6),$A66,"Experiment",K$5,"date",K$6))</f>
        <v>#REF!</v>
      </c>
      <c r="L66" t="e">
        <f>IF(GETPIVOTDATA(_xlfn.VALUETOTEXT($A$4),'PREFILL-PIVOT'!$A$3,_xlfn.VALUETOTEXT($A$6),$A66,"Experiment",L$5,"date",L$6)=0,NA(),GETPIVOTDATA(_xlfn.VALUETOTEXT($A$4),'PREFILL-PIVOT'!$A$3,_xlfn.VALUETOTEXT($A$6),$A66,"Experiment",L$5,"date",L$6))</f>
        <v>#REF!</v>
      </c>
      <c r="M66" t="e">
        <f>IF(GETPIVOTDATA(_xlfn.VALUETOTEXT($A$4),'PREFILL-PIVOT'!$A$3,_xlfn.VALUETOTEXT($A$6),$A66,"Experiment",M$5,"date",M$6)=0,NA(),GETPIVOTDATA(_xlfn.VALUETOTEXT($A$4),'PREFILL-PIVOT'!$A$3,_xlfn.VALUETOTEXT($A$6),$A66,"Experiment",M$5,"date",M$6))</f>
        <v>#REF!</v>
      </c>
    </row>
    <row r="67" spans="1:13" x14ac:dyDescent="0.25">
      <c r="A67" s="222" t="e">
        <f>IF('PREFILL-PIVOT'!A65=0,NA(),'PREFILL-PIVOT'!A65)</f>
        <v>#N/A</v>
      </c>
      <c r="B67" t="e">
        <f>IF(GETPIVOTDATA(_xlfn.VALUETOTEXT($A$4),'PREFILL-PIVOT'!$A$3,_xlfn.VALUETOTEXT($A$6),$A67,"Experiment",B$5,"date",B$6)=0,NA(),GETPIVOTDATA(_xlfn.VALUETOTEXT($A$4),'PREFILL-PIVOT'!$A$3,_xlfn.VALUETOTEXT($A$6),$A67,"Experiment",B$5,"date",B$6))</f>
        <v>#REF!</v>
      </c>
      <c r="C67" t="e">
        <f>IF(GETPIVOTDATA(_xlfn.VALUETOTEXT($A$4),'PREFILL-PIVOT'!$A$3,_xlfn.VALUETOTEXT($A$6),$A67,"Experiment",C$5,"date",C$6)=0,NA(),GETPIVOTDATA(_xlfn.VALUETOTEXT($A$4),'PREFILL-PIVOT'!$A$3,_xlfn.VALUETOTEXT($A$6),$A67,"Experiment",C$5,"date",C$6))</f>
        <v>#REF!</v>
      </c>
      <c r="D67" t="e">
        <f>IF(GETPIVOTDATA(_xlfn.VALUETOTEXT($A$4),'PREFILL-PIVOT'!$A$3,_xlfn.VALUETOTEXT($A$6),$A67,"Experiment",D$5,"date",D$6)=0,NA(),GETPIVOTDATA(_xlfn.VALUETOTEXT($A$4),'PREFILL-PIVOT'!$A$3,_xlfn.VALUETOTEXT($A$6),$A67,"Experiment",D$5,"date",D$6))</f>
        <v>#REF!</v>
      </c>
      <c r="E67" t="e">
        <f>IF(GETPIVOTDATA(_xlfn.VALUETOTEXT($A$4),'PREFILL-PIVOT'!$A$3,_xlfn.VALUETOTEXT($A$6),$A67,"Experiment",E$5,"date",E$6)=0,NA(),GETPIVOTDATA(_xlfn.VALUETOTEXT($A$4),'PREFILL-PIVOT'!$A$3,_xlfn.VALUETOTEXT($A$6),$A67,"Experiment",E$5,"date",E$6))</f>
        <v>#REF!</v>
      </c>
      <c r="F67" t="e">
        <f>IF(GETPIVOTDATA(_xlfn.VALUETOTEXT($A$4),'PREFILL-PIVOT'!$A$3,_xlfn.VALUETOTEXT($A$6),$A67,"Experiment",F$5,"date",F$6)=0,NA(),GETPIVOTDATA(_xlfn.VALUETOTEXT($A$4),'PREFILL-PIVOT'!$A$3,_xlfn.VALUETOTEXT($A$6),$A67,"Experiment",F$5,"date",F$6))</f>
        <v>#REF!</v>
      </c>
      <c r="G67" t="e">
        <f>IF(GETPIVOTDATA(_xlfn.VALUETOTEXT($A$4),'PREFILL-PIVOT'!$A$3,_xlfn.VALUETOTEXT($A$6),$A67,"Experiment",G$5,"date",G$6)=0,NA(),GETPIVOTDATA(_xlfn.VALUETOTEXT($A$4),'PREFILL-PIVOT'!$A$3,_xlfn.VALUETOTEXT($A$6),$A67,"Experiment",G$5,"date",G$6))</f>
        <v>#REF!</v>
      </c>
      <c r="H67" t="e">
        <f>IF(GETPIVOTDATA(_xlfn.VALUETOTEXT($A$4),'PREFILL-PIVOT'!$A$3,_xlfn.VALUETOTEXT($A$6),$A67,"Experiment",H$5,"date",H$6)=0,NA(),GETPIVOTDATA(_xlfn.VALUETOTEXT($A$4),'PREFILL-PIVOT'!$A$3,_xlfn.VALUETOTEXT($A$6),$A67,"Experiment",H$5,"date",H$6))</f>
        <v>#REF!</v>
      </c>
      <c r="I67" t="e">
        <f>IF(GETPIVOTDATA(_xlfn.VALUETOTEXT($A$4),'PREFILL-PIVOT'!$A$3,_xlfn.VALUETOTEXT($A$6),$A67,"Experiment",I$5,"date",I$6)=0,NA(),GETPIVOTDATA(_xlfn.VALUETOTEXT($A$4),'PREFILL-PIVOT'!$A$3,_xlfn.VALUETOTEXT($A$6),$A67,"Experiment",I$5,"date",I$6))</f>
        <v>#REF!</v>
      </c>
      <c r="J67" t="e">
        <f>IF(GETPIVOTDATA(_xlfn.VALUETOTEXT($A$4),'PREFILL-PIVOT'!$A$3,_xlfn.VALUETOTEXT($A$6),$A67,"Experiment",J$5,"date",J$6)=0,NA(),GETPIVOTDATA(_xlfn.VALUETOTEXT($A$4),'PREFILL-PIVOT'!$A$3,_xlfn.VALUETOTEXT($A$6),$A67,"Experiment",J$5,"date",J$6))</f>
        <v>#REF!</v>
      </c>
      <c r="K67" t="e">
        <f>IF(GETPIVOTDATA(_xlfn.VALUETOTEXT($A$4),'PREFILL-PIVOT'!$A$3,_xlfn.VALUETOTEXT($A$6),$A67,"Experiment",K$5,"date",K$6)=0,NA(),GETPIVOTDATA(_xlfn.VALUETOTEXT($A$4),'PREFILL-PIVOT'!$A$3,_xlfn.VALUETOTEXT($A$6),$A67,"Experiment",K$5,"date",K$6))</f>
        <v>#REF!</v>
      </c>
      <c r="L67" t="e">
        <f>IF(GETPIVOTDATA(_xlfn.VALUETOTEXT($A$4),'PREFILL-PIVOT'!$A$3,_xlfn.VALUETOTEXT($A$6),$A67,"Experiment",L$5,"date",L$6)=0,NA(),GETPIVOTDATA(_xlfn.VALUETOTEXT($A$4),'PREFILL-PIVOT'!$A$3,_xlfn.VALUETOTEXT($A$6),$A67,"Experiment",L$5,"date",L$6))</f>
        <v>#REF!</v>
      </c>
      <c r="M67" t="e">
        <f>IF(GETPIVOTDATA(_xlfn.VALUETOTEXT($A$4),'PREFILL-PIVOT'!$A$3,_xlfn.VALUETOTEXT($A$6),$A67,"Experiment",M$5,"date",M$6)=0,NA(),GETPIVOTDATA(_xlfn.VALUETOTEXT($A$4),'PREFILL-PIVOT'!$A$3,_xlfn.VALUETOTEXT($A$6),$A67,"Experiment",M$5,"date",M$6))</f>
        <v>#REF!</v>
      </c>
    </row>
    <row r="68" spans="1:13" x14ac:dyDescent="0.25">
      <c r="A68" s="222" t="e">
        <f>IF('PREFILL-PIVOT'!A66=0,NA(),'PREFILL-PIVOT'!A66)</f>
        <v>#N/A</v>
      </c>
      <c r="B68" t="e">
        <f>IF(GETPIVOTDATA(_xlfn.VALUETOTEXT($A$4),'PREFILL-PIVOT'!$A$3,_xlfn.VALUETOTEXT($A$6),$A68,"Experiment",B$5,"date",B$6)=0,NA(),GETPIVOTDATA(_xlfn.VALUETOTEXT($A$4),'PREFILL-PIVOT'!$A$3,_xlfn.VALUETOTEXT($A$6),$A68,"Experiment",B$5,"date",B$6))</f>
        <v>#REF!</v>
      </c>
      <c r="C68" t="e">
        <f>IF(GETPIVOTDATA(_xlfn.VALUETOTEXT($A$4),'PREFILL-PIVOT'!$A$3,_xlfn.VALUETOTEXT($A$6),$A68,"Experiment",C$5,"date",C$6)=0,NA(),GETPIVOTDATA(_xlfn.VALUETOTEXT($A$4),'PREFILL-PIVOT'!$A$3,_xlfn.VALUETOTEXT($A$6),$A68,"Experiment",C$5,"date",C$6))</f>
        <v>#REF!</v>
      </c>
      <c r="D68" t="e">
        <f>IF(GETPIVOTDATA(_xlfn.VALUETOTEXT($A$4),'PREFILL-PIVOT'!$A$3,_xlfn.VALUETOTEXT($A$6),$A68,"Experiment",D$5,"date",D$6)=0,NA(),GETPIVOTDATA(_xlfn.VALUETOTEXT($A$4),'PREFILL-PIVOT'!$A$3,_xlfn.VALUETOTEXT($A$6),$A68,"Experiment",D$5,"date",D$6))</f>
        <v>#REF!</v>
      </c>
      <c r="E68" t="e">
        <f>IF(GETPIVOTDATA(_xlfn.VALUETOTEXT($A$4),'PREFILL-PIVOT'!$A$3,_xlfn.VALUETOTEXT($A$6),$A68,"Experiment",E$5,"date",E$6)=0,NA(),GETPIVOTDATA(_xlfn.VALUETOTEXT($A$4),'PREFILL-PIVOT'!$A$3,_xlfn.VALUETOTEXT($A$6),$A68,"Experiment",E$5,"date",E$6))</f>
        <v>#REF!</v>
      </c>
      <c r="F68" t="e">
        <f>IF(GETPIVOTDATA(_xlfn.VALUETOTEXT($A$4),'PREFILL-PIVOT'!$A$3,_xlfn.VALUETOTEXT($A$6),$A68,"Experiment",F$5,"date",F$6)=0,NA(),GETPIVOTDATA(_xlfn.VALUETOTEXT($A$4),'PREFILL-PIVOT'!$A$3,_xlfn.VALUETOTEXT($A$6),$A68,"Experiment",F$5,"date",F$6))</f>
        <v>#REF!</v>
      </c>
      <c r="G68" t="e">
        <f>IF(GETPIVOTDATA(_xlfn.VALUETOTEXT($A$4),'PREFILL-PIVOT'!$A$3,_xlfn.VALUETOTEXT($A$6),$A68,"Experiment",G$5,"date",G$6)=0,NA(),GETPIVOTDATA(_xlfn.VALUETOTEXT($A$4),'PREFILL-PIVOT'!$A$3,_xlfn.VALUETOTEXT($A$6),$A68,"Experiment",G$5,"date",G$6))</f>
        <v>#REF!</v>
      </c>
      <c r="H68" t="e">
        <f>IF(GETPIVOTDATA(_xlfn.VALUETOTEXT($A$4),'PREFILL-PIVOT'!$A$3,_xlfn.VALUETOTEXT($A$6),$A68,"Experiment",H$5,"date",H$6)=0,NA(),GETPIVOTDATA(_xlfn.VALUETOTEXT($A$4),'PREFILL-PIVOT'!$A$3,_xlfn.VALUETOTEXT($A$6),$A68,"Experiment",H$5,"date",H$6))</f>
        <v>#REF!</v>
      </c>
      <c r="I68" t="e">
        <f>IF(GETPIVOTDATA(_xlfn.VALUETOTEXT($A$4),'PREFILL-PIVOT'!$A$3,_xlfn.VALUETOTEXT($A$6),$A68,"Experiment",I$5,"date",I$6)=0,NA(),GETPIVOTDATA(_xlfn.VALUETOTEXT($A$4),'PREFILL-PIVOT'!$A$3,_xlfn.VALUETOTEXT($A$6),$A68,"Experiment",I$5,"date",I$6))</f>
        <v>#REF!</v>
      </c>
      <c r="J68" t="e">
        <f>IF(GETPIVOTDATA(_xlfn.VALUETOTEXT($A$4),'PREFILL-PIVOT'!$A$3,_xlfn.VALUETOTEXT($A$6),$A68,"Experiment",J$5,"date",J$6)=0,NA(),GETPIVOTDATA(_xlfn.VALUETOTEXT($A$4),'PREFILL-PIVOT'!$A$3,_xlfn.VALUETOTEXT($A$6),$A68,"Experiment",J$5,"date",J$6))</f>
        <v>#REF!</v>
      </c>
      <c r="K68" t="e">
        <f>IF(GETPIVOTDATA(_xlfn.VALUETOTEXT($A$4),'PREFILL-PIVOT'!$A$3,_xlfn.VALUETOTEXT($A$6),$A68,"Experiment",K$5,"date",K$6)=0,NA(),GETPIVOTDATA(_xlfn.VALUETOTEXT($A$4),'PREFILL-PIVOT'!$A$3,_xlfn.VALUETOTEXT($A$6),$A68,"Experiment",K$5,"date",K$6))</f>
        <v>#REF!</v>
      </c>
      <c r="L68" t="e">
        <f>IF(GETPIVOTDATA(_xlfn.VALUETOTEXT($A$4),'PREFILL-PIVOT'!$A$3,_xlfn.VALUETOTEXT($A$6),$A68,"Experiment",L$5,"date",L$6)=0,NA(),GETPIVOTDATA(_xlfn.VALUETOTEXT($A$4),'PREFILL-PIVOT'!$A$3,_xlfn.VALUETOTEXT($A$6),$A68,"Experiment",L$5,"date",L$6))</f>
        <v>#REF!</v>
      </c>
      <c r="M68" t="e">
        <f>IF(GETPIVOTDATA(_xlfn.VALUETOTEXT($A$4),'PREFILL-PIVOT'!$A$3,_xlfn.VALUETOTEXT($A$6),$A68,"Experiment",M$5,"date",M$6)=0,NA(),GETPIVOTDATA(_xlfn.VALUETOTEXT($A$4),'PREFILL-PIVOT'!$A$3,_xlfn.VALUETOTEXT($A$6),$A68,"Experiment",M$5,"date",M$6))</f>
        <v>#REF!</v>
      </c>
    </row>
    <row r="69" spans="1:13" x14ac:dyDescent="0.25">
      <c r="A69" s="222" t="e">
        <f>IF('PREFILL-PIVOT'!A67=0,NA(),'PREFILL-PIVOT'!A67)</f>
        <v>#N/A</v>
      </c>
      <c r="B69" t="e">
        <f>IF(GETPIVOTDATA(_xlfn.VALUETOTEXT($A$4),'PREFILL-PIVOT'!$A$3,_xlfn.VALUETOTEXT($A$6),$A69,"Experiment",B$5,"date",B$6)=0,NA(),GETPIVOTDATA(_xlfn.VALUETOTEXT($A$4),'PREFILL-PIVOT'!$A$3,_xlfn.VALUETOTEXT($A$6),$A69,"Experiment",B$5,"date",B$6))</f>
        <v>#REF!</v>
      </c>
      <c r="C69" t="e">
        <f>IF(GETPIVOTDATA(_xlfn.VALUETOTEXT($A$4),'PREFILL-PIVOT'!$A$3,_xlfn.VALUETOTEXT($A$6),$A69,"Experiment",C$5,"date",C$6)=0,NA(),GETPIVOTDATA(_xlfn.VALUETOTEXT($A$4),'PREFILL-PIVOT'!$A$3,_xlfn.VALUETOTEXT($A$6),$A69,"Experiment",C$5,"date",C$6))</f>
        <v>#REF!</v>
      </c>
      <c r="D69" t="e">
        <f>IF(GETPIVOTDATA(_xlfn.VALUETOTEXT($A$4),'PREFILL-PIVOT'!$A$3,_xlfn.VALUETOTEXT($A$6),$A69,"Experiment",D$5,"date",D$6)=0,NA(),GETPIVOTDATA(_xlfn.VALUETOTEXT($A$4),'PREFILL-PIVOT'!$A$3,_xlfn.VALUETOTEXT($A$6),$A69,"Experiment",D$5,"date",D$6))</f>
        <v>#REF!</v>
      </c>
      <c r="E69" t="e">
        <f>IF(GETPIVOTDATA(_xlfn.VALUETOTEXT($A$4),'PREFILL-PIVOT'!$A$3,_xlfn.VALUETOTEXT($A$6),$A69,"Experiment",E$5,"date",E$6)=0,NA(),GETPIVOTDATA(_xlfn.VALUETOTEXT($A$4),'PREFILL-PIVOT'!$A$3,_xlfn.VALUETOTEXT($A$6),$A69,"Experiment",E$5,"date",E$6))</f>
        <v>#REF!</v>
      </c>
      <c r="F69" t="e">
        <f>IF(GETPIVOTDATA(_xlfn.VALUETOTEXT($A$4),'PREFILL-PIVOT'!$A$3,_xlfn.VALUETOTEXT($A$6),$A69,"Experiment",F$5,"date",F$6)=0,NA(),GETPIVOTDATA(_xlfn.VALUETOTEXT($A$4),'PREFILL-PIVOT'!$A$3,_xlfn.VALUETOTEXT($A$6),$A69,"Experiment",F$5,"date",F$6))</f>
        <v>#REF!</v>
      </c>
      <c r="G69" t="e">
        <f>IF(GETPIVOTDATA(_xlfn.VALUETOTEXT($A$4),'PREFILL-PIVOT'!$A$3,_xlfn.VALUETOTEXT($A$6),$A69,"Experiment",G$5,"date",G$6)=0,NA(),GETPIVOTDATA(_xlfn.VALUETOTEXT($A$4),'PREFILL-PIVOT'!$A$3,_xlfn.VALUETOTEXT($A$6),$A69,"Experiment",G$5,"date",G$6))</f>
        <v>#REF!</v>
      </c>
      <c r="H69" t="e">
        <f>IF(GETPIVOTDATA(_xlfn.VALUETOTEXT($A$4),'PREFILL-PIVOT'!$A$3,_xlfn.VALUETOTEXT($A$6),$A69,"Experiment",H$5,"date",H$6)=0,NA(),GETPIVOTDATA(_xlfn.VALUETOTEXT($A$4),'PREFILL-PIVOT'!$A$3,_xlfn.VALUETOTEXT($A$6),$A69,"Experiment",H$5,"date",H$6))</f>
        <v>#REF!</v>
      </c>
      <c r="I69" t="e">
        <f>IF(GETPIVOTDATA(_xlfn.VALUETOTEXT($A$4),'PREFILL-PIVOT'!$A$3,_xlfn.VALUETOTEXT($A$6),$A69,"Experiment",I$5,"date",I$6)=0,NA(),GETPIVOTDATA(_xlfn.VALUETOTEXT($A$4),'PREFILL-PIVOT'!$A$3,_xlfn.VALUETOTEXT($A$6),$A69,"Experiment",I$5,"date",I$6))</f>
        <v>#REF!</v>
      </c>
      <c r="J69" t="e">
        <f>IF(GETPIVOTDATA(_xlfn.VALUETOTEXT($A$4),'PREFILL-PIVOT'!$A$3,_xlfn.VALUETOTEXT($A$6),$A69,"Experiment",J$5,"date",J$6)=0,NA(),GETPIVOTDATA(_xlfn.VALUETOTEXT($A$4),'PREFILL-PIVOT'!$A$3,_xlfn.VALUETOTEXT($A$6),$A69,"Experiment",J$5,"date",J$6))</f>
        <v>#REF!</v>
      </c>
      <c r="K69" t="e">
        <f>IF(GETPIVOTDATA(_xlfn.VALUETOTEXT($A$4),'PREFILL-PIVOT'!$A$3,_xlfn.VALUETOTEXT($A$6),$A69,"Experiment",K$5,"date",K$6)=0,NA(),GETPIVOTDATA(_xlfn.VALUETOTEXT($A$4),'PREFILL-PIVOT'!$A$3,_xlfn.VALUETOTEXT($A$6),$A69,"Experiment",K$5,"date",K$6))</f>
        <v>#REF!</v>
      </c>
      <c r="L69" t="e">
        <f>IF(GETPIVOTDATA(_xlfn.VALUETOTEXT($A$4),'PREFILL-PIVOT'!$A$3,_xlfn.VALUETOTEXT($A$6),$A69,"Experiment",L$5,"date",L$6)=0,NA(),GETPIVOTDATA(_xlfn.VALUETOTEXT($A$4),'PREFILL-PIVOT'!$A$3,_xlfn.VALUETOTEXT($A$6),$A69,"Experiment",L$5,"date",L$6))</f>
        <v>#REF!</v>
      </c>
      <c r="M69" t="e">
        <f>IF(GETPIVOTDATA(_xlfn.VALUETOTEXT($A$4),'PREFILL-PIVOT'!$A$3,_xlfn.VALUETOTEXT($A$6),$A69,"Experiment",M$5,"date",M$6)=0,NA(),GETPIVOTDATA(_xlfn.VALUETOTEXT($A$4),'PREFILL-PIVOT'!$A$3,_xlfn.VALUETOTEXT($A$6),$A69,"Experiment",M$5,"date",M$6))</f>
        <v>#REF!</v>
      </c>
    </row>
    <row r="70" spans="1:13" x14ac:dyDescent="0.25">
      <c r="A70" s="222" t="e">
        <f>IF('PREFILL-PIVOT'!A68=0,NA(),'PREFILL-PIVOT'!A68)</f>
        <v>#N/A</v>
      </c>
      <c r="B70" t="e">
        <f>IF(GETPIVOTDATA(_xlfn.VALUETOTEXT($A$4),'PREFILL-PIVOT'!$A$3,_xlfn.VALUETOTEXT($A$6),$A70,"Experiment",B$5,"date",B$6)=0,NA(),GETPIVOTDATA(_xlfn.VALUETOTEXT($A$4),'PREFILL-PIVOT'!$A$3,_xlfn.VALUETOTEXT($A$6),$A70,"Experiment",B$5,"date",B$6))</f>
        <v>#REF!</v>
      </c>
      <c r="C70" t="e">
        <f>IF(GETPIVOTDATA(_xlfn.VALUETOTEXT($A$4),'PREFILL-PIVOT'!$A$3,_xlfn.VALUETOTEXT($A$6),$A70,"Experiment",C$5,"date",C$6)=0,NA(),GETPIVOTDATA(_xlfn.VALUETOTEXT($A$4),'PREFILL-PIVOT'!$A$3,_xlfn.VALUETOTEXT($A$6),$A70,"Experiment",C$5,"date",C$6))</f>
        <v>#REF!</v>
      </c>
      <c r="D70" t="e">
        <f>IF(GETPIVOTDATA(_xlfn.VALUETOTEXT($A$4),'PREFILL-PIVOT'!$A$3,_xlfn.VALUETOTEXT($A$6),$A70,"Experiment",D$5,"date",D$6)=0,NA(),GETPIVOTDATA(_xlfn.VALUETOTEXT($A$4),'PREFILL-PIVOT'!$A$3,_xlfn.VALUETOTEXT($A$6),$A70,"Experiment",D$5,"date",D$6))</f>
        <v>#REF!</v>
      </c>
      <c r="E70" t="e">
        <f>IF(GETPIVOTDATA(_xlfn.VALUETOTEXT($A$4),'PREFILL-PIVOT'!$A$3,_xlfn.VALUETOTEXT($A$6),$A70,"Experiment",E$5,"date",E$6)=0,NA(),GETPIVOTDATA(_xlfn.VALUETOTEXT($A$4),'PREFILL-PIVOT'!$A$3,_xlfn.VALUETOTEXT($A$6),$A70,"Experiment",E$5,"date",E$6))</f>
        <v>#REF!</v>
      </c>
      <c r="F70" t="e">
        <f>IF(GETPIVOTDATA(_xlfn.VALUETOTEXT($A$4),'PREFILL-PIVOT'!$A$3,_xlfn.VALUETOTEXT($A$6),$A70,"Experiment",F$5,"date",F$6)=0,NA(),GETPIVOTDATA(_xlfn.VALUETOTEXT($A$4),'PREFILL-PIVOT'!$A$3,_xlfn.VALUETOTEXT($A$6),$A70,"Experiment",F$5,"date",F$6))</f>
        <v>#REF!</v>
      </c>
      <c r="G70" t="e">
        <f>IF(GETPIVOTDATA(_xlfn.VALUETOTEXT($A$4),'PREFILL-PIVOT'!$A$3,_xlfn.VALUETOTEXT($A$6),$A70,"Experiment",G$5,"date",G$6)=0,NA(),GETPIVOTDATA(_xlfn.VALUETOTEXT($A$4),'PREFILL-PIVOT'!$A$3,_xlfn.VALUETOTEXT($A$6),$A70,"Experiment",G$5,"date",G$6))</f>
        <v>#REF!</v>
      </c>
      <c r="H70" t="e">
        <f>IF(GETPIVOTDATA(_xlfn.VALUETOTEXT($A$4),'PREFILL-PIVOT'!$A$3,_xlfn.VALUETOTEXT($A$6),$A70,"Experiment",H$5,"date",H$6)=0,NA(),GETPIVOTDATA(_xlfn.VALUETOTEXT($A$4),'PREFILL-PIVOT'!$A$3,_xlfn.VALUETOTEXT($A$6),$A70,"Experiment",H$5,"date",H$6))</f>
        <v>#REF!</v>
      </c>
      <c r="I70" t="e">
        <f>IF(GETPIVOTDATA(_xlfn.VALUETOTEXT($A$4),'PREFILL-PIVOT'!$A$3,_xlfn.VALUETOTEXT($A$6),$A70,"Experiment",I$5,"date",I$6)=0,NA(),GETPIVOTDATA(_xlfn.VALUETOTEXT($A$4),'PREFILL-PIVOT'!$A$3,_xlfn.VALUETOTEXT($A$6),$A70,"Experiment",I$5,"date",I$6))</f>
        <v>#REF!</v>
      </c>
      <c r="J70" t="e">
        <f>IF(GETPIVOTDATA(_xlfn.VALUETOTEXT($A$4),'PREFILL-PIVOT'!$A$3,_xlfn.VALUETOTEXT($A$6),$A70,"Experiment",J$5,"date",J$6)=0,NA(),GETPIVOTDATA(_xlfn.VALUETOTEXT($A$4),'PREFILL-PIVOT'!$A$3,_xlfn.VALUETOTEXT($A$6),$A70,"Experiment",J$5,"date",J$6))</f>
        <v>#REF!</v>
      </c>
      <c r="K70" t="e">
        <f>IF(GETPIVOTDATA(_xlfn.VALUETOTEXT($A$4),'PREFILL-PIVOT'!$A$3,_xlfn.VALUETOTEXT($A$6),$A70,"Experiment",K$5,"date",K$6)=0,NA(),GETPIVOTDATA(_xlfn.VALUETOTEXT($A$4),'PREFILL-PIVOT'!$A$3,_xlfn.VALUETOTEXT($A$6),$A70,"Experiment",K$5,"date",K$6))</f>
        <v>#REF!</v>
      </c>
      <c r="L70" t="e">
        <f>IF(GETPIVOTDATA(_xlfn.VALUETOTEXT($A$4),'PREFILL-PIVOT'!$A$3,_xlfn.VALUETOTEXT($A$6),$A70,"Experiment",L$5,"date",L$6)=0,NA(),GETPIVOTDATA(_xlfn.VALUETOTEXT($A$4),'PREFILL-PIVOT'!$A$3,_xlfn.VALUETOTEXT($A$6),$A70,"Experiment",L$5,"date",L$6))</f>
        <v>#REF!</v>
      </c>
      <c r="M70" t="e">
        <f>IF(GETPIVOTDATA(_xlfn.VALUETOTEXT($A$4),'PREFILL-PIVOT'!$A$3,_xlfn.VALUETOTEXT($A$6),$A70,"Experiment",M$5,"date",M$6)=0,NA(),GETPIVOTDATA(_xlfn.VALUETOTEXT($A$4),'PREFILL-PIVOT'!$A$3,_xlfn.VALUETOTEXT($A$6),$A70,"Experiment",M$5,"date",M$6))</f>
        <v>#REF!</v>
      </c>
    </row>
    <row r="71" spans="1:13" x14ac:dyDescent="0.25">
      <c r="A71" s="222" t="e">
        <f>IF('PREFILL-PIVOT'!A69=0,NA(),'PREFILL-PIVOT'!A69)</f>
        <v>#N/A</v>
      </c>
      <c r="B71" t="e">
        <f>IF(GETPIVOTDATA(_xlfn.VALUETOTEXT($A$4),'PREFILL-PIVOT'!$A$3,_xlfn.VALUETOTEXT($A$6),$A71,"Experiment",B$5,"date",B$6)=0,NA(),GETPIVOTDATA(_xlfn.VALUETOTEXT($A$4),'PREFILL-PIVOT'!$A$3,_xlfn.VALUETOTEXT($A$6),$A71,"Experiment",B$5,"date",B$6))</f>
        <v>#REF!</v>
      </c>
      <c r="C71" t="e">
        <f>IF(GETPIVOTDATA(_xlfn.VALUETOTEXT($A$4),'PREFILL-PIVOT'!$A$3,_xlfn.VALUETOTEXT($A$6),$A71,"Experiment",C$5,"date",C$6)=0,NA(),GETPIVOTDATA(_xlfn.VALUETOTEXT($A$4),'PREFILL-PIVOT'!$A$3,_xlfn.VALUETOTEXT($A$6),$A71,"Experiment",C$5,"date",C$6))</f>
        <v>#REF!</v>
      </c>
      <c r="D71" t="e">
        <f>IF(GETPIVOTDATA(_xlfn.VALUETOTEXT($A$4),'PREFILL-PIVOT'!$A$3,_xlfn.VALUETOTEXT($A$6),$A71,"Experiment",D$5,"date",D$6)=0,NA(),GETPIVOTDATA(_xlfn.VALUETOTEXT($A$4),'PREFILL-PIVOT'!$A$3,_xlfn.VALUETOTEXT($A$6),$A71,"Experiment",D$5,"date",D$6))</f>
        <v>#REF!</v>
      </c>
      <c r="E71" t="e">
        <f>IF(GETPIVOTDATA(_xlfn.VALUETOTEXT($A$4),'PREFILL-PIVOT'!$A$3,_xlfn.VALUETOTEXT($A$6),$A71,"Experiment",E$5,"date",E$6)=0,NA(),GETPIVOTDATA(_xlfn.VALUETOTEXT($A$4),'PREFILL-PIVOT'!$A$3,_xlfn.VALUETOTEXT($A$6),$A71,"Experiment",E$5,"date",E$6))</f>
        <v>#REF!</v>
      </c>
      <c r="F71" t="e">
        <f>IF(GETPIVOTDATA(_xlfn.VALUETOTEXT($A$4),'PREFILL-PIVOT'!$A$3,_xlfn.VALUETOTEXT($A$6),$A71,"Experiment",F$5,"date",F$6)=0,NA(),GETPIVOTDATA(_xlfn.VALUETOTEXT($A$4),'PREFILL-PIVOT'!$A$3,_xlfn.VALUETOTEXT($A$6),$A71,"Experiment",F$5,"date",F$6))</f>
        <v>#REF!</v>
      </c>
      <c r="G71" t="e">
        <f>IF(GETPIVOTDATA(_xlfn.VALUETOTEXT($A$4),'PREFILL-PIVOT'!$A$3,_xlfn.VALUETOTEXT($A$6),$A71,"Experiment",G$5,"date",G$6)=0,NA(),GETPIVOTDATA(_xlfn.VALUETOTEXT($A$4),'PREFILL-PIVOT'!$A$3,_xlfn.VALUETOTEXT($A$6),$A71,"Experiment",G$5,"date",G$6))</f>
        <v>#REF!</v>
      </c>
      <c r="H71" t="e">
        <f>IF(GETPIVOTDATA(_xlfn.VALUETOTEXT($A$4),'PREFILL-PIVOT'!$A$3,_xlfn.VALUETOTEXT($A$6),$A71,"Experiment",H$5,"date",H$6)=0,NA(),GETPIVOTDATA(_xlfn.VALUETOTEXT($A$4),'PREFILL-PIVOT'!$A$3,_xlfn.VALUETOTEXT($A$6),$A71,"Experiment",H$5,"date",H$6))</f>
        <v>#REF!</v>
      </c>
      <c r="I71" t="e">
        <f>IF(GETPIVOTDATA(_xlfn.VALUETOTEXT($A$4),'PREFILL-PIVOT'!$A$3,_xlfn.VALUETOTEXT($A$6),$A71,"Experiment",I$5,"date",I$6)=0,NA(),GETPIVOTDATA(_xlfn.VALUETOTEXT($A$4),'PREFILL-PIVOT'!$A$3,_xlfn.VALUETOTEXT($A$6),$A71,"Experiment",I$5,"date",I$6))</f>
        <v>#REF!</v>
      </c>
      <c r="J71" t="e">
        <f>IF(GETPIVOTDATA(_xlfn.VALUETOTEXT($A$4),'PREFILL-PIVOT'!$A$3,_xlfn.VALUETOTEXT($A$6),$A71,"Experiment",J$5,"date",J$6)=0,NA(),GETPIVOTDATA(_xlfn.VALUETOTEXT($A$4),'PREFILL-PIVOT'!$A$3,_xlfn.VALUETOTEXT($A$6),$A71,"Experiment",J$5,"date",J$6))</f>
        <v>#REF!</v>
      </c>
      <c r="K71" t="e">
        <f>IF(GETPIVOTDATA(_xlfn.VALUETOTEXT($A$4),'PREFILL-PIVOT'!$A$3,_xlfn.VALUETOTEXT($A$6),$A71,"Experiment",K$5,"date",K$6)=0,NA(),GETPIVOTDATA(_xlfn.VALUETOTEXT($A$4),'PREFILL-PIVOT'!$A$3,_xlfn.VALUETOTEXT($A$6),$A71,"Experiment",K$5,"date",K$6))</f>
        <v>#REF!</v>
      </c>
      <c r="L71" t="e">
        <f>IF(GETPIVOTDATA(_xlfn.VALUETOTEXT($A$4),'PREFILL-PIVOT'!$A$3,_xlfn.VALUETOTEXT($A$6),$A71,"Experiment",L$5,"date",L$6)=0,NA(),GETPIVOTDATA(_xlfn.VALUETOTEXT($A$4),'PREFILL-PIVOT'!$A$3,_xlfn.VALUETOTEXT($A$6),$A71,"Experiment",L$5,"date",L$6))</f>
        <v>#REF!</v>
      </c>
      <c r="M71" t="e">
        <f>IF(GETPIVOTDATA(_xlfn.VALUETOTEXT($A$4),'PREFILL-PIVOT'!$A$3,_xlfn.VALUETOTEXT($A$6),$A71,"Experiment",M$5,"date",M$6)=0,NA(),GETPIVOTDATA(_xlfn.VALUETOTEXT($A$4),'PREFILL-PIVOT'!$A$3,_xlfn.VALUETOTEXT($A$6),$A71,"Experiment",M$5,"date",M$6))</f>
        <v>#REF!</v>
      </c>
    </row>
    <row r="72" spans="1:13" x14ac:dyDescent="0.25">
      <c r="A72" s="222" t="e">
        <f>IF('PREFILL-PIVOT'!A70=0,NA(),'PREFILL-PIVOT'!A70)</f>
        <v>#N/A</v>
      </c>
      <c r="B72" t="e">
        <f>IF(GETPIVOTDATA(_xlfn.VALUETOTEXT($A$4),'PREFILL-PIVOT'!$A$3,_xlfn.VALUETOTEXT($A$6),$A72,"Experiment",B$5,"date",B$6)=0,NA(),GETPIVOTDATA(_xlfn.VALUETOTEXT($A$4),'PREFILL-PIVOT'!$A$3,_xlfn.VALUETOTEXT($A$6),$A72,"Experiment",B$5,"date",B$6))</f>
        <v>#REF!</v>
      </c>
      <c r="C72" t="e">
        <f>IF(GETPIVOTDATA(_xlfn.VALUETOTEXT($A$4),'PREFILL-PIVOT'!$A$3,_xlfn.VALUETOTEXT($A$6),$A72,"Experiment",C$5,"date",C$6)=0,NA(),GETPIVOTDATA(_xlfn.VALUETOTEXT($A$4),'PREFILL-PIVOT'!$A$3,_xlfn.VALUETOTEXT($A$6),$A72,"Experiment",C$5,"date",C$6))</f>
        <v>#REF!</v>
      </c>
      <c r="D72" t="e">
        <f>IF(GETPIVOTDATA(_xlfn.VALUETOTEXT($A$4),'PREFILL-PIVOT'!$A$3,_xlfn.VALUETOTEXT($A$6),$A72,"Experiment",D$5,"date",D$6)=0,NA(),GETPIVOTDATA(_xlfn.VALUETOTEXT($A$4),'PREFILL-PIVOT'!$A$3,_xlfn.VALUETOTEXT($A$6),$A72,"Experiment",D$5,"date",D$6))</f>
        <v>#REF!</v>
      </c>
      <c r="E72" t="e">
        <f>IF(GETPIVOTDATA(_xlfn.VALUETOTEXT($A$4),'PREFILL-PIVOT'!$A$3,_xlfn.VALUETOTEXT($A$6),$A72,"Experiment",E$5,"date",E$6)=0,NA(),GETPIVOTDATA(_xlfn.VALUETOTEXT($A$4),'PREFILL-PIVOT'!$A$3,_xlfn.VALUETOTEXT($A$6),$A72,"Experiment",E$5,"date",E$6))</f>
        <v>#REF!</v>
      </c>
      <c r="F72" t="e">
        <f>IF(GETPIVOTDATA(_xlfn.VALUETOTEXT($A$4),'PREFILL-PIVOT'!$A$3,_xlfn.VALUETOTEXT($A$6),$A72,"Experiment",F$5,"date",F$6)=0,NA(),GETPIVOTDATA(_xlfn.VALUETOTEXT($A$4),'PREFILL-PIVOT'!$A$3,_xlfn.VALUETOTEXT($A$6),$A72,"Experiment",F$5,"date",F$6))</f>
        <v>#REF!</v>
      </c>
      <c r="G72" t="e">
        <f>IF(GETPIVOTDATA(_xlfn.VALUETOTEXT($A$4),'PREFILL-PIVOT'!$A$3,_xlfn.VALUETOTEXT($A$6),$A72,"Experiment",G$5,"date",G$6)=0,NA(),GETPIVOTDATA(_xlfn.VALUETOTEXT($A$4),'PREFILL-PIVOT'!$A$3,_xlfn.VALUETOTEXT($A$6),$A72,"Experiment",G$5,"date",G$6))</f>
        <v>#REF!</v>
      </c>
      <c r="H72" t="e">
        <f>IF(GETPIVOTDATA(_xlfn.VALUETOTEXT($A$4),'PREFILL-PIVOT'!$A$3,_xlfn.VALUETOTEXT($A$6),$A72,"Experiment",H$5,"date",H$6)=0,NA(),GETPIVOTDATA(_xlfn.VALUETOTEXT($A$4),'PREFILL-PIVOT'!$A$3,_xlfn.VALUETOTEXT($A$6),$A72,"Experiment",H$5,"date",H$6))</f>
        <v>#REF!</v>
      </c>
      <c r="I72" t="e">
        <f>IF(GETPIVOTDATA(_xlfn.VALUETOTEXT($A$4),'PREFILL-PIVOT'!$A$3,_xlfn.VALUETOTEXT($A$6),$A72,"Experiment",I$5,"date",I$6)=0,NA(),GETPIVOTDATA(_xlfn.VALUETOTEXT($A$4),'PREFILL-PIVOT'!$A$3,_xlfn.VALUETOTEXT($A$6),$A72,"Experiment",I$5,"date",I$6))</f>
        <v>#REF!</v>
      </c>
      <c r="J72" t="e">
        <f>IF(GETPIVOTDATA(_xlfn.VALUETOTEXT($A$4),'PREFILL-PIVOT'!$A$3,_xlfn.VALUETOTEXT($A$6),$A72,"Experiment",J$5,"date",J$6)=0,NA(),GETPIVOTDATA(_xlfn.VALUETOTEXT($A$4),'PREFILL-PIVOT'!$A$3,_xlfn.VALUETOTEXT($A$6),$A72,"Experiment",J$5,"date",J$6))</f>
        <v>#REF!</v>
      </c>
      <c r="K72" t="e">
        <f>IF(GETPIVOTDATA(_xlfn.VALUETOTEXT($A$4),'PREFILL-PIVOT'!$A$3,_xlfn.VALUETOTEXT($A$6),$A72,"Experiment",K$5,"date",K$6)=0,NA(),GETPIVOTDATA(_xlfn.VALUETOTEXT($A$4),'PREFILL-PIVOT'!$A$3,_xlfn.VALUETOTEXT($A$6),$A72,"Experiment",K$5,"date",K$6))</f>
        <v>#REF!</v>
      </c>
      <c r="L72" t="e">
        <f>IF(GETPIVOTDATA(_xlfn.VALUETOTEXT($A$4),'PREFILL-PIVOT'!$A$3,_xlfn.VALUETOTEXT($A$6),$A72,"Experiment",L$5,"date",L$6)=0,NA(),GETPIVOTDATA(_xlfn.VALUETOTEXT($A$4),'PREFILL-PIVOT'!$A$3,_xlfn.VALUETOTEXT($A$6),$A72,"Experiment",L$5,"date",L$6))</f>
        <v>#REF!</v>
      </c>
      <c r="M72" t="e">
        <f>IF(GETPIVOTDATA(_xlfn.VALUETOTEXT($A$4),'PREFILL-PIVOT'!$A$3,_xlfn.VALUETOTEXT($A$6),$A72,"Experiment",M$5,"date",M$6)=0,NA(),GETPIVOTDATA(_xlfn.VALUETOTEXT($A$4),'PREFILL-PIVOT'!$A$3,_xlfn.VALUETOTEXT($A$6),$A72,"Experiment",M$5,"date",M$6))</f>
        <v>#REF!</v>
      </c>
    </row>
    <row r="73" spans="1:13" x14ac:dyDescent="0.25">
      <c r="A73" s="222" t="e">
        <f>IF('PREFILL-PIVOT'!A71=0,NA(),'PREFILL-PIVOT'!A71)</f>
        <v>#N/A</v>
      </c>
      <c r="B73" t="e">
        <f>IF(GETPIVOTDATA(_xlfn.VALUETOTEXT($A$4),'PREFILL-PIVOT'!$A$3,_xlfn.VALUETOTEXT($A$6),$A73,"Experiment",B$5,"date",B$6)=0,NA(),GETPIVOTDATA(_xlfn.VALUETOTEXT($A$4),'PREFILL-PIVOT'!$A$3,_xlfn.VALUETOTEXT($A$6),$A73,"Experiment",B$5,"date",B$6))</f>
        <v>#REF!</v>
      </c>
      <c r="C73" t="e">
        <f>IF(GETPIVOTDATA(_xlfn.VALUETOTEXT($A$4),'PREFILL-PIVOT'!$A$3,_xlfn.VALUETOTEXT($A$6),$A73,"Experiment",C$5,"date",C$6)=0,NA(),GETPIVOTDATA(_xlfn.VALUETOTEXT($A$4),'PREFILL-PIVOT'!$A$3,_xlfn.VALUETOTEXT($A$6),$A73,"Experiment",C$5,"date",C$6))</f>
        <v>#REF!</v>
      </c>
      <c r="D73" t="e">
        <f>IF(GETPIVOTDATA(_xlfn.VALUETOTEXT($A$4),'PREFILL-PIVOT'!$A$3,_xlfn.VALUETOTEXT($A$6),$A73,"Experiment",D$5,"date",D$6)=0,NA(),GETPIVOTDATA(_xlfn.VALUETOTEXT($A$4),'PREFILL-PIVOT'!$A$3,_xlfn.VALUETOTEXT($A$6),$A73,"Experiment",D$5,"date",D$6))</f>
        <v>#REF!</v>
      </c>
      <c r="E73" t="e">
        <f>IF(GETPIVOTDATA(_xlfn.VALUETOTEXT($A$4),'PREFILL-PIVOT'!$A$3,_xlfn.VALUETOTEXT($A$6),$A73,"Experiment",E$5,"date",E$6)=0,NA(),GETPIVOTDATA(_xlfn.VALUETOTEXT($A$4),'PREFILL-PIVOT'!$A$3,_xlfn.VALUETOTEXT($A$6),$A73,"Experiment",E$5,"date",E$6))</f>
        <v>#REF!</v>
      </c>
      <c r="F73" t="e">
        <f>IF(GETPIVOTDATA(_xlfn.VALUETOTEXT($A$4),'PREFILL-PIVOT'!$A$3,_xlfn.VALUETOTEXT($A$6),$A73,"Experiment",F$5,"date",F$6)=0,NA(),GETPIVOTDATA(_xlfn.VALUETOTEXT($A$4),'PREFILL-PIVOT'!$A$3,_xlfn.VALUETOTEXT($A$6),$A73,"Experiment",F$5,"date",F$6))</f>
        <v>#REF!</v>
      </c>
      <c r="G73" t="e">
        <f>IF(GETPIVOTDATA(_xlfn.VALUETOTEXT($A$4),'PREFILL-PIVOT'!$A$3,_xlfn.VALUETOTEXT($A$6),$A73,"Experiment",G$5,"date",G$6)=0,NA(),GETPIVOTDATA(_xlfn.VALUETOTEXT($A$4),'PREFILL-PIVOT'!$A$3,_xlfn.VALUETOTEXT($A$6),$A73,"Experiment",G$5,"date",G$6))</f>
        <v>#REF!</v>
      </c>
      <c r="H73" t="e">
        <f>IF(GETPIVOTDATA(_xlfn.VALUETOTEXT($A$4),'PREFILL-PIVOT'!$A$3,_xlfn.VALUETOTEXT($A$6),$A73,"Experiment",H$5,"date",H$6)=0,NA(),GETPIVOTDATA(_xlfn.VALUETOTEXT($A$4),'PREFILL-PIVOT'!$A$3,_xlfn.VALUETOTEXT($A$6),$A73,"Experiment",H$5,"date",H$6))</f>
        <v>#REF!</v>
      </c>
      <c r="I73" t="e">
        <f>IF(GETPIVOTDATA(_xlfn.VALUETOTEXT($A$4),'PREFILL-PIVOT'!$A$3,_xlfn.VALUETOTEXT($A$6),$A73,"Experiment",I$5,"date",I$6)=0,NA(),GETPIVOTDATA(_xlfn.VALUETOTEXT($A$4),'PREFILL-PIVOT'!$A$3,_xlfn.VALUETOTEXT($A$6),$A73,"Experiment",I$5,"date",I$6))</f>
        <v>#REF!</v>
      </c>
      <c r="J73" t="e">
        <f>IF(GETPIVOTDATA(_xlfn.VALUETOTEXT($A$4),'PREFILL-PIVOT'!$A$3,_xlfn.VALUETOTEXT($A$6),$A73,"Experiment",J$5,"date",J$6)=0,NA(),GETPIVOTDATA(_xlfn.VALUETOTEXT($A$4),'PREFILL-PIVOT'!$A$3,_xlfn.VALUETOTEXT($A$6),$A73,"Experiment",J$5,"date",J$6))</f>
        <v>#REF!</v>
      </c>
      <c r="K73" t="e">
        <f>IF(GETPIVOTDATA(_xlfn.VALUETOTEXT($A$4),'PREFILL-PIVOT'!$A$3,_xlfn.VALUETOTEXT($A$6),$A73,"Experiment",K$5,"date",K$6)=0,NA(),GETPIVOTDATA(_xlfn.VALUETOTEXT($A$4),'PREFILL-PIVOT'!$A$3,_xlfn.VALUETOTEXT($A$6),$A73,"Experiment",K$5,"date",K$6))</f>
        <v>#REF!</v>
      </c>
      <c r="L73" t="e">
        <f>IF(GETPIVOTDATA(_xlfn.VALUETOTEXT($A$4),'PREFILL-PIVOT'!$A$3,_xlfn.VALUETOTEXT($A$6),$A73,"Experiment",L$5,"date",L$6)=0,NA(),GETPIVOTDATA(_xlfn.VALUETOTEXT($A$4),'PREFILL-PIVOT'!$A$3,_xlfn.VALUETOTEXT($A$6),$A73,"Experiment",L$5,"date",L$6))</f>
        <v>#REF!</v>
      </c>
      <c r="M73" t="e">
        <f>IF(GETPIVOTDATA(_xlfn.VALUETOTEXT($A$4),'PREFILL-PIVOT'!$A$3,_xlfn.VALUETOTEXT($A$6),$A73,"Experiment",M$5,"date",M$6)=0,NA(),GETPIVOTDATA(_xlfn.VALUETOTEXT($A$4),'PREFILL-PIVOT'!$A$3,_xlfn.VALUETOTEXT($A$6),$A73,"Experiment",M$5,"date",M$6))</f>
        <v>#REF!</v>
      </c>
    </row>
    <row r="74" spans="1:13" x14ac:dyDescent="0.25">
      <c r="A74" s="222" t="e">
        <f>IF('PREFILL-PIVOT'!A72=0,NA(),'PREFILL-PIVOT'!A72)</f>
        <v>#N/A</v>
      </c>
      <c r="B74" t="e">
        <f>IF(GETPIVOTDATA(_xlfn.VALUETOTEXT($A$4),'PREFILL-PIVOT'!$A$3,_xlfn.VALUETOTEXT($A$6),$A74,"Experiment",B$5,"date",B$6)=0,NA(),GETPIVOTDATA(_xlfn.VALUETOTEXT($A$4),'PREFILL-PIVOT'!$A$3,_xlfn.VALUETOTEXT($A$6),$A74,"Experiment",B$5,"date",B$6))</f>
        <v>#REF!</v>
      </c>
      <c r="C74" t="e">
        <f>IF(GETPIVOTDATA(_xlfn.VALUETOTEXT($A$4),'PREFILL-PIVOT'!$A$3,_xlfn.VALUETOTEXT($A$6),$A74,"Experiment",C$5,"date",C$6)=0,NA(),GETPIVOTDATA(_xlfn.VALUETOTEXT($A$4),'PREFILL-PIVOT'!$A$3,_xlfn.VALUETOTEXT($A$6),$A74,"Experiment",C$5,"date",C$6))</f>
        <v>#REF!</v>
      </c>
      <c r="D74" t="e">
        <f>IF(GETPIVOTDATA(_xlfn.VALUETOTEXT($A$4),'PREFILL-PIVOT'!$A$3,_xlfn.VALUETOTEXT($A$6),$A74,"Experiment",D$5,"date",D$6)=0,NA(),GETPIVOTDATA(_xlfn.VALUETOTEXT($A$4),'PREFILL-PIVOT'!$A$3,_xlfn.VALUETOTEXT($A$6),$A74,"Experiment",D$5,"date",D$6))</f>
        <v>#REF!</v>
      </c>
      <c r="E74" t="e">
        <f>IF(GETPIVOTDATA(_xlfn.VALUETOTEXT($A$4),'PREFILL-PIVOT'!$A$3,_xlfn.VALUETOTEXT($A$6),$A74,"Experiment",E$5,"date",E$6)=0,NA(),GETPIVOTDATA(_xlfn.VALUETOTEXT($A$4),'PREFILL-PIVOT'!$A$3,_xlfn.VALUETOTEXT($A$6),$A74,"Experiment",E$5,"date",E$6))</f>
        <v>#REF!</v>
      </c>
      <c r="F74" t="e">
        <f>IF(GETPIVOTDATA(_xlfn.VALUETOTEXT($A$4),'PREFILL-PIVOT'!$A$3,_xlfn.VALUETOTEXT($A$6),$A74,"Experiment",F$5,"date",F$6)=0,NA(),GETPIVOTDATA(_xlfn.VALUETOTEXT($A$4),'PREFILL-PIVOT'!$A$3,_xlfn.VALUETOTEXT($A$6),$A74,"Experiment",F$5,"date",F$6))</f>
        <v>#REF!</v>
      </c>
      <c r="G74" t="e">
        <f>IF(GETPIVOTDATA(_xlfn.VALUETOTEXT($A$4),'PREFILL-PIVOT'!$A$3,_xlfn.VALUETOTEXT($A$6),$A74,"Experiment",G$5,"date",G$6)=0,NA(),GETPIVOTDATA(_xlfn.VALUETOTEXT($A$4),'PREFILL-PIVOT'!$A$3,_xlfn.VALUETOTEXT($A$6),$A74,"Experiment",G$5,"date",G$6))</f>
        <v>#REF!</v>
      </c>
      <c r="H74" t="e">
        <f>IF(GETPIVOTDATA(_xlfn.VALUETOTEXT($A$4),'PREFILL-PIVOT'!$A$3,_xlfn.VALUETOTEXT($A$6),$A74,"Experiment",H$5,"date",H$6)=0,NA(),GETPIVOTDATA(_xlfn.VALUETOTEXT($A$4),'PREFILL-PIVOT'!$A$3,_xlfn.VALUETOTEXT($A$6),$A74,"Experiment",H$5,"date",H$6))</f>
        <v>#REF!</v>
      </c>
      <c r="I74" t="e">
        <f>IF(GETPIVOTDATA(_xlfn.VALUETOTEXT($A$4),'PREFILL-PIVOT'!$A$3,_xlfn.VALUETOTEXT($A$6),$A74,"Experiment",I$5,"date",I$6)=0,NA(),GETPIVOTDATA(_xlfn.VALUETOTEXT($A$4),'PREFILL-PIVOT'!$A$3,_xlfn.VALUETOTEXT($A$6),$A74,"Experiment",I$5,"date",I$6))</f>
        <v>#REF!</v>
      </c>
      <c r="J74" t="e">
        <f>IF(GETPIVOTDATA(_xlfn.VALUETOTEXT($A$4),'PREFILL-PIVOT'!$A$3,_xlfn.VALUETOTEXT($A$6),$A74,"Experiment",J$5,"date",J$6)=0,NA(),GETPIVOTDATA(_xlfn.VALUETOTEXT($A$4),'PREFILL-PIVOT'!$A$3,_xlfn.VALUETOTEXT($A$6),$A74,"Experiment",J$5,"date",J$6))</f>
        <v>#REF!</v>
      </c>
      <c r="K74" t="e">
        <f>IF(GETPIVOTDATA(_xlfn.VALUETOTEXT($A$4),'PREFILL-PIVOT'!$A$3,_xlfn.VALUETOTEXT($A$6),$A74,"Experiment",K$5,"date",K$6)=0,NA(),GETPIVOTDATA(_xlfn.VALUETOTEXT($A$4),'PREFILL-PIVOT'!$A$3,_xlfn.VALUETOTEXT($A$6),$A74,"Experiment",K$5,"date",K$6))</f>
        <v>#REF!</v>
      </c>
      <c r="L74" t="e">
        <f>IF(GETPIVOTDATA(_xlfn.VALUETOTEXT($A$4),'PREFILL-PIVOT'!$A$3,_xlfn.VALUETOTEXT($A$6),$A74,"Experiment",L$5,"date",L$6)=0,NA(),GETPIVOTDATA(_xlfn.VALUETOTEXT($A$4),'PREFILL-PIVOT'!$A$3,_xlfn.VALUETOTEXT($A$6),$A74,"Experiment",L$5,"date",L$6))</f>
        <v>#REF!</v>
      </c>
      <c r="M74" t="e">
        <f>IF(GETPIVOTDATA(_xlfn.VALUETOTEXT($A$4),'PREFILL-PIVOT'!$A$3,_xlfn.VALUETOTEXT($A$6),$A74,"Experiment",M$5,"date",M$6)=0,NA(),GETPIVOTDATA(_xlfn.VALUETOTEXT($A$4),'PREFILL-PIVOT'!$A$3,_xlfn.VALUETOTEXT($A$6),$A74,"Experiment",M$5,"date",M$6))</f>
        <v>#REF!</v>
      </c>
    </row>
    <row r="75" spans="1:13" x14ac:dyDescent="0.25">
      <c r="A75" s="222" t="e">
        <f>IF('PREFILL-PIVOT'!A73=0,NA(),'PREFILL-PIVOT'!A73)</f>
        <v>#N/A</v>
      </c>
      <c r="B75" t="e">
        <f>IF(GETPIVOTDATA(_xlfn.VALUETOTEXT($A$4),'PREFILL-PIVOT'!$A$3,_xlfn.VALUETOTEXT($A$6),$A75,"Experiment",B$5,"date",B$6)=0,NA(),GETPIVOTDATA(_xlfn.VALUETOTEXT($A$4),'PREFILL-PIVOT'!$A$3,_xlfn.VALUETOTEXT($A$6),$A75,"Experiment",B$5,"date",B$6))</f>
        <v>#REF!</v>
      </c>
      <c r="C75" t="e">
        <f>IF(GETPIVOTDATA(_xlfn.VALUETOTEXT($A$4),'PREFILL-PIVOT'!$A$3,_xlfn.VALUETOTEXT($A$6),$A75,"Experiment",C$5,"date",C$6)=0,NA(),GETPIVOTDATA(_xlfn.VALUETOTEXT($A$4),'PREFILL-PIVOT'!$A$3,_xlfn.VALUETOTEXT($A$6),$A75,"Experiment",C$5,"date",C$6))</f>
        <v>#REF!</v>
      </c>
      <c r="D75" t="e">
        <f>IF(GETPIVOTDATA(_xlfn.VALUETOTEXT($A$4),'PREFILL-PIVOT'!$A$3,_xlfn.VALUETOTEXT($A$6),$A75,"Experiment",D$5,"date",D$6)=0,NA(),GETPIVOTDATA(_xlfn.VALUETOTEXT($A$4),'PREFILL-PIVOT'!$A$3,_xlfn.VALUETOTEXT($A$6),$A75,"Experiment",D$5,"date",D$6))</f>
        <v>#REF!</v>
      </c>
      <c r="E75" t="e">
        <f>IF(GETPIVOTDATA(_xlfn.VALUETOTEXT($A$4),'PREFILL-PIVOT'!$A$3,_xlfn.VALUETOTEXT($A$6),$A75,"Experiment",E$5,"date",E$6)=0,NA(),GETPIVOTDATA(_xlfn.VALUETOTEXT($A$4),'PREFILL-PIVOT'!$A$3,_xlfn.VALUETOTEXT($A$6),$A75,"Experiment",E$5,"date",E$6))</f>
        <v>#REF!</v>
      </c>
      <c r="F75" t="e">
        <f>IF(GETPIVOTDATA(_xlfn.VALUETOTEXT($A$4),'PREFILL-PIVOT'!$A$3,_xlfn.VALUETOTEXT($A$6),$A75,"Experiment",F$5,"date",F$6)=0,NA(),GETPIVOTDATA(_xlfn.VALUETOTEXT($A$4),'PREFILL-PIVOT'!$A$3,_xlfn.VALUETOTEXT($A$6),$A75,"Experiment",F$5,"date",F$6))</f>
        <v>#REF!</v>
      </c>
      <c r="G75" t="e">
        <f>IF(GETPIVOTDATA(_xlfn.VALUETOTEXT($A$4),'PREFILL-PIVOT'!$A$3,_xlfn.VALUETOTEXT($A$6),$A75,"Experiment",G$5,"date",G$6)=0,NA(),GETPIVOTDATA(_xlfn.VALUETOTEXT($A$4),'PREFILL-PIVOT'!$A$3,_xlfn.VALUETOTEXT($A$6),$A75,"Experiment",G$5,"date",G$6))</f>
        <v>#REF!</v>
      </c>
      <c r="H75" t="e">
        <f>IF(GETPIVOTDATA(_xlfn.VALUETOTEXT($A$4),'PREFILL-PIVOT'!$A$3,_xlfn.VALUETOTEXT($A$6),$A75,"Experiment",H$5,"date",H$6)=0,NA(),GETPIVOTDATA(_xlfn.VALUETOTEXT($A$4),'PREFILL-PIVOT'!$A$3,_xlfn.VALUETOTEXT($A$6),$A75,"Experiment",H$5,"date",H$6))</f>
        <v>#REF!</v>
      </c>
      <c r="I75" t="e">
        <f>IF(GETPIVOTDATA(_xlfn.VALUETOTEXT($A$4),'PREFILL-PIVOT'!$A$3,_xlfn.VALUETOTEXT($A$6),$A75,"Experiment",I$5,"date",I$6)=0,NA(),GETPIVOTDATA(_xlfn.VALUETOTEXT($A$4),'PREFILL-PIVOT'!$A$3,_xlfn.VALUETOTEXT($A$6),$A75,"Experiment",I$5,"date",I$6))</f>
        <v>#REF!</v>
      </c>
      <c r="J75" t="e">
        <f>IF(GETPIVOTDATA(_xlfn.VALUETOTEXT($A$4),'PREFILL-PIVOT'!$A$3,_xlfn.VALUETOTEXT($A$6),$A75,"Experiment",J$5,"date",J$6)=0,NA(),GETPIVOTDATA(_xlfn.VALUETOTEXT($A$4),'PREFILL-PIVOT'!$A$3,_xlfn.VALUETOTEXT($A$6),$A75,"Experiment",J$5,"date",J$6))</f>
        <v>#REF!</v>
      </c>
      <c r="K75" t="e">
        <f>IF(GETPIVOTDATA(_xlfn.VALUETOTEXT($A$4),'PREFILL-PIVOT'!$A$3,_xlfn.VALUETOTEXT($A$6),$A75,"Experiment",K$5,"date",K$6)=0,NA(),GETPIVOTDATA(_xlfn.VALUETOTEXT($A$4),'PREFILL-PIVOT'!$A$3,_xlfn.VALUETOTEXT($A$6),$A75,"Experiment",K$5,"date",K$6))</f>
        <v>#REF!</v>
      </c>
      <c r="L75" t="e">
        <f>IF(GETPIVOTDATA(_xlfn.VALUETOTEXT($A$4),'PREFILL-PIVOT'!$A$3,_xlfn.VALUETOTEXT($A$6),$A75,"Experiment",L$5,"date",L$6)=0,NA(),GETPIVOTDATA(_xlfn.VALUETOTEXT($A$4),'PREFILL-PIVOT'!$A$3,_xlfn.VALUETOTEXT($A$6),$A75,"Experiment",L$5,"date",L$6))</f>
        <v>#REF!</v>
      </c>
      <c r="M75" t="e">
        <f>IF(GETPIVOTDATA(_xlfn.VALUETOTEXT($A$4),'PREFILL-PIVOT'!$A$3,_xlfn.VALUETOTEXT($A$6),$A75,"Experiment",M$5,"date",M$6)=0,NA(),GETPIVOTDATA(_xlfn.VALUETOTEXT($A$4),'PREFILL-PIVOT'!$A$3,_xlfn.VALUETOTEXT($A$6),$A75,"Experiment",M$5,"date",M$6))</f>
        <v>#REF!</v>
      </c>
    </row>
    <row r="76" spans="1:13" x14ac:dyDescent="0.25">
      <c r="A76" s="222" t="e">
        <f>IF('PREFILL-PIVOT'!A74=0,NA(),'PREFILL-PIVOT'!A74)</f>
        <v>#N/A</v>
      </c>
      <c r="B76" t="e">
        <f>IF(GETPIVOTDATA(_xlfn.VALUETOTEXT($A$4),'PREFILL-PIVOT'!$A$3,_xlfn.VALUETOTEXT($A$6),$A76,"Experiment",B$5,"date",B$6)=0,NA(),GETPIVOTDATA(_xlfn.VALUETOTEXT($A$4),'PREFILL-PIVOT'!$A$3,_xlfn.VALUETOTEXT($A$6),$A76,"Experiment",B$5,"date",B$6))</f>
        <v>#REF!</v>
      </c>
      <c r="C76" t="e">
        <f>IF(GETPIVOTDATA(_xlfn.VALUETOTEXT($A$4),'PREFILL-PIVOT'!$A$3,_xlfn.VALUETOTEXT($A$6),$A76,"Experiment",C$5,"date",C$6)=0,NA(),GETPIVOTDATA(_xlfn.VALUETOTEXT($A$4),'PREFILL-PIVOT'!$A$3,_xlfn.VALUETOTEXT($A$6),$A76,"Experiment",C$5,"date",C$6))</f>
        <v>#REF!</v>
      </c>
      <c r="D76" t="e">
        <f>IF(GETPIVOTDATA(_xlfn.VALUETOTEXT($A$4),'PREFILL-PIVOT'!$A$3,_xlfn.VALUETOTEXT($A$6),$A76,"Experiment",D$5,"date",D$6)=0,NA(),GETPIVOTDATA(_xlfn.VALUETOTEXT($A$4),'PREFILL-PIVOT'!$A$3,_xlfn.VALUETOTEXT($A$6),$A76,"Experiment",D$5,"date",D$6))</f>
        <v>#REF!</v>
      </c>
      <c r="E76" t="e">
        <f>IF(GETPIVOTDATA(_xlfn.VALUETOTEXT($A$4),'PREFILL-PIVOT'!$A$3,_xlfn.VALUETOTEXT($A$6),$A76,"Experiment",E$5,"date",E$6)=0,NA(),GETPIVOTDATA(_xlfn.VALUETOTEXT($A$4),'PREFILL-PIVOT'!$A$3,_xlfn.VALUETOTEXT($A$6),$A76,"Experiment",E$5,"date",E$6))</f>
        <v>#REF!</v>
      </c>
      <c r="F76" t="e">
        <f>IF(GETPIVOTDATA(_xlfn.VALUETOTEXT($A$4),'PREFILL-PIVOT'!$A$3,_xlfn.VALUETOTEXT($A$6),$A76,"Experiment",F$5,"date",F$6)=0,NA(),GETPIVOTDATA(_xlfn.VALUETOTEXT($A$4),'PREFILL-PIVOT'!$A$3,_xlfn.VALUETOTEXT($A$6),$A76,"Experiment",F$5,"date",F$6))</f>
        <v>#REF!</v>
      </c>
      <c r="G76" t="e">
        <f>IF(GETPIVOTDATA(_xlfn.VALUETOTEXT($A$4),'PREFILL-PIVOT'!$A$3,_xlfn.VALUETOTEXT($A$6),$A76,"Experiment",G$5,"date",G$6)=0,NA(),GETPIVOTDATA(_xlfn.VALUETOTEXT($A$4),'PREFILL-PIVOT'!$A$3,_xlfn.VALUETOTEXT($A$6),$A76,"Experiment",G$5,"date",G$6))</f>
        <v>#REF!</v>
      </c>
      <c r="H76" t="e">
        <f>IF(GETPIVOTDATA(_xlfn.VALUETOTEXT($A$4),'PREFILL-PIVOT'!$A$3,_xlfn.VALUETOTEXT($A$6),$A76,"Experiment",H$5,"date",H$6)=0,NA(),GETPIVOTDATA(_xlfn.VALUETOTEXT($A$4),'PREFILL-PIVOT'!$A$3,_xlfn.VALUETOTEXT($A$6),$A76,"Experiment",H$5,"date",H$6))</f>
        <v>#REF!</v>
      </c>
      <c r="I76" t="e">
        <f>IF(GETPIVOTDATA(_xlfn.VALUETOTEXT($A$4),'PREFILL-PIVOT'!$A$3,_xlfn.VALUETOTEXT($A$6),$A76,"Experiment",I$5,"date",I$6)=0,NA(),GETPIVOTDATA(_xlfn.VALUETOTEXT($A$4),'PREFILL-PIVOT'!$A$3,_xlfn.VALUETOTEXT($A$6),$A76,"Experiment",I$5,"date",I$6))</f>
        <v>#REF!</v>
      </c>
      <c r="J76" t="e">
        <f>IF(GETPIVOTDATA(_xlfn.VALUETOTEXT($A$4),'PREFILL-PIVOT'!$A$3,_xlfn.VALUETOTEXT($A$6),$A76,"Experiment",J$5,"date",J$6)=0,NA(),GETPIVOTDATA(_xlfn.VALUETOTEXT($A$4),'PREFILL-PIVOT'!$A$3,_xlfn.VALUETOTEXT($A$6),$A76,"Experiment",J$5,"date",J$6))</f>
        <v>#REF!</v>
      </c>
      <c r="K76" t="e">
        <f>IF(GETPIVOTDATA(_xlfn.VALUETOTEXT($A$4),'PREFILL-PIVOT'!$A$3,_xlfn.VALUETOTEXT($A$6),$A76,"Experiment",K$5,"date",K$6)=0,NA(),GETPIVOTDATA(_xlfn.VALUETOTEXT($A$4),'PREFILL-PIVOT'!$A$3,_xlfn.VALUETOTEXT($A$6),$A76,"Experiment",K$5,"date",K$6))</f>
        <v>#REF!</v>
      </c>
      <c r="L76" t="e">
        <f>IF(GETPIVOTDATA(_xlfn.VALUETOTEXT($A$4),'PREFILL-PIVOT'!$A$3,_xlfn.VALUETOTEXT($A$6),$A76,"Experiment",L$5,"date",L$6)=0,NA(),GETPIVOTDATA(_xlfn.VALUETOTEXT($A$4),'PREFILL-PIVOT'!$A$3,_xlfn.VALUETOTEXT($A$6),$A76,"Experiment",L$5,"date",L$6))</f>
        <v>#REF!</v>
      </c>
      <c r="M76" t="e">
        <f>IF(GETPIVOTDATA(_xlfn.VALUETOTEXT($A$4),'PREFILL-PIVOT'!$A$3,_xlfn.VALUETOTEXT($A$6),$A76,"Experiment",M$5,"date",M$6)=0,NA(),GETPIVOTDATA(_xlfn.VALUETOTEXT($A$4),'PREFILL-PIVOT'!$A$3,_xlfn.VALUETOTEXT($A$6),$A76,"Experiment",M$5,"date",M$6))</f>
        <v>#REF!</v>
      </c>
    </row>
    <row r="77" spans="1:13" x14ac:dyDescent="0.25">
      <c r="A77" s="222" t="e">
        <f>IF('PREFILL-PIVOT'!A75=0,NA(),'PREFILL-PIVOT'!A75)</f>
        <v>#N/A</v>
      </c>
      <c r="B77" t="e">
        <f>IF(GETPIVOTDATA(_xlfn.VALUETOTEXT($A$4),'PREFILL-PIVOT'!$A$3,_xlfn.VALUETOTEXT($A$6),$A77,"Experiment",B$5,"date",B$6)=0,NA(),GETPIVOTDATA(_xlfn.VALUETOTEXT($A$4),'PREFILL-PIVOT'!$A$3,_xlfn.VALUETOTEXT($A$6),$A77,"Experiment",B$5,"date",B$6))</f>
        <v>#REF!</v>
      </c>
      <c r="C77" t="e">
        <f>IF(GETPIVOTDATA(_xlfn.VALUETOTEXT($A$4),'PREFILL-PIVOT'!$A$3,_xlfn.VALUETOTEXT($A$6),$A77,"Experiment",C$5,"date",C$6)=0,NA(),GETPIVOTDATA(_xlfn.VALUETOTEXT($A$4),'PREFILL-PIVOT'!$A$3,_xlfn.VALUETOTEXT($A$6),$A77,"Experiment",C$5,"date",C$6))</f>
        <v>#REF!</v>
      </c>
      <c r="D77" t="e">
        <f>IF(GETPIVOTDATA(_xlfn.VALUETOTEXT($A$4),'PREFILL-PIVOT'!$A$3,_xlfn.VALUETOTEXT($A$6),$A77,"Experiment",D$5,"date",D$6)=0,NA(),GETPIVOTDATA(_xlfn.VALUETOTEXT($A$4),'PREFILL-PIVOT'!$A$3,_xlfn.VALUETOTEXT($A$6),$A77,"Experiment",D$5,"date",D$6))</f>
        <v>#REF!</v>
      </c>
      <c r="E77" t="e">
        <f>IF(GETPIVOTDATA(_xlfn.VALUETOTEXT($A$4),'PREFILL-PIVOT'!$A$3,_xlfn.VALUETOTEXT($A$6),$A77,"Experiment",E$5,"date",E$6)=0,NA(),GETPIVOTDATA(_xlfn.VALUETOTEXT($A$4),'PREFILL-PIVOT'!$A$3,_xlfn.VALUETOTEXT($A$6),$A77,"Experiment",E$5,"date",E$6))</f>
        <v>#REF!</v>
      </c>
      <c r="F77" t="e">
        <f>IF(GETPIVOTDATA(_xlfn.VALUETOTEXT($A$4),'PREFILL-PIVOT'!$A$3,_xlfn.VALUETOTEXT($A$6),$A77,"Experiment",F$5,"date",F$6)=0,NA(),GETPIVOTDATA(_xlfn.VALUETOTEXT($A$4),'PREFILL-PIVOT'!$A$3,_xlfn.VALUETOTEXT($A$6),$A77,"Experiment",F$5,"date",F$6))</f>
        <v>#REF!</v>
      </c>
      <c r="G77" t="e">
        <f>IF(GETPIVOTDATA(_xlfn.VALUETOTEXT($A$4),'PREFILL-PIVOT'!$A$3,_xlfn.VALUETOTEXT($A$6),$A77,"Experiment",G$5,"date",G$6)=0,NA(),GETPIVOTDATA(_xlfn.VALUETOTEXT($A$4),'PREFILL-PIVOT'!$A$3,_xlfn.VALUETOTEXT($A$6),$A77,"Experiment",G$5,"date",G$6))</f>
        <v>#REF!</v>
      </c>
      <c r="H77" t="e">
        <f>IF(GETPIVOTDATA(_xlfn.VALUETOTEXT($A$4),'PREFILL-PIVOT'!$A$3,_xlfn.VALUETOTEXT($A$6),$A77,"Experiment",H$5,"date",H$6)=0,NA(),GETPIVOTDATA(_xlfn.VALUETOTEXT($A$4),'PREFILL-PIVOT'!$A$3,_xlfn.VALUETOTEXT($A$6),$A77,"Experiment",H$5,"date",H$6))</f>
        <v>#REF!</v>
      </c>
      <c r="I77" t="e">
        <f>IF(GETPIVOTDATA(_xlfn.VALUETOTEXT($A$4),'PREFILL-PIVOT'!$A$3,_xlfn.VALUETOTEXT($A$6),$A77,"Experiment",I$5,"date",I$6)=0,NA(),GETPIVOTDATA(_xlfn.VALUETOTEXT($A$4),'PREFILL-PIVOT'!$A$3,_xlfn.VALUETOTEXT($A$6),$A77,"Experiment",I$5,"date",I$6))</f>
        <v>#REF!</v>
      </c>
      <c r="J77" t="e">
        <f>IF(GETPIVOTDATA(_xlfn.VALUETOTEXT($A$4),'PREFILL-PIVOT'!$A$3,_xlfn.VALUETOTEXT($A$6),$A77,"Experiment",J$5,"date",J$6)=0,NA(),GETPIVOTDATA(_xlfn.VALUETOTEXT($A$4),'PREFILL-PIVOT'!$A$3,_xlfn.VALUETOTEXT($A$6),$A77,"Experiment",J$5,"date",J$6))</f>
        <v>#REF!</v>
      </c>
      <c r="K77" t="e">
        <f>IF(GETPIVOTDATA(_xlfn.VALUETOTEXT($A$4),'PREFILL-PIVOT'!$A$3,_xlfn.VALUETOTEXT($A$6),$A77,"Experiment",K$5,"date",K$6)=0,NA(),GETPIVOTDATA(_xlfn.VALUETOTEXT($A$4),'PREFILL-PIVOT'!$A$3,_xlfn.VALUETOTEXT($A$6),$A77,"Experiment",K$5,"date",K$6))</f>
        <v>#REF!</v>
      </c>
      <c r="L77" t="e">
        <f>IF(GETPIVOTDATA(_xlfn.VALUETOTEXT($A$4),'PREFILL-PIVOT'!$A$3,_xlfn.VALUETOTEXT($A$6),$A77,"Experiment",L$5,"date",L$6)=0,NA(),GETPIVOTDATA(_xlfn.VALUETOTEXT($A$4),'PREFILL-PIVOT'!$A$3,_xlfn.VALUETOTEXT($A$6),$A77,"Experiment",L$5,"date",L$6))</f>
        <v>#REF!</v>
      </c>
      <c r="M77" t="e">
        <f>IF(GETPIVOTDATA(_xlfn.VALUETOTEXT($A$4),'PREFILL-PIVOT'!$A$3,_xlfn.VALUETOTEXT($A$6),$A77,"Experiment",M$5,"date",M$6)=0,NA(),GETPIVOTDATA(_xlfn.VALUETOTEXT($A$4),'PREFILL-PIVOT'!$A$3,_xlfn.VALUETOTEXT($A$6),$A77,"Experiment",M$5,"date",M$6))</f>
        <v>#REF!</v>
      </c>
    </row>
    <row r="78" spans="1:13" x14ac:dyDescent="0.25">
      <c r="A78" s="222" t="e">
        <f>IF('PREFILL-PIVOT'!A76=0,NA(),'PREFILL-PIVOT'!A76)</f>
        <v>#N/A</v>
      </c>
      <c r="B78" t="e">
        <f>IF(GETPIVOTDATA(_xlfn.VALUETOTEXT($A$4),'PREFILL-PIVOT'!$A$3,_xlfn.VALUETOTEXT($A$6),$A78,"Experiment",B$5,"date",B$6)=0,NA(),GETPIVOTDATA(_xlfn.VALUETOTEXT($A$4),'PREFILL-PIVOT'!$A$3,_xlfn.VALUETOTEXT($A$6),$A78,"Experiment",B$5,"date",B$6))</f>
        <v>#REF!</v>
      </c>
      <c r="C78" t="e">
        <f>IF(GETPIVOTDATA(_xlfn.VALUETOTEXT($A$4),'PREFILL-PIVOT'!$A$3,_xlfn.VALUETOTEXT($A$6),$A78,"Experiment",C$5,"date",C$6)=0,NA(),GETPIVOTDATA(_xlfn.VALUETOTEXT($A$4),'PREFILL-PIVOT'!$A$3,_xlfn.VALUETOTEXT($A$6),$A78,"Experiment",C$5,"date",C$6))</f>
        <v>#REF!</v>
      </c>
      <c r="D78" t="e">
        <f>IF(GETPIVOTDATA(_xlfn.VALUETOTEXT($A$4),'PREFILL-PIVOT'!$A$3,_xlfn.VALUETOTEXT($A$6),$A78,"Experiment",D$5,"date",D$6)=0,NA(),GETPIVOTDATA(_xlfn.VALUETOTEXT($A$4),'PREFILL-PIVOT'!$A$3,_xlfn.VALUETOTEXT($A$6),$A78,"Experiment",D$5,"date",D$6))</f>
        <v>#REF!</v>
      </c>
      <c r="E78" t="e">
        <f>IF(GETPIVOTDATA(_xlfn.VALUETOTEXT($A$4),'PREFILL-PIVOT'!$A$3,_xlfn.VALUETOTEXT($A$6),$A78,"Experiment",E$5,"date",E$6)=0,NA(),GETPIVOTDATA(_xlfn.VALUETOTEXT($A$4),'PREFILL-PIVOT'!$A$3,_xlfn.VALUETOTEXT($A$6),$A78,"Experiment",E$5,"date",E$6))</f>
        <v>#REF!</v>
      </c>
      <c r="F78" t="e">
        <f>IF(GETPIVOTDATA(_xlfn.VALUETOTEXT($A$4),'PREFILL-PIVOT'!$A$3,_xlfn.VALUETOTEXT($A$6),$A78,"Experiment",F$5,"date",F$6)=0,NA(),GETPIVOTDATA(_xlfn.VALUETOTEXT($A$4),'PREFILL-PIVOT'!$A$3,_xlfn.VALUETOTEXT($A$6),$A78,"Experiment",F$5,"date",F$6))</f>
        <v>#REF!</v>
      </c>
      <c r="G78" t="e">
        <f>IF(GETPIVOTDATA(_xlfn.VALUETOTEXT($A$4),'PREFILL-PIVOT'!$A$3,_xlfn.VALUETOTEXT($A$6),$A78,"Experiment",G$5,"date",G$6)=0,NA(),GETPIVOTDATA(_xlfn.VALUETOTEXT($A$4),'PREFILL-PIVOT'!$A$3,_xlfn.VALUETOTEXT($A$6),$A78,"Experiment",G$5,"date",G$6))</f>
        <v>#REF!</v>
      </c>
      <c r="H78" t="e">
        <f>IF(GETPIVOTDATA(_xlfn.VALUETOTEXT($A$4),'PREFILL-PIVOT'!$A$3,_xlfn.VALUETOTEXT($A$6),$A78,"Experiment",H$5,"date",H$6)=0,NA(),GETPIVOTDATA(_xlfn.VALUETOTEXT($A$4),'PREFILL-PIVOT'!$A$3,_xlfn.VALUETOTEXT($A$6),$A78,"Experiment",H$5,"date",H$6))</f>
        <v>#REF!</v>
      </c>
      <c r="I78" t="e">
        <f>IF(GETPIVOTDATA(_xlfn.VALUETOTEXT($A$4),'PREFILL-PIVOT'!$A$3,_xlfn.VALUETOTEXT($A$6),$A78,"Experiment",I$5,"date",I$6)=0,NA(),GETPIVOTDATA(_xlfn.VALUETOTEXT($A$4),'PREFILL-PIVOT'!$A$3,_xlfn.VALUETOTEXT($A$6),$A78,"Experiment",I$5,"date",I$6))</f>
        <v>#REF!</v>
      </c>
      <c r="J78" t="e">
        <f>IF(GETPIVOTDATA(_xlfn.VALUETOTEXT($A$4),'PREFILL-PIVOT'!$A$3,_xlfn.VALUETOTEXT($A$6),$A78,"Experiment",J$5,"date",J$6)=0,NA(),GETPIVOTDATA(_xlfn.VALUETOTEXT($A$4),'PREFILL-PIVOT'!$A$3,_xlfn.VALUETOTEXT($A$6),$A78,"Experiment",J$5,"date",J$6))</f>
        <v>#REF!</v>
      </c>
      <c r="K78" t="e">
        <f>IF(GETPIVOTDATA(_xlfn.VALUETOTEXT($A$4),'PREFILL-PIVOT'!$A$3,_xlfn.VALUETOTEXT($A$6),$A78,"Experiment",K$5,"date",K$6)=0,NA(),GETPIVOTDATA(_xlfn.VALUETOTEXT($A$4),'PREFILL-PIVOT'!$A$3,_xlfn.VALUETOTEXT($A$6),$A78,"Experiment",K$5,"date",K$6))</f>
        <v>#REF!</v>
      </c>
      <c r="L78" t="e">
        <f>IF(GETPIVOTDATA(_xlfn.VALUETOTEXT($A$4),'PREFILL-PIVOT'!$A$3,_xlfn.VALUETOTEXT($A$6),$A78,"Experiment",L$5,"date",L$6)=0,NA(),GETPIVOTDATA(_xlfn.VALUETOTEXT($A$4),'PREFILL-PIVOT'!$A$3,_xlfn.VALUETOTEXT($A$6),$A78,"Experiment",L$5,"date",L$6))</f>
        <v>#REF!</v>
      </c>
      <c r="M78" t="e">
        <f>IF(GETPIVOTDATA(_xlfn.VALUETOTEXT($A$4),'PREFILL-PIVOT'!$A$3,_xlfn.VALUETOTEXT($A$6),$A78,"Experiment",M$5,"date",M$6)=0,NA(),GETPIVOTDATA(_xlfn.VALUETOTEXT($A$4),'PREFILL-PIVOT'!$A$3,_xlfn.VALUETOTEXT($A$6),$A78,"Experiment",M$5,"date",M$6))</f>
        <v>#REF!</v>
      </c>
    </row>
    <row r="79" spans="1:13" x14ac:dyDescent="0.25">
      <c r="A79" s="222" t="e">
        <f>IF('PREFILL-PIVOT'!A77=0,NA(),'PREFILL-PIVOT'!A77)</f>
        <v>#N/A</v>
      </c>
      <c r="B79" t="e">
        <f>IF(GETPIVOTDATA(_xlfn.VALUETOTEXT($A$4),'PREFILL-PIVOT'!$A$3,_xlfn.VALUETOTEXT($A$6),$A79,"Experiment",B$5,"date",B$6)=0,NA(),GETPIVOTDATA(_xlfn.VALUETOTEXT($A$4),'PREFILL-PIVOT'!$A$3,_xlfn.VALUETOTEXT($A$6),$A79,"Experiment",B$5,"date",B$6))</f>
        <v>#REF!</v>
      </c>
      <c r="C79" t="e">
        <f>IF(GETPIVOTDATA(_xlfn.VALUETOTEXT($A$4),'PREFILL-PIVOT'!$A$3,_xlfn.VALUETOTEXT($A$6),$A79,"Experiment",C$5,"date",C$6)=0,NA(),GETPIVOTDATA(_xlfn.VALUETOTEXT($A$4),'PREFILL-PIVOT'!$A$3,_xlfn.VALUETOTEXT($A$6),$A79,"Experiment",C$5,"date",C$6))</f>
        <v>#REF!</v>
      </c>
      <c r="D79" t="e">
        <f>IF(GETPIVOTDATA(_xlfn.VALUETOTEXT($A$4),'PREFILL-PIVOT'!$A$3,_xlfn.VALUETOTEXT($A$6),$A79,"Experiment",D$5,"date",D$6)=0,NA(),GETPIVOTDATA(_xlfn.VALUETOTEXT($A$4),'PREFILL-PIVOT'!$A$3,_xlfn.VALUETOTEXT($A$6),$A79,"Experiment",D$5,"date",D$6))</f>
        <v>#REF!</v>
      </c>
      <c r="E79" t="e">
        <f>IF(GETPIVOTDATA(_xlfn.VALUETOTEXT($A$4),'PREFILL-PIVOT'!$A$3,_xlfn.VALUETOTEXT($A$6),$A79,"Experiment",E$5,"date",E$6)=0,NA(),GETPIVOTDATA(_xlfn.VALUETOTEXT($A$4),'PREFILL-PIVOT'!$A$3,_xlfn.VALUETOTEXT($A$6),$A79,"Experiment",E$5,"date",E$6))</f>
        <v>#REF!</v>
      </c>
      <c r="F79" t="e">
        <f>IF(GETPIVOTDATA(_xlfn.VALUETOTEXT($A$4),'PREFILL-PIVOT'!$A$3,_xlfn.VALUETOTEXT($A$6),$A79,"Experiment",F$5,"date",F$6)=0,NA(),GETPIVOTDATA(_xlfn.VALUETOTEXT($A$4),'PREFILL-PIVOT'!$A$3,_xlfn.VALUETOTEXT($A$6),$A79,"Experiment",F$5,"date",F$6))</f>
        <v>#REF!</v>
      </c>
      <c r="G79" t="e">
        <f>IF(GETPIVOTDATA(_xlfn.VALUETOTEXT($A$4),'PREFILL-PIVOT'!$A$3,_xlfn.VALUETOTEXT($A$6),$A79,"Experiment",G$5,"date",G$6)=0,NA(),GETPIVOTDATA(_xlfn.VALUETOTEXT($A$4),'PREFILL-PIVOT'!$A$3,_xlfn.VALUETOTEXT($A$6),$A79,"Experiment",G$5,"date",G$6))</f>
        <v>#REF!</v>
      </c>
      <c r="H79" t="e">
        <f>IF(GETPIVOTDATA(_xlfn.VALUETOTEXT($A$4),'PREFILL-PIVOT'!$A$3,_xlfn.VALUETOTEXT($A$6),$A79,"Experiment",H$5,"date",H$6)=0,NA(),GETPIVOTDATA(_xlfn.VALUETOTEXT($A$4),'PREFILL-PIVOT'!$A$3,_xlfn.VALUETOTEXT($A$6),$A79,"Experiment",H$5,"date",H$6))</f>
        <v>#REF!</v>
      </c>
      <c r="I79" t="e">
        <f>IF(GETPIVOTDATA(_xlfn.VALUETOTEXT($A$4),'PREFILL-PIVOT'!$A$3,_xlfn.VALUETOTEXT($A$6),$A79,"Experiment",I$5,"date",I$6)=0,NA(),GETPIVOTDATA(_xlfn.VALUETOTEXT($A$4),'PREFILL-PIVOT'!$A$3,_xlfn.VALUETOTEXT($A$6),$A79,"Experiment",I$5,"date",I$6))</f>
        <v>#REF!</v>
      </c>
      <c r="J79" t="e">
        <f>IF(GETPIVOTDATA(_xlfn.VALUETOTEXT($A$4),'PREFILL-PIVOT'!$A$3,_xlfn.VALUETOTEXT($A$6),$A79,"Experiment",J$5,"date",J$6)=0,NA(),GETPIVOTDATA(_xlfn.VALUETOTEXT($A$4),'PREFILL-PIVOT'!$A$3,_xlfn.VALUETOTEXT($A$6),$A79,"Experiment",J$5,"date",J$6))</f>
        <v>#REF!</v>
      </c>
      <c r="K79" t="e">
        <f>IF(GETPIVOTDATA(_xlfn.VALUETOTEXT($A$4),'PREFILL-PIVOT'!$A$3,_xlfn.VALUETOTEXT($A$6),$A79,"Experiment",K$5,"date",K$6)=0,NA(),GETPIVOTDATA(_xlfn.VALUETOTEXT($A$4),'PREFILL-PIVOT'!$A$3,_xlfn.VALUETOTEXT($A$6),$A79,"Experiment",K$5,"date",K$6))</f>
        <v>#REF!</v>
      </c>
      <c r="L79" t="e">
        <f>IF(GETPIVOTDATA(_xlfn.VALUETOTEXT($A$4),'PREFILL-PIVOT'!$A$3,_xlfn.VALUETOTEXT($A$6),$A79,"Experiment",L$5,"date",L$6)=0,NA(),GETPIVOTDATA(_xlfn.VALUETOTEXT($A$4),'PREFILL-PIVOT'!$A$3,_xlfn.VALUETOTEXT($A$6),$A79,"Experiment",L$5,"date",L$6))</f>
        <v>#REF!</v>
      </c>
      <c r="M79" t="e">
        <f>IF(GETPIVOTDATA(_xlfn.VALUETOTEXT($A$4),'PREFILL-PIVOT'!$A$3,_xlfn.VALUETOTEXT($A$6),$A79,"Experiment",M$5,"date",M$6)=0,NA(),GETPIVOTDATA(_xlfn.VALUETOTEXT($A$4),'PREFILL-PIVOT'!$A$3,_xlfn.VALUETOTEXT($A$6),$A79,"Experiment",M$5,"date",M$6))</f>
        <v>#REF!</v>
      </c>
    </row>
    <row r="80" spans="1:13" x14ac:dyDescent="0.25">
      <c r="A80" s="222" t="e">
        <f>IF('PREFILL-PIVOT'!A78=0,NA(),'PREFILL-PIVOT'!A78)</f>
        <v>#N/A</v>
      </c>
      <c r="B80" t="e">
        <f>IF(GETPIVOTDATA(_xlfn.VALUETOTEXT($A$4),'PREFILL-PIVOT'!$A$3,_xlfn.VALUETOTEXT($A$6),$A80,"Experiment",B$5,"date",B$6)=0,NA(),GETPIVOTDATA(_xlfn.VALUETOTEXT($A$4),'PREFILL-PIVOT'!$A$3,_xlfn.VALUETOTEXT($A$6),$A80,"Experiment",B$5,"date",B$6))</f>
        <v>#REF!</v>
      </c>
      <c r="C80" t="e">
        <f>IF(GETPIVOTDATA(_xlfn.VALUETOTEXT($A$4),'PREFILL-PIVOT'!$A$3,_xlfn.VALUETOTEXT($A$6),$A80,"Experiment",C$5,"date",C$6)=0,NA(),GETPIVOTDATA(_xlfn.VALUETOTEXT($A$4),'PREFILL-PIVOT'!$A$3,_xlfn.VALUETOTEXT($A$6),$A80,"Experiment",C$5,"date",C$6))</f>
        <v>#REF!</v>
      </c>
      <c r="D80" t="e">
        <f>IF(GETPIVOTDATA(_xlfn.VALUETOTEXT($A$4),'PREFILL-PIVOT'!$A$3,_xlfn.VALUETOTEXT($A$6),$A80,"Experiment",D$5,"date",D$6)=0,NA(),GETPIVOTDATA(_xlfn.VALUETOTEXT($A$4),'PREFILL-PIVOT'!$A$3,_xlfn.VALUETOTEXT($A$6),$A80,"Experiment",D$5,"date",D$6))</f>
        <v>#REF!</v>
      </c>
      <c r="E80" t="e">
        <f>IF(GETPIVOTDATA(_xlfn.VALUETOTEXT($A$4),'PREFILL-PIVOT'!$A$3,_xlfn.VALUETOTEXT($A$6),$A80,"Experiment",E$5,"date",E$6)=0,NA(),GETPIVOTDATA(_xlfn.VALUETOTEXT($A$4),'PREFILL-PIVOT'!$A$3,_xlfn.VALUETOTEXT($A$6),$A80,"Experiment",E$5,"date",E$6))</f>
        <v>#REF!</v>
      </c>
      <c r="F80" t="e">
        <f>IF(GETPIVOTDATA(_xlfn.VALUETOTEXT($A$4),'PREFILL-PIVOT'!$A$3,_xlfn.VALUETOTEXT($A$6),$A80,"Experiment",F$5,"date",F$6)=0,NA(),GETPIVOTDATA(_xlfn.VALUETOTEXT($A$4),'PREFILL-PIVOT'!$A$3,_xlfn.VALUETOTEXT($A$6),$A80,"Experiment",F$5,"date",F$6))</f>
        <v>#REF!</v>
      </c>
      <c r="G80" t="e">
        <f>IF(GETPIVOTDATA(_xlfn.VALUETOTEXT($A$4),'PREFILL-PIVOT'!$A$3,_xlfn.VALUETOTEXT($A$6),$A80,"Experiment",G$5,"date",G$6)=0,NA(),GETPIVOTDATA(_xlfn.VALUETOTEXT($A$4),'PREFILL-PIVOT'!$A$3,_xlfn.VALUETOTEXT($A$6),$A80,"Experiment",G$5,"date",G$6))</f>
        <v>#REF!</v>
      </c>
      <c r="H80" t="e">
        <f>IF(GETPIVOTDATA(_xlfn.VALUETOTEXT($A$4),'PREFILL-PIVOT'!$A$3,_xlfn.VALUETOTEXT($A$6),$A80,"Experiment",H$5,"date",H$6)=0,NA(),GETPIVOTDATA(_xlfn.VALUETOTEXT($A$4),'PREFILL-PIVOT'!$A$3,_xlfn.VALUETOTEXT($A$6),$A80,"Experiment",H$5,"date",H$6))</f>
        <v>#REF!</v>
      </c>
      <c r="I80" t="e">
        <f>IF(GETPIVOTDATA(_xlfn.VALUETOTEXT($A$4),'PREFILL-PIVOT'!$A$3,_xlfn.VALUETOTEXT($A$6),$A80,"Experiment",I$5,"date",I$6)=0,NA(),GETPIVOTDATA(_xlfn.VALUETOTEXT($A$4),'PREFILL-PIVOT'!$A$3,_xlfn.VALUETOTEXT($A$6),$A80,"Experiment",I$5,"date",I$6))</f>
        <v>#REF!</v>
      </c>
      <c r="J80" t="e">
        <f>IF(GETPIVOTDATA(_xlfn.VALUETOTEXT($A$4),'PREFILL-PIVOT'!$A$3,_xlfn.VALUETOTEXT($A$6),$A80,"Experiment",J$5,"date",J$6)=0,NA(),GETPIVOTDATA(_xlfn.VALUETOTEXT($A$4),'PREFILL-PIVOT'!$A$3,_xlfn.VALUETOTEXT($A$6),$A80,"Experiment",J$5,"date",J$6))</f>
        <v>#REF!</v>
      </c>
      <c r="K80" t="e">
        <f>IF(GETPIVOTDATA(_xlfn.VALUETOTEXT($A$4),'PREFILL-PIVOT'!$A$3,_xlfn.VALUETOTEXT($A$6),$A80,"Experiment",K$5,"date",K$6)=0,NA(),GETPIVOTDATA(_xlfn.VALUETOTEXT($A$4),'PREFILL-PIVOT'!$A$3,_xlfn.VALUETOTEXT($A$6),$A80,"Experiment",K$5,"date",K$6))</f>
        <v>#REF!</v>
      </c>
      <c r="L80" t="e">
        <f>IF(GETPIVOTDATA(_xlfn.VALUETOTEXT($A$4),'PREFILL-PIVOT'!$A$3,_xlfn.VALUETOTEXT($A$6),$A80,"Experiment",L$5,"date",L$6)=0,NA(),GETPIVOTDATA(_xlfn.VALUETOTEXT($A$4),'PREFILL-PIVOT'!$A$3,_xlfn.VALUETOTEXT($A$6),$A80,"Experiment",L$5,"date",L$6))</f>
        <v>#REF!</v>
      </c>
      <c r="M80" t="e">
        <f>IF(GETPIVOTDATA(_xlfn.VALUETOTEXT($A$4),'PREFILL-PIVOT'!$A$3,_xlfn.VALUETOTEXT($A$6),$A80,"Experiment",M$5,"date",M$6)=0,NA(),GETPIVOTDATA(_xlfn.VALUETOTEXT($A$4),'PREFILL-PIVOT'!$A$3,_xlfn.VALUETOTEXT($A$6),$A80,"Experiment",M$5,"date",M$6))</f>
        <v>#REF!</v>
      </c>
    </row>
    <row r="81" spans="1:13" x14ac:dyDescent="0.25">
      <c r="A81" s="222" t="e">
        <f>IF('PREFILL-PIVOT'!A79=0,NA(),'PREFILL-PIVOT'!A79)</f>
        <v>#N/A</v>
      </c>
      <c r="B81" t="e">
        <f>IF(GETPIVOTDATA(_xlfn.VALUETOTEXT($A$4),'PREFILL-PIVOT'!$A$3,_xlfn.VALUETOTEXT($A$6),$A81,"Experiment",B$5,"date",B$6)=0,NA(),GETPIVOTDATA(_xlfn.VALUETOTEXT($A$4),'PREFILL-PIVOT'!$A$3,_xlfn.VALUETOTEXT($A$6),$A81,"Experiment",B$5,"date",B$6))</f>
        <v>#REF!</v>
      </c>
      <c r="C81" t="e">
        <f>IF(GETPIVOTDATA(_xlfn.VALUETOTEXT($A$4),'PREFILL-PIVOT'!$A$3,_xlfn.VALUETOTEXT($A$6),$A81,"Experiment",C$5,"date",C$6)=0,NA(),GETPIVOTDATA(_xlfn.VALUETOTEXT($A$4),'PREFILL-PIVOT'!$A$3,_xlfn.VALUETOTEXT($A$6),$A81,"Experiment",C$5,"date",C$6))</f>
        <v>#REF!</v>
      </c>
      <c r="D81" t="e">
        <f>IF(GETPIVOTDATA(_xlfn.VALUETOTEXT($A$4),'PREFILL-PIVOT'!$A$3,_xlfn.VALUETOTEXT($A$6),$A81,"Experiment",D$5,"date",D$6)=0,NA(),GETPIVOTDATA(_xlfn.VALUETOTEXT($A$4),'PREFILL-PIVOT'!$A$3,_xlfn.VALUETOTEXT($A$6),$A81,"Experiment",D$5,"date",D$6))</f>
        <v>#REF!</v>
      </c>
      <c r="E81" t="e">
        <f>IF(GETPIVOTDATA(_xlfn.VALUETOTEXT($A$4),'PREFILL-PIVOT'!$A$3,_xlfn.VALUETOTEXT($A$6),$A81,"Experiment",E$5,"date",E$6)=0,NA(),GETPIVOTDATA(_xlfn.VALUETOTEXT($A$4),'PREFILL-PIVOT'!$A$3,_xlfn.VALUETOTEXT($A$6),$A81,"Experiment",E$5,"date",E$6))</f>
        <v>#REF!</v>
      </c>
      <c r="F81" t="e">
        <f>IF(GETPIVOTDATA(_xlfn.VALUETOTEXT($A$4),'PREFILL-PIVOT'!$A$3,_xlfn.VALUETOTEXT($A$6),$A81,"Experiment",F$5,"date",F$6)=0,NA(),GETPIVOTDATA(_xlfn.VALUETOTEXT($A$4),'PREFILL-PIVOT'!$A$3,_xlfn.VALUETOTEXT($A$6),$A81,"Experiment",F$5,"date",F$6))</f>
        <v>#REF!</v>
      </c>
      <c r="G81" t="e">
        <f>IF(GETPIVOTDATA(_xlfn.VALUETOTEXT($A$4),'PREFILL-PIVOT'!$A$3,_xlfn.VALUETOTEXT($A$6),$A81,"Experiment",G$5,"date",G$6)=0,NA(),GETPIVOTDATA(_xlfn.VALUETOTEXT($A$4),'PREFILL-PIVOT'!$A$3,_xlfn.VALUETOTEXT($A$6),$A81,"Experiment",G$5,"date",G$6))</f>
        <v>#REF!</v>
      </c>
      <c r="H81" t="e">
        <f>IF(GETPIVOTDATA(_xlfn.VALUETOTEXT($A$4),'PREFILL-PIVOT'!$A$3,_xlfn.VALUETOTEXT($A$6),$A81,"Experiment",H$5,"date",H$6)=0,NA(),GETPIVOTDATA(_xlfn.VALUETOTEXT($A$4),'PREFILL-PIVOT'!$A$3,_xlfn.VALUETOTEXT($A$6),$A81,"Experiment",H$5,"date",H$6))</f>
        <v>#REF!</v>
      </c>
      <c r="I81" t="e">
        <f>IF(GETPIVOTDATA(_xlfn.VALUETOTEXT($A$4),'PREFILL-PIVOT'!$A$3,_xlfn.VALUETOTEXT($A$6),$A81,"Experiment",I$5,"date",I$6)=0,NA(),GETPIVOTDATA(_xlfn.VALUETOTEXT($A$4),'PREFILL-PIVOT'!$A$3,_xlfn.VALUETOTEXT($A$6),$A81,"Experiment",I$5,"date",I$6))</f>
        <v>#REF!</v>
      </c>
      <c r="J81" t="e">
        <f>IF(GETPIVOTDATA(_xlfn.VALUETOTEXT($A$4),'PREFILL-PIVOT'!$A$3,_xlfn.VALUETOTEXT($A$6),$A81,"Experiment",J$5,"date",J$6)=0,NA(),GETPIVOTDATA(_xlfn.VALUETOTEXT($A$4),'PREFILL-PIVOT'!$A$3,_xlfn.VALUETOTEXT($A$6),$A81,"Experiment",J$5,"date",J$6))</f>
        <v>#REF!</v>
      </c>
      <c r="K81" t="e">
        <f>IF(GETPIVOTDATA(_xlfn.VALUETOTEXT($A$4),'PREFILL-PIVOT'!$A$3,_xlfn.VALUETOTEXT($A$6),$A81,"Experiment",K$5,"date",K$6)=0,NA(),GETPIVOTDATA(_xlfn.VALUETOTEXT($A$4),'PREFILL-PIVOT'!$A$3,_xlfn.VALUETOTEXT($A$6),$A81,"Experiment",K$5,"date",K$6))</f>
        <v>#REF!</v>
      </c>
      <c r="L81" t="e">
        <f>IF(GETPIVOTDATA(_xlfn.VALUETOTEXT($A$4),'PREFILL-PIVOT'!$A$3,_xlfn.VALUETOTEXT($A$6),$A81,"Experiment",L$5,"date",L$6)=0,NA(),GETPIVOTDATA(_xlfn.VALUETOTEXT($A$4),'PREFILL-PIVOT'!$A$3,_xlfn.VALUETOTEXT($A$6),$A81,"Experiment",L$5,"date",L$6))</f>
        <v>#REF!</v>
      </c>
      <c r="M81" t="e">
        <f>IF(GETPIVOTDATA(_xlfn.VALUETOTEXT($A$4),'PREFILL-PIVOT'!$A$3,_xlfn.VALUETOTEXT($A$6),$A81,"Experiment",M$5,"date",M$6)=0,NA(),GETPIVOTDATA(_xlfn.VALUETOTEXT($A$4),'PREFILL-PIVOT'!$A$3,_xlfn.VALUETOTEXT($A$6),$A81,"Experiment",M$5,"date",M$6))</f>
        <v>#REF!</v>
      </c>
    </row>
    <row r="82" spans="1:13" x14ac:dyDescent="0.25">
      <c r="A82" s="222" t="e">
        <f>IF('PREFILL-PIVOT'!A80=0,NA(),'PREFILL-PIVOT'!A80)</f>
        <v>#N/A</v>
      </c>
      <c r="B82" t="e">
        <f>IF(GETPIVOTDATA(_xlfn.VALUETOTEXT($A$4),'PREFILL-PIVOT'!$A$3,_xlfn.VALUETOTEXT($A$6),$A82,"Experiment",B$5,"date",B$6)=0,NA(),GETPIVOTDATA(_xlfn.VALUETOTEXT($A$4),'PREFILL-PIVOT'!$A$3,_xlfn.VALUETOTEXT($A$6),$A82,"Experiment",B$5,"date",B$6))</f>
        <v>#REF!</v>
      </c>
      <c r="C82" t="e">
        <f>IF(GETPIVOTDATA(_xlfn.VALUETOTEXT($A$4),'PREFILL-PIVOT'!$A$3,_xlfn.VALUETOTEXT($A$6),$A82,"Experiment",C$5,"date",C$6)=0,NA(),GETPIVOTDATA(_xlfn.VALUETOTEXT($A$4),'PREFILL-PIVOT'!$A$3,_xlfn.VALUETOTEXT($A$6),$A82,"Experiment",C$5,"date",C$6))</f>
        <v>#REF!</v>
      </c>
      <c r="D82" t="e">
        <f>IF(GETPIVOTDATA(_xlfn.VALUETOTEXT($A$4),'PREFILL-PIVOT'!$A$3,_xlfn.VALUETOTEXT($A$6),$A82,"Experiment",D$5,"date",D$6)=0,NA(),GETPIVOTDATA(_xlfn.VALUETOTEXT($A$4),'PREFILL-PIVOT'!$A$3,_xlfn.VALUETOTEXT($A$6),$A82,"Experiment",D$5,"date",D$6))</f>
        <v>#REF!</v>
      </c>
      <c r="E82" t="e">
        <f>IF(GETPIVOTDATA(_xlfn.VALUETOTEXT($A$4),'PREFILL-PIVOT'!$A$3,_xlfn.VALUETOTEXT($A$6),$A82,"Experiment",E$5,"date",E$6)=0,NA(),GETPIVOTDATA(_xlfn.VALUETOTEXT($A$4),'PREFILL-PIVOT'!$A$3,_xlfn.VALUETOTEXT($A$6),$A82,"Experiment",E$5,"date",E$6))</f>
        <v>#REF!</v>
      </c>
      <c r="F82" t="e">
        <f>IF(GETPIVOTDATA(_xlfn.VALUETOTEXT($A$4),'PREFILL-PIVOT'!$A$3,_xlfn.VALUETOTEXT($A$6),$A82,"Experiment",F$5,"date",F$6)=0,NA(),GETPIVOTDATA(_xlfn.VALUETOTEXT($A$4),'PREFILL-PIVOT'!$A$3,_xlfn.VALUETOTEXT($A$6),$A82,"Experiment",F$5,"date",F$6))</f>
        <v>#REF!</v>
      </c>
      <c r="G82" t="e">
        <f>IF(GETPIVOTDATA(_xlfn.VALUETOTEXT($A$4),'PREFILL-PIVOT'!$A$3,_xlfn.VALUETOTEXT($A$6),$A82,"Experiment",G$5,"date",G$6)=0,NA(),GETPIVOTDATA(_xlfn.VALUETOTEXT($A$4),'PREFILL-PIVOT'!$A$3,_xlfn.VALUETOTEXT($A$6),$A82,"Experiment",G$5,"date",G$6))</f>
        <v>#REF!</v>
      </c>
      <c r="H82" t="e">
        <f>IF(GETPIVOTDATA(_xlfn.VALUETOTEXT($A$4),'PREFILL-PIVOT'!$A$3,_xlfn.VALUETOTEXT($A$6),$A82,"Experiment",H$5,"date",H$6)=0,NA(),GETPIVOTDATA(_xlfn.VALUETOTEXT($A$4),'PREFILL-PIVOT'!$A$3,_xlfn.VALUETOTEXT($A$6),$A82,"Experiment",H$5,"date",H$6))</f>
        <v>#REF!</v>
      </c>
      <c r="I82" t="e">
        <f>IF(GETPIVOTDATA(_xlfn.VALUETOTEXT($A$4),'PREFILL-PIVOT'!$A$3,_xlfn.VALUETOTEXT($A$6),$A82,"Experiment",I$5,"date",I$6)=0,NA(),GETPIVOTDATA(_xlfn.VALUETOTEXT($A$4),'PREFILL-PIVOT'!$A$3,_xlfn.VALUETOTEXT($A$6),$A82,"Experiment",I$5,"date",I$6))</f>
        <v>#REF!</v>
      </c>
      <c r="J82" t="e">
        <f>IF(GETPIVOTDATA(_xlfn.VALUETOTEXT($A$4),'PREFILL-PIVOT'!$A$3,_xlfn.VALUETOTEXT($A$6),$A82,"Experiment",J$5,"date",J$6)=0,NA(),GETPIVOTDATA(_xlfn.VALUETOTEXT($A$4),'PREFILL-PIVOT'!$A$3,_xlfn.VALUETOTEXT($A$6),$A82,"Experiment",J$5,"date",J$6))</f>
        <v>#REF!</v>
      </c>
      <c r="K82" t="e">
        <f>IF(GETPIVOTDATA(_xlfn.VALUETOTEXT($A$4),'PREFILL-PIVOT'!$A$3,_xlfn.VALUETOTEXT($A$6),$A82,"Experiment",K$5,"date",K$6)=0,NA(),GETPIVOTDATA(_xlfn.VALUETOTEXT($A$4),'PREFILL-PIVOT'!$A$3,_xlfn.VALUETOTEXT($A$6),$A82,"Experiment",K$5,"date",K$6))</f>
        <v>#REF!</v>
      </c>
      <c r="L82" t="e">
        <f>IF(GETPIVOTDATA(_xlfn.VALUETOTEXT($A$4),'PREFILL-PIVOT'!$A$3,_xlfn.VALUETOTEXT($A$6),$A82,"Experiment",L$5,"date",L$6)=0,NA(),GETPIVOTDATA(_xlfn.VALUETOTEXT($A$4),'PREFILL-PIVOT'!$A$3,_xlfn.VALUETOTEXT($A$6),$A82,"Experiment",L$5,"date",L$6))</f>
        <v>#REF!</v>
      </c>
      <c r="M82" t="e">
        <f>IF(GETPIVOTDATA(_xlfn.VALUETOTEXT($A$4),'PREFILL-PIVOT'!$A$3,_xlfn.VALUETOTEXT($A$6),$A82,"Experiment",M$5,"date",M$6)=0,NA(),GETPIVOTDATA(_xlfn.VALUETOTEXT($A$4),'PREFILL-PIVOT'!$A$3,_xlfn.VALUETOTEXT($A$6),$A82,"Experiment",M$5,"date",M$6))</f>
        <v>#REF!</v>
      </c>
    </row>
    <row r="83" spans="1:13" x14ac:dyDescent="0.25">
      <c r="A83" s="222" t="e">
        <f>IF('PREFILL-PIVOT'!A81=0,NA(),'PREFILL-PIVOT'!A81)</f>
        <v>#N/A</v>
      </c>
      <c r="B83" t="e">
        <f>IF(GETPIVOTDATA(_xlfn.VALUETOTEXT($A$4),'PREFILL-PIVOT'!$A$3,_xlfn.VALUETOTEXT($A$6),$A83,"Experiment",B$5,"date",B$6)=0,NA(),GETPIVOTDATA(_xlfn.VALUETOTEXT($A$4),'PREFILL-PIVOT'!$A$3,_xlfn.VALUETOTEXT($A$6),$A83,"Experiment",B$5,"date",B$6))</f>
        <v>#REF!</v>
      </c>
      <c r="C83" t="e">
        <f>IF(GETPIVOTDATA(_xlfn.VALUETOTEXT($A$4),'PREFILL-PIVOT'!$A$3,_xlfn.VALUETOTEXT($A$6),$A83,"Experiment",C$5,"date",C$6)=0,NA(),GETPIVOTDATA(_xlfn.VALUETOTEXT($A$4),'PREFILL-PIVOT'!$A$3,_xlfn.VALUETOTEXT($A$6),$A83,"Experiment",C$5,"date",C$6))</f>
        <v>#REF!</v>
      </c>
      <c r="D83" t="e">
        <f>IF(GETPIVOTDATA(_xlfn.VALUETOTEXT($A$4),'PREFILL-PIVOT'!$A$3,_xlfn.VALUETOTEXT($A$6),$A83,"Experiment",D$5,"date",D$6)=0,NA(),GETPIVOTDATA(_xlfn.VALUETOTEXT($A$4),'PREFILL-PIVOT'!$A$3,_xlfn.VALUETOTEXT($A$6),$A83,"Experiment",D$5,"date",D$6))</f>
        <v>#REF!</v>
      </c>
      <c r="E83" t="e">
        <f>IF(GETPIVOTDATA(_xlfn.VALUETOTEXT($A$4),'PREFILL-PIVOT'!$A$3,_xlfn.VALUETOTEXT($A$6),$A83,"Experiment",E$5,"date",E$6)=0,NA(),GETPIVOTDATA(_xlfn.VALUETOTEXT($A$4),'PREFILL-PIVOT'!$A$3,_xlfn.VALUETOTEXT($A$6),$A83,"Experiment",E$5,"date",E$6))</f>
        <v>#REF!</v>
      </c>
      <c r="F83" t="e">
        <f>IF(GETPIVOTDATA(_xlfn.VALUETOTEXT($A$4),'PREFILL-PIVOT'!$A$3,_xlfn.VALUETOTEXT($A$6),$A83,"Experiment",F$5,"date",F$6)=0,NA(),GETPIVOTDATA(_xlfn.VALUETOTEXT($A$4),'PREFILL-PIVOT'!$A$3,_xlfn.VALUETOTEXT($A$6),$A83,"Experiment",F$5,"date",F$6))</f>
        <v>#REF!</v>
      </c>
      <c r="G83" t="e">
        <f>IF(GETPIVOTDATA(_xlfn.VALUETOTEXT($A$4),'PREFILL-PIVOT'!$A$3,_xlfn.VALUETOTEXT($A$6),$A83,"Experiment",G$5,"date",G$6)=0,NA(),GETPIVOTDATA(_xlfn.VALUETOTEXT($A$4),'PREFILL-PIVOT'!$A$3,_xlfn.VALUETOTEXT($A$6),$A83,"Experiment",G$5,"date",G$6))</f>
        <v>#REF!</v>
      </c>
      <c r="H83" t="e">
        <f>IF(GETPIVOTDATA(_xlfn.VALUETOTEXT($A$4),'PREFILL-PIVOT'!$A$3,_xlfn.VALUETOTEXT($A$6),$A83,"Experiment",H$5,"date",H$6)=0,NA(),GETPIVOTDATA(_xlfn.VALUETOTEXT($A$4),'PREFILL-PIVOT'!$A$3,_xlfn.VALUETOTEXT($A$6),$A83,"Experiment",H$5,"date",H$6))</f>
        <v>#REF!</v>
      </c>
      <c r="I83" t="e">
        <f>IF(GETPIVOTDATA(_xlfn.VALUETOTEXT($A$4),'PREFILL-PIVOT'!$A$3,_xlfn.VALUETOTEXT($A$6),$A83,"Experiment",I$5,"date",I$6)=0,NA(),GETPIVOTDATA(_xlfn.VALUETOTEXT($A$4),'PREFILL-PIVOT'!$A$3,_xlfn.VALUETOTEXT($A$6),$A83,"Experiment",I$5,"date",I$6))</f>
        <v>#REF!</v>
      </c>
      <c r="J83" t="e">
        <f>IF(GETPIVOTDATA(_xlfn.VALUETOTEXT($A$4),'PREFILL-PIVOT'!$A$3,_xlfn.VALUETOTEXT($A$6),$A83,"Experiment",J$5,"date",J$6)=0,NA(),GETPIVOTDATA(_xlfn.VALUETOTEXT($A$4),'PREFILL-PIVOT'!$A$3,_xlfn.VALUETOTEXT($A$6),$A83,"Experiment",J$5,"date",J$6))</f>
        <v>#REF!</v>
      </c>
      <c r="K83" t="e">
        <f>IF(GETPIVOTDATA(_xlfn.VALUETOTEXT($A$4),'PREFILL-PIVOT'!$A$3,_xlfn.VALUETOTEXT($A$6),$A83,"Experiment",K$5,"date",K$6)=0,NA(),GETPIVOTDATA(_xlfn.VALUETOTEXT($A$4),'PREFILL-PIVOT'!$A$3,_xlfn.VALUETOTEXT($A$6),$A83,"Experiment",K$5,"date",K$6))</f>
        <v>#REF!</v>
      </c>
      <c r="L83" t="e">
        <f>IF(GETPIVOTDATA(_xlfn.VALUETOTEXT($A$4),'PREFILL-PIVOT'!$A$3,_xlfn.VALUETOTEXT($A$6),$A83,"Experiment",L$5,"date",L$6)=0,NA(),GETPIVOTDATA(_xlfn.VALUETOTEXT($A$4),'PREFILL-PIVOT'!$A$3,_xlfn.VALUETOTEXT($A$6),$A83,"Experiment",L$5,"date",L$6))</f>
        <v>#REF!</v>
      </c>
      <c r="M83" t="e">
        <f>IF(GETPIVOTDATA(_xlfn.VALUETOTEXT($A$4),'PREFILL-PIVOT'!$A$3,_xlfn.VALUETOTEXT($A$6),$A83,"Experiment",M$5,"date",M$6)=0,NA(),GETPIVOTDATA(_xlfn.VALUETOTEXT($A$4),'PREFILL-PIVOT'!$A$3,_xlfn.VALUETOTEXT($A$6),$A83,"Experiment",M$5,"date",M$6))</f>
        <v>#REF!</v>
      </c>
    </row>
    <row r="84" spans="1:13" x14ac:dyDescent="0.25">
      <c r="A84" s="222" t="e">
        <f>IF('PREFILL-PIVOT'!A82=0,NA(),'PREFILL-PIVOT'!A82)</f>
        <v>#N/A</v>
      </c>
      <c r="B84" t="e">
        <f>IF(GETPIVOTDATA(_xlfn.VALUETOTEXT($A$4),'PREFILL-PIVOT'!$A$3,_xlfn.VALUETOTEXT($A$6),$A84,"Experiment",B$5,"date",B$6)=0,NA(),GETPIVOTDATA(_xlfn.VALUETOTEXT($A$4),'PREFILL-PIVOT'!$A$3,_xlfn.VALUETOTEXT($A$6),$A84,"Experiment",B$5,"date",B$6))</f>
        <v>#REF!</v>
      </c>
      <c r="C84" t="e">
        <f>IF(GETPIVOTDATA(_xlfn.VALUETOTEXT($A$4),'PREFILL-PIVOT'!$A$3,_xlfn.VALUETOTEXT($A$6),$A84,"Experiment",C$5,"date",C$6)=0,NA(),GETPIVOTDATA(_xlfn.VALUETOTEXT($A$4),'PREFILL-PIVOT'!$A$3,_xlfn.VALUETOTEXT($A$6),$A84,"Experiment",C$5,"date",C$6))</f>
        <v>#REF!</v>
      </c>
      <c r="D84" t="e">
        <f>IF(GETPIVOTDATA(_xlfn.VALUETOTEXT($A$4),'PREFILL-PIVOT'!$A$3,_xlfn.VALUETOTEXT($A$6),$A84,"Experiment",D$5,"date",D$6)=0,NA(),GETPIVOTDATA(_xlfn.VALUETOTEXT($A$4),'PREFILL-PIVOT'!$A$3,_xlfn.VALUETOTEXT($A$6),$A84,"Experiment",D$5,"date",D$6))</f>
        <v>#REF!</v>
      </c>
      <c r="E84" t="e">
        <f>IF(GETPIVOTDATA(_xlfn.VALUETOTEXT($A$4),'PREFILL-PIVOT'!$A$3,_xlfn.VALUETOTEXT($A$6),$A84,"Experiment",E$5,"date",E$6)=0,NA(),GETPIVOTDATA(_xlfn.VALUETOTEXT($A$4),'PREFILL-PIVOT'!$A$3,_xlfn.VALUETOTEXT($A$6),$A84,"Experiment",E$5,"date",E$6))</f>
        <v>#REF!</v>
      </c>
      <c r="F84" t="e">
        <f>IF(GETPIVOTDATA(_xlfn.VALUETOTEXT($A$4),'PREFILL-PIVOT'!$A$3,_xlfn.VALUETOTEXT($A$6),$A84,"Experiment",F$5,"date",F$6)=0,NA(),GETPIVOTDATA(_xlfn.VALUETOTEXT($A$4),'PREFILL-PIVOT'!$A$3,_xlfn.VALUETOTEXT($A$6),$A84,"Experiment",F$5,"date",F$6))</f>
        <v>#REF!</v>
      </c>
      <c r="G84" t="e">
        <f>IF(GETPIVOTDATA(_xlfn.VALUETOTEXT($A$4),'PREFILL-PIVOT'!$A$3,_xlfn.VALUETOTEXT($A$6),$A84,"Experiment",G$5,"date",G$6)=0,NA(),GETPIVOTDATA(_xlfn.VALUETOTEXT($A$4),'PREFILL-PIVOT'!$A$3,_xlfn.VALUETOTEXT($A$6),$A84,"Experiment",G$5,"date",G$6))</f>
        <v>#REF!</v>
      </c>
      <c r="H84" t="e">
        <f>IF(GETPIVOTDATA(_xlfn.VALUETOTEXT($A$4),'PREFILL-PIVOT'!$A$3,_xlfn.VALUETOTEXT($A$6),$A84,"Experiment",H$5,"date",H$6)=0,NA(),GETPIVOTDATA(_xlfn.VALUETOTEXT($A$4),'PREFILL-PIVOT'!$A$3,_xlfn.VALUETOTEXT($A$6),$A84,"Experiment",H$5,"date",H$6))</f>
        <v>#REF!</v>
      </c>
      <c r="I84" t="e">
        <f>IF(GETPIVOTDATA(_xlfn.VALUETOTEXT($A$4),'PREFILL-PIVOT'!$A$3,_xlfn.VALUETOTEXT($A$6),$A84,"Experiment",I$5,"date",I$6)=0,NA(),GETPIVOTDATA(_xlfn.VALUETOTEXT($A$4),'PREFILL-PIVOT'!$A$3,_xlfn.VALUETOTEXT($A$6),$A84,"Experiment",I$5,"date",I$6))</f>
        <v>#REF!</v>
      </c>
      <c r="J84" t="e">
        <f>IF(GETPIVOTDATA(_xlfn.VALUETOTEXT($A$4),'PREFILL-PIVOT'!$A$3,_xlfn.VALUETOTEXT($A$6),$A84,"Experiment",J$5,"date",J$6)=0,NA(),GETPIVOTDATA(_xlfn.VALUETOTEXT($A$4),'PREFILL-PIVOT'!$A$3,_xlfn.VALUETOTEXT($A$6),$A84,"Experiment",J$5,"date",J$6))</f>
        <v>#REF!</v>
      </c>
      <c r="K84" t="e">
        <f>IF(GETPIVOTDATA(_xlfn.VALUETOTEXT($A$4),'PREFILL-PIVOT'!$A$3,_xlfn.VALUETOTEXT($A$6),$A84,"Experiment",K$5,"date",K$6)=0,NA(),GETPIVOTDATA(_xlfn.VALUETOTEXT($A$4),'PREFILL-PIVOT'!$A$3,_xlfn.VALUETOTEXT($A$6),$A84,"Experiment",K$5,"date",K$6))</f>
        <v>#REF!</v>
      </c>
      <c r="L84" t="e">
        <f>IF(GETPIVOTDATA(_xlfn.VALUETOTEXT($A$4),'PREFILL-PIVOT'!$A$3,_xlfn.VALUETOTEXT($A$6),$A84,"Experiment",L$5,"date",L$6)=0,NA(),GETPIVOTDATA(_xlfn.VALUETOTEXT($A$4),'PREFILL-PIVOT'!$A$3,_xlfn.VALUETOTEXT($A$6),$A84,"Experiment",L$5,"date",L$6))</f>
        <v>#REF!</v>
      </c>
      <c r="M84" t="e">
        <f>IF(GETPIVOTDATA(_xlfn.VALUETOTEXT($A$4),'PREFILL-PIVOT'!$A$3,_xlfn.VALUETOTEXT($A$6),$A84,"Experiment",M$5,"date",M$6)=0,NA(),GETPIVOTDATA(_xlfn.VALUETOTEXT($A$4),'PREFILL-PIVOT'!$A$3,_xlfn.VALUETOTEXT($A$6),$A84,"Experiment",M$5,"date",M$6))</f>
        <v>#REF!</v>
      </c>
    </row>
    <row r="85" spans="1:13" x14ac:dyDescent="0.25">
      <c r="A85" s="222" t="e">
        <f>IF('PREFILL-PIVOT'!A83=0,NA(),'PREFILL-PIVOT'!A83)</f>
        <v>#N/A</v>
      </c>
      <c r="B85" t="e">
        <f>IF(GETPIVOTDATA(_xlfn.VALUETOTEXT($A$4),'PREFILL-PIVOT'!$A$3,_xlfn.VALUETOTEXT($A$6),$A85,"Experiment",B$5,"date",B$6)=0,NA(),GETPIVOTDATA(_xlfn.VALUETOTEXT($A$4),'PREFILL-PIVOT'!$A$3,_xlfn.VALUETOTEXT($A$6),$A85,"Experiment",B$5,"date",B$6))</f>
        <v>#REF!</v>
      </c>
      <c r="C85" t="e">
        <f>IF(GETPIVOTDATA(_xlfn.VALUETOTEXT($A$4),'PREFILL-PIVOT'!$A$3,_xlfn.VALUETOTEXT($A$6),$A85,"Experiment",C$5,"date",C$6)=0,NA(),GETPIVOTDATA(_xlfn.VALUETOTEXT($A$4),'PREFILL-PIVOT'!$A$3,_xlfn.VALUETOTEXT($A$6),$A85,"Experiment",C$5,"date",C$6))</f>
        <v>#REF!</v>
      </c>
      <c r="D85" t="e">
        <f>IF(GETPIVOTDATA(_xlfn.VALUETOTEXT($A$4),'PREFILL-PIVOT'!$A$3,_xlfn.VALUETOTEXT($A$6),$A85,"Experiment",D$5,"date",D$6)=0,NA(),GETPIVOTDATA(_xlfn.VALUETOTEXT($A$4),'PREFILL-PIVOT'!$A$3,_xlfn.VALUETOTEXT($A$6),$A85,"Experiment",D$5,"date",D$6))</f>
        <v>#REF!</v>
      </c>
      <c r="E85" t="e">
        <f>IF(GETPIVOTDATA(_xlfn.VALUETOTEXT($A$4),'PREFILL-PIVOT'!$A$3,_xlfn.VALUETOTEXT($A$6),$A85,"Experiment",E$5,"date",E$6)=0,NA(),GETPIVOTDATA(_xlfn.VALUETOTEXT($A$4),'PREFILL-PIVOT'!$A$3,_xlfn.VALUETOTEXT($A$6),$A85,"Experiment",E$5,"date",E$6))</f>
        <v>#REF!</v>
      </c>
      <c r="F85" t="e">
        <f>IF(GETPIVOTDATA(_xlfn.VALUETOTEXT($A$4),'PREFILL-PIVOT'!$A$3,_xlfn.VALUETOTEXT($A$6),$A85,"Experiment",F$5,"date",F$6)=0,NA(),GETPIVOTDATA(_xlfn.VALUETOTEXT($A$4),'PREFILL-PIVOT'!$A$3,_xlfn.VALUETOTEXT($A$6),$A85,"Experiment",F$5,"date",F$6))</f>
        <v>#REF!</v>
      </c>
      <c r="G85" t="e">
        <f>IF(GETPIVOTDATA(_xlfn.VALUETOTEXT($A$4),'PREFILL-PIVOT'!$A$3,_xlfn.VALUETOTEXT($A$6),$A85,"Experiment",G$5,"date",G$6)=0,NA(),GETPIVOTDATA(_xlfn.VALUETOTEXT($A$4),'PREFILL-PIVOT'!$A$3,_xlfn.VALUETOTEXT($A$6),$A85,"Experiment",G$5,"date",G$6))</f>
        <v>#REF!</v>
      </c>
      <c r="H85" t="e">
        <f>IF(GETPIVOTDATA(_xlfn.VALUETOTEXT($A$4),'PREFILL-PIVOT'!$A$3,_xlfn.VALUETOTEXT($A$6),$A85,"Experiment",H$5,"date",H$6)=0,NA(),GETPIVOTDATA(_xlfn.VALUETOTEXT($A$4),'PREFILL-PIVOT'!$A$3,_xlfn.VALUETOTEXT($A$6),$A85,"Experiment",H$5,"date",H$6))</f>
        <v>#REF!</v>
      </c>
      <c r="I85" t="e">
        <f>IF(GETPIVOTDATA(_xlfn.VALUETOTEXT($A$4),'PREFILL-PIVOT'!$A$3,_xlfn.VALUETOTEXT($A$6),$A85,"Experiment",I$5,"date",I$6)=0,NA(),GETPIVOTDATA(_xlfn.VALUETOTEXT($A$4),'PREFILL-PIVOT'!$A$3,_xlfn.VALUETOTEXT($A$6),$A85,"Experiment",I$5,"date",I$6))</f>
        <v>#REF!</v>
      </c>
      <c r="J85" t="e">
        <f>IF(GETPIVOTDATA(_xlfn.VALUETOTEXT($A$4),'PREFILL-PIVOT'!$A$3,_xlfn.VALUETOTEXT($A$6),$A85,"Experiment",J$5,"date",J$6)=0,NA(),GETPIVOTDATA(_xlfn.VALUETOTEXT($A$4),'PREFILL-PIVOT'!$A$3,_xlfn.VALUETOTEXT($A$6),$A85,"Experiment",J$5,"date",J$6))</f>
        <v>#REF!</v>
      </c>
      <c r="K85" t="e">
        <f>IF(GETPIVOTDATA(_xlfn.VALUETOTEXT($A$4),'PREFILL-PIVOT'!$A$3,_xlfn.VALUETOTEXT($A$6),$A85,"Experiment",K$5,"date",K$6)=0,NA(),GETPIVOTDATA(_xlfn.VALUETOTEXT($A$4),'PREFILL-PIVOT'!$A$3,_xlfn.VALUETOTEXT($A$6),$A85,"Experiment",K$5,"date",K$6))</f>
        <v>#REF!</v>
      </c>
      <c r="L85" t="e">
        <f>IF(GETPIVOTDATA(_xlfn.VALUETOTEXT($A$4),'PREFILL-PIVOT'!$A$3,_xlfn.VALUETOTEXT($A$6),$A85,"Experiment",L$5,"date",L$6)=0,NA(),GETPIVOTDATA(_xlfn.VALUETOTEXT($A$4),'PREFILL-PIVOT'!$A$3,_xlfn.VALUETOTEXT($A$6),$A85,"Experiment",L$5,"date",L$6))</f>
        <v>#REF!</v>
      </c>
      <c r="M85" t="e">
        <f>IF(GETPIVOTDATA(_xlfn.VALUETOTEXT($A$4),'PREFILL-PIVOT'!$A$3,_xlfn.VALUETOTEXT($A$6),$A85,"Experiment",M$5,"date",M$6)=0,NA(),GETPIVOTDATA(_xlfn.VALUETOTEXT($A$4),'PREFILL-PIVOT'!$A$3,_xlfn.VALUETOTEXT($A$6),$A85,"Experiment",M$5,"date",M$6))</f>
        <v>#REF!</v>
      </c>
    </row>
    <row r="86" spans="1:13" x14ac:dyDescent="0.25">
      <c r="A86" s="222" t="e">
        <f>IF('PREFILL-PIVOT'!A84=0,NA(),'PREFILL-PIVOT'!A84)</f>
        <v>#N/A</v>
      </c>
      <c r="B86" t="e">
        <f>IF(GETPIVOTDATA(_xlfn.VALUETOTEXT($A$4),'PREFILL-PIVOT'!$A$3,_xlfn.VALUETOTEXT($A$6),$A86,"Experiment",B$5,"date",B$6)=0,NA(),GETPIVOTDATA(_xlfn.VALUETOTEXT($A$4),'PREFILL-PIVOT'!$A$3,_xlfn.VALUETOTEXT($A$6),$A86,"Experiment",B$5,"date",B$6))</f>
        <v>#REF!</v>
      </c>
      <c r="C86" t="e">
        <f>IF(GETPIVOTDATA(_xlfn.VALUETOTEXT($A$4),'PREFILL-PIVOT'!$A$3,_xlfn.VALUETOTEXT($A$6),$A86,"Experiment",C$5,"date",C$6)=0,NA(),GETPIVOTDATA(_xlfn.VALUETOTEXT($A$4),'PREFILL-PIVOT'!$A$3,_xlfn.VALUETOTEXT($A$6),$A86,"Experiment",C$5,"date",C$6))</f>
        <v>#REF!</v>
      </c>
      <c r="D86" t="e">
        <f>IF(GETPIVOTDATA(_xlfn.VALUETOTEXT($A$4),'PREFILL-PIVOT'!$A$3,_xlfn.VALUETOTEXT($A$6),$A86,"Experiment",D$5,"date",D$6)=0,NA(),GETPIVOTDATA(_xlfn.VALUETOTEXT($A$4),'PREFILL-PIVOT'!$A$3,_xlfn.VALUETOTEXT($A$6),$A86,"Experiment",D$5,"date",D$6))</f>
        <v>#REF!</v>
      </c>
      <c r="E86" t="e">
        <f>IF(GETPIVOTDATA(_xlfn.VALUETOTEXT($A$4),'PREFILL-PIVOT'!$A$3,_xlfn.VALUETOTEXT($A$6),$A86,"Experiment",E$5,"date",E$6)=0,NA(),GETPIVOTDATA(_xlfn.VALUETOTEXT($A$4),'PREFILL-PIVOT'!$A$3,_xlfn.VALUETOTEXT($A$6),$A86,"Experiment",E$5,"date",E$6))</f>
        <v>#REF!</v>
      </c>
      <c r="F86" t="e">
        <f>IF(GETPIVOTDATA(_xlfn.VALUETOTEXT($A$4),'PREFILL-PIVOT'!$A$3,_xlfn.VALUETOTEXT($A$6),$A86,"Experiment",F$5,"date",F$6)=0,NA(),GETPIVOTDATA(_xlfn.VALUETOTEXT($A$4),'PREFILL-PIVOT'!$A$3,_xlfn.VALUETOTEXT($A$6),$A86,"Experiment",F$5,"date",F$6))</f>
        <v>#REF!</v>
      </c>
      <c r="G86" t="e">
        <f>IF(GETPIVOTDATA(_xlfn.VALUETOTEXT($A$4),'PREFILL-PIVOT'!$A$3,_xlfn.VALUETOTEXT($A$6),$A86,"Experiment",G$5,"date",G$6)=0,NA(),GETPIVOTDATA(_xlfn.VALUETOTEXT($A$4),'PREFILL-PIVOT'!$A$3,_xlfn.VALUETOTEXT($A$6),$A86,"Experiment",G$5,"date",G$6))</f>
        <v>#REF!</v>
      </c>
      <c r="H86" t="e">
        <f>IF(GETPIVOTDATA(_xlfn.VALUETOTEXT($A$4),'PREFILL-PIVOT'!$A$3,_xlfn.VALUETOTEXT($A$6),$A86,"Experiment",H$5,"date",H$6)=0,NA(),GETPIVOTDATA(_xlfn.VALUETOTEXT($A$4),'PREFILL-PIVOT'!$A$3,_xlfn.VALUETOTEXT($A$6),$A86,"Experiment",H$5,"date",H$6))</f>
        <v>#REF!</v>
      </c>
      <c r="I86" t="e">
        <f>IF(GETPIVOTDATA(_xlfn.VALUETOTEXT($A$4),'PREFILL-PIVOT'!$A$3,_xlfn.VALUETOTEXT($A$6),$A86,"Experiment",I$5,"date",I$6)=0,NA(),GETPIVOTDATA(_xlfn.VALUETOTEXT($A$4),'PREFILL-PIVOT'!$A$3,_xlfn.VALUETOTEXT($A$6),$A86,"Experiment",I$5,"date",I$6))</f>
        <v>#REF!</v>
      </c>
      <c r="J86" t="e">
        <f>IF(GETPIVOTDATA(_xlfn.VALUETOTEXT($A$4),'PREFILL-PIVOT'!$A$3,_xlfn.VALUETOTEXT($A$6),$A86,"Experiment",J$5,"date",J$6)=0,NA(),GETPIVOTDATA(_xlfn.VALUETOTEXT($A$4),'PREFILL-PIVOT'!$A$3,_xlfn.VALUETOTEXT($A$6),$A86,"Experiment",J$5,"date",J$6))</f>
        <v>#REF!</v>
      </c>
      <c r="K86" t="e">
        <f>IF(GETPIVOTDATA(_xlfn.VALUETOTEXT($A$4),'PREFILL-PIVOT'!$A$3,_xlfn.VALUETOTEXT($A$6),$A86,"Experiment",K$5,"date",K$6)=0,NA(),GETPIVOTDATA(_xlfn.VALUETOTEXT($A$4),'PREFILL-PIVOT'!$A$3,_xlfn.VALUETOTEXT($A$6),$A86,"Experiment",K$5,"date",K$6))</f>
        <v>#REF!</v>
      </c>
      <c r="L86" t="e">
        <f>IF(GETPIVOTDATA(_xlfn.VALUETOTEXT($A$4),'PREFILL-PIVOT'!$A$3,_xlfn.VALUETOTEXT($A$6),$A86,"Experiment",L$5,"date",L$6)=0,NA(),GETPIVOTDATA(_xlfn.VALUETOTEXT($A$4),'PREFILL-PIVOT'!$A$3,_xlfn.VALUETOTEXT($A$6),$A86,"Experiment",L$5,"date",L$6))</f>
        <v>#REF!</v>
      </c>
      <c r="M86" t="e">
        <f>IF(GETPIVOTDATA(_xlfn.VALUETOTEXT($A$4),'PREFILL-PIVOT'!$A$3,_xlfn.VALUETOTEXT($A$6),$A86,"Experiment",M$5,"date",M$6)=0,NA(),GETPIVOTDATA(_xlfn.VALUETOTEXT($A$4),'PREFILL-PIVOT'!$A$3,_xlfn.VALUETOTEXT($A$6),$A86,"Experiment",M$5,"date",M$6))</f>
        <v>#REF!</v>
      </c>
    </row>
    <row r="87" spans="1:13" x14ac:dyDescent="0.25">
      <c r="A87" s="222" t="e">
        <f>IF('PREFILL-PIVOT'!A85=0,NA(),'PREFILL-PIVOT'!A85)</f>
        <v>#N/A</v>
      </c>
      <c r="B87" t="e">
        <f>IF(GETPIVOTDATA(_xlfn.VALUETOTEXT($A$4),'PREFILL-PIVOT'!$A$3,_xlfn.VALUETOTEXT($A$6),$A87,"Experiment",B$5,"date",B$6)=0,NA(),GETPIVOTDATA(_xlfn.VALUETOTEXT($A$4),'PREFILL-PIVOT'!$A$3,_xlfn.VALUETOTEXT($A$6),$A87,"Experiment",B$5,"date",B$6))</f>
        <v>#REF!</v>
      </c>
      <c r="C87" t="e">
        <f>IF(GETPIVOTDATA(_xlfn.VALUETOTEXT($A$4),'PREFILL-PIVOT'!$A$3,_xlfn.VALUETOTEXT($A$6),$A87,"Experiment",C$5,"date",C$6)=0,NA(),GETPIVOTDATA(_xlfn.VALUETOTEXT($A$4),'PREFILL-PIVOT'!$A$3,_xlfn.VALUETOTEXT($A$6),$A87,"Experiment",C$5,"date",C$6))</f>
        <v>#REF!</v>
      </c>
      <c r="D87" t="e">
        <f>IF(GETPIVOTDATA(_xlfn.VALUETOTEXT($A$4),'PREFILL-PIVOT'!$A$3,_xlfn.VALUETOTEXT($A$6),$A87,"Experiment",D$5,"date",D$6)=0,NA(),GETPIVOTDATA(_xlfn.VALUETOTEXT($A$4),'PREFILL-PIVOT'!$A$3,_xlfn.VALUETOTEXT($A$6),$A87,"Experiment",D$5,"date",D$6))</f>
        <v>#REF!</v>
      </c>
      <c r="E87" t="e">
        <f>IF(GETPIVOTDATA(_xlfn.VALUETOTEXT($A$4),'PREFILL-PIVOT'!$A$3,_xlfn.VALUETOTEXT($A$6),$A87,"Experiment",E$5,"date",E$6)=0,NA(),GETPIVOTDATA(_xlfn.VALUETOTEXT($A$4),'PREFILL-PIVOT'!$A$3,_xlfn.VALUETOTEXT($A$6),$A87,"Experiment",E$5,"date",E$6))</f>
        <v>#REF!</v>
      </c>
      <c r="F87" t="e">
        <f>IF(GETPIVOTDATA(_xlfn.VALUETOTEXT($A$4),'PREFILL-PIVOT'!$A$3,_xlfn.VALUETOTEXT($A$6),$A87,"Experiment",F$5,"date",F$6)=0,NA(),GETPIVOTDATA(_xlfn.VALUETOTEXT($A$4),'PREFILL-PIVOT'!$A$3,_xlfn.VALUETOTEXT($A$6),$A87,"Experiment",F$5,"date",F$6))</f>
        <v>#REF!</v>
      </c>
      <c r="G87" t="e">
        <f>IF(GETPIVOTDATA(_xlfn.VALUETOTEXT($A$4),'PREFILL-PIVOT'!$A$3,_xlfn.VALUETOTEXT($A$6),$A87,"Experiment",G$5,"date",G$6)=0,NA(),GETPIVOTDATA(_xlfn.VALUETOTEXT($A$4),'PREFILL-PIVOT'!$A$3,_xlfn.VALUETOTEXT($A$6),$A87,"Experiment",G$5,"date",G$6))</f>
        <v>#REF!</v>
      </c>
      <c r="H87" t="e">
        <f>IF(GETPIVOTDATA(_xlfn.VALUETOTEXT($A$4),'PREFILL-PIVOT'!$A$3,_xlfn.VALUETOTEXT($A$6),$A87,"Experiment",H$5,"date",H$6)=0,NA(),GETPIVOTDATA(_xlfn.VALUETOTEXT($A$4),'PREFILL-PIVOT'!$A$3,_xlfn.VALUETOTEXT($A$6),$A87,"Experiment",H$5,"date",H$6))</f>
        <v>#REF!</v>
      </c>
      <c r="I87" t="e">
        <f>IF(GETPIVOTDATA(_xlfn.VALUETOTEXT($A$4),'PREFILL-PIVOT'!$A$3,_xlfn.VALUETOTEXT($A$6),$A87,"Experiment",I$5,"date",I$6)=0,NA(),GETPIVOTDATA(_xlfn.VALUETOTEXT($A$4),'PREFILL-PIVOT'!$A$3,_xlfn.VALUETOTEXT($A$6),$A87,"Experiment",I$5,"date",I$6))</f>
        <v>#REF!</v>
      </c>
      <c r="J87" t="e">
        <f>IF(GETPIVOTDATA(_xlfn.VALUETOTEXT($A$4),'PREFILL-PIVOT'!$A$3,_xlfn.VALUETOTEXT($A$6),$A87,"Experiment",J$5,"date",J$6)=0,NA(),GETPIVOTDATA(_xlfn.VALUETOTEXT($A$4),'PREFILL-PIVOT'!$A$3,_xlfn.VALUETOTEXT($A$6),$A87,"Experiment",J$5,"date",J$6))</f>
        <v>#REF!</v>
      </c>
      <c r="K87" t="e">
        <f>IF(GETPIVOTDATA(_xlfn.VALUETOTEXT($A$4),'PREFILL-PIVOT'!$A$3,_xlfn.VALUETOTEXT($A$6),$A87,"Experiment",K$5,"date",K$6)=0,NA(),GETPIVOTDATA(_xlfn.VALUETOTEXT($A$4),'PREFILL-PIVOT'!$A$3,_xlfn.VALUETOTEXT($A$6),$A87,"Experiment",K$5,"date",K$6))</f>
        <v>#REF!</v>
      </c>
      <c r="L87" t="e">
        <f>IF(GETPIVOTDATA(_xlfn.VALUETOTEXT($A$4),'PREFILL-PIVOT'!$A$3,_xlfn.VALUETOTEXT($A$6),$A87,"Experiment",L$5,"date",L$6)=0,NA(),GETPIVOTDATA(_xlfn.VALUETOTEXT($A$4),'PREFILL-PIVOT'!$A$3,_xlfn.VALUETOTEXT($A$6),$A87,"Experiment",L$5,"date",L$6))</f>
        <v>#REF!</v>
      </c>
      <c r="M87" t="e">
        <f>IF(GETPIVOTDATA(_xlfn.VALUETOTEXT($A$4),'PREFILL-PIVOT'!$A$3,_xlfn.VALUETOTEXT($A$6),$A87,"Experiment",M$5,"date",M$6)=0,NA(),GETPIVOTDATA(_xlfn.VALUETOTEXT($A$4),'PREFILL-PIVOT'!$A$3,_xlfn.VALUETOTEXT($A$6),$A87,"Experiment",M$5,"date",M$6))</f>
        <v>#REF!</v>
      </c>
    </row>
    <row r="88" spans="1:13" x14ac:dyDescent="0.25">
      <c r="A88" s="222" t="e">
        <f>IF('PREFILL-PIVOT'!A86=0,NA(),'PREFILL-PIVOT'!A86)</f>
        <v>#N/A</v>
      </c>
      <c r="B88" t="e">
        <f>IF(GETPIVOTDATA(_xlfn.VALUETOTEXT($A$4),'PREFILL-PIVOT'!$A$3,_xlfn.VALUETOTEXT($A$6),$A88,"Experiment",B$5,"date",B$6)=0,NA(),GETPIVOTDATA(_xlfn.VALUETOTEXT($A$4),'PREFILL-PIVOT'!$A$3,_xlfn.VALUETOTEXT($A$6),$A88,"Experiment",B$5,"date",B$6))</f>
        <v>#REF!</v>
      </c>
      <c r="C88" t="e">
        <f>IF(GETPIVOTDATA(_xlfn.VALUETOTEXT($A$4),'PREFILL-PIVOT'!$A$3,_xlfn.VALUETOTEXT($A$6),$A88,"Experiment",C$5,"date",C$6)=0,NA(),GETPIVOTDATA(_xlfn.VALUETOTEXT($A$4),'PREFILL-PIVOT'!$A$3,_xlfn.VALUETOTEXT($A$6),$A88,"Experiment",C$5,"date",C$6))</f>
        <v>#REF!</v>
      </c>
      <c r="D88" t="e">
        <f>IF(GETPIVOTDATA(_xlfn.VALUETOTEXT($A$4),'PREFILL-PIVOT'!$A$3,_xlfn.VALUETOTEXT($A$6),$A88,"Experiment",D$5,"date",D$6)=0,NA(),GETPIVOTDATA(_xlfn.VALUETOTEXT($A$4),'PREFILL-PIVOT'!$A$3,_xlfn.VALUETOTEXT($A$6),$A88,"Experiment",D$5,"date",D$6))</f>
        <v>#REF!</v>
      </c>
      <c r="E88" t="e">
        <f>IF(GETPIVOTDATA(_xlfn.VALUETOTEXT($A$4),'PREFILL-PIVOT'!$A$3,_xlfn.VALUETOTEXT($A$6),$A88,"Experiment",E$5,"date",E$6)=0,NA(),GETPIVOTDATA(_xlfn.VALUETOTEXT($A$4),'PREFILL-PIVOT'!$A$3,_xlfn.VALUETOTEXT($A$6),$A88,"Experiment",E$5,"date",E$6))</f>
        <v>#REF!</v>
      </c>
      <c r="F88" t="e">
        <f>IF(GETPIVOTDATA(_xlfn.VALUETOTEXT($A$4),'PREFILL-PIVOT'!$A$3,_xlfn.VALUETOTEXT($A$6),$A88,"Experiment",F$5,"date",F$6)=0,NA(),GETPIVOTDATA(_xlfn.VALUETOTEXT($A$4),'PREFILL-PIVOT'!$A$3,_xlfn.VALUETOTEXT($A$6),$A88,"Experiment",F$5,"date",F$6))</f>
        <v>#REF!</v>
      </c>
      <c r="G88" t="e">
        <f>IF(GETPIVOTDATA(_xlfn.VALUETOTEXT($A$4),'PREFILL-PIVOT'!$A$3,_xlfn.VALUETOTEXT($A$6),$A88,"Experiment",G$5,"date",G$6)=0,NA(),GETPIVOTDATA(_xlfn.VALUETOTEXT($A$4),'PREFILL-PIVOT'!$A$3,_xlfn.VALUETOTEXT($A$6),$A88,"Experiment",G$5,"date",G$6))</f>
        <v>#REF!</v>
      </c>
      <c r="H88" t="e">
        <f>IF(GETPIVOTDATA(_xlfn.VALUETOTEXT($A$4),'PREFILL-PIVOT'!$A$3,_xlfn.VALUETOTEXT($A$6),$A88,"Experiment",H$5,"date",H$6)=0,NA(),GETPIVOTDATA(_xlfn.VALUETOTEXT($A$4),'PREFILL-PIVOT'!$A$3,_xlfn.VALUETOTEXT($A$6),$A88,"Experiment",H$5,"date",H$6))</f>
        <v>#REF!</v>
      </c>
      <c r="I88" t="e">
        <f>IF(GETPIVOTDATA(_xlfn.VALUETOTEXT($A$4),'PREFILL-PIVOT'!$A$3,_xlfn.VALUETOTEXT($A$6),$A88,"Experiment",I$5,"date",I$6)=0,NA(),GETPIVOTDATA(_xlfn.VALUETOTEXT($A$4),'PREFILL-PIVOT'!$A$3,_xlfn.VALUETOTEXT($A$6),$A88,"Experiment",I$5,"date",I$6))</f>
        <v>#REF!</v>
      </c>
      <c r="J88" t="e">
        <f>IF(GETPIVOTDATA(_xlfn.VALUETOTEXT($A$4),'PREFILL-PIVOT'!$A$3,_xlfn.VALUETOTEXT($A$6),$A88,"Experiment",J$5,"date",J$6)=0,NA(),GETPIVOTDATA(_xlfn.VALUETOTEXT($A$4),'PREFILL-PIVOT'!$A$3,_xlfn.VALUETOTEXT($A$6),$A88,"Experiment",J$5,"date",J$6))</f>
        <v>#REF!</v>
      </c>
      <c r="K88" t="e">
        <f>IF(GETPIVOTDATA(_xlfn.VALUETOTEXT($A$4),'PREFILL-PIVOT'!$A$3,_xlfn.VALUETOTEXT($A$6),$A88,"Experiment",K$5,"date",K$6)=0,NA(),GETPIVOTDATA(_xlfn.VALUETOTEXT($A$4),'PREFILL-PIVOT'!$A$3,_xlfn.VALUETOTEXT($A$6),$A88,"Experiment",K$5,"date",K$6))</f>
        <v>#REF!</v>
      </c>
      <c r="L88" t="e">
        <f>IF(GETPIVOTDATA(_xlfn.VALUETOTEXT($A$4),'PREFILL-PIVOT'!$A$3,_xlfn.VALUETOTEXT($A$6),$A88,"Experiment",L$5,"date",L$6)=0,NA(),GETPIVOTDATA(_xlfn.VALUETOTEXT($A$4),'PREFILL-PIVOT'!$A$3,_xlfn.VALUETOTEXT($A$6),$A88,"Experiment",L$5,"date",L$6))</f>
        <v>#REF!</v>
      </c>
      <c r="M88" t="e">
        <f>IF(GETPIVOTDATA(_xlfn.VALUETOTEXT($A$4),'PREFILL-PIVOT'!$A$3,_xlfn.VALUETOTEXT($A$6),$A88,"Experiment",M$5,"date",M$6)=0,NA(),GETPIVOTDATA(_xlfn.VALUETOTEXT($A$4),'PREFILL-PIVOT'!$A$3,_xlfn.VALUETOTEXT($A$6),$A88,"Experiment",M$5,"date",M$6))</f>
        <v>#REF!</v>
      </c>
    </row>
    <row r="89" spans="1:13" x14ac:dyDescent="0.25">
      <c r="A89" s="222" t="e">
        <f>IF('PREFILL-PIVOT'!A87=0,NA(),'PREFILL-PIVOT'!A87)</f>
        <v>#N/A</v>
      </c>
      <c r="B89" t="e">
        <f>IF(GETPIVOTDATA(_xlfn.VALUETOTEXT($A$4),'PREFILL-PIVOT'!$A$3,_xlfn.VALUETOTEXT($A$6),$A89,"Experiment",B$5,"date",B$6)=0,NA(),GETPIVOTDATA(_xlfn.VALUETOTEXT($A$4),'PREFILL-PIVOT'!$A$3,_xlfn.VALUETOTEXT($A$6),$A89,"Experiment",B$5,"date",B$6))</f>
        <v>#REF!</v>
      </c>
      <c r="C89" t="e">
        <f>IF(GETPIVOTDATA(_xlfn.VALUETOTEXT($A$4),'PREFILL-PIVOT'!$A$3,_xlfn.VALUETOTEXT($A$6),$A89,"Experiment",C$5,"date",C$6)=0,NA(),GETPIVOTDATA(_xlfn.VALUETOTEXT($A$4),'PREFILL-PIVOT'!$A$3,_xlfn.VALUETOTEXT($A$6),$A89,"Experiment",C$5,"date",C$6))</f>
        <v>#REF!</v>
      </c>
      <c r="D89" t="e">
        <f>IF(GETPIVOTDATA(_xlfn.VALUETOTEXT($A$4),'PREFILL-PIVOT'!$A$3,_xlfn.VALUETOTEXT($A$6),$A89,"Experiment",D$5,"date",D$6)=0,NA(),GETPIVOTDATA(_xlfn.VALUETOTEXT($A$4),'PREFILL-PIVOT'!$A$3,_xlfn.VALUETOTEXT($A$6),$A89,"Experiment",D$5,"date",D$6))</f>
        <v>#REF!</v>
      </c>
      <c r="E89" t="e">
        <f>IF(GETPIVOTDATA(_xlfn.VALUETOTEXT($A$4),'PREFILL-PIVOT'!$A$3,_xlfn.VALUETOTEXT($A$6),$A89,"Experiment",E$5,"date",E$6)=0,NA(),GETPIVOTDATA(_xlfn.VALUETOTEXT($A$4),'PREFILL-PIVOT'!$A$3,_xlfn.VALUETOTEXT($A$6),$A89,"Experiment",E$5,"date",E$6))</f>
        <v>#REF!</v>
      </c>
      <c r="F89" t="e">
        <f>IF(GETPIVOTDATA(_xlfn.VALUETOTEXT($A$4),'PREFILL-PIVOT'!$A$3,_xlfn.VALUETOTEXT($A$6),$A89,"Experiment",F$5,"date",F$6)=0,NA(),GETPIVOTDATA(_xlfn.VALUETOTEXT($A$4),'PREFILL-PIVOT'!$A$3,_xlfn.VALUETOTEXT($A$6),$A89,"Experiment",F$5,"date",F$6))</f>
        <v>#REF!</v>
      </c>
      <c r="G89" t="e">
        <f>IF(GETPIVOTDATA(_xlfn.VALUETOTEXT($A$4),'PREFILL-PIVOT'!$A$3,_xlfn.VALUETOTEXT($A$6),$A89,"Experiment",G$5,"date",G$6)=0,NA(),GETPIVOTDATA(_xlfn.VALUETOTEXT($A$4),'PREFILL-PIVOT'!$A$3,_xlfn.VALUETOTEXT($A$6),$A89,"Experiment",G$5,"date",G$6))</f>
        <v>#REF!</v>
      </c>
      <c r="H89" t="e">
        <f>IF(GETPIVOTDATA(_xlfn.VALUETOTEXT($A$4),'PREFILL-PIVOT'!$A$3,_xlfn.VALUETOTEXT($A$6),$A89,"Experiment",H$5,"date",H$6)=0,NA(),GETPIVOTDATA(_xlfn.VALUETOTEXT($A$4),'PREFILL-PIVOT'!$A$3,_xlfn.VALUETOTEXT($A$6),$A89,"Experiment",H$5,"date",H$6))</f>
        <v>#REF!</v>
      </c>
      <c r="I89" t="e">
        <f>IF(GETPIVOTDATA(_xlfn.VALUETOTEXT($A$4),'PREFILL-PIVOT'!$A$3,_xlfn.VALUETOTEXT($A$6),$A89,"Experiment",I$5,"date",I$6)=0,NA(),GETPIVOTDATA(_xlfn.VALUETOTEXT($A$4),'PREFILL-PIVOT'!$A$3,_xlfn.VALUETOTEXT($A$6),$A89,"Experiment",I$5,"date",I$6))</f>
        <v>#REF!</v>
      </c>
      <c r="J89" t="e">
        <f>IF(GETPIVOTDATA(_xlfn.VALUETOTEXT($A$4),'PREFILL-PIVOT'!$A$3,_xlfn.VALUETOTEXT($A$6),$A89,"Experiment",J$5,"date",J$6)=0,NA(),GETPIVOTDATA(_xlfn.VALUETOTEXT($A$4),'PREFILL-PIVOT'!$A$3,_xlfn.VALUETOTEXT($A$6),$A89,"Experiment",J$5,"date",J$6))</f>
        <v>#REF!</v>
      </c>
      <c r="K89" t="e">
        <f>IF(GETPIVOTDATA(_xlfn.VALUETOTEXT($A$4),'PREFILL-PIVOT'!$A$3,_xlfn.VALUETOTEXT($A$6),$A89,"Experiment",K$5,"date",K$6)=0,NA(),GETPIVOTDATA(_xlfn.VALUETOTEXT($A$4),'PREFILL-PIVOT'!$A$3,_xlfn.VALUETOTEXT($A$6),$A89,"Experiment",K$5,"date",K$6))</f>
        <v>#REF!</v>
      </c>
      <c r="L89" t="e">
        <f>IF(GETPIVOTDATA(_xlfn.VALUETOTEXT($A$4),'PREFILL-PIVOT'!$A$3,_xlfn.VALUETOTEXT($A$6),$A89,"Experiment",L$5,"date",L$6)=0,NA(),GETPIVOTDATA(_xlfn.VALUETOTEXT($A$4),'PREFILL-PIVOT'!$A$3,_xlfn.VALUETOTEXT($A$6),$A89,"Experiment",L$5,"date",L$6))</f>
        <v>#REF!</v>
      </c>
      <c r="M89" t="e">
        <f>IF(GETPIVOTDATA(_xlfn.VALUETOTEXT($A$4),'PREFILL-PIVOT'!$A$3,_xlfn.VALUETOTEXT($A$6),$A89,"Experiment",M$5,"date",M$6)=0,NA(),GETPIVOTDATA(_xlfn.VALUETOTEXT($A$4),'PREFILL-PIVOT'!$A$3,_xlfn.VALUETOTEXT($A$6),$A89,"Experiment",M$5,"date",M$6))</f>
        <v>#REF!</v>
      </c>
    </row>
    <row r="90" spans="1:13" x14ac:dyDescent="0.25">
      <c r="A90" s="222" t="e">
        <f>IF('PREFILL-PIVOT'!A88=0,NA(),'PREFILL-PIVOT'!A88)</f>
        <v>#N/A</v>
      </c>
      <c r="B90" t="e">
        <f>IF(GETPIVOTDATA(_xlfn.VALUETOTEXT($A$4),'PREFILL-PIVOT'!$A$3,_xlfn.VALUETOTEXT($A$6),$A90,"Experiment",B$5,"date",B$6)=0,NA(),GETPIVOTDATA(_xlfn.VALUETOTEXT($A$4),'PREFILL-PIVOT'!$A$3,_xlfn.VALUETOTEXT($A$6),$A90,"Experiment",B$5,"date",B$6))</f>
        <v>#REF!</v>
      </c>
      <c r="C90" t="e">
        <f>IF(GETPIVOTDATA(_xlfn.VALUETOTEXT($A$4),'PREFILL-PIVOT'!$A$3,_xlfn.VALUETOTEXT($A$6),$A90,"Experiment",C$5,"date",C$6)=0,NA(),GETPIVOTDATA(_xlfn.VALUETOTEXT($A$4),'PREFILL-PIVOT'!$A$3,_xlfn.VALUETOTEXT($A$6),$A90,"Experiment",C$5,"date",C$6))</f>
        <v>#REF!</v>
      </c>
      <c r="D90" t="e">
        <f>IF(GETPIVOTDATA(_xlfn.VALUETOTEXT($A$4),'PREFILL-PIVOT'!$A$3,_xlfn.VALUETOTEXT($A$6),$A90,"Experiment",D$5,"date",D$6)=0,NA(),GETPIVOTDATA(_xlfn.VALUETOTEXT($A$4),'PREFILL-PIVOT'!$A$3,_xlfn.VALUETOTEXT($A$6),$A90,"Experiment",D$5,"date",D$6))</f>
        <v>#REF!</v>
      </c>
      <c r="E90" t="e">
        <f>IF(GETPIVOTDATA(_xlfn.VALUETOTEXT($A$4),'PREFILL-PIVOT'!$A$3,_xlfn.VALUETOTEXT($A$6),$A90,"Experiment",E$5,"date",E$6)=0,NA(),GETPIVOTDATA(_xlfn.VALUETOTEXT($A$4),'PREFILL-PIVOT'!$A$3,_xlfn.VALUETOTEXT($A$6),$A90,"Experiment",E$5,"date",E$6))</f>
        <v>#REF!</v>
      </c>
      <c r="F90" t="e">
        <f>IF(GETPIVOTDATA(_xlfn.VALUETOTEXT($A$4),'PREFILL-PIVOT'!$A$3,_xlfn.VALUETOTEXT($A$6),$A90,"Experiment",F$5,"date",F$6)=0,NA(),GETPIVOTDATA(_xlfn.VALUETOTEXT($A$4),'PREFILL-PIVOT'!$A$3,_xlfn.VALUETOTEXT($A$6),$A90,"Experiment",F$5,"date",F$6))</f>
        <v>#REF!</v>
      </c>
      <c r="G90" t="e">
        <f>IF(GETPIVOTDATA(_xlfn.VALUETOTEXT($A$4),'PREFILL-PIVOT'!$A$3,_xlfn.VALUETOTEXT($A$6),$A90,"Experiment",G$5,"date",G$6)=0,NA(),GETPIVOTDATA(_xlfn.VALUETOTEXT($A$4),'PREFILL-PIVOT'!$A$3,_xlfn.VALUETOTEXT($A$6),$A90,"Experiment",G$5,"date",G$6))</f>
        <v>#REF!</v>
      </c>
      <c r="H90" t="e">
        <f>IF(GETPIVOTDATA(_xlfn.VALUETOTEXT($A$4),'PREFILL-PIVOT'!$A$3,_xlfn.VALUETOTEXT($A$6),$A90,"Experiment",H$5,"date",H$6)=0,NA(),GETPIVOTDATA(_xlfn.VALUETOTEXT($A$4),'PREFILL-PIVOT'!$A$3,_xlfn.VALUETOTEXT($A$6),$A90,"Experiment",H$5,"date",H$6))</f>
        <v>#REF!</v>
      </c>
      <c r="I90" t="e">
        <f>IF(GETPIVOTDATA(_xlfn.VALUETOTEXT($A$4),'PREFILL-PIVOT'!$A$3,_xlfn.VALUETOTEXT($A$6),$A90,"Experiment",I$5,"date",I$6)=0,NA(),GETPIVOTDATA(_xlfn.VALUETOTEXT($A$4),'PREFILL-PIVOT'!$A$3,_xlfn.VALUETOTEXT($A$6),$A90,"Experiment",I$5,"date",I$6))</f>
        <v>#REF!</v>
      </c>
      <c r="J90" t="e">
        <f>IF(GETPIVOTDATA(_xlfn.VALUETOTEXT($A$4),'PREFILL-PIVOT'!$A$3,_xlfn.VALUETOTEXT($A$6),$A90,"Experiment",J$5,"date",J$6)=0,NA(),GETPIVOTDATA(_xlfn.VALUETOTEXT($A$4),'PREFILL-PIVOT'!$A$3,_xlfn.VALUETOTEXT($A$6),$A90,"Experiment",J$5,"date",J$6))</f>
        <v>#REF!</v>
      </c>
      <c r="K90" t="e">
        <f>IF(GETPIVOTDATA(_xlfn.VALUETOTEXT($A$4),'PREFILL-PIVOT'!$A$3,_xlfn.VALUETOTEXT($A$6),$A90,"Experiment",K$5,"date",K$6)=0,NA(),GETPIVOTDATA(_xlfn.VALUETOTEXT($A$4),'PREFILL-PIVOT'!$A$3,_xlfn.VALUETOTEXT($A$6),$A90,"Experiment",K$5,"date",K$6))</f>
        <v>#REF!</v>
      </c>
      <c r="L90" t="e">
        <f>IF(GETPIVOTDATA(_xlfn.VALUETOTEXT($A$4),'PREFILL-PIVOT'!$A$3,_xlfn.VALUETOTEXT($A$6),$A90,"Experiment",L$5,"date",L$6)=0,NA(),GETPIVOTDATA(_xlfn.VALUETOTEXT($A$4),'PREFILL-PIVOT'!$A$3,_xlfn.VALUETOTEXT($A$6),$A90,"Experiment",L$5,"date",L$6))</f>
        <v>#REF!</v>
      </c>
      <c r="M90" t="e">
        <f>IF(GETPIVOTDATA(_xlfn.VALUETOTEXT($A$4),'PREFILL-PIVOT'!$A$3,_xlfn.VALUETOTEXT($A$6),$A90,"Experiment",M$5,"date",M$6)=0,NA(),GETPIVOTDATA(_xlfn.VALUETOTEXT($A$4),'PREFILL-PIVOT'!$A$3,_xlfn.VALUETOTEXT($A$6),$A90,"Experiment",M$5,"date",M$6))</f>
        <v>#REF!</v>
      </c>
    </row>
    <row r="91" spans="1:13" x14ac:dyDescent="0.25">
      <c r="A91" s="222" t="e">
        <f>IF('PREFILL-PIVOT'!A89=0,NA(),'PREFILL-PIVOT'!A89)</f>
        <v>#N/A</v>
      </c>
      <c r="B91" t="e">
        <f>IF(GETPIVOTDATA(_xlfn.VALUETOTEXT($A$4),'PREFILL-PIVOT'!$A$3,_xlfn.VALUETOTEXT($A$6),$A91,"Experiment",B$5,"date",B$6)=0,NA(),GETPIVOTDATA(_xlfn.VALUETOTEXT($A$4),'PREFILL-PIVOT'!$A$3,_xlfn.VALUETOTEXT($A$6),$A91,"Experiment",B$5,"date",B$6))</f>
        <v>#REF!</v>
      </c>
      <c r="C91" t="e">
        <f>IF(GETPIVOTDATA(_xlfn.VALUETOTEXT($A$4),'PREFILL-PIVOT'!$A$3,_xlfn.VALUETOTEXT($A$6),$A91,"Experiment",C$5,"date",C$6)=0,NA(),GETPIVOTDATA(_xlfn.VALUETOTEXT($A$4),'PREFILL-PIVOT'!$A$3,_xlfn.VALUETOTEXT($A$6),$A91,"Experiment",C$5,"date",C$6))</f>
        <v>#REF!</v>
      </c>
      <c r="D91" t="e">
        <f>IF(GETPIVOTDATA(_xlfn.VALUETOTEXT($A$4),'PREFILL-PIVOT'!$A$3,_xlfn.VALUETOTEXT($A$6),$A91,"Experiment",D$5,"date",D$6)=0,NA(),GETPIVOTDATA(_xlfn.VALUETOTEXT($A$4),'PREFILL-PIVOT'!$A$3,_xlfn.VALUETOTEXT($A$6),$A91,"Experiment",D$5,"date",D$6))</f>
        <v>#REF!</v>
      </c>
      <c r="E91" t="e">
        <f>IF(GETPIVOTDATA(_xlfn.VALUETOTEXT($A$4),'PREFILL-PIVOT'!$A$3,_xlfn.VALUETOTEXT($A$6),$A91,"Experiment",E$5,"date",E$6)=0,NA(),GETPIVOTDATA(_xlfn.VALUETOTEXT($A$4),'PREFILL-PIVOT'!$A$3,_xlfn.VALUETOTEXT($A$6),$A91,"Experiment",E$5,"date",E$6))</f>
        <v>#REF!</v>
      </c>
      <c r="F91" t="e">
        <f>IF(GETPIVOTDATA(_xlfn.VALUETOTEXT($A$4),'PREFILL-PIVOT'!$A$3,_xlfn.VALUETOTEXT($A$6),$A91,"Experiment",F$5,"date",F$6)=0,NA(),GETPIVOTDATA(_xlfn.VALUETOTEXT($A$4),'PREFILL-PIVOT'!$A$3,_xlfn.VALUETOTEXT($A$6),$A91,"Experiment",F$5,"date",F$6))</f>
        <v>#REF!</v>
      </c>
      <c r="G91" t="e">
        <f>IF(GETPIVOTDATA(_xlfn.VALUETOTEXT($A$4),'PREFILL-PIVOT'!$A$3,_xlfn.VALUETOTEXT($A$6),$A91,"Experiment",G$5,"date",G$6)=0,NA(),GETPIVOTDATA(_xlfn.VALUETOTEXT($A$4),'PREFILL-PIVOT'!$A$3,_xlfn.VALUETOTEXT($A$6),$A91,"Experiment",G$5,"date",G$6))</f>
        <v>#REF!</v>
      </c>
      <c r="H91" t="e">
        <f>IF(GETPIVOTDATA(_xlfn.VALUETOTEXT($A$4),'PREFILL-PIVOT'!$A$3,_xlfn.VALUETOTEXT($A$6),$A91,"Experiment",H$5,"date",H$6)=0,NA(),GETPIVOTDATA(_xlfn.VALUETOTEXT($A$4),'PREFILL-PIVOT'!$A$3,_xlfn.VALUETOTEXT($A$6),$A91,"Experiment",H$5,"date",H$6))</f>
        <v>#REF!</v>
      </c>
      <c r="I91" t="e">
        <f>IF(GETPIVOTDATA(_xlfn.VALUETOTEXT($A$4),'PREFILL-PIVOT'!$A$3,_xlfn.VALUETOTEXT($A$6),$A91,"Experiment",I$5,"date",I$6)=0,NA(),GETPIVOTDATA(_xlfn.VALUETOTEXT($A$4),'PREFILL-PIVOT'!$A$3,_xlfn.VALUETOTEXT($A$6),$A91,"Experiment",I$5,"date",I$6))</f>
        <v>#REF!</v>
      </c>
      <c r="J91" t="e">
        <f>IF(GETPIVOTDATA(_xlfn.VALUETOTEXT($A$4),'PREFILL-PIVOT'!$A$3,_xlfn.VALUETOTEXT($A$6),$A91,"Experiment",J$5,"date",J$6)=0,NA(),GETPIVOTDATA(_xlfn.VALUETOTEXT($A$4),'PREFILL-PIVOT'!$A$3,_xlfn.VALUETOTEXT($A$6),$A91,"Experiment",J$5,"date",J$6))</f>
        <v>#REF!</v>
      </c>
      <c r="K91" t="e">
        <f>IF(GETPIVOTDATA(_xlfn.VALUETOTEXT($A$4),'PREFILL-PIVOT'!$A$3,_xlfn.VALUETOTEXT($A$6),$A91,"Experiment",K$5,"date",K$6)=0,NA(),GETPIVOTDATA(_xlfn.VALUETOTEXT($A$4),'PREFILL-PIVOT'!$A$3,_xlfn.VALUETOTEXT($A$6),$A91,"Experiment",K$5,"date",K$6))</f>
        <v>#REF!</v>
      </c>
      <c r="L91" t="e">
        <f>IF(GETPIVOTDATA(_xlfn.VALUETOTEXT($A$4),'PREFILL-PIVOT'!$A$3,_xlfn.VALUETOTEXT($A$6),$A91,"Experiment",L$5,"date",L$6)=0,NA(),GETPIVOTDATA(_xlfn.VALUETOTEXT($A$4),'PREFILL-PIVOT'!$A$3,_xlfn.VALUETOTEXT($A$6),$A91,"Experiment",L$5,"date",L$6))</f>
        <v>#REF!</v>
      </c>
      <c r="M91" t="e">
        <f>IF(GETPIVOTDATA(_xlfn.VALUETOTEXT($A$4),'PREFILL-PIVOT'!$A$3,_xlfn.VALUETOTEXT($A$6),$A91,"Experiment",M$5,"date",M$6)=0,NA(),GETPIVOTDATA(_xlfn.VALUETOTEXT($A$4),'PREFILL-PIVOT'!$A$3,_xlfn.VALUETOTEXT($A$6),$A91,"Experiment",M$5,"date",M$6))</f>
        <v>#REF!</v>
      </c>
    </row>
    <row r="92" spans="1:13" x14ac:dyDescent="0.25">
      <c r="A92" s="222" t="e">
        <f>IF('PREFILL-PIVOT'!A90=0,NA(),'PREFILL-PIVOT'!A90)</f>
        <v>#N/A</v>
      </c>
      <c r="B92" t="e">
        <f>IF(GETPIVOTDATA(_xlfn.VALUETOTEXT($A$4),'PREFILL-PIVOT'!$A$3,_xlfn.VALUETOTEXT($A$6),$A92,"Experiment",B$5,"date",B$6)=0,NA(),GETPIVOTDATA(_xlfn.VALUETOTEXT($A$4),'PREFILL-PIVOT'!$A$3,_xlfn.VALUETOTEXT($A$6),$A92,"Experiment",B$5,"date",B$6))</f>
        <v>#REF!</v>
      </c>
      <c r="C92" t="e">
        <f>IF(GETPIVOTDATA(_xlfn.VALUETOTEXT($A$4),'PREFILL-PIVOT'!$A$3,_xlfn.VALUETOTEXT($A$6),$A92,"Experiment",C$5,"date",C$6)=0,NA(),GETPIVOTDATA(_xlfn.VALUETOTEXT($A$4),'PREFILL-PIVOT'!$A$3,_xlfn.VALUETOTEXT($A$6),$A92,"Experiment",C$5,"date",C$6))</f>
        <v>#REF!</v>
      </c>
      <c r="D92" t="e">
        <f>IF(GETPIVOTDATA(_xlfn.VALUETOTEXT($A$4),'PREFILL-PIVOT'!$A$3,_xlfn.VALUETOTEXT($A$6),$A92,"Experiment",D$5,"date",D$6)=0,NA(),GETPIVOTDATA(_xlfn.VALUETOTEXT($A$4),'PREFILL-PIVOT'!$A$3,_xlfn.VALUETOTEXT($A$6),$A92,"Experiment",D$5,"date",D$6))</f>
        <v>#REF!</v>
      </c>
      <c r="E92" t="e">
        <f>IF(GETPIVOTDATA(_xlfn.VALUETOTEXT($A$4),'PREFILL-PIVOT'!$A$3,_xlfn.VALUETOTEXT($A$6),$A92,"Experiment",E$5,"date",E$6)=0,NA(),GETPIVOTDATA(_xlfn.VALUETOTEXT($A$4),'PREFILL-PIVOT'!$A$3,_xlfn.VALUETOTEXT($A$6),$A92,"Experiment",E$5,"date",E$6))</f>
        <v>#REF!</v>
      </c>
      <c r="F92" t="e">
        <f>IF(GETPIVOTDATA(_xlfn.VALUETOTEXT($A$4),'PREFILL-PIVOT'!$A$3,_xlfn.VALUETOTEXT($A$6),$A92,"Experiment",F$5,"date",F$6)=0,NA(),GETPIVOTDATA(_xlfn.VALUETOTEXT($A$4),'PREFILL-PIVOT'!$A$3,_xlfn.VALUETOTEXT($A$6),$A92,"Experiment",F$5,"date",F$6))</f>
        <v>#REF!</v>
      </c>
      <c r="G92" t="e">
        <f>IF(GETPIVOTDATA(_xlfn.VALUETOTEXT($A$4),'PREFILL-PIVOT'!$A$3,_xlfn.VALUETOTEXT($A$6),$A92,"Experiment",G$5,"date",G$6)=0,NA(),GETPIVOTDATA(_xlfn.VALUETOTEXT($A$4),'PREFILL-PIVOT'!$A$3,_xlfn.VALUETOTEXT($A$6),$A92,"Experiment",G$5,"date",G$6))</f>
        <v>#REF!</v>
      </c>
      <c r="H92" t="e">
        <f>IF(GETPIVOTDATA(_xlfn.VALUETOTEXT($A$4),'PREFILL-PIVOT'!$A$3,_xlfn.VALUETOTEXT($A$6),$A92,"Experiment",H$5,"date",H$6)=0,NA(),GETPIVOTDATA(_xlfn.VALUETOTEXT($A$4),'PREFILL-PIVOT'!$A$3,_xlfn.VALUETOTEXT($A$6),$A92,"Experiment",H$5,"date",H$6))</f>
        <v>#REF!</v>
      </c>
      <c r="I92" t="e">
        <f>IF(GETPIVOTDATA(_xlfn.VALUETOTEXT($A$4),'PREFILL-PIVOT'!$A$3,_xlfn.VALUETOTEXT($A$6),$A92,"Experiment",I$5,"date",I$6)=0,NA(),GETPIVOTDATA(_xlfn.VALUETOTEXT($A$4),'PREFILL-PIVOT'!$A$3,_xlfn.VALUETOTEXT($A$6),$A92,"Experiment",I$5,"date",I$6))</f>
        <v>#REF!</v>
      </c>
      <c r="J92" t="e">
        <f>IF(GETPIVOTDATA(_xlfn.VALUETOTEXT($A$4),'PREFILL-PIVOT'!$A$3,_xlfn.VALUETOTEXT($A$6),$A92,"Experiment",J$5,"date",J$6)=0,NA(),GETPIVOTDATA(_xlfn.VALUETOTEXT($A$4),'PREFILL-PIVOT'!$A$3,_xlfn.VALUETOTEXT($A$6),$A92,"Experiment",J$5,"date",J$6))</f>
        <v>#REF!</v>
      </c>
      <c r="K92" t="e">
        <f>IF(GETPIVOTDATA(_xlfn.VALUETOTEXT($A$4),'PREFILL-PIVOT'!$A$3,_xlfn.VALUETOTEXT($A$6),$A92,"Experiment",K$5,"date",K$6)=0,NA(),GETPIVOTDATA(_xlfn.VALUETOTEXT($A$4),'PREFILL-PIVOT'!$A$3,_xlfn.VALUETOTEXT($A$6),$A92,"Experiment",K$5,"date",K$6))</f>
        <v>#REF!</v>
      </c>
      <c r="L92" t="e">
        <f>IF(GETPIVOTDATA(_xlfn.VALUETOTEXT($A$4),'PREFILL-PIVOT'!$A$3,_xlfn.VALUETOTEXT($A$6),$A92,"Experiment",L$5,"date",L$6)=0,NA(),GETPIVOTDATA(_xlfn.VALUETOTEXT($A$4),'PREFILL-PIVOT'!$A$3,_xlfn.VALUETOTEXT($A$6),$A92,"Experiment",L$5,"date",L$6))</f>
        <v>#REF!</v>
      </c>
      <c r="M92" t="e">
        <f>IF(GETPIVOTDATA(_xlfn.VALUETOTEXT($A$4),'PREFILL-PIVOT'!$A$3,_xlfn.VALUETOTEXT($A$6),$A92,"Experiment",M$5,"date",M$6)=0,NA(),GETPIVOTDATA(_xlfn.VALUETOTEXT($A$4),'PREFILL-PIVOT'!$A$3,_xlfn.VALUETOTEXT($A$6),$A92,"Experiment",M$5,"date",M$6))</f>
        <v>#REF!</v>
      </c>
    </row>
    <row r="93" spans="1:13" x14ac:dyDescent="0.25">
      <c r="A93" s="222" t="e">
        <f>IF('PREFILL-PIVOT'!A91=0,NA(),'PREFILL-PIVOT'!A91)</f>
        <v>#N/A</v>
      </c>
      <c r="B93" t="e">
        <f>IF(GETPIVOTDATA(_xlfn.VALUETOTEXT($A$4),'PREFILL-PIVOT'!$A$3,_xlfn.VALUETOTEXT($A$6),$A93,"Experiment",B$5,"date",B$6)=0,NA(),GETPIVOTDATA(_xlfn.VALUETOTEXT($A$4),'PREFILL-PIVOT'!$A$3,_xlfn.VALUETOTEXT($A$6),$A93,"Experiment",B$5,"date",B$6))</f>
        <v>#REF!</v>
      </c>
      <c r="C93" t="e">
        <f>IF(GETPIVOTDATA(_xlfn.VALUETOTEXT($A$4),'PREFILL-PIVOT'!$A$3,_xlfn.VALUETOTEXT($A$6),$A93,"Experiment",C$5,"date",C$6)=0,NA(),GETPIVOTDATA(_xlfn.VALUETOTEXT($A$4),'PREFILL-PIVOT'!$A$3,_xlfn.VALUETOTEXT($A$6),$A93,"Experiment",C$5,"date",C$6))</f>
        <v>#REF!</v>
      </c>
      <c r="D93" t="e">
        <f>IF(GETPIVOTDATA(_xlfn.VALUETOTEXT($A$4),'PREFILL-PIVOT'!$A$3,_xlfn.VALUETOTEXT($A$6),$A93,"Experiment",D$5,"date",D$6)=0,NA(),GETPIVOTDATA(_xlfn.VALUETOTEXT($A$4),'PREFILL-PIVOT'!$A$3,_xlfn.VALUETOTEXT($A$6),$A93,"Experiment",D$5,"date",D$6))</f>
        <v>#REF!</v>
      </c>
      <c r="E93" t="e">
        <f>IF(GETPIVOTDATA(_xlfn.VALUETOTEXT($A$4),'PREFILL-PIVOT'!$A$3,_xlfn.VALUETOTEXT($A$6),$A93,"Experiment",E$5,"date",E$6)=0,NA(),GETPIVOTDATA(_xlfn.VALUETOTEXT($A$4),'PREFILL-PIVOT'!$A$3,_xlfn.VALUETOTEXT($A$6),$A93,"Experiment",E$5,"date",E$6))</f>
        <v>#REF!</v>
      </c>
      <c r="F93" t="e">
        <f>IF(GETPIVOTDATA(_xlfn.VALUETOTEXT($A$4),'PREFILL-PIVOT'!$A$3,_xlfn.VALUETOTEXT($A$6),$A93,"Experiment",F$5,"date",F$6)=0,NA(),GETPIVOTDATA(_xlfn.VALUETOTEXT($A$4),'PREFILL-PIVOT'!$A$3,_xlfn.VALUETOTEXT($A$6),$A93,"Experiment",F$5,"date",F$6))</f>
        <v>#REF!</v>
      </c>
      <c r="G93" t="e">
        <f>IF(GETPIVOTDATA(_xlfn.VALUETOTEXT($A$4),'PREFILL-PIVOT'!$A$3,_xlfn.VALUETOTEXT($A$6),$A93,"Experiment",G$5,"date",G$6)=0,NA(),GETPIVOTDATA(_xlfn.VALUETOTEXT($A$4),'PREFILL-PIVOT'!$A$3,_xlfn.VALUETOTEXT($A$6),$A93,"Experiment",G$5,"date",G$6))</f>
        <v>#REF!</v>
      </c>
      <c r="H93" t="e">
        <f>IF(GETPIVOTDATA(_xlfn.VALUETOTEXT($A$4),'PREFILL-PIVOT'!$A$3,_xlfn.VALUETOTEXT($A$6),$A93,"Experiment",H$5,"date",H$6)=0,NA(),GETPIVOTDATA(_xlfn.VALUETOTEXT($A$4),'PREFILL-PIVOT'!$A$3,_xlfn.VALUETOTEXT($A$6),$A93,"Experiment",H$5,"date",H$6))</f>
        <v>#REF!</v>
      </c>
      <c r="I93" t="e">
        <f>IF(GETPIVOTDATA(_xlfn.VALUETOTEXT($A$4),'PREFILL-PIVOT'!$A$3,_xlfn.VALUETOTEXT($A$6),$A93,"Experiment",I$5,"date",I$6)=0,NA(),GETPIVOTDATA(_xlfn.VALUETOTEXT($A$4),'PREFILL-PIVOT'!$A$3,_xlfn.VALUETOTEXT($A$6),$A93,"Experiment",I$5,"date",I$6))</f>
        <v>#REF!</v>
      </c>
      <c r="J93" t="e">
        <f>IF(GETPIVOTDATA(_xlfn.VALUETOTEXT($A$4),'PREFILL-PIVOT'!$A$3,_xlfn.VALUETOTEXT($A$6),$A93,"Experiment",J$5,"date",J$6)=0,NA(),GETPIVOTDATA(_xlfn.VALUETOTEXT($A$4),'PREFILL-PIVOT'!$A$3,_xlfn.VALUETOTEXT($A$6),$A93,"Experiment",J$5,"date",J$6))</f>
        <v>#REF!</v>
      </c>
      <c r="K93" t="e">
        <f>IF(GETPIVOTDATA(_xlfn.VALUETOTEXT($A$4),'PREFILL-PIVOT'!$A$3,_xlfn.VALUETOTEXT($A$6),$A93,"Experiment",K$5,"date",K$6)=0,NA(),GETPIVOTDATA(_xlfn.VALUETOTEXT($A$4),'PREFILL-PIVOT'!$A$3,_xlfn.VALUETOTEXT($A$6),$A93,"Experiment",K$5,"date",K$6))</f>
        <v>#REF!</v>
      </c>
      <c r="L93" t="e">
        <f>IF(GETPIVOTDATA(_xlfn.VALUETOTEXT($A$4),'PREFILL-PIVOT'!$A$3,_xlfn.VALUETOTEXT($A$6),$A93,"Experiment",L$5,"date",L$6)=0,NA(),GETPIVOTDATA(_xlfn.VALUETOTEXT($A$4),'PREFILL-PIVOT'!$A$3,_xlfn.VALUETOTEXT($A$6),$A93,"Experiment",L$5,"date",L$6))</f>
        <v>#REF!</v>
      </c>
      <c r="M93" t="e">
        <f>IF(GETPIVOTDATA(_xlfn.VALUETOTEXT($A$4),'PREFILL-PIVOT'!$A$3,_xlfn.VALUETOTEXT($A$6),$A93,"Experiment",M$5,"date",M$6)=0,NA(),GETPIVOTDATA(_xlfn.VALUETOTEXT($A$4),'PREFILL-PIVOT'!$A$3,_xlfn.VALUETOTEXT($A$6),$A93,"Experiment",M$5,"date",M$6))</f>
        <v>#REF!</v>
      </c>
    </row>
    <row r="94" spans="1:13" x14ac:dyDescent="0.25">
      <c r="A94" s="222" t="e">
        <f>IF('PREFILL-PIVOT'!A92=0,NA(),'PREFILL-PIVOT'!A92)</f>
        <v>#N/A</v>
      </c>
      <c r="B94" t="e">
        <f>IF(GETPIVOTDATA(_xlfn.VALUETOTEXT($A$4),'PREFILL-PIVOT'!$A$3,_xlfn.VALUETOTEXT($A$6),$A94,"Experiment",B$5,"date",B$6)=0,NA(),GETPIVOTDATA(_xlfn.VALUETOTEXT($A$4),'PREFILL-PIVOT'!$A$3,_xlfn.VALUETOTEXT($A$6),$A94,"Experiment",B$5,"date",B$6))</f>
        <v>#REF!</v>
      </c>
      <c r="C94" t="e">
        <f>IF(GETPIVOTDATA(_xlfn.VALUETOTEXT($A$4),'PREFILL-PIVOT'!$A$3,_xlfn.VALUETOTEXT($A$6),$A94,"Experiment",C$5,"date",C$6)=0,NA(),GETPIVOTDATA(_xlfn.VALUETOTEXT($A$4),'PREFILL-PIVOT'!$A$3,_xlfn.VALUETOTEXT($A$6),$A94,"Experiment",C$5,"date",C$6))</f>
        <v>#REF!</v>
      </c>
      <c r="D94" t="e">
        <f>IF(GETPIVOTDATA(_xlfn.VALUETOTEXT($A$4),'PREFILL-PIVOT'!$A$3,_xlfn.VALUETOTEXT($A$6),$A94,"Experiment",D$5,"date",D$6)=0,NA(),GETPIVOTDATA(_xlfn.VALUETOTEXT($A$4),'PREFILL-PIVOT'!$A$3,_xlfn.VALUETOTEXT($A$6),$A94,"Experiment",D$5,"date",D$6))</f>
        <v>#REF!</v>
      </c>
      <c r="E94" t="e">
        <f>IF(GETPIVOTDATA(_xlfn.VALUETOTEXT($A$4),'PREFILL-PIVOT'!$A$3,_xlfn.VALUETOTEXT($A$6),$A94,"Experiment",E$5,"date",E$6)=0,NA(),GETPIVOTDATA(_xlfn.VALUETOTEXT($A$4),'PREFILL-PIVOT'!$A$3,_xlfn.VALUETOTEXT($A$6),$A94,"Experiment",E$5,"date",E$6))</f>
        <v>#REF!</v>
      </c>
      <c r="F94" t="e">
        <f>IF(GETPIVOTDATA(_xlfn.VALUETOTEXT($A$4),'PREFILL-PIVOT'!$A$3,_xlfn.VALUETOTEXT($A$6),$A94,"Experiment",F$5,"date",F$6)=0,NA(),GETPIVOTDATA(_xlfn.VALUETOTEXT($A$4),'PREFILL-PIVOT'!$A$3,_xlfn.VALUETOTEXT($A$6),$A94,"Experiment",F$5,"date",F$6))</f>
        <v>#REF!</v>
      </c>
      <c r="G94" t="e">
        <f>IF(GETPIVOTDATA(_xlfn.VALUETOTEXT($A$4),'PREFILL-PIVOT'!$A$3,_xlfn.VALUETOTEXT($A$6),$A94,"Experiment",G$5,"date",G$6)=0,NA(),GETPIVOTDATA(_xlfn.VALUETOTEXT($A$4),'PREFILL-PIVOT'!$A$3,_xlfn.VALUETOTEXT($A$6),$A94,"Experiment",G$5,"date",G$6))</f>
        <v>#REF!</v>
      </c>
      <c r="H94" t="e">
        <f>IF(GETPIVOTDATA(_xlfn.VALUETOTEXT($A$4),'PREFILL-PIVOT'!$A$3,_xlfn.VALUETOTEXT($A$6),$A94,"Experiment",H$5,"date",H$6)=0,NA(),GETPIVOTDATA(_xlfn.VALUETOTEXT($A$4),'PREFILL-PIVOT'!$A$3,_xlfn.VALUETOTEXT($A$6),$A94,"Experiment",H$5,"date",H$6))</f>
        <v>#REF!</v>
      </c>
      <c r="I94" t="e">
        <f>IF(GETPIVOTDATA(_xlfn.VALUETOTEXT($A$4),'PREFILL-PIVOT'!$A$3,_xlfn.VALUETOTEXT($A$6),$A94,"Experiment",I$5,"date",I$6)=0,NA(),GETPIVOTDATA(_xlfn.VALUETOTEXT($A$4),'PREFILL-PIVOT'!$A$3,_xlfn.VALUETOTEXT($A$6),$A94,"Experiment",I$5,"date",I$6))</f>
        <v>#REF!</v>
      </c>
      <c r="J94" t="e">
        <f>IF(GETPIVOTDATA(_xlfn.VALUETOTEXT($A$4),'PREFILL-PIVOT'!$A$3,_xlfn.VALUETOTEXT($A$6),$A94,"Experiment",J$5,"date",J$6)=0,NA(),GETPIVOTDATA(_xlfn.VALUETOTEXT($A$4),'PREFILL-PIVOT'!$A$3,_xlfn.VALUETOTEXT($A$6),$A94,"Experiment",J$5,"date",J$6))</f>
        <v>#REF!</v>
      </c>
      <c r="K94" t="e">
        <f>IF(GETPIVOTDATA(_xlfn.VALUETOTEXT($A$4),'PREFILL-PIVOT'!$A$3,_xlfn.VALUETOTEXT($A$6),$A94,"Experiment",K$5,"date",K$6)=0,NA(),GETPIVOTDATA(_xlfn.VALUETOTEXT($A$4),'PREFILL-PIVOT'!$A$3,_xlfn.VALUETOTEXT($A$6),$A94,"Experiment",K$5,"date",K$6))</f>
        <v>#REF!</v>
      </c>
      <c r="L94" t="e">
        <f>IF(GETPIVOTDATA(_xlfn.VALUETOTEXT($A$4),'PREFILL-PIVOT'!$A$3,_xlfn.VALUETOTEXT($A$6),$A94,"Experiment",L$5,"date",L$6)=0,NA(),GETPIVOTDATA(_xlfn.VALUETOTEXT($A$4),'PREFILL-PIVOT'!$A$3,_xlfn.VALUETOTEXT($A$6),$A94,"Experiment",L$5,"date",L$6))</f>
        <v>#REF!</v>
      </c>
      <c r="M94" t="e">
        <f>IF(GETPIVOTDATA(_xlfn.VALUETOTEXT($A$4),'PREFILL-PIVOT'!$A$3,_xlfn.VALUETOTEXT($A$6),$A94,"Experiment",M$5,"date",M$6)=0,NA(),GETPIVOTDATA(_xlfn.VALUETOTEXT($A$4),'PREFILL-PIVOT'!$A$3,_xlfn.VALUETOTEXT($A$6),$A94,"Experiment",M$5,"date",M$6))</f>
        <v>#REF!</v>
      </c>
    </row>
    <row r="95" spans="1:13" x14ac:dyDescent="0.25">
      <c r="A95" s="222" t="e">
        <f>IF('PREFILL-PIVOT'!A93=0,NA(),'PREFILL-PIVOT'!A93)</f>
        <v>#N/A</v>
      </c>
      <c r="B95" t="e">
        <f>IF(GETPIVOTDATA(_xlfn.VALUETOTEXT($A$4),'PREFILL-PIVOT'!$A$3,_xlfn.VALUETOTEXT($A$6),$A95,"Experiment",B$5,"date",B$6)=0,NA(),GETPIVOTDATA(_xlfn.VALUETOTEXT($A$4),'PREFILL-PIVOT'!$A$3,_xlfn.VALUETOTEXT($A$6),$A95,"Experiment",B$5,"date",B$6))</f>
        <v>#REF!</v>
      </c>
      <c r="C95" t="e">
        <f>IF(GETPIVOTDATA(_xlfn.VALUETOTEXT($A$4),'PREFILL-PIVOT'!$A$3,_xlfn.VALUETOTEXT($A$6),$A95,"Experiment",C$5,"date",C$6)=0,NA(),GETPIVOTDATA(_xlfn.VALUETOTEXT($A$4),'PREFILL-PIVOT'!$A$3,_xlfn.VALUETOTEXT($A$6),$A95,"Experiment",C$5,"date",C$6))</f>
        <v>#REF!</v>
      </c>
      <c r="D95" t="e">
        <f>IF(GETPIVOTDATA(_xlfn.VALUETOTEXT($A$4),'PREFILL-PIVOT'!$A$3,_xlfn.VALUETOTEXT($A$6),$A95,"Experiment",D$5,"date",D$6)=0,NA(),GETPIVOTDATA(_xlfn.VALUETOTEXT($A$4),'PREFILL-PIVOT'!$A$3,_xlfn.VALUETOTEXT($A$6),$A95,"Experiment",D$5,"date",D$6))</f>
        <v>#REF!</v>
      </c>
      <c r="E95" t="e">
        <f>IF(GETPIVOTDATA(_xlfn.VALUETOTEXT($A$4),'PREFILL-PIVOT'!$A$3,_xlfn.VALUETOTEXT($A$6),$A95,"Experiment",E$5,"date",E$6)=0,NA(),GETPIVOTDATA(_xlfn.VALUETOTEXT($A$4),'PREFILL-PIVOT'!$A$3,_xlfn.VALUETOTEXT($A$6),$A95,"Experiment",E$5,"date",E$6))</f>
        <v>#REF!</v>
      </c>
      <c r="F95" t="e">
        <f>IF(GETPIVOTDATA(_xlfn.VALUETOTEXT($A$4),'PREFILL-PIVOT'!$A$3,_xlfn.VALUETOTEXT($A$6),$A95,"Experiment",F$5,"date",F$6)=0,NA(),GETPIVOTDATA(_xlfn.VALUETOTEXT($A$4),'PREFILL-PIVOT'!$A$3,_xlfn.VALUETOTEXT($A$6),$A95,"Experiment",F$5,"date",F$6))</f>
        <v>#REF!</v>
      </c>
      <c r="G95" t="e">
        <f>IF(GETPIVOTDATA(_xlfn.VALUETOTEXT($A$4),'PREFILL-PIVOT'!$A$3,_xlfn.VALUETOTEXT($A$6),$A95,"Experiment",G$5,"date",G$6)=0,NA(),GETPIVOTDATA(_xlfn.VALUETOTEXT($A$4),'PREFILL-PIVOT'!$A$3,_xlfn.VALUETOTEXT($A$6),$A95,"Experiment",G$5,"date",G$6))</f>
        <v>#REF!</v>
      </c>
      <c r="H95" t="e">
        <f>IF(GETPIVOTDATA(_xlfn.VALUETOTEXT($A$4),'PREFILL-PIVOT'!$A$3,_xlfn.VALUETOTEXT($A$6),$A95,"Experiment",H$5,"date",H$6)=0,NA(),GETPIVOTDATA(_xlfn.VALUETOTEXT($A$4),'PREFILL-PIVOT'!$A$3,_xlfn.VALUETOTEXT($A$6),$A95,"Experiment",H$5,"date",H$6))</f>
        <v>#REF!</v>
      </c>
      <c r="I95" t="e">
        <f>IF(GETPIVOTDATA(_xlfn.VALUETOTEXT($A$4),'PREFILL-PIVOT'!$A$3,_xlfn.VALUETOTEXT($A$6),$A95,"Experiment",I$5,"date",I$6)=0,NA(),GETPIVOTDATA(_xlfn.VALUETOTEXT($A$4),'PREFILL-PIVOT'!$A$3,_xlfn.VALUETOTEXT($A$6),$A95,"Experiment",I$5,"date",I$6))</f>
        <v>#REF!</v>
      </c>
      <c r="J95" t="e">
        <f>IF(GETPIVOTDATA(_xlfn.VALUETOTEXT($A$4),'PREFILL-PIVOT'!$A$3,_xlfn.VALUETOTEXT($A$6),$A95,"Experiment",J$5,"date",J$6)=0,NA(),GETPIVOTDATA(_xlfn.VALUETOTEXT($A$4),'PREFILL-PIVOT'!$A$3,_xlfn.VALUETOTEXT($A$6),$A95,"Experiment",J$5,"date",J$6))</f>
        <v>#REF!</v>
      </c>
      <c r="K95" t="e">
        <f>IF(GETPIVOTDATA(_xlfn.VALUETOTEXT($A$4),'PREFILL-PIVOT'!$A$3,_xlfn.VALUETOTEXT($A$6),$A95,"Experiment",K$5,"date",K$6)=0,NA(),GETPIVOTDATA(_xlfn.VALUETOTEXT($A$4),'PREFILL-PIVOT'!$A$3,_xlfn.VALUETOTEXT($A$6),$A95,"Experiment",K$5,"date",K$6))</f>
        <v>#REF!</v>
      </c>
      <c r="L95" t="e">
        <f>IF(GETPIVOTDATA(_xlfn.VALUETOTEXT($A$4),'PREFILL-PIVOT'!$A$3,_xlfn.VALUETOTEXT($A$6),$A95,"Experiment",L$5,"date",L$6)=0,NA(),GETPIVOTDATA(_xlfn.VALUETOTEXT($A$4),'PREFILL-PIVOT'!$A$3,_xlfn.VALUETOTEXT($A$6),$A95,"Experiment",L$5,"date",L$6))</f>
        <v>#REF!</v>
      </c>
      <c r="M95" t="e">
        <f>IF(GETPIVOTDATA(_xlfn.VALUETOTEXT($A$4),'PREFILL-PIVOT'!$A$3,_xlfn.VALUETOTEXT($A$6),$A95,"Experiment",M$5,"date",M$6)=0,NA(),GETPIVOTDATA(_xlfn.VALUETOTEXT($A$4),'PREFILL-PIVOT'!$A$3,_xlfn.VALUETOTEXT($A$6),$A95,"Experiment",M$5,"date",M$6))</f>
        <v>#REF!</v>
      </c>
    </row>
    <row r="96" spans="1:13" x14ac:dyDescent="0.25">
      <c r="A96" s="222" t="e">
        <f>IF('PREFILL-PIVOT'!A94=0,NA(),'PREFILL-PIVOT'!A94)</f>
        <v>#N/A</v>
      </c>
      <c r="B96" t="e">
        <f>IF(GETPIVOTDATA(_xlfn.VALUETOTEXT($A$4),'PREFILL-PIVOT'!$A$3,_xlfn.VALUETOTEXT($A$6),$A96,"Experiment",B$5,"date",B$6)=0,NA(),GETPIVOTDATA(_xlfn.VALUETOTEXT($A$4),'PREFILL-PIVOT'!$A$3,_xlfn.VALUETOTEXT($A$6),$A96,"Experiment",B$5,"date",B$6))</f>
        <v>#REF!</v>
      </c>
      <c r="C96" t="e">
        <f>IF(GETPIVOTDATA(_xlfn.VALUETOTEXT($A$4),'PREFILL-PIVOT'!$A$3,_xlfn.VALUETOTEXT($A$6),$A96,"Experiment",C$5,"date",C$6)=0,NA(),GETPIVOTDATA(_xlfn.VALUETOTEXT($A$4),'PREFILL-PIVOT'!$A$3,_xlfn.VALUETOTEXT($A$6),$A96,"Experiment",C$5,"date",C$6))</f>
        <v>#REF!</v>
      </c>
      <c r="D96" t="e">
        <f>IF(GETPIVOTDATA(_xlfn.VALUETOTEXT($A$4),'PREFILL-PIVOT'!$A$3,_xlfn.VALUETOTEXT($A$6),$A96,"Experiment",D$5,"date",D$6)=0,NA(),GETPIVOTDATA(_xlfn.VALUETOTEXT($A$4),'PREFILL-PIVOT'!$A$3,_xlfn.VALUETOTEXT($A$6),$A96,"Experiment",D$5,"date",D$6))</f>
        <v>#REF!</v>
      </c>
      <c r="E96" t="e">
        <f>IF(GETPIVOTDATA(_xlfn.VALUETOTEXT($A$4),'PREFILL-PIVOT'!$A$3,_xlfn.VALUETOTEXT($A$6),$A96,"Experiment",E$5,"date",E$6)=0,NA(),GETPIVOTDATA(_xlfn.VALUETOTEXT($A$4),'PREFILL-PIVOT'!$A$3,_xlfn.VALUETOTEXT($A$6),$A96,"Experiment",E$5,"date",E$6))</f>
        <v>#REF!</v>
      </c>
      <c r="F96" t="e">
        <f>IF(GETPIVOTDATA(_xlfn.VALUETOTEXT($A$4),'PREFILL-PIVOT'!$A$3,_xlfn.VALUETOTEXT($A$6),$A96,"Experiment",F$5,"date",F$6)=0,NA(),GETPIVOTDATA(_xlfn.VALUETOTEXT($A$4),'PREFILL-PIVOT'!$A$3,_xlfn.VALUETOTEXT($A$6),$A96,"Experiment",F$5,"date",F$6))</f>
        <v>#REF!</v>
      </c>
      <c r="G96" t="e">
        <f>IF(GETPIVOTDATA(_xlfn.VALUETOTEXT($A$4),'PREFILL-PIVOT'!$A$3,_xlfn.VALUETOTEXT($A$6),$A96,"Experiment",G$5,"date",G$6)=0,NA(),GETPIVOTDATA(_xlfn.VALUETOTEXT($A$4),'PREFILL-PIVOT'!$A$3,_xlfn.VALUETOTEXT($A$6),$A96,"Experiment",G$5,"date",G$6))</f>
        <v>#REF!</v>
      </c>
      <c r="H96" t="e">
        <f>IF(GETPIVOTDATA(_xlfn.VALUETOTEXT($A$4),'PREFILL-PIVOT'!$A$3,_xlfn.VALUETOTEXT($A$6),$A96,"Experiment",H$5,"date",H$6)=0,NA(),GETPIVOTDATA(_xlfn.VALUETOTEXT($A$4),'PREFILL-PIVOT'!$A$3,_xlfn.VALUETOTEXT($A$6),$A96,"Experiment",H$5,"date",H$6))</f>
        <v>#REF!</v>
      </c>
      <c r="I96" t="e">
        <f>IF(GETPIVOTDATA(_xlfn.VALUETOTEXT($A$4),'PREFILL-PIVOT'!$A$3,_xlfn.VALUETOTEXT($A$6),$A96,"Experiment",I$5,"date",I$6)=0,NA(),GETPIVOTDATA(_xlfn.VALUETOTEXT($A$4),'PREFILL-PIVOT'!$A$3,_xlfn.VALUETOTEXT($A$6),$A96,"Experiment",I$5,"date",I$6))</f>
        <v>#REF!</v>
      </c>
      <c r="J96" t="e">
        <f>IF(GETPIVOTDATA(_xlfn.VALUETOTEXT($A$4),'PREFILL-PIVOT'!$A$3,_xlfn.VALUETOTEXT($A$6),$A96,"Experiment",J$5,"date",J$6)=0,NA(),GETPIVOTDATA(_xlfn.VALUETOTEXT($A$4),'PREFILL-PIVOT'!$A$3,_xlfn.VALUETOTEXT($A$6),$A96,"Experiment",J$5,"date",J$6))</f>
        <v>#REF!</v>
      </c>
      <c r="K96" t="e">
        <f>IF(GETPIVOTDATA(_xlfn.VALUETOTEXT($A$4),'PREFILL-PIVOT'!$A$3,_xlfn.VALUETOTEXT($A$6),$A96,"Experiment",K$5,"date",K$6)=0,NA(),GETPIVOTDATA(_xlfn.VALUETOTEXT($A$4),'PREFILL-PIVOT'!$A$3,_xlfn.VALUETOTEXT($A$6),$A96,"Experiment",K$5,"date",K$6))</f>
        <v>#REF!</v>
      </c>
      <c r="L96" t="e">
        <f>IF(GETPIVOTDATA(_xlfn.VALUETOTEXT($A$4),'PREFILL-PIVOT'!$A$3,_xlfn.VALUETOTEXT($A$6),$A96,"Experiment",L$5,"date",L$6)=0,NA(),GETPIVOTDATA(_xlfn.VALUETOTEXT($A$4),'PREFILL-PIVOT'!$A$3,_xlfn.VALUETOTEXT($A$6),$A96,"Experiment",L$5,"date",L$6))</f>
        <v>#REF!</v>
      </c>
      <c r="M96" t="e">
        <f>IF(GETPIVOTDATA(_xlfn.VALUETOTEXT($A$4),'PREFILL-PIVOT'!$A$3,_xlfn.VALUETOTEXT($A$6),$A96,"Experiment",M$5,"date",M$6)=0,NA(),GETPIVOTDATA(_xlfn.VALUETOTEXT($A$4),'PREFILL-PIVOT'!$A$3,_xlfn.VALUETOTEXT($A$6),$A96,"Experiment",M$5,"date",M$6))</f>
        <v>#REF!</v>
      </c>
    </row>
    <row r="97" spans="1:13" x14ac:dyDescent="0.25">
      <c r="A97" s="222" t="e">
        <f>IF('PREFILL-PIVOT'!A95=0,NA(),'PREFILL-PIVOT'!A95)</f>
        <v>#N/A</v>
      </c>
      <c r="B97" t="e">
        <f>IF(GETPIVOTDATA(_xlfn.VALUETOTEXT($A$4),'PREFILL-PIVOT'!$A$3,_xlfn.VALUETOTEXT($A$6),$A97,"Experiment",B$5,"date",B$6)=0,NA(),GETPIVOTDATA(_xlfn.VALUETOTEXT($A$4),'PREFILL-PIVOT'!$A$3,_xlfn.VALUETOTEXT($A$6),$A97,"Experiment",B$5,"date",B$6))</f>
        <v>#REF!</v>
      </c>
      <c r="C97" t="e">
        <f>IF(GETPIVOTDATA(_xlfn.VALUETOTEXT($A$4),'PREFILL-PIVOT'!$A$3,_xlfn.VALUETOTEXT($A$6),$A97,"Experiment",C$5,"date",C$6)=0,NA(),GETPIVOTDATA(_xlfn.VALUETOTEXT($A$4),'PREFILL-PIVOT'!$A$3,_xlfn.VALUETOTEXT($A$6),$A97,"Experiment",C$5,"date",C$6))</f>
        <v>#REF!</v>
      </c>
      <c r="D97" t="e">
        <f>IF(GETPIVOTDATA(_xlfn.VALUETOTEXT($A$4),'PREFILL-PIVOT'!$A$3,_xlfn.VALUETOTEXT($A$6),$A97,"Experiment",D$5,"date",D$6)=0,NA(),GETPIVOTDATA(_xlfn.VALUETOTEXT($A$4),'PREFILL-PIVOT'!$A$3,_xlfn.VALUETOTEXT($A$6),$A97,"Experiment",D$5,"date",D$6))</f>
        <v>#REF!</v>
      </c>
      <c r="E97" t="e">
        <f>IF(GETPIVOTDATA(_xlfn.VALUETOTEXT($A$4),'PREFILL-PIVOT'!$A$3,_xlfn.VALUETOTEXT($A$6),$A97,"Experiment",E$5,"date",E$6)=0,NA(),GETPIVOTDATA(_xlfn.VALUETOTEXT($A$4),'PREFILL-PIVOT'!$A$3,_xlfn.VALUETOTEXT($A$6),$A97,"Experiment",E$5,"date",E$6))</f>
        <v>#REF!</v>
      </c>
      <c r="F97" t="e">
        <f>IF(GETPIVOTDATA(_xlfn.VALUETOTEXT($A$4),'PREFILL-PIVOT'!$A$3,_xlfn.VALUETOTEXT($A$6),$A97,"Experiment",F$5,"date",F$6)=0,NA(),GETPIVOTDATA(_xlfn.VALUETOTEXT($A$4),'PREFILL-PIVOT'!$A$3,_xlfn.VALUETOTEXT($A$6),$A97,"Experiment",F$5,"date",F$6))</f>
        <v>#REF!</v>
      </c>
      <c r="G97" t="e">
        <f>IF(GETPIVOTDATA(_xlfn.VALUETOTEXT($A$4),'PREFILL-PIVOT'!$A$3,_xlfn.VALUETOTEXT($A$6),$A97,"Experiment",G$5,"date",G$6)=0,NA(),GETPIVOTDATA(_xlfn.VALUETOTEXT($A$4),'PREFILL-PIVOT'!$A$3,_xlfn.VALUETOTEXT($A$6),$A97,"Experiment",G$5,"date",G$6))</f>
        <v>#REF!</v>
      </c>
      <c r="H97" t="e">
        <f>IF(GETPIVOTDATA(_xlfn.VALUETOTEXT($A$4),'PREFILL-PIVOT'!$A$3,_xlfn.VALUETOTEXT($A$6),$A97,"Experiment",H$5,"date",H$6)=0,NA(),GETPIVOTDATA(_xlfn.VALUETOTEXT($A$4),'PREFILL-PIVOT'!$A$3,_xlfn.VALUETOTEXT($A$6),$A97,"Experiment",H$5,"date",H$6))</f>
        <v>#REF!</v>
      </c>
      <c r="I97" t="e">
        <f>IF(GETPIVOTDATA(_xlfn.VALUETOTEXT($A$4),'PREFILL-PIVOT'!$A$3,_xlfn.VALUETOTEXT($A$6),$A97,"Experiment",I$5,"date",I$6)=0,NA(),GETPIVOTDATA(_xlfn.VALUETOTEXT($A$4),'PREFILL-PIVOT'!$A$3,_xlfn.VALUETOTEXT($A$6),$A97,"Experiment",I$5,"date",I$6))</f>
        <v>#REF!</v>
      </c>
      <c r="J97" t="e">
        <f>IF(GETPIVOTDATA(_xlfn.VALUETOTEXT($A$4),'PREFILL-PIVOT'!$A$3,_xlfn.VALUETOTEXT($A$6),$A97,"Experiment",J$5,"date",J$6)=0,NA(),GETPIVOTDATA(_xlfn.VALUETOTEXT($A$4),'PREFILL-PIVOT'!$A$3,_xlfn.VALUETOTEXT($A$6),$A97,"Experiment",J$5,"date",J$6))</f>
        <v>#REF!</v>
      </c>
      <c r="K97" t="e">
        <f>IF(GETPIVOTDATA(_xlfn.VALUETOTEXT($A$4),'PREFILL-PIVOT'!$A$3,_xlfn.VALUETOTEXT($A$6),$A97,"Experiment",K$5,"date",K$6)=0,NA(),GETPIVOTDATA(_xlfn.VALUETOTEXT($A$4),'PREFILL-PIVOT'!$A$3,_xlfn.VALUETOTEXT($A$6),$A97,"Experiment",K$5,"date",K$6))</f>
        <v>#REF!</v>
      </c>
      <c r="L97" t="e">
        <f>IF(GETPIVOTDATA(_xlfn.VALUETOTEXT($A$4),'PREFILL-PIVOT'!$A$3,_xlfn.VALUETOTEXT($A$6),$A97,"Experiment",L$5,"date",L$6)=0,NA(),GETPIVOTDATA(_xlfn.VALUETOTEXT($A$4),'PREFILL-PIVOT'!$A$3,_xlfn.VALUETOTEXT($A$6),$A97,"Experiment",L$5,"date",L$6))</f>
        <v>#REF!</v>
      </c>
      <c r="M97" t="e">
        <f>IF(GETPIVOTDATA(_xlfn.VALUETOTEXT($A$4),'PREFILL-PIVOT'!$A$3,_xlfn.VALUETOTEXT($A$6),$A97,"Experiment",M$5,"date",M$6)=0,NA(),GETPIVOTDATA(_xlfn.VALUETOTEXT($A$4),'PREFILL-PIVOT'!$A$3,_xlfn.VALUETOTEXT($A$6),$A97,"Experiment",M$5,"date",M$6))</f>
        <v>#REF!</v>
      </c>
    </row>
    <row r="98" spans="1:13" x14ac:dyDescent="0.25">
      <c r="A98" s="222" t="e">
        <f>IF('PREFILL-PIVOT'!A96=0,NA(),'PREFILL-PIVOT'!A96)</f>
        <v>#N/A</v>
      </c>
      <c r="B98" t="e">
        <f>IF(GETPIVOTDATA(_xlfn.VALUETOTEXT($A$4),'PREFILL-PIVOT'!$A$3,_xlfn.VALUETOTEXT($A$6),$A98,"Experiment",B$5,"date",B$6)=0,NA(),GETPIVOTDATA(_xlfn.VALUETOTEXT($A$4),'PREFILL-PIVOT'!$A$3,_xlfn.VALUETOTEXT($A$6),$A98,"Experiment",B$5,"date",B$6))</f>
        <v>#REF!</v>
      </c>
      <c r="C98" t="e">
        <f>IF(GETPIVOTDATA(_xlfn.VALUETOTEXT($A$4),'PREFILL-PIVOT'!$A$3,_xlfn.VALUETOTEXT($A$6),$A98,"Experiment",C$5,"date",C$6)=0,NA(),GETPIVOTDATA(_xlfn.VALUETOTEXT($A$4),'PREFILL-PIVOT'!$A$3,_xlfn.VALUETOTEXT($A$6),$A98,"Experiment",C$5,"date",C$6))</f>
        <v>#REF!</v>
      </c>
      <c r="D98" t="e">
        <f>IF(GETPIVOTDATA(_xlfn.VALUETOTEXT($A$4),'PREFILL-PIVOT'!$A$3,_xlfn.VALUETOTEXT($A$6),$A98,"Experiment",D$5,"date",D$6)=0,NA(),GETPIVOTDATA(_xlfn.VALUETOTEXT($A$4),'PREFILL-PIVOT'!$A$3,_xlfn.VALUETOTEXT($A$6),$A98,"Experiment",D$5,"date",D$6))</f>
        <v>#REF!</v>
      </c>
      <c r="E98" t="e">
        <f>IF(GETPIVOTDATA(_xlfn.VALUETOTEXT($A$4),'PREFILL-PIVOT'!$A$3,_xlfn.VALUETOTEXT($A$6),$A98,"Experiment",E$5,"date",E$6)=0,NA(),GETPIVOTDATA(_xlfn.VALUETOTEXT($A$4),'PREFILL-PIVOT'!$A$3,_xlfn.VALUETOTEXT($A$6),$A98,"Experiment",E$5,"date",E$6))</f>
        <v>#REF!</v>
      </c>
      <c r="F98" t="e">
        <f>IF(GETPIVOTDATA(_xlfn.VALUETOTEXT($A$4),'PREFILL-PIVOT'!$A$3,_xlfn.VALUETOTEXT($A$6),$A98,"Experiment",F$5,"date",F$6)=0,NA(),GETPIVOTDATA(_xlfn.VALUETOTEXT($A$4),'PREFILL-PIVOT'!$A$3,_xlfn.VALUETOTEXT($A$6),$A98,"Experiment",F$5,"date",F$6))</f>
        <v>#REF!</v>
      </c>
      <c r="G98" t="e">
        <f>IF(GETPIVOTDATA(_xlfn.VALUETOTEXT($A$4),'PREFILL-PIVOT'!$A$3,_xlfn.VALUETOTEXT($A$6),$A98,"Experiment",G$5,"date",G$6)=0,NA(),GETPIVOTDATA(_xlfn.VALUETOTEXT($A$4),'PREFILL-PIVOT'!$A$3,_xlfn.VALUETOTEXT($A$6),$A98,"Experiment",G$5,"date",G$6))</f>
        <v>#REF!</v>
      </c>
      <c r="H98" t="e">
        <f>IF(GETPIVOTDATA(_xlfn.VALUETOTEXT($A$4),'PREFILL-PIVOT'!$A$3,_xlfn.VALUETOTEXT($A$6),$A98,"Experiment",H$5,"date",H$6)=0,NA(),GETPIVOTDATA(_xlfn.VALUETOTEXT($A$4),'PREFILL-PIVOT'!$A$3,_xlfn.VALUETOTEXT($A$6),$A98,"Experiment",H$5,"date",H$6))</f>
        <v>#REF!</v>
      </c>
      <c r="I98" t="e">
        <f>IF(GETPIVOTDATA(_xlfn.VALUETOTEXT($A$4),'PREFILL-PIVOT'!$A$3,_xlfn.VALUETOTEXT($A$6),$A98,"Experiment",I$5,"date",I$6)=0,NA(),GETPIVOTDATA(_xlfn.VALUETOTEXT($A$4),'PREFILL-PIVOT'!$A$3,_xlfn.VALUETOTEXT($A$6),$A98,"Experiment",I$5,"date",I$6))</f>
        <v>#REF!</v>
      </c>
      <c r="J98" t="e">
        <f>IF(GETPIVOTDATA(_xlfn.VALUETOTEXT($A$4),'PREFILL-PIVOT'!$A$3,_xlfn.VALUETOTEXT($A$6),$A98,"Experiment",J$5,"date",J$6)=0,NA(),GETPIVOTDATA(_xlfn.VALUETOTEXT($A$4),'PREFILL-PIVOT'!$A$3,_xlfn.VALUETOTEXT($A$6),$A98,"Experiment",J$5,"date",J$6))</f>
        <v>#REF!</v>
      </c>
      <c r="K98" t="e">
        <f>IF(GETPIVOTDATA(_xlfn.VALUETOTEXT($A$4),'PREFILL-PIVOT'!$A$3,_xlfn.VALUETOTEXT($A$6),$A98,"Experiment",K$5,"date",K$6)=0,NA(),GETPIVOTDATA(_xlfn.VALUETOTEXT($A$4),'PREFILL-PIVOT'!$A$3,_xlfn.VALUETOTEXT($A$6),$A98,"Experiment",K$5,"date",K$6))</f>
        <v>#REF!</v>
      </c>
      <c r="L98" t="e">
        <f>IF(GETPIVOTDATA(_xlfn.VALUETOTEXT($A$4),'PREFILL-PIVOT'!$A$3,_xlfn.VALUETOTEXT($A$6),$A98,"Experiment",L$5,"date",L$6)=0,NA(),GETPIVOTDATA(_xlfn.VALUETOTEXT($A$4),'PREFILL-PIVOT'!$A$3,_xlfn.VALUETOTEXT($A$6),$A98,"Experiment",L$5,"date",L$6))</f>
        <v>#REF!</v>
      </c>
      <c r="M98" t="e">
        <f>IF(GETPIVOTDATA(_xlfn.VALUETOTEXT($A$4),'PREFILL-PIVOT'!$A$3,_xlfn.VALUETOTEXT($A$6),$A98,"Experiment",M$5,"date",M$6)=0,NA(),GETPIVOTDATA(_xlfn.VALUETOTEXT($A$4),'PREFILL-PIVOT'!$A$3,_xlfn.VALUETOTEXT($A$6),$A98,"Experiment",M$5,"date",M$6))</f>
        <v>#REF!</v>
      </c>
    </row>
    <row r="99" spans="1:13" x14ac:dyDescent="0.25">
      <c r="A99" s="222" t="e">
        <f>IF('PREFILL-PIVOT'!A97=0,NA(),'PREFILL-PIVOT'!A97)</f>
        <v>#N/A</v>
      </c>
      <c r="B99" t="e">
        <f>IF(GETPIVOTDATA(_xlfn.VALUETOTEXT($A$4),'PREFILL-PIVOT'!$A$3,_xlfn.VALUETOTEXT($A$6),$A99,"Experiment",B$5,"date",B$6)=0,NA(),GETPIVOTDATA(_xlfn.VALUETOTEXT($A$4),'PREFILL-PIVOT'!$A$3,_xlfn.VALUETOTEXT($A$6),$A99,"Experiment",B$5,"date",B$6))</f>
        <v>#REF!</v>
      </c>
      <c r="C99" t="e">
        <f>IF(GETPIVOTDATA(_xlfn.VALUETOTEXT($A$4),'PREFILL-PIVOT'!$A$3,_xlfn.VALUETOTEXT($A$6),$A99,"Experiment",C$5,"date",C$6)=0,NA(),GETPIVOTDATA(_xlfn.VALUETOTEXT($A$4),'PREFILL-PIVOT'!$A$3,_xlfn.VALUETOTEXT($A$6),$A99,"Experiment",C$5,"date",C$6))</f>
        <v>#REF!</v>
      </c>
      <c r="D99" t="e">
        <f>IF(GETPIVOTDATA(_xlfn.VALUETOTEXT($A$4),'PREFILL-PIVOT'!$A$3,_xlfn.VALUETOTEXT($A$6),$A99,"Experiment",D$5,"date",D$6)=0,NA(),GETPIVOTDATA(_xlfn.VALUETOTEXT($A$4),'PREFILL-PIVOT'!$A$3,_xlfn.VALUETOTEXT($A$6),$A99,"Experiment",D$5,"date",D$6))</f>
        <v>#REF!</v>
      </c>
      <c r="E99" t="e">
        <f>IF(GETPIVOTDATA(_xlfn.VALUETOTEXT($A$4),'PREFILL-PIVOT'!$A$3,_xlfn.VALUETOTEXT($A$6),$A99,"Experiment",E$5,"date",E$6)=0,NA(),GETPIVOTDATA(_xlfn.VALUETOTEXT($A$4),'PREFILL-PIVOT'!$A$3,_xlfn.VALUETOTEXT($A$6),$A99,"Experiment",E$5,"date",E$6))</f>
        <v>#REF!</v>
      </c>
      <c r="F99" t="e">
        <f>IF(GETPIVOTDATA(_xlfn.VALUETOTEXT($A$4),'PREFILL-PIVOT'!$A$3,_xlfn.VALUETOTEXT($A$6),$A99,"Experiment",F$5,"date",F$6)=0,NA(),GETPIVOTDATA(_xlfn.VALUETOTEXT($A$4),'PREFILL-PIVOT'!$A$3,_xlfn.VALUETOTEXT($A$6),$A99,"Experiment",F$5,"date",F$6))</f>
        <v>#REF!</v>
      </c>
      <c r="G99" t="e">
        <f>IF(GETPIVOTDATA(_xlfn.VALUETOTEXT($A$4),'PREFILL-PIVOT'!$A$3,_xlfn.VALUETOTEXT($A$6),$A99,"Experiment",G$5,"date",G$6)=0,NA(),GETPIVOTDATA(_xlfn.VALUETOTEXT($A$4),'PREFILL-PIVOT'!$A$3,_xlfn.VALUETOTEXT($A$6),$A99,"Experiment",G$5,"date",G$6))</f>
        <v>#REF!</v>
      </c>
      <c r="H99" t="e">
        <f>IF(GETPIVOTDATA(_xlfn.VALUETOTEXT($A$4),'PREFILL-PIVOT'!$A$3,_xlfn.VALUETOTEXT($A$6),$A99,"Experiment",H$5,"date",H$6)=0,NA(),GETPIVOTDATA(_xlfn.VALUETOTEXT($A$4),'PREFILL-PIVOT'!$A$3,_xlfn.VALUETOTEXT($A$6),$A99,"Experiment",H$5,"date",H$6))</f>
        <v>#REF!</v>
      </c>
      <c r="I99" t="e">
        <f>IF(GETPIVOTDATA(_xlfn.VALUETOTEXT($A$4),'PREFILL-PIVOT'!$A$3,_xlfn.VALUETOTEXT($A$6),$A99,"Experiment",I$5,"date",I$6)=0,NA(),GETPIVOTDATA(_xlfn.VALUETOTEXT($A$4),'PREFILL-PIVOT'!$A$3,_xlfn.VALUETOTEXT($A$6),$A99,"Experiment",I$5,"date",I$6))</f>
        <v>#REF!</v>
      </c>
      <c r="J99" t="e">
        <f>IF(GETPIVOTDATA(_xlfn.VALUETOTEXT($A$4),'PREFILL-PIVOT'!$A$3,_xlfn.VALUETOTEXT($A$6),$A99,"Experiment",J$5,"date",J$6)=0,NA(),GETPIVOTDATA(_xlfn.VALUETOTEXT($A$4),'PREFILL-PIVOT'!$A$3,_xlfn.VALUETOTEXT($A$6),$A99,"Experiment",J$5,"date",J$6))</f>
        <v>#REF!</v>
      </c>
      <c r="K99" t="e">
        <f>IF(GETPIVOTDATA(_xlfn.VALUETOTEXT($A$4),'PREFILL-PIVOT'!$A$3,_xlfn.VALUETOTEXT($A$6),$A99,"Experiment",K$5,"date",K$6)=0,NA(),GETPIVOTDATA(_xlfn.VALUETOTEXT($A$4),'PREFILL-PIVOT'!$A$3,_xlfn.VALUETOTEXT($A$6),$A99,"Experiment",K$5,"date",K$6))</f>
        <v>#REF!</v>
      </c>
      <c r="L99" t="e">
        <f>IF(GETPIVOTDATA(_xlfn.VALUETOTEXT($A$4),'PREFILL-PIVOT'!$A$3,_xlfn.VALUETOTEXT($A$6),$A99,"Experiment",L$5,"date",L$6)=0,NA(),GETPIVOTDATA(_xlfn.VALUETOTEXT($A$4),'PREFILL-PIVOT'!$A$3,_xlfn.VALUETOTEXT($A$6),$A99,"Experiment",L$5,"date",L$6))</f>
        <v>#REF!</v>
      </c>
      <c r="M99" t="e">
        <f>IF(GETPIVOTDATA(_xlfn.VALUETOTEXT($A$4),'PREFILL-PIVOT'!$A$3,_xlfn.VALUETOTEXT($A$6),$A99,"Experiment",M$5,"date",M$6)=0,NA(),GETPIVOTDATA(_xlfn.VALUETOTEXT($A$4),'PREFILL-PIVOT'!$A$3,_xlfn.VALUETOTEXT($A$6),$A99,"Experiment",M$5,"date",M$6))</f>
        <v>#REF!</v>
      </c>
    </row>
    <row r="100" spans="1:13" x14ac:dyDescent="0.25">
      <c r="A100" s="222" t="e">
        <f>IF('PREFILL-PIVOT'!A98=0,NA(),'PREFILL-PIVOT'!A98)</f>
        <v>#N/A</v>
      </c>
      <c r="B100" t="e">
        <f>IF(GETPIVOTDATA(_xlfn.VALUETOTEXT($A$4),'PREFILL-PIVOT'!$A$3,_xlfn.VALUETOTEXT($A$6),$A100,"Experiment",B$5,"date",B$6)=0,NA(),GETPIVOTDATA(_xlfn.VALUETOTEXT($A$4),'PREFILL-PIVOT'!$A$3,_xlfn.VALUETOTEXT($A$6),$A100,"Experiment",B$5,"date",B$6))</f>
        <v>#REF!</v>
      </c>
      <c r="C100" t="e">
        <f>IF(GETPIVOTDATA(_xlfn.VALUETOTEXT($A$4),'PREFILL-PIVOT'!$A$3,_xlfn.VALUETOTEXT($A$6),$A100,"Experiment",C$5,"date",C$6)=0,NA(),GETPIVOTDATA(_xlfn.VALUETOTEXT($A$4),'PREFILL-PIVOT'!$A$3,_xlfn.VALUETOTEXT($A$6),$A100,"Experiment",C$5,"date",C$6))</f>
        <v>#REF!</v>
      </c>
      <c r="D100" t="e">
        <f>IF(GETPIVOTDATA(_xlfn.VALUETOTEXT($A$4),'PREFILL-PIVOT'!$A$3,_xlfn.VALUETOTEXT($A$6),$A100,"Experiment",D$5,"date",D$6)=0,NA(),GETPIVOTDATA(_xlfn.VALUETOTEXT($A$4),'PREFILL-PIVOT'!$A$3,_xlfn.VALUETOTEXT($A$6),$A100,"Experiment",D$5,"date",D$6))</f>
        <v>#REF!</v>
      </c>
      <c r="E100" t="e">
        <f>IF(GETPIVOTDATA(_xlfn.VALUETOTEXT($A$4),'PREFILL-PIVOT'!$A$3,_xlfn.VALUETOTEXT($A$6),$A100,"Experiment",E$5,"date",E$6)=0,NA(),GETPIVOTDATA(_xlfn.VALUETOTEXT($A$4),'PREFILL-PIVOT'!$A$3,_xlfn.VALUETOTEXT($A$6),$A100,"Experiment",E$5,"date",E$6))</f>
        <v>#REF!</v>
      </c>
      <c r="F100" t="e">
        <f>IF(GETPIVOTDATA(_xlfn.VALUETOTEXT($A$4),'PREFILL-PIVOT'!$A$3,_xlfn.VALUETOTEXT($A$6),$A100,"Experiment",F$5,"date",F$6)=0,NA(),GETPIVOTDATA(_xlfn.VALUETOTEXT($A$4),'PREFILL-PIVOT'!$A$3,_xlfn.VALUETOTEXT($A$6),$A100,"Experiment",F$5,"date",F$6))</f>
        <v>#REF!</v>
      </c>
      <c r="G100" t="e">
        <f>IF(GETPIVOTDATA(_xlfn.VALUETOTEXT($A$4),'PREFILL-PIVOT'!$A$3,_xlfn.VALUETOTEXT($A$6),$A100,"Experiment",G$5,"date",G$6)=0,NA(),GETPIVOTDATA(_xlfn.VALUETOTEXT($A$4),'PREFILL-PIVOT'!$A$3,_xlfn.VALUETOTEXT($A$6),$A100,"Experiment",G$5,"date",G$6))</f>
        <v>#REF!</v>
      </c>
      <c r="H100" t="e">
        <f>IF(GETPIVOTDATA(_xlfn.VALUETOTEXT($A$4),'PREFILL-PIVOT'!$A$3,_xlfn.VALUETOTEXT($A$6),$A100,"Experiment",H$5,"date",H$6)=0,NA(),GETPIVOTDATA(_xlfn.VALUETOTEXT($A$4),'PREFILL-PIVOT'!$A$3,_xlfn.VALUETOTEXT($A$6),$A100,"Experiment",H$5,"date",H$6))</f>
        <v>#REF!</v>
      </c>
      <c r="I100" t="e">
        <f>IF(GETPIVOTDATA(_xlfn.VALUETOTEXT($A$4),'PREFILL-PIVOT'!$A$3,_xlfn.VALUETOTEXT($A$6),$A100,"Experiment",I$5,"date",I$6)=0,NA(),GETPIVOTDATA(_xlfn.VALUETOTEXT($A$4),'PREFILL-PIVOT'!$A$3,_xlfn.VALUETOTEXT($A$6),$A100,"Experiment",I$5,"date",I$6))</f>
        <v>#REF!</v>
      </c>
      <c r="J100" t="e">
        <f>IF(GETPIVOTDATA(_xlfn.VALUETOTEXT($A$4),'PREFILL-PIVOT'!$A$3,_xlfn.VALUETOTEXT($A$6),$A100,"Experiment",J$5,"date",J$6)=0,NA(),GETPIVOTDATA(_xlfn.VALUETOTEXT($A$4),'PREFILL-PIVOT'!$A$3,_xlfn.VALUETOTEXT($A$6),$A100,"Experiment",J$5,"date",J$6))</f>
        <v>#REF!</v>
      </c>
      <c r="K100" t="e">
        <f>IF(GETPIVOTDATA(_xlfn.VALUETOTEXT($A$4),'PREFILL-PIVOT'!$A$3,_xlfn.VALUETOTEXT($A$6),$A100,"Experiment",K$5,"date",K$6)=0,NA(),GETPIVOTDATA(_xlfn.VALUETOTEXT($A$4),'PREFILL-PIVOT'!$A$3,_xlfn.VALUETOTEXT($A$6),$A100,"Experiment",K$5,"date",K$6))</f>
        <v>#REF!</v>
      </c>
      <c r="L100" t="e">
        <f>IF(GETPIVOTDATA(_xlfn.VALUETOTEXT($A$4),'PREFILL-PIVOT'!$A$3,_xlfn.VALUETOTEXT($A$6),$A100,"Experiment",L$5,"date",L$6)=0,NA(),GETPIVOTDATA(_xlfn.VALUETOTEXT($A$4),'PREFILL-PIVOT'!$A$3,_xlfn.VALUETOTEXT($A$6),$A100,"Experiment",L$5,"date",L$6))</f>
        <v>#REF!</v>
      </c>
      <c r="M100" t="e">
        <f>IF(GETPIVOTDATA(_xlfn.VALUETOTEXT($A$4),'PREFILL-PIVOT'!$A$3,_xlfn.VALUETOTEXT($A$6),$A100,"Experiment",M$5,"date",M$6)=0,NA(),GETPIVOTDATA(_xlfn.VALUETOTEXT($A$4),'PREFILL-PIVOT'!$A$3,_xlfn.VALUETOTEXT($A$6),$A100,"Experiment",M$5,"date",M$6))</f>
        <v>#REF!</v>
      </c>
    </row>
    <row r="101" spans="1:13" x14ac:dyDescent="0.25">
      <c r="A101" s="222" t="e">
        <f>IF('PREFILL-PIVOT'!A99=0,NA(),'PREFILL-PIVOT'!A99)</f>
        <v>#N/A</v>
      </c>
      <c r="B101" t="e">
        <f>IF(GETPIVOTDATA(_xlfn.VALUETOTEXT($A$4),'PREFILL-PIVOT'!$A$3,_xlfn.VALUETOTEXT($A$6),$A101,"Experiment",B$5,"date",B$6)=0,NA(),GETPIVOTDATA(_xlfn.VALUETOTEXT($A$4),'PREFILL-PIVOT'!$A$3,_xlfn.VALUETOTEXT($A$6),$A101,"Experiment",B$5,"date",B$6))</f>
        <v>#REF!</v>
      </c>
      <c r="C101" t="e">
        <f>IF(GETPIVOTDATA(_xlfn.VALUETOTEXT($A$4),'PREFILL-PIVOT'!$A$3,_xlfn.VALUETOTEXT($A$6),$A101,"Experiment",C$5,"date",C$6)=0,NA(),GETPIVOTDATA(_xlfn.VALUETOTEXT($A$4),'PREFILL-PIVOT'!$A$3,_xlfn.VALUETOTEXT($A$6),$A101,"Experiment",C$5,"date",C$6))</f>
        <v>#REF!</v>
      </c>
      <c r="D101" t="e">
        <f>IF(GETPIVOTDATA(_xlfn.VALUETOTEXT($A$4),'PREFILL-PIVOT'!$A$3,_xlfn.VALUETOTEXT($A$6),$A101,"Experiment",D$5,"date",D$6)=0,NA(),GETPIVOTDATA(_xlfn.VALUETOTEXT($A$4),'PREFILL-PIVOT'!$A$3,_xlfn.VALUETOTEXT($A$6),$A101,"Experiment",D$5,"date",D$6))</f>
        <v>#REF!</v>
      </c>
      <c r="E101" t="e">
        <f>IF(GETPIVOTDATA(_xlfn.VALUETOTEXT($A$4),'PREFILL-PIVOT'!$A$3,_xlfn.VALUETOTEXT($A$6),$A101,"Experiment",E$5,"date",E$6)=0,NA(),GETPIVOTDATA(_xlfn.VALUETOTEXT($A$4),'PREFILL-PIVOT'!$A$3,_xlfn.VALUETOTEXT($A$6),$A101,"Experiment",E$5,"date",E$6))</f>
        <v>#REF!</v>
      </c>
      <c r="F101" t="e">
        <f>IF(GETPIVOTDATA(_xlfn.VALUETOTEXT($A$4),'PREFILL-PIVOT'!$A$3,_xlfn.VALUETOTEXT($A$6),$A101,"Experiment",F$5,"date",F$6)=0,NA(),GETPIVOTDATA(_xlfn.VALUETOTEXT($A$4),'PREFILL-PIVOT'!$A$3,_xlfn.VALUETOTEXT($A$6),$A101,"Experiment",F$5,"date",F$6))</f>
        <v>#REF!</v>
      </c>
      <c r="G101" t="e">
        <f>IF(GETPIVOTDATA(_xlfn.VALUETOTEXT($A$4),'PREFILL-PIVOT'!$A$3,_xlfn.VALUETOTEXT($A$6),$A101,"Experiment",G$5,"date",G$6)=0,NA(),GETPIVOTDATA(_xlfn.VALUETOTEXT($A$4),'PREFILL-PIVOT'!$A$3,_xlfn.VALUETOTEXT($A$6),$A101,"Experiment",G$5,"date",G$6))</f>
        <v>#REF!</v>
      </c>
      <c r="H101" t="e">
        <f>IF(GETPIVOTDATA(_xlfn.VALUETOTEXT($A$4),'PREFILL-PIVOT'!$A$3,_xlfn.VALUETOTEXT($A$6),$A101,"Experiment",H$5,"date",H$6)=0,NA(),GETPIVOTDATA(_xlfn.VALUETOTEXT($A$4),'PREFILL-PIVOT'!$A$3,_xlfn.VALUETOTEXT($A$6),$A101,"Experiment",H$5,"date",H$6))</f>
        <v>#REF!</v>
      </c>
      <c r="I101" t="e">
        <f>IF(GETPIVOTDATA(_xlfn.VALUETOTEXT($A$4),'PREFILL-PIVOT'!$A$3,_xlfn.VALUETOTEXT($A$6),$A101,"Experiment",I$5,"date",I$6)=0,NA(),GETPIVOTDATA(_xlfn.VALUETOTEXT($A$4),'PREFILL-PIVOT'!$A$3,_xlfn.VALUETOTEXT($A$6),$A101,"Experiment",I$5,"date",I$6))</f>
        <v>#REF!</v>
      </c>
      <c r="J101" t="e">
        <f>IF(GETPIVOTDATA(_xlfn.VALUETOTEXT($A$4),'PREFILL-PIVOT'!$A$3,_xlfn.VALUETOTEXT($A$6),$A101,"Experiment",J$5,"date",J$6)=0,NA(),GETPIVOTDATA(_xlfn.VALUETOTEXT($A$4),'PREFILL-PIVOT'!$A$3,_xlfn.VALUETOTEXT($A$6),$A101,"Experiment",J$5,"date",J$6))</f>
        <v>#REF!</v>
      </c>
      <c r="K101" t="e">
        <f>IF(GETPIVOTDATA(_xlfn.VALUETOTEXT($A$4),'PREFILL-PIVOT'!$A$3,_xlfn.VALUETOTEXT($A$6),$A101,"Experiment",K$5,"date",K$6)=0,NA(),GETPIVOTDATA(_xlfn.VALUETOTEXT($A$4),'PREFILL-PIVOT'!$A$3,_xlfn.VALUETOTEXT($A$6),$A101,"Experiment",K$5,"date",K$6))</f>
        <v>#REF!</v>
      </c>
      <c r="L101" t="e">
        <f>IF(GETPIVOTDATA(_xlfn.VALUETOTEXT($A$4),'PREFILL-PIVOT'!$A$3,_xlfn.VALUETOTEXT($A$6),$A101,"Experiment",L$5,"date",L$6)=0,NA(),GETPIVOTDATA(_xlfn.VALUETOTEXT($A$4),'PREFILL-PIVOT'!$A$3,_xlfn.VALUETOTEXT($A$6),$A101,"Experiment",L$5,"date",L$6))</f>
        <v>#REF!</v>
      </c>
      <c r="M101" t="e">
        <f>IF(GETPIVOTDATA(_xlfn.VALUETOTEXT($A$4),'PREFILL-PIVOT'!$A$3,_xlfn.VALUETOTEXT($A$6),$A101,"Experiment",M$5,"date",M$6)=0,NA(),GETPIVOTDATA(_xlfn.VALUETOTEXT($A$4),'PREFILL-PIVOT'!$A$3,_xlfn.VALUETOTEXT($A$6),$A101,"Experiment",M$5,"date",M$6))</f>
        <v>#REF!</v>
      </c>
    </row>
    <row r="102" spans="1:13" x14ac:dyDescent="0.25">
      <c r="A102" s="222" t="e">
        <f>IF('PREFILL-PIVOT'!A100=0,NA(),'PREFILL-PIVOT'!A100)</f>
        <v>#N/A</v>
      </c>
      <c r="B102" t="e">
        <f>IF(GETPIVOTDATA(_xlfn.VALUETOTEXT($A$4),'PREFILL-PIVOT'!$A$3,_xlfn.VALUETOTEXT($A$6),$A102,"Experiment",B$5,"date",B$6)=0,NA(),GETPIVOTDATA(_xlfn.VALUETOTEXT($A$4),'PREFILL-PIVOT'!$A$3,_xlfn.VALUETOTEXT($A$6),$A102,"Experiment",B$5,"date",B$6))</f>
        <v>#REF!</v>
      </c>
      <c r="C102" t="e">
        <f>IF(GETPIVOTDATA(_xlfn.VALUETOTEXT($A$4),'PREFILL-PIVOT'!$A$3,_xlfn.VALUETOTEXT($A$6),$A102,"Experiment",C$5,"date",C$6)=0,NA(),GETPIVOTDATA(_xlfn.VALUETOTEXT($A$4),'PREFILL-PIVOT'!$A$3,_xlfn.VALUETOTEXT($A$6),$A102,"Experiment",C$5,"date",C$6))</f>
        <v>#REF!</v>
      </c>
      <c r="D102" t="e">
        <f>IF(GETPIVOTDATA(_xlfn.VALUETOTEXT($A$4),'PREFILL-PIVOT'!$A$3,_xlfn.VALUETOTEXT($A$6),$A102,"Experiment",D$5,"date",D$6)=0,NA(),GETPIVOTDATA(_xlfn.VALUETOTEXT($A$4),'PREFILL-PIVOT'!$A$3,_xlfn.VALUETOTEXT($A$6),$A102,"Experiment",D$5,"date",D$6))</f>
        <v>#REF!</v>
      </c>
      <c r="E102" t="e">
        <f>IF(GETPIVOTDATA(_xlfn.VALUETOTEXT($A$4),'PREFILL-PIVOT'!$A$3,_xlfn.VALUETOTEXT($A$6),$A102,"Experiment",E$5,"date",E$6)=0,NA(),GETPIVOTDATA(_xlfn.VALUETOTEXT($A$4),'PREFILL-PIVOT'!$A$3,_xlfn.VALUETOTEXT($A$6),$A102,"Experiment",E$5,"date",E$6))</f>
        <v>#REF!</v>
      </c>
      <c r="F102" t="e">
        <f>IF(GETPIVOTDATA(_xlfn.VALUETOTEXT($A$4),'PREFILL-PIVOT'!$A$3,_xlfn.VALUETOTEXT($A$6),$A102,"Experiment",F$5,"date",F$6)=0,NA(),GETPIVOTDATA(_xlfn.VALUETOTEXT($A$4),'PREFILL-PIVOT'!$A$3,_xlfn.VALUETOTEXT($A$6),$A102,"Experiment",F$5,"date",F$6))</f>
        <v>#REF!</v>
      </c>
      <c r="G102" t="e">
        <f>IF(GETPIVOTDATA(_xlfn.VALUETOTEXT($A$4),'PREFILL-PIVOT'!$A$3,_xlfn.VALUETOTEXT($A$6),$A102,"Experiment",G$5,"date",G$6)=0,NA(),GETPIVOTDATA(_xlfn.VALUETOTEXT($A$4),'PREFILL-PIVOT'!$A$3,_xlfn.VALUETOTEXT($A$6),$A102,"Experiment",G$5,"date",G$6))</f>
        <v>#REF!</v>
      </c>
      <c r="H102" t="e">
        <f>IF(GETPIVOTDATA(_xlfn.VALUETOTEXT($A$4),'PREFILL-PIVOT'!$A$3,_xlfn.VALUETOTEXT($A$6),$A102,"Experiment",H$5,"date",H$6)=0,NA(),GETPIVOTDATA(_xlfn.VALUETOTEXT($A$4),'PREFILL-PIVOT'!$A$3,_xlfn.VALUETOTEXT($A$6),$A102,"Experiment",H$5,"date",H$6))</f>
        <v>#REF!</v>
      </c>
      <c r="I102" t="e">
        <f>IF(GETPIVOTDATA(_xlfn.VALUETOTEXT($A$4),'PREFILL-PIVOT'!$A$3,_xlfn.VALUETOTEXT($A$6),$A102,"Experiment",I$5,"date",I$6)=0,NA(),GETPIVOTDATA(_xlfn.VALUETOTEXT($A$4),'PREFILL-PIVOT'!$A$3,_xlfn.VALUETOTEXT($A$6),$A102,"Experiment",I$5,"date",I$6))</f>
        <v>#REF!</v>
      </c>
      <c r="J102" t="e">
        <f>IF(GETPIVOTDATA(_xlfn.VALUETOTEXT($A$4),'PREFILL-PIVOT'!$A$3,_xlfn.VALUETOTEXT($A$6),$A102,"Experiment",J$5,"date",J$6)=0,NA(),GETPIVOTDATA(_xlfn.VALUETOTEXT($A$4),'PREFILL-PIVOT'!$A$3,_xlfn.VALUETOTEXT($A$6),$A102,"Experiment",J$5,"date",J$6))</f>
        <v>#REF!</v>
      </c>
      <c r="K102" t="e">
        <f>IF(GETPIVOTDATA(_xlfn.VALUETOTEXT($A$4),'PREFILL-PIVOT'!$A$3,_xlfn.VALUETOTEXT($A$6),$A102,"Experiment",K$5,"date",K$6)=0,NA(),GETPIVOTDATA(_xlfn.VALUETOTEXT($A$4),'PREFILL-PIVOT'!$A$3,_xlfn.VALUETOTEXT($A$6),$A102,"Experiment",K$5,"date",K$6))</f>
        <v>#REF!</v>
      </c>
      <c r="L102" t="e">
        <f>IF(GETPIVOTDATA(_xlfn.VALUETOTEXT($A$4),'PREFILL-PIVOT'!$A$3,_xlfn.VALUETOTEXT($A$6),$A102,"Experiment",L$5,"date",L$6)=0,NA(),GETPIVOTDATA(_xlfn.VALUETOTEXT($A$4),'PREFILL-PIVOT'!$A$3,_xlfn.VALUETOTEXT($A$6),$A102,"Experiment",L$5,"date",L$6))</f>
        <v>#REF!</v>
      </c>
      <c r="M102" t="e">
        <f>IF(GETPIVOTDATA(_xlfn.VALUETOTEXT($A$4),'PREFILL-PIVOT'!$A$3,_xlfn.VALUETOTEXT($A$6),$A102,"Experiment",M$5,"date",M$6)=0,NA(),GETPIVOTDATA(_xlfn.VALUETOTEXT($A$4),'PREFILL-PIVOT'!$A$3,_xlfn.VALUETOTEXT($A$6),$A102,"Experiment",M$5,"date",M$6))</f>
        <v>#REF!</v>
      </c>
    </row>
    <row r="103" spans="1:13" x14ac:dyDescent="0.25">
      <c r="A103" s="222" t="e">
        <f>IF('PREFILL-PIVOT'!A101=0,NA(),'PREFILL-PIVOT'!A101)</f>
        <v>#N/A</v>
      </c>
      <c r="B103" t="e">
        <f>IF(GETPIVOTDATA(_xlfn.VALUETOTEXT($A$4),'PREFILL-PIVOT'!$A$3,_xlfn.VALUETOTEXT($A$6),$A103,"Experiment",B$5,"date",B$6)=0,NA(),GETPIVOTDATA(_xlfn.VALUETOTEXT($A$4),'PREFILL-PIVOT'!$A$3,_xlfn.VALUETOTEXT($A$6),$A103,"Experiment",B$5,"date",B$6))</f>
        <v>#REF!</v>
      </c>
      <c r="C103" t="e">
        <f>IF(GETPIVOTDATA(_xlfn.VALUETOTEXT($A$4),'PREFILL-PIVOT'!$A$3,_xlfn.VALUETOTEXT($A$6),$A103,"Experiment",C$5,"date",C$6)=0,NA(),GETPIVOTDATA(_xlfn.VALUETOTEXT($A$4),'PREFILL-PIVOT'!$A$3,_xlfn.VALUETOTEXT($A$6),$A103,"Experiment",C$5,"date",C$6))</f>
        <v>#REF!</v>
      </c>
      <c r="D103" t="e">
        <f>IF(GETPIVOTDATA(_xlfn.VALUETOTEXT($A$4),'PREFILL-PIVOT'!$A$3,_xlfn.VALUETOTEXT($A$6),$A103,"Experiment",D$5,"date",D$6)=0,NA(),GETPIVOTDATA(_xlfn.VALUETOTEXT($A$4),'PREFILL-PIVOT'!$A$3,_xlfn.VALUETOTEXT($A$6),$A103,"Experiment",D$5,"date",D$6))</f>
        <v>#REF!</v>
      </c>
      <c r="E103" t="e">
        <f>IF(GETPIVOTDATA(_xlfn.VALUETOTEXT($A$4),'PREFILL-PIVOT'!$A$3,_xlfn.VALUETOTEXT($A$6),$A103,"Experiment",E$5,"date",E$6)=0,NA(),GETPIVOTDATA(_xlfn.VALUETOTEXT($A$4),'PREFILL-PIVOT'!$A$3,_xlfn.VALUETOTEXT($A$6),$A103,"Experiment",E$5,"date",E$6))</f>
        <v>#REF!</v>
      </c>
      <c r="F103" t="e">
        <f>IF(GETPIVOTDATA(_xlfn.VALUETOTEXT($A$4),'PREFILL-PIVOT'!$A$3,_xlfn.VALUETOTEXT($A$6),$A103,"Experiment",F$5,"date",F$6)=0,NA(),GETPIVOTDATA(_xlfn.VALUETOTEXT($A$4),'PREFILL-PIVOT'!$A$3,_xlfn.VALUETOTEXT($A$6),$A103,"Experiment",F$5,"date",F$6))</f>
        <v>#REF!</v>
      </c>
      <c r="G103" t="e">
        <f>IF(GETPIVOTDATA(_xlfn.VALUETOTEXT($A$4),'PREFILL-PIVOT'!$A$3,_xlfn.VALUETOTEXT($A$6),$A103,"Experiment",G$5,"date",G$6)=0,NA(),GETPIVOTDATA(_xlfn.VALUETOTEXT($A$4),'PREFILL-PIVOT'!$A$3,_xlfn.VALUETOTEXT($A$6),$A103,"Experiment",G$5,"date",G$6))</f>
        <v>#REF!</v>
      </c>
      <c r="H103" t="e">
        <f>IF(GETPIVOTDATA(_xlfn.VALUETOTEXT($A$4),'PREFILL-PIVOT'!$A$3,_xlfn.VALUETOTEXT($A$6),$A103,"Experiment",H$5,"date",H$6)=0,NA(),GETPIVOTDATA(_xlfn.VALUETOTEXT($A$4),'PREFILL-PIVOT'!$A$3,_xlfn.VALUETOTEXT($A$6),$A103,"Experiment",H$5,"date",H$6))</f>
        <v>#REF!</v>
      </c>
      <c r="I103" t="e">
        <f>IF(GETPIVOTDATA(_xlfn.VALUETOTEXT($A$4),'PREFILL-PIVOT'!$A$3,_xlfn.VALUETOTEXT($A$6),$A103,"Experiment",I$5,"date",I$6)=0,NA(),GETPIVOTDATA(_xlfn.VALUETOTEXT($A$4),'PREFILL-PIVOT'!$A$3,_xlfn.VALUETOTEXT($A$6),$A103,"Experiment",I$5,"date",I$6))</f>
        <v>#REF!</v>
      </c>
      <c r="J103" t="e">
        <f>IF(GETPIVOTDATA(_xlfn.VALUETOTEXT($A$4),'PREFILL-PIVOT'!$A$3,_xlfn.VALUETOTEXT($A$6),$A103,"Experiment",J$5,"date",J$6)=0,NA(),GETPIVOTDATA(_xlfn.VALUETOTEXT($A$4),'PREFILL-PIVOT'!$A$3,_xlfn.VALUETOTEXT($A$6),$A103,"Experiment",J$5,"date",J$6))</f>
        <v>#REF!</v>
      </c>
      <c r="K103" t="e">
        <f>IF(GETPIVOTDATA(_xlfn.VALUETOTEXT($A$4),'PREFILL-PIVOT'!$A$3,_xlfn.VALUETOTEXT($A$6),$A103,"Experiment",K$5,"date",K$6)=0,NA(),GETPIVOTDATA(_xlfn.VALUETOTEXT($A$4),'PREFILL-PIVOT'!$A$3,_xlfn.VALUETOTEXT($A$6),$A103,"Experiment",K$5,"date",K$6))</f>
        <v>#REF!</v>
      </c>
      <c r="L103" t="e">
        <f>IF(GETPIVOTDATA(_xlfn.VALUETOTEXT($A$4),'PREFILL-PIVOT'!$A$3,_xlfn.VALUETOTEXT($A$6),$A103,"Experiment",L$5,"date",L$6)=0,NA(),GETPIVOTDATA(_xlfn.VALUETOTEXT($A$4),'PREFILL-PIVOT'!$A$3,_xlfn.VALUETOTEXT($A$6),$A103,"Experiment",L$5,"date",L$6))</f>
        <v>#REF!</v>
      </c>
      <c r="M103" t="e">
        <f>IF(GETPIVOTDATA(_xlfn.VALUETOTEXT($A$4),'PREFILL-PIVOT'!$A$3,_xlfn.VALUETOTEXT($A$6),$A103,"Experiment",M$5,"date",M$6)=0,NA(),GETPIVOTDATA(_xlfn.VALUETOTEXT($A$4),'PREFILL-PIVOT'!$A$3,_xlfn.VALUETOTEXT($A$6),$A103,"Experiment",M$5,"date",M$6))</f>
        <v>#REF!</v>
      </c>
    </row>
    <row r="104" spans="1:13" x14ac:dyDescent="0.25">
      <c r="A104" s="222" t="e">
        <f>IF('PREFILL-PIVOT'!A102=0,NA(),'PREFILL-PIVOT'!A102)</f>
        <v>#N/A</v>
      </c>
      <c r="B104" t="e">
        <f>IF(GETPIVOTDATA(_xlfn.VALUETOTEXT($A$4),'PREFILL-PIVOT'!$A$3,_xlfn.VALUETOTEXT($A$6),$A104,"Experiment",B$5,"date",B$6)=0,NA(),GETPIVOTDATA(_xlfn.VALUETOTEXT($A$4),'PREFILL-PIVOT'!$A$3,_xlfn.VALUETOTEXT($A$6),$A104,"Experiment",B$5,"date",B$6))</f>
        <v>#REF!</v>
      </c>
      <c r="C104" t="e">
        <f>IF(GETPIVOTDATA(_xlfn.VALUETOTEXT($A$4),'PREFILL-PIVOT'!$A$3,_xlfn.VALUETOTEXT($A$6),$A104,"Experiment",C$5,"date",C$6)=0,NA(),GETPIVOTDATA(_xlfn.VALUETOTEXT($A$4),'PREFILL-PIVOT'!$A$3,_xlfn.VALUETOTEXT($A$6),$A104,"Experiment",C$5,"date",C$6))</f>
        <v>#REF!</v>
      </c>
      <c r="D104" t="e">
        <f>IF(GETPIVOTDATA(_xlfn.VALUETOTEXT($A$4),'PREFILL-PIVOT'!$A$3,_xlfn.VALUETOTEXT($A$6),$A104,"Experiment",D$5,"date",D$6)=0,NA(),GETPIVOTDATA(_xlfn.VALUETOTEXT($A$4),'PREFILL-PIVOT'!$A$3,_xlfn.VALUETOTEXT($A$6),$A104,"Experiment",D$5,"date",D$6))</f>
        <v>#REF!</v>
      </c>
      <c r="E104" t="e">
        <f>IF(GETPIVOTDATA(_xlfn.VALUETOTEXT($A$4),'PREFILL-PIVOT'!$A$3,_xlfn.VALUETOTEXT($A$6),$A104,"Experiment",E$5,"date",E$6)=0,NA(),GETPIVOTDATA(_xlfn.VALUETOTEXT($A$4),'PREFILL-PIVOT'!$A$3,_xlfn.VALUETOTEXT($A$6),$A104,"Experiment",E$5,"date",E$6))</f>
        <v>#REF!</v>
      </c>
      <c r="F104" t="e">
        <f>IF(GETPIVOTDATA(_xlfn.VALUETOTEXT($A$4),'PREFILL-PIVOT'!$A$3,_xlfn.VALUETOTEXT($A$6),$A104,"Experiment",F$5,"date",F$6)=0,NA(),GETPIVOTDATA(_xlfn.VALUETOTEXT($A$4),'PREFILL-PIVOT'!$A$3,_xlfn.VALUETOTEXT($A$6),$A104,"Experiment",F$5,"date",F$6))</f>
        <v>#REF!</v>
      </c>
      <c r="G104" t="e">
        <f>IF(GETPIVOTDATA(_xlfn.VALUETOTEXT($A$4),'PREFILL-PIVOT'!$A$3,_xlfn.VALUETOTEXT($A$6),$A104,"Experiment",G$5,"date",G$6)=0,NA(),GETPIVOTDATA(_xlfn.VALUETOTEXT($A$4),'PREFILL-PIVOT'!$A$3,_xlfn.VALUETOTEXT($A$6),$A104,"Experiment",G$5,"date",G$6))</f>
        <v>#REF!</v>
      </c>
      <c r="H104" t="e">
        <f>IF(GETPIVOTDATA(_xlfn.VALUETOTEXT($A$4),'PREFILL-PIVOT'!$A$3,_xlfn.VALUETOTEXT($A$6),$A104,"Experiment",H$5,"date",H$6)=0,NA(),GETPIVOTDATA(_xlfn.VALUETOTEXT($A$4),'PREFILL-PIVOT'!$A$3,_xlfn.VALUETOTEXT($A$6),$A104,"Experiment",H$5,"date",H$6))</f>
        <v>#REF!</v>
      </c>
      <c r="I104" t="e">
        <f>IF(GETPIVOTDATA(_xlfn.VALUETOTEXT($A$4),'PREFILL-PIVOT'!$A$3,_xlfn.VALUETOTEXT($A$6),$A104,"Experiment",I$5,"date",I$6)=0,NA(),GETPIVOTDATA(_xlfn.VALUETOTEXT($A$4),'PREFILL-PIVOT'!$A$3,_xlfn.VALUETOTEXT($A$6),$A104,"Experiment",I$5,"date",I$6))</f>
        <v>#REF!</v>
      </c>
      <c r="J104" t="e">
        <f>IF(GETPIVOTDATA(_xlfn.VALUETOTEXT($A$4),'PREFILL-PIVOT'!$A$3,_xlfn.VALUETOTEXT($A$6),$A104,"Experiment",J$5,"date",J$6)=0,NA(),GETPIVOTDATA(_xlfn.VALUETOTEXT($A$4),'PREFILL-PIVOT'!$A$3,_xlfn.VALUETOTEXT($A$6),$A104,"Experiment",J$5,"date",J$6))</f>
        <v>#REF!</v>
      </c>
      <c r="K104" t="e">
        <f>IF(GETPIVOTDATA(_xlfn.VALUETOTEXT($A$4),'PREFILL-PIVOT'!$A$3,_xlfn.VALUETOTEXT($A$6),$A104,"Experiment",K$5,"date",K$6)=0,NA(),GETPIVOTDATA(_xlfn.VALUETOTEXT($A$4),'PREFILL-PIVOT'!$A$3,_xlfn.VALUETOTEXT($A$6),$A104,"Experiment",K$5,"date",K$6))</f>
        <v>#REF!</v>
      </c>
      <c r="L104" t="e">
        <f>IF(GETPIVOTDATA(_xlfn.VALUETOTEXT($A$4),'PREFILL-PIVOT'!$A$3,_xlfn.VALUETOTEXT($A$6),$A104,"Experiment",L$5,"date",L$6)=0,NA(),GETPIVOTDATA(_xlfn.VALUETOTEXT($A$4),'PREFILL-PIVOT'!$A$3,_xlfn.VALUETOTEXT($A$6),$A104,"Experiment",L$5,"date",L$6))</f>
        <v>#REF!</v>
      </c>
      <c r="M104" t="e">
        <f>IF(GETPIVOTDATA(_xlfn.VALUETOTEXT($A$4),'PREFILL-PIVOT'!$A$3,_xlfn.VALUETOTEXT($A$6),$A104,"Experiment",M$5,"date",M$6)=0,NA(),GETPIVOTDATA(_xlfn.VALUETOTEXT($A$4),'PREFILL-PIVOT'!$A$3,_xlfn.VALUETOTEXT($A$6),$A104,"Experiment",M$5,"date",M$6))</f>
        <v>#REF!</v>
      </c>
    </row>
    <row r="105" spans="1:13" x14ac:dyDescent="0.25">
      <c r="A105" s="222" t="e">
        <f>IF('PREFILL-PIVOT'!A103=0,NA(),'PREFILL-PIVOT'!A103)</f>
        <v>#N/A</v>
      </c>
      <c r="B105" t="e">
        <f>IF(GETPIVOTDATA(_xlfn.VALUETOTEXT($A$4),'PREFILL-PIVOT'!$A$3,_xlfn.VALUETOTEXT($A$6),$A105,"Experiment",B$5,"date",B$6)=0,NA(),GETPIVOTDATA(_xlfn.VALUETOTEXT($A$4),'PREFILL-PIVOT'!$A$3,_xlfn.VALUETOTEXT($A$6),$A105,"Experiment",B$5,"date",B$6))</f>
        <v>#REF!</v>
      </c>
      <c r="C105" t="e">
        <f>IF(GETPIVOTDATA(_xlfn.VALUETOTEXT($A$4),'PREFILL-PIVOT'!$A$3,_xlfn.VALUETOTEXT($A$6),$A105,"Experiment",C$5,"date",C$6)=0,NA(),GETPIVOTDATA(_xlfn.VALUETOTEXT($A$4),'PREFILL-PIVOT'!$A$3,_xlfn.VALUETOTEXT($A$6),$A105,"Experiment",C$5,"date",C$6))</f>
        <v>#REF!</v>
      </c>
      <c r="D105" t="e">
        <f>IF(GETPIVOTDATA(_xlfn.VALUETOTEXT($A$4),'PREFILL-PIVOT'!$A$3,_xlfn.VALUETOTEXT($A$6),$A105,"Experiment",D$5,"date",D$6)=0,NA(),GETPIVOTDATA(_xlfn.VALUETOTEXT($A$4),'PREFILL-PIVOT'!$A$3,_xlfn.VALUETOTEXT($A$6),$A105,"Experiment",D$5,"date",D$6))</f>
        <v>#REF!</v>
      </c>
      <c r="E105" t="e">
        <f>IF(GETPIVOTDATA(_xlfn.VALUETOTEXT($A$4),'PREFILL-PIVOT'!$A$3,_xlfn.VALUETOTEXT($A$6),$A105,"Experiment",E$5,"date",E$6)=0,NA(),GETPIVOTDATA(_xlfn.VALUETOTEXT($A$4),'PREFILL-PIVOT'!$A$3,_xlfn.VALUETOTEXT($A$6),$A105,"Experiment",E$5,"date",E$6))</f>
        <v>#REF!</v>
      </c>
      <c r="F105" t="e">
        <f>IF(GETPIVOTDATA(_xlfn.VALUETOTEXT($A$4),'PREFILL-PIVOT'!$A$3,_xlfn.VALUETOTEXT($A$6),$A105,"Experiment",F$5,"date",F$6)=0,NA(),GETPIVOTDATA(_xlfn.VALUETOTEXT($A$4),'PREFILL-PIVOT'!$A$3,_xlfn.VALUETOTEXT($A$6),$A105,"Experiment",F$5,"date",F$6))</f>
        <v>#REF!</v>
      </c>
      <c r="G105" t="e">
        <f>IF(GETPIVOTDATA(_xlfn.VALUETOTEXT($A$4),'PREFILL-PIVOT'!$A$3,_xlfn.VALUETOTEXT($A$6),$A105,"Experiment",G$5,"date",G$6)=0,NA(),GETPIVOTDATA(_xlfn.VALUETOTEXT($A$4),'PREFILL-PIVOT'!$A$3,_xlfn.VALUETOTEXT($A$6),$A105,"Experiment",G$5,"date",G$6))</f>
        <v>#REF!</v>
      </c>
      <c r="H105" t="e">
        <f>IF(GETPIVOTDATA(_xlfn.VALUETOTEXT($A$4),'PREFILL-PIVOT'!$A$3,_xlfn.VALUETOTEXT($A$6),$A105,"Experiment",H$5,"date",H$6)=0,NA(),GETPIVOTDATA(_xlfn.VALUETOTEXT($A$4),'PREFILL-PIVOT'!$A$3,_xlfn.VALUETOTEXT($A$6),$A105,"Experiment",H$5,"date",H$6))</f>
        <v>#REF!</v>
      </c>
      <c r="I105" t="e">
        <f>IF(GETPIVOTDATA(_xlfn.VALUETOTEXT($A$4),'PREFILL-PIVOT'!$A$3,_xlfn.VALUETOTEXT($A$6),$A105,"Experiment",I$5,"date",I$6)=0,NA(),GETPIVOTDATA(_xlfn.VALUETOTEXT($A$4),'PREFILL-PIVOT'!$A$3,_xlfn.VALUETOTEXT($A$6),$A105,"Experiment",I$5,"date",I$6))</f>
        <v>#REF!</v>
      </c>
      <c r="J105" t="e">
        <f>IF(GETPIVOTDATA(_xlfn.VALUETOTEXT($A$4),'PREFILL-PIVOT'!$A$3,_xlfn.VALUETOTEXT($A$6),$A105,"Experiment",J$5,"date",J$6)=0,NA(),GETPIVOTDATA(_xlfn.VALUETOTEXT($A$4),'PREFILL-PIVOT'!$A$3,_xlfn.VALUETOTEXT($A$6),$A105,"Experiment",J$5,"date",J$6))</f>
        <v>#REF!</v>
      </c>
      <c r="K105" t="e">
        <f>IF(GETPIVOTDATA(_xlfn.VALUETOTEXT($A$4),'PREFILL-PIVOT'!$A$3,_xlfn.VALUETOTEXT($A$6),$A105,"Experiment",K$5,"date",K$6)=0,NA(),GETPIVOTDATA(_xlfn.VALUETOTEXT($A$4),'PREFILL-PIVOT'!$A$3,_xlfn.VALUETOTEXT($A$6),$A105,"Experiment",K$5,"date",K$6))</f>
        <v>#REF!</v>
      </c>
      <c r="L105" t="e">
        <f>IF(GETPIVOTDATA(_xlfn.VALUETOTEXT($A$4),'PREFILL-PIVOT'!$A$3,_xlfn.VALUETOTEXT($A$6),$A105,"Experiment",L$5,"date",L$6)=0,NA(),GETPIVOTDATA(_xlfn.VALUETOTEXT($A$4),'PREFILL-PIVOT'!$A$3,_xlfn.VALUETOTEXT($A$6),$A105,"Experiment",L$5,"date",L$6))</f>
        <v>#REF!</v>
      </c>
      <c r="M105" t="e">
        <f>IF(GETPIVOTDATA(_xlfn.VALUETOTEXT($A$4),'PREFILL-PIVOT'!$A$3,_xlfn.VALUETOTEXT($A$6),$A105,"Experiment",M$5,"date",M$6)=0,NA(),GETPIVOTDATA(_xlfn.VALUETOTEXT($A$4),'PREFILL-PIVOT'!$A$3,_xlfn.VALUETOTEXT($A$6),$A105,"Experiment",M$5,"date",M$6))</f>
        <v>#REF!</v>
      </c>
    </row>
    <row r="106" spans="1:13" x14ac:dyDescent="0.25">
      <c r="A106" s="222" t="e">
        <f>IF('PREFILL-PIVOT'!A104=0,NA(),'PREFILL-PIVOT'!A104)</f>
        <v>#N/A</v>
      </c>
      <c r="B106" t="e">
        <f>IF(GETPIVOTDATA(_xlfn.VALUETOTEXT($A$4),'PREFILL-PIVOT'!$A$3,_xlfn.VALUETOTEXT($A$6),$A106,"Experiment",B$5,"date",B$6)=0,NA(),GETPIVOTDATA(_xlfn.VALUETOTEXT($A$4),'PREFILL-PIVOT'!$A$3,_xlfn.VALUETOTEXT($A$6),$A106,"Experiment",B$5,"date",B$6))</f>
        <v>#REF!</v>
      </c>
      <c r="C106" t="e">
        <f>IF(GETPIVOTDATA(_xlfn.VALUETOTEXT($A$4),'PREFILL-PIVOT'!$A$3,_xlfn.VALUETOTEXT($A$6),$A106,"Experiment",C$5,"date",C$6)=0,NA(),GETPIVOTDATA(_xlfn.VALUETOTEXT($A$4),'PREFILL-PIVOT'!$A$3,_xlfn.VALUETOTEXT($A$6),$A106,"Experiment",C$5,"date",C$6))</f>
        <v>#REF!</v>
      </c>
      <c r="D106" t="e">
        <f>IF(GETPIVOTDATA(_xlfn.VALUETOTEXT($A$4),'PREFILL-PIVOT'!$A$3,_xlfn.VALUETOTEXT($A$6),$A106,"Experiment",D$5,"date",D$6)=0,NA(),GETPIVOTDATA(_xlfn.VALUETOTEXT($A$4),'PREFILL-PIVOT'!$A$3,_xlfn.VALUETOTEXT($A$6),$A106,"Experiment",D$5,"date",D$6))</f>
        <v>#REF!</v>
      </c>
      <c r="E106" t="e">
        <f>IF(GETPIVOTDATA(_xlfn.VALUETOTEXT($A$4),'PREFILL-PIVOT'!$A$3,_xlfn.VALUETOTEXT($A$6),$A106,"Experiment",E$5,"date",E$6)=0,NA(),GETPIVOTDATA(_xlfn.VALUETOTEXT($A$4),'PREFILL-PIVOT'!$A$3,_xlfn.VALUETOTEXT($A$6),$A106,"Experiment",E$5,"date",E$6))</f>
        <v>#REF!</v>
      </c>
      <c r="F106" t="e">
        <f>IF(GETPIVOTDATA(_xlfn.VALUETOTEXT($A$4),'PREFILL-PIVOT'!$A$3,_xlfn.VALUETOTEXT($A$6),$A106,"Experiment",F$5,"date",F$6)=0,NA(),GETPIVOTDATA(_xlfn.VALUETOTEXT($A$4),'PREFILL-PIVOT'!$A$3,_xlfn.VALUETOTEXT($A$6),$A106,"Experiment",F$5,"date",F$6))</f>
        <v>#REF!</v>
      </c>
      <c r="G106" t="e">
        <f>IF(GETPIVOTDATA(_xlfn.VALUETOTEXT($A$4),'PREFILL-PIVOT'!$A$3,_xlfn.VALUETOTEXT($A$6),$A106,"Experiment",G$5,"date",G$6)=0,NA(),GETPIVOTDATA(_xlfn.VALUETOTEXT($A$4),'PREFILL-PIVOT'!$A$3,_xlfn.VALUETOTEXT($A$6),$A106,"Experiment",G$5,"date",G$6))</f>
        <v>#REF!</v>
      </c>
      <c r="H106" t="e">
        <f>IF(GETPIVOTDATA(_xlfn.VALUETOTEXT($A$4),'PREFILL-PIVOT'!$A$3,_xlfn.VALUETOTEXT($A$6),$A106,"Experiment",H$5,"date",H$6)=0,NA(),GETPIVOTDATA(_xlfn.VALUETOTEXT($A$4),'PREFILL-PIVOT'!$A$3,_xlfn.VALUETOTEXT($A$6),$A106,"Experiment",H$5,"date",H$6))</f>
        <v>#REF!</v>
      </c>
      <c r="I106" t="e">
        <f>IF(GETPIVOTDATA(_xlfn.VALUETOTEXT($A$4),'PREFILL-PIVOT'!$A$3,_xlfn.VALUETOTEXT($A$6),$A106,"Experiment",I$5,"date",I$6)=0,NA(),GETPIVOTDATA(_xlfn.VALUETOTEXT($A$4),'PREFILL-PIVOT'!$A$3,_xlfn.VALUETOTEXT($A$6),$A106,"Experiment",I$5,"date",I$6))</f>
        <v>#REF!</v>
      </c>
      <c r="J106" t="e">
        <f>IF(GETPIVOTDATA(_xlfn.VALUETOTEXT($A$4),'PREFILL-PIVOT'!$A$3,_xlfn.VALUETOTEXT($A$6),$A106,"Experiment",J$5,"date",J$6)=0,NA(),GETPIVOTDATA(_xlfn.VALUETOTEXT($A$4),'PREFILL-PIVOT'!$A$3,_xlfn.VALUETOTEXT($A$6),$A106,"Experiment",J$5,"date",J$6))</f>
        <v>#REF!</v>
      </c>
      <c r="K106" t="e">
        <f>IF(GETPIVOTDATA(_xlfn.VALUETOTEXT($A$4),'PREFILL-PIVOT'!$A$3,_xlfn.VALUETOTEXT($A$6),$A106,"Experiment",K$5,"date",K$6)=0,NA(),GETPIVOTDATA(_xlfn.VALUETOTEXT($A$4),'PREFILL-PIVOT'!$A$3,_xlfn.VALUETOTEXT($A$6),$A106,"Experiment",K$5,"date",K$6))</f>
        <v>#REF!</v>
      </c>
      <c r="L106" t="e">
        <f>IF(GETPIVOTDATA(_xlfn.VALUETOTEXT($A$4),'PREFILL-PIVOT'!$A$3,_xlfn.VALUETOTEXT($A$6),$A106,"Experiment",L$5,"date",L$6)=0,NA(),GETPIVOTDATA(_xlfn.VALUETOTEXT($A$4),'PREFILL-PIVOT'!$A$3,_xlfn.VALUETOTEXT($A$6),$A106,"Experiment",L$5,"date",L$6))</f>
        <v>#REF!</v>
      </c>
      <c r="M106" t="e">
        <f>IF(GETPIVOTDATA(_xlfn.VALUETOTEXT($A$4),'PREFILL-PIVOT'!$A$3,_xlfn.VALUETOTEXT($A$6),$A106,"Experiment",M$5,"date",M$6)=0,NA(),GETPIVOTDATA(_xlfn.VALUETOTEXT($A$4),'PREFILL-PIVOT'!$A$3,_xlfn.VALUETOTEXT($A$6),$A106,"Experiment",M$5,"date",M$6))</f>
        <v>#REF!</v>
      </c>
    </row>
    <row r="107" spans="1:13" x14ac:dyDescent="0.25">
      <c r="A107" s="222" t="e">
        <f>IF('PREFILL-PIVOT'!A105=0,NA(),'PREFILL-PIVOT'!A105)</f>
        <v>#N/A</v>
      </c>
      <c r="B107" t="e">
        <f>IF(GETPIVOTDATA(_xlfn.VALUETOTEXT($A$4),'PREFILL-PIVOT'!$A$3,_xlfn.VALUETOTEXT($A$6),$A107,"Experiment",B$5,"date",B$6)=0,NA(),GETPIVOTDATA(_xlfn.VALUETOTEXT($A$4),'PREFILL-PIVOT'!$A$3,_xlfn.VALUETOTEXT($A$6),$A107,"Experiment",B$5,"date",B$6))</f>
        <v>#REF!</v>
      </c>
      <c r="C107" t="e">
        <f>IF(GETPIVOTDATA(_xlfn.VALUETOTEXT($A$4),'PREFILL-PIVOT'!$A$3,_xlfn.VALUETOTEXT($A$6),$A107,"Experiment",C$5,"date",C$6)=0,NA(),GETPIVOTDATA(_xlfn.VALUETOTEXT($A$4),'PREFILL-PIVOT'!$A$3,_xlfn.VALUETOTEXT($A$6),$A107,"Experiment",C$5,"date",C$6))</f>
        <v>#REF!</v>
      </c>
      <c r="D107" t="e">
        <f>IF(GETPIVOTDATA(_xlfn.VALUETOTEXT($A$4),'PREFILL-PIVOT'!$A$3,_xlfn.VALUETOTEXT($A$6),$A107,"Experiment",D$5,"date",D$6)=0,NA(),GETPIVOTDATA(_xlfn.VALUETOTEXT($A$4),'PREFILL-PIVOT'!$A$3,_xlfn.VALUETOTEXT($A$6),$A107,"Experiment",D$5,"date",D$6))</f>
        <v>#REF!</v>
      </c>
      <c r="E107" t="e">
        <f>IF(GETPIVOTDATA(_xlfn.VALUETOTEXT($A$4),'PREFILL-PIVOT'!$A$3,_xlfn.VALUETOTEXT($A$6),$A107,"Experiment",E$5,"date",E$6)=0,NA(),GETPIVOTDATA(_xlfn.VALUETOTEXT($A$4),'PREFILL-PIVOT'!$A$3,_xlfn.VALUETOTEXT($A$6),$A107,"Experiment",E$5,"date",E$6))</f>
        <v>#REF!</v>
      </c>
      <c r="F107" t="e">
        <f>IF(GETPIVOTDATA(_xlfn.VALUETOTEXT($A$4),'PREFILL-PIVOT'!$A$3,_xlfn.VALUETOTEXT($A$6),$A107,"Experiment",F$5,"date",F$6)=0,NA(),GETPIVOTDATA(_xlfn.VALUETOTEXT($A$4),'PREFILL-PIVOT'!$A$3,_xlfn.VALUETOTEXT($A$6),$A107,"Experiment",F$5,"date",F$6))</f>
        <v>#REF!</v>
      </c>
      <c r="G107" t="e">
        <f>IF(GETPIVOTDATA(_xlfn.VALUETOTEXT($A$4),'PREFILL-PIVOT'!$A$3,_xlfn.VALUETOTEXT($A$6),$A107,"Experiment",G$5,"date",G$6)=0,NA(),GETPIVOTDATA(_xlfn.VALUETOTEXT($A$4),'PREFILL-PIVOT'!$A$3,_xlfn.VALUETOTEXT($A$6),$A107,"Experiment",G$5,"date",G$6))</f>
        <v>#REF!</v>
      </c>
      <c r="H107" t="e">
        <f>IF(GETPIVOTDATA(_xlfn.VALUETOTEXT($A$4),'PREFILL-PIVOT'!$A$3,_xlfn.VALUETOTEXT($A$6),$A107,"Experiment",H$5,"date",H$6)=0,NA(),GETPIVOTDATA(_xlfn.VALUETOTEXT($A$4),'PREFILL-PIVOT'!$A$3,_xlfn.VALUETOTEXT($A$6),$A107,"Experiment",H$5,"date",H$6))</f>
        <v>#REF!</v>
      </c>
      <c r="I107" t="e">
        <f>IF(GETPIVOTDATA(_xlfn.VALUETOTEXT($A$4),'PREFILL-PIVOT'!$A$3,_xlfn.VALUETOTEXT($A$6),$A107,"Experiment",I$5,"date",I$6)=0,NA(),GETPIVOTDATA(_xlfn.VALUETOTEXT($A$4),'PREFILL-PIVOT'!$A$3,_xlfn.VALUETOTEXT($A$6),$A107,"Experiment",I$5,"date",I$6))</f>
        <v>#REF!</v>
      </c>
      <c r="J107" t="e">
        <f>IF(GETPIVOTDATA(_xlfn.VALUETOTEXT($A$4),'PREFILL-PIVOT'!$A$3,_xlfn.VALUETOTEXT($A$6),$A107,"Experiment",J$5,"date",J$6)=0,NA(),GETPIVOTDATA(_xlfn.VALUETOTEXT($A$4),'PREFILL-PIVOT'!$A$3,_xlfn.VALUETOTEXT($A$6),$A107,"Experiment",J$5,"date",J$6))</f>
        <v>#REF!</v>
      </c>
      <c r="K107" t="e">
        <f>IF(GETPIVOTDATA(_xlfn.VALUETOTEXT($A$4),'PREFILL-PIVOT'!$A$3,_xlfn.VALUETOTEXT($A$6),$A107,"Experiment",K$5,"date",K$6)=0,NA(),GETPIVOTDATA(_xlfn.VALUETOTEXT($A$4),'PREFILL-PIVOT'!$A$3,_xlfn.VALUETOTEXT($A$6),$A107,"Experiment",K$5,"date",K$6))</f>
        <v>#REF!</v>
      </c>
      <c r="L107" t="e">
        <f>IF(GETPIVOTDATA(_xlfn.VALUETOTEXT($A$4),'PREFILL-PIVOT'!$A$3,_xlfn.VALUETOTEXT($A$6),$A107,"Experiment",L$5,"date",L$6)=0,NA(),GETPIVOTDATA(_xlfn.VALUETOTEXT($A$4),'PREFILL-PIVOT'!$A$3,_xlfn.VALUETOTEXT($A$6),$A107,"Experiment",L$5,"date",L$6))</f>
        <v>#REF!</v>
      </c>
      <c r="M107" t="e">
        <f>IF(GETPIVOTDATA(_xlfn.VALUETOTEXT($A$4),'PREFILL-PIVOT'!$A$3,_xlfn.VALUETOTEXT($A$6),$A107,"Experiment",M$5,"date",M$6)=0,NA(),GETPIVOTDATA(_xlfn.VALUETOTEXT($A$4),'PREFILL-PIVOT'!$A$3,_xlfn.VALUETOTEXT($A$6),$A107,"Experiment",M$5,"date",M$6))</f>
        <v>#REF!</v>
      </c>
    </row>
    <row r="108" spans="1:13" x14ac:dyDescent="0.25">
      <c r="A108" s="222" t="e">
        <f>IF('PREFILL-PIVOT'!A106=0,NA(),'PREFILL-PIVOT'!A106)</f>
        <v>#N/A</v>
      </c>
      <c r="B108" t="e">
        <f>IF(GETPIVOTDATA(_xlfn.VALUETOTEXT($A$4),'PREFILL-PIVOT'!$A$3,_xlfn.VALUETOTEXT($A$6),$A108,"Experiment",B$5,"date",B$6)=0,NA(),GETPIVOTDATA(_xlfn.VALUETOTEXT($A$4),'PREFILL-PIVOT'!$A$3,_xlfn.VALUETOTEXT($A$6),$A108,"Experiment",B$5,"date",B$6))</f>
        <v>#REF!</v>
      </c>
      <c r="C108" t="e">
        <f>IF(GETPIVOTDATA(_xlfn.VALUETOTEXT($A$4),'PREFILL-PIVOT'!$A$3,_xlfn.VALUETOTEXT($A$6),$A108,"Experiment",C$5,"date",C$6)=0,NA(),GETPIVOTDATA(_xlfn.VALUETOTEXT($A$4),'PREFILL-PIVOT'!$A$3,_xlfn.VALUETOTEXT($A$6),$A108,"Experiment",C$5,"date",C$6))</f>
        <v>#REF!</v>
      </c>
      <c r="D108" t="e">
        <f>IF(GETPIVOTDATA(_xlfn.VALUETOTEXT($A$4),'PREFILL-PIVOT'!$A$3,_xlfn.VALUETOTEXT($A$6),$A108,"Experiment",D$5,"date",D$6)=0,NA(),GETPIVOTDATA(_xlfn.VALUETOTEXT($A$4),'PREFILL-PIVOT'!$A$3,_xlfn.VALUETOTEXT($A$6),$A108,"Experiment",D$5,"date",D$6))</f>
        <v>#REF!</v>
      </c>
      <c r="E108" t="e">
        <f>IF(GETPIVOTDATA(_xlfn.VALUETOTEXT($A$4),'PREFILL-PIVOT'!$A$3,_xlfn.VALUETOTEXT($A$6),$A108,"Experiment",E$5,"date",E$6)=0,NA(),GETPIVOTDATA(_xlfn.VALUETOTEXT($A$4),'PREFILL-PIVOT'!$A$3,_xlfn.VALUETOTEXT($A$6),$A108,"Experiment",E$5,"date",E$6))</f>
        <v>#REF!</v>
      </c>
      <c r="F108" t="e">
        <f>IF(GETPIVOTDATA(_xlfn.VALUETOTEXT($A$4),'PREFILL-PIVOT'!$A$3,_xlfn.VALUETOTEXT($A$6),$A108,"Experiment",F$5,"date",F$6)=0,NA(),GETPIVOTDATA(_xlfn.VALUETOTEXT($A$4),'PREFILL-PIVOT'!$A$3,_xlfn.VALUETOTEXT($A$6),$A108,"Experiment",F$5,"date",F$6))</f>
        <v>#REF!</v>
      </c>
      <c r="G108" t="e">
        <f>IF(GETPIVOTDATA(_xlfn.VALUETOTEXT($A$4),'PREFILL-PIVOT'!$A$3,_xlfn.VALUETOTEXT($A$6),$A108,"Experiment",G$5,"date",G$6)=0,NA(),GETPIVOTDATA(_xlfn.VALUETOTEXT($A$4),'PREFILL-PIVOT'!$A$3,_xlfn.VALUETOTEXT($A$6),$A108,"Experiment",G$5,"date",G$6))</f>
        <v>#REF!</v>
      </c>
      <c r="H108" t="e">
        <f>IF(GETPIVOTDATA(_xlfn.VALUETOTEXT($A$4),'PREFILL-PIVOT'!$A$3,_xlfn.VALUETOTEXT($A$6),$A108,"Experiment",H$5,"date",H$6)=0,NA(),GETPIVOTDATA(_xlfn.VALUETOTEXT($A$4),'PREFILL-PIVOT'!$A$3,_xlfn.VALUETOTEXT($A$6),$A108,"Experiment",H$5,"date",H$6))</f>
        <v>#REF!</v>
      </c>
      <c r="I108" t="e">
        <f>IF(GETPIVOTDATA(_xlfn.VALUETOTEXT($A$4),'PREFILL-PIVOT'!$A$3,_xlfn.VALUETOTEXT($A$6),$A108,"Experiment",I$5,"date",I$6)=0,NA(),GETPIVOTDATA(_xlfn.VALUETOTEXT($A$4),'PREFILL-PIVOT'!$A$3,_xlfn.VALUETOTEXT($A$6),$A108,"Experiment",I$5,"date",I$6))</f>
        <v>#REF!</v>
      </c>
      <c r="J108" t="e">
        <f>IF(GETPIVOTDATA(_xlfn.VALUETOTEXT($A$4),'PREFILL-PIVOT'!$A$3,_xlfn.VALUETOTEXT($A$6),$A108,"Experiment",J$5,"date",J$6)=0,NA(),GETPIVOTDATA(_xlfn.VALUETOTEXT($A$4),'PREFILL-PIVOT'!$A$3,_xlfn.VALUETOTEXT($A$6),$A108,"Experiment",J$5,"date",J$6))</f>
        <v>#REF!</v>
      </c>
      <c r="K108" t="e">
        <f>IF(GETPIVOTDATA(_xlfn.VALUETOTEXT($A$4),'PREFILL-PIVOT'!$A$3,_xlfn.VALUETOTEXT($A$6),$A108,"Experiment",K$5,"date",K$6)=0,NA(),GETPIVOTDATA(_xlfn.VALUETOTEXT($A$4),'PREFILL-PIVOT'!$A$3,_xlfn.VALUETOTEXT($A$6),$A108,"Experiment",K$5,"date",K$6))</f>
        <v>#REF!</v>
      </c>
      <c r="L108" t="e">
        <f>IF(GETPIVOTDATA(_xlfn.VALUETOTEXT($A$4),'PREFILL-PIVOT'!$A$3,_xlfn.VALUETOTEXT($A$6),$A108,"Experiment",L$5,"date",L$6)=0,NA(),GETPIVOTDATA(_xlfn.VALUETOTEXT($A$4),'PREFILL-PIVOT'!$A$3,_xlfn.VALUETOTEXT($A$6),$A108,"Experiment",L$5,"date",L$6))</f>
        <v>#REF!</v>
      </c>
      <c r="M108" t="e">
        <f>IF(GETPIVOTDATA(_xlfn.VALUETOTEXT($A$4),'PREFILL-PIVOT'!$A$3,_xlfn.VALUETOTEXT($A$6),$A108,"Experiment",M$5,"date",M$6)=0,NA(),GETPIVOTDATA(_xlfn.VALUETOTEXT($A$4),'PREFILL-PIVOT'!$A$3,_xlfn.VALUETOTEXT($A$6),$A108,"Experiment",M$5,"date",M$6))</f>
        <v>#REF!</v>
      </c>
    </row>
    <row r="109" spans="1:13" x14ac:dyDescent="0.25">
      <c r="A109" s="222" t="e">
        <f>IF('PREFILL-PIVOT'!A107=0,NA(),'PREFILL-PIVOT'!A107)</f>
        <v>#N/A</v>
      </c>
      <c r="B109" t="e">
        <f>IF(GETPIVOTDATA(_xlfn.VALUETOTEXT($A$4),'PREFILL-PIVOT'!$A$3,_xlfn.VALUETOTEXT($A$6),$A109,"Experiment",B$5,"date",B$6)=0,NA(),GETPIVOTDATA(_xlfn.VALUETOTEXT($A$4),'PREFILL-PIVOT'!$A$3,_xlfn.VALUETOTEXT($A$6),$A109,"Experiment",B$5,"date",B$6))</f>
        <v>#REF!</v>
      </c>
      <c r="C109" t="e">
        <f>IF(GETPIVOTDATA(_xlfn.VALUETOTEXT($A$4),'PREFILL-PIVOT'!$A$3,_xlfn.VALUETOTEXT($A$6),$A109,"Experiment",C$5,"date",C$6)=0,NA(),GETPIVOTDATA(_xlfn.VALUETOTEXT($A$4),'PREFILL-PIVOT'!$A$3,_xlfn.VALUETOTEXT($A$6),$A109,"Experiment",C$5,"date",C$6))</f>
        <v>#REF!</v>
      </c>
      <c r="D109" t="e">
        <f>IF(GETPIVOTDATA(_xlfn.VALUETOTEXT($A$4),'PREFILL-PIVOT'!$A$3,_xlfn.VALUETOTEXT($A$6),$A109,"Experiment",D$5,"date",D$6)=0,NA(),GETPIVOTDATA(_xlfn.VALUETOTEXT($A$4),'PREFILL-PIVOT'!$A$3,_xlfn.VALUETOTEXT($A$6),$A109,"Experiment",D$5,"date",D$6))</f>
        <v>#REF!</v>
      </c>
      <c r="E109" t="e">
        <f>IF(GETPIVOTDATA(_xlfn.VALUETOTEXT($A$4),'PREFILL-PIVOT'!$A$3,_xlfn.VALUETOTEXT($A$6),$A109,"Experiment",E$5,"date",E$6)=0,NA(),GETPIVOTDATA(_xlfn.VALUETOTEXT($A$4),'PREFILL-PIVOT'!$A$3,_xlfn.VALUETOTEXT($A$6),$A109,"Experiment",E$5,"date",E$6))</f>
        <v>#REF!</v>
      </c>
      <c r="F109" t="e">
        <f>IF(GETPIVOTDATA(_xlfn.VALUETOTEXT($A$4),'PREFILL-PIVOT'!$A$3,_xlfn.VALUETOTEXT($A$6),$A109,"Experiment",F$5,"date",F$6)=0,NA(),GETPIVOTDATA(_xlfn.VALUETOTEXT($A$4),'PREFILL-PIVOT'!$A$3,_xlfn.VALUETOTEXT($A$6),$A109,"Experiment",F$5,"date",F$6))</f>
        <v>#REF!</v>
      </c>
      <c r="G109" t="e">
        <f>IF(GETPIVOTDATA(_xlfn.VALUETOTEXT($A$4),'PREFILL-PIVOT'!$A$3,_xlfn.VALUETOTEXT($A$6),$A109,"Experiment",G$5,"date",G$6)=0,NA(),GETPIVOTDATA(_xlfn.VALUETOTEXT($A$4),'PREFILL-PIVOT'!$A$3,_xlfn.VALUETOTEXT($A$6),$A109,"Experiment",G$5,"date",G$6))</f>
        <v>#REF!</v>
      </c>
      <c r="H109" t="e">
        <f>IF(GETPIVOTDATA(_xlfn.VALUETOTEXT($A$4),'PREFILL-PIVOT'!$A$3,_xlfn.VALUETOTEXT($A$6),$A109,"Experiment",H$5,"date",H$6)=0,NA(),GETPIVOTDATA(_xlfn.VALUETOTEXT($A$4),'PREFILL-PIVOT'!$A$3,_xlfn.VALUETOTEXT($A$6),$A109,"Experiment",H$5,"date",H$6))</f>
        <v>#REF!</v>
      </c>
      <c r="I109" t="e">
        <f>IF(GETPIVOTDATA(_xlfn.VALUETOTEXT($A$4),'PREFILL-PIVOT'!$A$3,_xlfn.VALUETOTEXT($A$6),$A109,"Experiment",I$5,"date",I$6)=0,NA(),GETPIVOTDATA(_xlfn.VALUETOTEXT($A$4),'PREFILL-PIVOT'!$A$3,_xlfn.VALUETOTEXT($A$6),$A109,"Experiment",I$5,"date",I$6))</f>
        <v>#REF!</v>
      </c>
      <c r="J109" t="e">
        <f>IF(GETPIVOTDATA(_xlfn.VALUETOTEXT($A$4),'PREFILL-PIVOT'!$A$3,_xlfn.VALUETOTEXT($A$6),$A109,"Experiment",J$5,"date",J$6)=0,NA(),GETPIVOTDATA(_xlfn.VALUETOTEXT($A$4),'PREFILL-PIVOT'!$A$3,_xlfn.VALUETOTEXT($A$6),$A109,"Experiment",J$5,"date",J$6))</f>
        <v>#REF!</v>
      </c>
      <c r="K109" t="e">
        <f>IF(GETPIVOTDATA(_xlfn.VALUETOTEXT($A$4),'PREFILL-PIVOT'!$A$3,_xlfn.VALUETOTEXT($A$6),$A109,"Experiment",K$5,"date",K$6)=0,NA(),GETPIVOTDATA(_xlfn.VALUETOTEXT($A$4),'PREFILL-PIVOT'!$A$3,_xlfn.VALUETOTEXT($A$6),$A109,"Experiment",K$5,"date",K$6))</f>
        <v>#REF!</v>
      </c>
      <c r="L109" t="e">
        <f>IF(GETPIVOTDATA(_xlfn.VALUETOTEXT($A$4),'PREFILL-PIVOT'!$A$3,_xlfn.VALUETOTEXT($A$6),$A109,"Experiment",L$5,"date",L$6)=0,NA(),GETPIVOTDATA(_xlfn.VALUETOTEXT($A$4),'PREFILL-PIVOT'!$A$3,_xlfn.VALUETOTEXT($A$6),$A109,"Experiment",L$5,"date",L$6))</f>
        <v>#REF!</v>
      </c>
      <c r="M109" t="e">
        <f>IF(GETPIVOTDATA(_xlfn.VALUETOTEXT($A$4),'PREFILL-PIVOT'!$A$3,_xlfn.VALUETOTEXT($A$6),$A109,"Experiment",M$5,"date",M$6)=0,NA(),GETPIVOTDATA(_xlfn.VALUETOTEXT($A$4),'PREFILL-PIVOT'!$A$3,_xlfn.VALUETOTEXT($A$6),$A109,"Experiment",M$5,"date",M$6))</f>
        <v>#REF!</v>
      </c>
    </row>
    <row r="110" spans="1:13" x14ac:dyDescent="0.25">
      <c r="A110" s="222" t="e">
        <f>IF('PREFILL-PIVOT'!A108=0,NA(),'PREFILL-PIVOT'!A108)</f>
        <v>#N/A</v>
      </c>
      <c r="B110" t="e">
        <f>IF(GETPIVOTDATA(_xlfn.VALUETOTEXT($A$4),'PREFILL-PIVOT'!$A$3,_xlfn.VALUETOTEXT($A$6),$A110,"Experiment",B$5,"date",B$6)=0,NA(),GETPIVOTDATA(_xlfn.VALUETOTEXT($A$4),'PREFILL-PIVOT'!$A$3,_xlfn.VALUETOTEXT($A$6),$A110,"Experiment",B$5,"date",B$6))</f>
        <v>#REF!</v>
      </c>
      <c r="C110" t="e">
        <f>IF(GETPIVOTDATA(_xlfn.VALUETOTEXT($A$4),'PREFILL-PIVOT'!$A$3,_xlfn.VALUETOTEXT($A$6),$A110,"Experiment",C$5,"date",C$6)=0,NA(),GETPIVOTDATA(_xlfn.VALUETOTEXT($A$4),'PREFILL-PIVOT'!$A$3,_xlfn.VALUETOTEXT($A$6),$A110,"Experiment",C$5,"date",C$6))</f>
        <v>#REF!</v>
      </c>
      <c r="D110" t="e">
        <f>IF(GETPIVOTDATA(_xlfn.VALUETOTEXT($A$4),'PREFILL-PIVOT'!$A$3,_xlfn.VALUETOTEXT($A$6),$A110,"Experiment",D$5,"date",D$6)=0,NA(),GETPIVOTDATA(_xlfn.VALUETOTEXT($A$4),'PREFILL-PIVOT'!$A$3,_xlfn.VALUETOTEXT($A$6),$A110,"Experiment",D$5,"date",D$6))</f>
        <v>#REF!</v>
      </c>
      <c r="E110" t="e">
        <f>IF(GETPIVOTDATA(_xlfn.VALUETOTEXT($A$4),'PREFILL-PIVOT'!$A$3,_xlfn.VALUETOTEXT($A$6),$A110,"Experiment",E$5,"date",E$6)=0,NA(),GETPIVOTDATA(_xlfn.VALUETOTEXT($A$4),'PREFILL-PIVOT'!$A$3,_xlfn.VALUETOTEXT($A$6),$A110,"Experiment",E$5,"date",E$6))</f>
        <v>#REF!</v>
      </c>
      <c r="F110" t="e">
        <f>IF(GETPIVOTDATA(_xlfn.VALUETOTEXT($A$4),'PREFILL-PIVOT'!$A$3,_xlfn.VALUETOTEXT($A$6),$A110,"Experiment",F$5,"date",F$6)=0,NA(),GETPIVOTDATA(_xlfn.VALUETOTEXT($A$4),'PREFILL-PIVOT'!$A$3,_xlfn.VALUETOTEXT($A$6),$A110,"Experiment",F$5,"date",F$6))</f>
        <v>#REF!</v>
      </c>
      <c r="G110" t="e">
        <f>IF(GETPIVOTDATA(_xlfn.VALUETOTEXT($A$4),'PREFILL-PIVOT'!$A$3,_xlfn.VALUETOTEXT($A$6),$A110,"Experiment",G$5,"date",G$6)=0,NA(),GETPIVOTDATA(_xlfn.VALUETOTEXT($A$4),'PREFILL-PIVOT'!$A$3,_xlfn.VALUETOTEXT($A$6),$A110,"Experiment",G$5,"date",G$6))</f>
        <v>#REF!</v>
      </c>
      <c r="H110" t="e">
        <f>IF(GETPIVOTDATA(_xlfn.VALUETOTEXT($A$4),'PREFILL-PIVOT'!$A$3,_xlfn.VALUETOTEXT($A$6),$A110,"Experiment",H$5,"date",H$6)=0,NA(),GETPIVOTDATA(_xlfn.VALUETOTEXT($A$4),'PREFILL-PIVOT'!$A$3,_xlfn.VALUETOTEXT($A$6),$A110,"Experiment",H$5,"date",H$6))</f>
        <v>#REF!</v>
      </c>
      <c r="I110" t="e">
        <f>IF(GETPIVOTDATA(_xlfn.VALUETOTEXT($A$4),'PREFILL-PIVOT'!$A$3,_xlfn.VALUETOTEXT($A$6),$A110,"Experiment",I$5,"date",I$6)=0,NA(),GETPIVOTDATA(_xlfn.VALUETOTEXT($A$4),'PREFILL-PIVOT'!$A$3,_xlfn.VALUETOTEXT($A$6),$A110,"Experiment",I$5,"date",I$6))</f>
        <v>#REF!</v>
      </c>
      <c r="J110" t="e">
        <f>IF(GETPIVOTDATA(_xlfn.VALUETOTEXT($A$4),'PREFILL-PIVOT'!$A$3,_xlfn.VALUETOTEXT($A$6),$A110,"Experiment",J$5,"date",J$6)=0,NA(),GETPIVOTDATA(_xlfn.VALUETOTEXT($A$4),'PREFILL-PIVOT'!$A$3,_xlfn.VALUETOTEXT($A$6),$A110,"Experiment",J$5,"date",J$6))</f>
        <v>#REF!</v>
      </c>
      <c r="K110" t="e">
        <f>IF(GETPIVOTDATA(_xlfn.VALUETOTEXT($A$4),'PREFILL-PIVOT'!$A$3,_xlfn.VALUETOTEXT($A$6),$A110,"Experiment",K$5,"date",K$6)=0,NA(),GETPIVOTDATA(_xlfn.VALUETOTEXT($A$4),'PREFILL-PIVOT'!$A$3,_xlfn.VALUETOTEXT($A$6),$A110,"Experiment",K$5,"date",K$6))</f>
        <v>#REF!</v>
      </c>
      <c r="L110" t="e">
        <f>IF(GETPIVOTDATA(_xlfn.VALUETOTEXT($A$4),'PREFILL-PIVOT'!$A$3,_xlfn.VALUETOTEXT($A$6),$A110,"Experiment",L$5,"date",L$6)=0,NA(),GETPIVOTDATA(_xlfn.VALUETOTEXT($A$4),'PREFILL-PIVOT'!$A$3,_xlfn.VALUETOTEXT($A$6),$A110,"Experiment",L$5,"date",L$6))</f>
        <v>#REF!</v>
      </c>
      <c r="M110" t="e">
        <f>IF(GETPIVOTDATA(_xlfn.VALUETOTEXT($A$4),'PREFILL-PIVOT'!$A$3,_xlfn.VALUETOTEXT($A$6),$A110,"Experiment",M$5,"date",M$6)=0,NA(),GETPIVOTDATA(_xlfn.VALUETOTEXT($A$4),'PREFILL-PIVOT'!$A$3,_xlfn.VALUETOTEXT($A$6),$A110,"Experiment",M$5,"date",M$6))</f>
        <v>#REF!</v>
      </c>
    </row>
    <row r="111" spans="1:13" x14ac:dyDescent="0.25">
      <c r="A111" s="222" t="e">
        <f>IF('PREFILL-PIVOT'!A109=0,NA(),'PREFILL-PIVOT'!A109)</f>
        <v>#N/A</v>
      </c>
      <c r="B111" t="e">
        <f>IF(GETPIVOTDATA(_xlfn.VALUETOTEXT($A$4),'PREFILL-PIVOT'!$A$3,_xlfn.VALUETOTEXT($A$6),$A111,"Experiment",B$5,"date",B$6)=0,NA(),GETPIVOTDATA(_xlfn.VALUETOTEXT($A$4),'PREFILL-PIVOT'!$A$3,_xlfn.VALUETOTEXT($A$6),$A111,"Experiment",B$5,"date",B$6))</f>
        <v>#REF!</v>
      </c>
      <c r="C111" t="e">
        <f>IF(GETPIVOTDATA(_xlfn.VALUETOTEXT($A$4),'PREFILL-PIVOT'!$A$3,_xlfn.VALUETOTEXT($A$6),$A111,"Experiment",C$5,"date",C$6)=0,NA(),GETPIVOTDATA(_xlfn.VALUETOTEXT($A$4),'PREFILL-PIVOT'!$A$3,_xlfn.VALUETOTEXT($A$6),$A111,"Experiment",C$5,"date",C$6))</f>
        <v>#REF!</v>
      </c>
      <c r="D111" t="e">
        <f>IF(GETPIVOTDATA(_xlfn.VALUETOTEXT($A$4),'PREFILL-PIVOT'!$A$3,_xlfn.VALUETOTEXT($A$6),$A111,"Experiment",D$5,"date",D$6)=0,NA(),GETPIVOTDATA(_xlfn.VALUETOTEXT($A$4),'PREFILL-PIVOT'!$A$3,_xlfn.VALUETOTEXT($A$6),$A111,"Experiment",D$5,"date",D$6))</f>
        <v>#REF!</v>
      </c>
      <c r="E111" t="e">
        <f>IF(GETPIVOTDATA(_xlfn.VALUETOTEXT($A$4),'PREFILL-PIVOT'!$A$3,_xlfn.VALUETOTEXT($A$6),$A111,"Experiment",E$5,"date",E$6)=0,NA(),GETPIVOTDATA(_xlfn.VALUETOTEXT($A$4),'PREFILL-PIVOT'!$A$3,_xlfn.VALUETOTEXT($A$6),$A111,"Experiment",E$5,"date",E$6))</f>
        <v>#REF!</v>
      </c>
      <c r="F111" t="e">
        <f>IF(GETPIVOTDATA(_xlfn.VALUETOTEXT($A$4),'PREFILL-PIVOT'!$A$3,_xlfn.VALUETOTEXT($A$6),$A111,"Experiment",F$5,"date",F$6)=0,NA(),GETPIVOTDATA(_xlfn.VALUETOTEXT($A$4),'PREFILL-PIVOT'!$A$3,_xlfn.VALUETOTEXT($A$6),$A111,"Experiment",F$5,"date",F$6))</f>
        <v>#REF!</v>
      </c>
      <c r="G111" t="e">
        <f>IF(GETPIVOTDATA(_xlfn.VALUETOTEXT($A$4),'PREFILL-PIVOT'!$A$3,_xlfn.VALUETOTEXT($A$6),$A111,"Experiment",G$5,"date",G$6)=0,NA(),GETPIVOTDATA(_xlfn.VALUETOTEXT($A$4),'PREFILL-PIVOT'!$A$3,_xlfn.VALUETOTEXT($A$6),$A111,"Experiment",G$5,"date",G$6))</f>
        <v>#REF!</v>
      </c>
      <c r="H111" t="e">
        <f>IF(GETPIVOTDATA(_xlfn.VALUETOTEXT($A$4),'PREFILL-PIVOT'!$A$3,_xlfn.VALUETOTEXT($A$6),$A111,"Experiment",H$5,"date",H$6)=0,NA(),GETPIVOTDATA(_xlfn.VALUETOTEXT($A$4),'PREFILL-PIVOT'!$A$3,_xlfn.VALUETOTEXT($A$6),$A111,"Experiment",H$5,"date",H$6))</f>
        <v>#REF!</v>
      </c>
      <c r="I111" t="e">
        <f>IF(GETPIVOTDATA(_xlfn.VALUETOTEXT($A$4),'PREFILL-PIVOT'!$A$3,_xlfn.VALUETOTEXT($A$6),$A111,"Experiment",I$5,"date",I$6)=0,NA(),GETPIVOTDATA(_xlfn.VALUETOTEXT($A$4),'PREFILL-PIVOT'!$A$3,_xlfn.VALUETOTEXT($A$6),$A111,"Experiment",I$5,"date",I$6))</f>
        <v>#REF!</v>
      </c>
      <c r="J111" t="e">
        <f>IF(GETPIVOTDATA(_xlfn.VALUETOTEXT($A$4),'PREFILL-PIVOT'!$A$3,_xlfn.VALUETOTEXT($A$6),$A111,"Experiment",J$5,"date",J$6)=0,NA(),GETPIVOTDATA(_xlfn.VALUETOTEXT($A$4),'PREFILL-PIVOT'!$A$3,_xlfn.VALUETOTEXT($A$6),$A111,"Experiment",J$5,"date",J$6))</f>
        <v>#REF!</v>
      </c>
      <c r="K111" t="e">
        <f>IF(GETPIVOTDATA(_xlfn.VALUETOTEXT($A$4),'PREFILL-PIVOT'!$A$3,_xlfn.VALUETOTEXT($A$6),$A111,"Experiment",K$5,"date",K$6)=0,NA(),GETPIVOTDATA(_xlfn.VALUETOTEXT($A$4),'PREFILL-PIVOT'!$A$3,_xlfn.VALUETOTEXT($A$6),$A111,"Experiment",K$5,"date",K$6))</f>
        <v>#REF!</v>
      </c>
      <c r="L111" t="e">
        <f>IF(GETPIVOTDATA(_xlfn.VALUETOTEXT($A$4),'PREFILL-PIVOT'!$A$3,_xlfn.VALUETOTEXT($A$6),$A111,"Experiment",L$5,"date",L$6)=0,NA(),GETPIVOTDATA(_xlfn.VALUETOTEXT($A$4),'PREFILL-PIVOT'!$A$3,_xlfn.VALUETOTEXT($A$6),$A111,"Experiment",L$5,"date",L$6))</f>
        <v>#REF!</v>
      </c>
      <c r="M111" t="e">
        <f>IF(GETPIVOTDATA(_xlfn.VALUETOTEXT($A$4),'PREFILL-PIVOT'!$A$3,_xlfn.VALUETOTEXT($A$6),$A111,"Experiment",M$5,"date",M$6)=0,NA(),GETPIVOTDATA(_xlfn.VALUETOTEXT($A$4),'PREFILL-PIVOT'!$A$3,_xlfn.VALUETOTEXT($A$6),$A111,"Experiment",M$5,"date",M$6))</f>
        <v>#REF!</v>
      </c>
    </row>
    <row r="112" spans="1:13" x14ac:dyDescent="0.25">
      <c r="A112" s="222" t="e">
        <f>IF('PREFILL-PIVOT'!A110=0,NA(),'PREFILL-PIVOT'!A110)</f>
        <v>#N/A</v>
      </c>
      <c r="B112" t="e">
        <f>IF(GETPIVOTDATA(_xlfn.VALUETOTEXT($A$4),'PREFILL-PIVOT'!$A$3,_xlfn.VALUETOTEXT($A$6),$A112,"Experiment",B$5,"date",B$6)=0,NA(),GETPIVOTDATA(_xlfn.VALUETOTEXT($A$4),'PREFILL-PIVOT'!$A$3,_xlfn.VALUETOTEXT($A$6),$A112,"Experiment",B$5,"date",B$6))</f>
        <v>#REF!</v>
      </c>
      <c r="C112" t="e">
        <f>IF(GETPIVOTDATA(_xlfn.VALUETOTEXT($A$4),'PREFILL-PIVOT'!$A$3,_xlfn.VALUETOTEXT($A$6),$A112,"Experiment",C$5,"date",C$6)=0,NA(),GETPIVOTDATA(_xlfn.VALUETOTEXT($A$4),'PREFILL-PIVOT'!$A$3,_xlfn.VALUETOTEXT($A$6),$A112,"Experiment",C$5,"date",C$6))</f>
        <v>#REF!</v>
      </c>
      <c r="D112" t="e">
        <f>IF(GETPIVOTDATA(_xlfn.VALUETOTEXT($A$4),'PREFILL-PIVOT'!$A$3,_xlfn.VALUETOTEXT($A$6),$A112,"Experiment",D$5,"date",D$6)=0,NA(),GETPIVOTDATA(_xlfn.VALUETOTEXT($A$4),'PREFILL-PIVOT'!$A$3,_xlfn.VALUETOTEXT($A$6),$A112,"Experiment",D$5,"date",D$6))</f>
        <v>#REF!</v>
      </c>
      <c r="E112" t="e">
        <f>IF(GETPIVOTDATA(_xlfn.VALUETOTEXT($A$4),'PREFILL-PIVOT'!$A$3,_xlfn.VALUETOTEXT($A$6),$A112,"Experiment",E$5,"date",E$6)=0,NA(),GETPIVOTDATA(_xlfn.VALUETOTEXT($A$4),'PREFILL-PIVOT'!$A$3,_xlfn.VALUETOTEXT($A$6),$A112,"Experiment",E$5,"date",E$6))</f>
        <v>#REF!</v>
      </c>
      <c r="F112" t="e">
        <f>IF(GETPIVOTDATA(_xlfn.VALUETOTEXT($A$4),'PREFILL-PIVOT'!$A$3,_xlfn.VALUETOTEXT($A$6),$A112,"Experiment",F$5,"date",F$6)=0,NA(),GETPIVOTDATA(_xlfn.VALUETOTEXT($A$4),'PREFILL-PIVOT'!$A$3,_xlfn.VALUETOTEXT($A$6),$A112,"Experiment",F$5,"date",F$6))</f>
        <v>#REF!</v>
      </c>
      <c r="G112" t="e">
        <f>IF(GETPIVOTDATA(_xlfn.VALUETOTEXT($A$4),'PREFILL-PIVOT'!$A$3,_xlfn.VALUETOTEXT($A$6),$A112,"Experiment",G$5,"date",G$6)=0,NA(),GETPIVOTDATA(_xlfn.VALUETOTEXT($A$4),'PREFILL-PIVOT'!$A$3,_xlfn.VALUETOTEXT($A$6),$A112,"Experiment",G$5,"date",G$6))</f>
        <v>#REF!</v>
      </c>
      <c r="H112" t="e">
        <f>IF(GETPIVOTDATA(_xlfn.VALUETOTEXT($A$4),'PREFILL-PIVOT'!$A$3,_xlfn.VALUETOTEXT($A$6),$A112,"Experiment",H$5,"date",H$6)=0,NA(),GETPIVOTDATA(_xlfn.VALUETOTEXT($A$4),'PREFILL-PIVOT'!$A$3,_xlfn.VALUETOTEXT($A$6),$A112,"Experiment",H$5,"date",H$6))</f>
        <v>#REF!</v>
      </c>
      <c r="I112" t="e">
        <f>IF(GETPIVOTDATA(_xlfn.VALUETOTEXT($A$4),'PREFILL-PIVOT'!$A$3,_xlfn.VALUETOTEXT($A$6),$A112,"Experiment",I$5,"date",I$6)=0,NA(),GETPIVOTDATA(_xlfn.VALUETOTEXT($A$4),'PREFILL-PIVOT'!$A$3,_xlfn.VALUETOTEXT($A$6),$A112,"Experiment",I$5,"date",I$6))</f>
        <v>#REF!</v>
      </c>
      <c r="J112" t="e">
        <f>IF(GETPIVOTDATA(_xlfn.VALUETOTEXT($A$4),'PREFILL-PIVOT'!$A$3,_xlfn.VALUETOTEXT($A$6),$A112,"Experiment",J$5,"date",J$6)=0,NA(),GETPIVOTDATA(_xlfn.VALUETOTEXT($A$4),'PREFILL-PIVOT'!$A$3,_xlfn.VALUETOTEXT($A$6),$A112,"Experiment",J$5,"date",J$6))</f>
        <v>#REF!</v>
      </c>
      <c r="K112" t="e">
        <f>IF(GETPIVOTDATA(_xlfn.VALUETOTEXT($A$4),'PREFILL-PIVOT'!$A$3,_xlfn.VALUETOTEXT($A$6),$A112,"Experiment",K$5,"date",K$6)=0,NA(),GETPIVOTDATA(_xlfn.VALUETOTEXT($A$4),'PREFILL-PIVOT'!$A$3,_xlfn.VALUETOTEXT($A$6),$A112,"Experiment",K$5,"date",K$6))</f>
        <v>#REF!</v>
      </c>
      <c r="L112" t="e">
        <f>IF(GETPIVOTDATA(_xlfn.VALUETOTEXT($A$4),'PREFILL-PIVOT'!$A$3,_xlfn.VALUETOTEXT($A$6),$A112,"Experiment",L$5,"date",L$6)=0,NA(),GETPIVOTDATA(_xlfn.VALUETOTEXT($A$4),'PREFILL-PIVOT'!$A$3,_xlfn.VALUETOTEXT($A$6),$A112,"Experiment",L$5,"date",L$6))</f>
        <v>#REF!</v>
      </c>
      <c r="M112" t="e">
        <f>IF(GETPIVOTDATA(_xlfn.VALUETOTEXT($A$4),'PREFILL-PIVOT'!$A$3,_xlfn.VALUETOTEXT($A$6),$A112,"Experiment",M$5,"date",M$6)=0,NA(),GETPIVOTDATA(_xlfn.VALUETOTEXT($A$4),'PREFILL-PIVOT'!$A$3,_xlfn.VALUETOTEXT($A$6),$A112,"Experiment",M$5,"date",M$6))</f>
        <v>#REF!</v>
      </c>
    </row>
    <row r="113" spans="1:13" x14ac:dyDescent="0.25">
      <c r="A113" s="222" t="e">
        <f>IF('PREFILL-PIVOT'!A111=0,NA(),'PREFILL-PIVOT'!A111)</f>
        <v>#N/A</v>
      </c>
      <c r="B113" t="e">
        <f>IF(GETPIVOTDATA(_xlfn.VALUETOTEXT($A$4),'PREFILL-PIVOT'!$A$3,_xlfn.VALUETOTEXT($A$6),$A113,"Experiment",B$5,"date",B$6)=0,NA(),GETPIVOTDATA(_xlfn.VALUETOTEXT($A$4),'PREFILL-PIVOT'!$A$3,_xlfn.VALUETOTEXT($A$6),$A113,"Experiment",B$5,"date",B$6))</f>
        <v>#REF!</v>
      </c>
      <c r="C113" t="e">
        <f>IF(GETPIVOTDATA(_xlfn.VALUETOTEXT($A$4),'PREFILL-PIVOT'!$A$3,_xlfn.VALUETOTEXT($A$6),$A113,"Experiment",C$5,"date",C$6)=0,NA(),GETPIVOTDATA(_xlfn.VALUETOTEXT($A$4),'PREFILL-PIVOT'!$A$3,_xlfn.VALUETOTEXT($A$6),$A113,"Experiment",C$5,"date",C$6))</f>
        <v>#REF!</v>
      </c>
      <c r="D113" t="e">
        <f>IF(GETPIVOTDATA(_xlfn.VALUETOTEXT($A$4),'PREFILL-PIVOT'!$A$3,_xlfn.VALUETOTEXT($A$6),$A113,"Experiment",D$5,"date",D$6)=0,NA(),GETPIVOTDATA(_xlfn.VALUETOTEXT($A$4),'PREFILL-PIVOT'!$A$3,_xlfn.VALUETOTEXT($A$6),$A113,"Experiment",D$5,"date",D$6))</f>
        <v>#REF!</v>
      </c>
      <c r="E113" t="e">
        <f>IF(GETPIVOTDATA(_xlfn.VALUETOTEXT($A$4),'PREFILL-PIVOT'!$A$3,_xlfn.VALUETOTEXT($A$6),$A113,"Experiment",E$5,"date",E$6)=0,NA(),GETPIVOTDATA(_xlfn.VALUETOTEXT($A$4),'PREFILL-PIVOT'!$A$3,_xlfn.VALUETOTEXT($A$6),$A113,"Experiment",E$5,"date",E$6))</f>
        <v>#REF!</v>
      </c>
      <c r="F113" t="e">
        <f>IF(GETPIVOTDATA(_xlfn.VALUETOTEXT($A$4),'PREFILL-PIVOT'!$A$3,_xlfn.VALUETOTEXT($A$6),$A113,"Experiment",F$5,"date",F$6)=0,NA(),GETPIVOTDATA(_xlfn.VALUETOTEXT($A$4),'PREFILL-PIVOT'!$A$3,_xlfn.VALUETOTEXT($A$6),$A113,"Experiment",F$5,"date",F$6))</f>
        <v>#REF!</v>
      </c>
      <c r="G113" t="e">
        <f>IF(GETPIVOTDATA(_xlfn.VALUETOTEXT($A$4),'PREFILL-PIVOT'!$A$3,_xlfn.VALUETOTEXT($A$6),$A113,"Experiment",G$5,"date",G$6)=0,NA(),GETPIVOTDATA(_xlfn.VALUETOTEXT($A$4),'PREFILL-PIVOT'!$A$3,_xlfn.VALUETOTEXT($A$6),$A113,"Experiment",G$5,"date",G$6))</f>
        <v>#REF!</v>
      </c>
      <c r="H113" t="e">
        <f>IF(GETPIVOTDATA(_xlfn.VALUETOTEXT($A$4),'PREFILL-PIVOT'!$A$3,_xlfn.VALUETOTEXT($A$6),$A113,"Experiment",H$5,"date",H$6)=0,NA(),GETPIVOTDATA(_xlfn.VALUETOTEXT($A$4),'PREFILL-PIVOT'!$A$3,_xlfn.VALUETOTEXT($A$6),$A113,"Experiment",H$5,"date",H$6))</f>
        <v>#REF!</v>
      </c>
      <c r="I113" t="e">
        <f>IF(GETPIVOTDATA(_xlfn.VALUETOTEXT($A$4),'PREFILL-PIVOT'!$A$3,_xlfn.VALUETOTEXT($A$6),$A113,"Experiment",I$5,"date",I$6)=0,NA(),GETPIVOTDATA(_xlfn.VALUETOTEXT($A$4),'PREFILL-PIVOT'!$A$3,_xlfn.VALUETOTEXT($A$6),$A113,"Experiment",I$5,"date",I$6))</f>
        <v>#REF!</v>
      </c>
      <c r="J113" t="e">
        <f>IF(GETPIVOTDATA(_xlfn.VALUETOTEXT($A$4),'PREFILL-PIVOT'!$A$3,_xlfn.VALUETOTEXT($A$6),$A113,"Experiment",J$5,"date",J$6)=0,NA(),GETPIVOTDATA(_xlfn.VALUETOTEXT($A$4),'PREFILL-PIVOT'!$A$3,_xlfn.VALUETOTEXT($A$6),$A113,"Experiment",J$5,"date",J$6))</f>
        <v>#REF!</v>
      </c>
      <c r="K113" t="e">
        <f>IF(GETPIVOTDATA(_xlfn.VALUETOTEXT($A$4),'PREFILL-PIVOT'!$A$3,_xlfn.VALUETOTEXT($A$6),$A113,"Experiment",K$5,"date",K$6)=0,NA(),GETPIVOTDATA(_xlfn.VALUETOTEXT($A$4),'PREFILL-PIVOT'!$A$3,_xlfn.VALUETOTEXT($A$6),$A113,"Experiment",K$5,"date",K$6))</f>
        <v>#REF!</v>
      </c>
      <c r="L113" t="e">
        <f>IF(GETPIVOTDATA(_xlfn.VALUETOTEXT($A$4),'PREFILL-PIVOT'!$A$3,_xlfn.VALUETOTEXT($A$6),$A113,"Experiment",L$5,"date",L$6)=0,NA(),GETPIVOTDATA(_xlfn.VALUETOTEXT($A$4),'PREFILL-PIVOT'!$A$3,_xlfn.VALUETOTEXT($A$6),$A113,"Experiment",L$5,"date",L$6))</f>
        <v>#REF!</v>
      </c>
      <c r="M113" t="e">
        <f>IF(GETPIVOTDATA(_xlfn.VALUETOTEXT($A$4),'PREFILL-PIVOT'!$A$3,_xlfn.VALUETOTEXT($A$6),$A113,"Experiment",M$5,"date",M$6)=0,NA(),GETPIVOTDATA(_xlfn.VALUETOTEXT($A$4),'PREFILL-PIVOT'!$A$3,_xlfn.VALUETOTEXT($A$6),$A113,"Experiment",M$5,"date",M$6))</f>
        <v>#REF!</v>
      </c>
    </row>
    <row r="114" spans="1:13" x14ac:dyDescent="0.25">
      <c r="A114" s="222" t="e">
        <f>IF('PREFILL-PIVOT'!A112=0,NA(),'PREFILL-PIVOT'!A112)</f>
        <v>#N/A</v>
      </c>
      <c r="B114" t="e">
        <f>IF(GETPIVOTDATA(_xlfn.VALUETOTEXT($A$4),'PREFILL-PIVOT'!$A$3,_xlfn.VALUETOTEXT($A$6),$A114,"Experiment",B$5,"date",B$6)=0,NA(),GETPIVOTDATA(_xlfn.VALUETOTEXT($A$4),'PREFILL-PIVOT'!$A$3,_xlfn.VALUETOTEXT($A$6),$A114,"Experiment",B$5,"date",B$6))</f>
        <v>#REF!</v>
      </c>
      <c r="C114" t="e">
        <f>IF(GETPIVOTDATA(_xlfn.VALUETOTEXT($A$4),'PREFILL-PIVOT'!$A$3,_xlfn.VALUETOTEXT($A$6),$A114,"Experiment",C$5,"date",C$6)=0,NA(),GETPIVOTDATA(_xlfn.VALUETOTEXT($A$4),'PREFILL-PIVOT'!$A$3,_xlfn.VALUETOTEXT($A$6),$A114,"Experiment",C$5,"date",C$6))</f>
        <v>#REF!</v>
      </c>
      <c r="D114" t="e">
        <f>IF(GETPIVOTDATA(_xlfn.VALUETOTEXT($A$4),'PREFILL-PIVOT'!$A$3,_xlfn.VALUETOTEXT($A$6),$A114,"Experiment",D$5,"date",D$6)=0,NA(),GETPIVOTDATA(_xlfn.VALUETOTEXT($A$4),'PREFILL-PIVOT'!$A$3,_xlfn.VALUETOTEXT($A$6),$A114,"Experiment",D$5,"date",D$6))</f>
        <v>#REF!</v>
      </c>
      <c r="E114" t="e">
        <f>IF(GETPIVOTDATA(_xlfn.VALUETOTEXT($A$4),'PREFILL-PIVOT'!$A$3,_xlfn.VALUETOTEXT($A$6),$A114,"Experiment",E$5,"date",E$6)=0,NA(),GETPIVOTDATA(_xlfn.VALUETOTEXT($A$4),'PREFILL-PIVOT'!$A$3,_xlfn.VALUETOTEXT($A$6),$A114,"Experiment",E$5,"date",E$6))</f>
        <v>#REF!</v>
      </c>
      <c r="F114" t="e">
        <f>IF(GETPIVOTDATA(_xlfn.VALUETOTEXT($A$4),'PREFILL-PIVOT'!$A$3,_xlfn.VALUETOTEXT($A$6),$A114,"Experiment",F$5,"date",F$6)=0,NA(),GETPIVOTDATA(_xlfn.VALUETOTEXT($A$4),'PREFILL-PIVOT'!$A$3,_xlfn.VALUETOTEXT($A$6),$A114,"Experiment",F$5,"date",F$6))</f>
        <v>#REF!</v>
      </c>
      <c r="G114" t="e">
        <f>IF(GETPIVOTDATA(_xlfn.VALUETOTEXT($A$4),'PREFILL-PIVOT'!$A$3,_xlfn.VALUETOTEXT($A$6),$A114,"Experiment",G$5,"date",G$6)=0,NA(),GETPIVOTDATA(_xlfn.VALUETOTEXT($A$4),'PREFILL-PIVOT'!$A$3,_xlfn.VALUETOTEXT($A$6),$A114,"Experiment",G$5,"date",G$6))</f>
        <v>#REF!</v>
      </c>
      <c r="H114" t="e">
        <f>IF(GETPIVOTDATA(_xlfn.VALUETOTEXT($A$4),'PREFILL-PIVOT'!$A$3,_xlfn.VALUETOTEXT($A$6),$A114,"Experiment",H$5,"date",H$6)=0,NA(),GETPIVOTDATA(_xlfn.VALUETOTEXT($A$4),'PREFILL-PIVOT'!$A$3,_xlfn.VALUETOTEXT($A$6),$A114,"Experiment",H$5,"date",H$6))</f>
        <v>#REF!</v>
      </c>
      <c r="I114" t="e">
        <f>IF(GETPIVOTDATA(_xlfn.VALUETOTEXT($A$4),'PREFILL-PIVOT'!$A$3,_xlfn.VALUETOTEXT($A$6),$A114,"Experiment",I$5,"date",I$6)=0,NA(),GETPIVOTDATA(_xlfn.VALUETOTEXT($A$4),'PREFILL-PIVOT'!$A$3,_xlfn.VALUETOTEXT($A$6),$A114,"Experiment",I$5,"date",I$6))</f>
        <v>#REF!</v>
      </c>
      <c r="J114" t="e">
        <f>IF(GETPIVOTDATA(_xlfn.VALUETOTEXT($A$4),'PREFILL-PIVOT'!$A$3,_xlfn.VALUETOTEXT($A$6),$A114,"Experiment",J$5,"date",J$6)=0,NA(),GETPIVOTDATA(_xlfn.VALUETOTEXT($A$4),'PREFILL-PIVOT'!$A$3,_xlfn.VALUETOTEXT($A$6),$A114,"Experiment",J$5,"date",J$6))</f>
        <v>#REF!</v>
      </c>
      <c r="K114" t="e">
        <f>IF(GETPIVOTDATA(_xlfn.VALUETOTEXT($A$4),'PREFILL-PIVOT'!$A$3,_xlfn.VALUETOTEXT($A$6),$A114,"Experiment",K$5,"date",K$6)=0,NA(),GETPIVOTDATA(_xlfn.VALUETOTEXT($A$4),'PREFILL-PIVOT'!$A$3,_xlfn.VALUETOTEXT($A$6),$A114,"Experiment",K$5,"date",K$6))</f>
        <v>#REF!</v>
      </c>
      <c r="L114" t="e">
        <f>IF(GETPIVOTDATA(_xlfn.VALUETOTEXT($A$4),'PREFILL-PIVOT'!$A$3,_xlfn.VALUETOTEXT($A$6),$A114,"Experiment",L$5,"date",L$6)=0,NA(),GETPIVOTDATA(_xlfn.VALUETOTEXT($A$4),'PREFILL-PIVOT'!$A$3,_xlfn.VALUETOTEXT($A$6),$A114,"Experiment",L$5,"date",L$6))</f>
        <v>#REF!</v>
      </c>
      <c r="M114" t="e">
        <f>IF(GETPIVOTDATA(_xlfn.VALUETOTEXT($A$4),'PREFILL-PIVOT'!$A$3,_xlfn.VALUETOTEXT($A$6),$A114,"Experiment",M$5,"date",M$6)=0,NA(),GETPIVOTDATA(_xlfn.VALUETOTEXT($A$4),'PREFILL-PIVOT'!$A$3,_xlfn.VALUETOTEXT($A$6),$A114,"Experiment",M$5,"date",M$6))</f>
        <v>#REF!</v>
      </c>
    </row>
    <row r="115" spans="1:13" x14ac:dyDescent="0.25">
      <c r="A115" s="222" t="e">
        <f>IF('PREFILL-PIVOT'!A113=0,NA(),'PREFILL-PIVOT'!A113)</f>
        <v>#N/A</v>
      </c>
      <c r="B115" t="e">
        <f>IF(GETPIVOTDATA(_xlfn.VALUETOTEXT($A$4),'PREFILL-PIVOT'!$A$3,_xlfn.VALUETOTEXT($A$6),$A115,"Experiment",B$5,"date",B$6)=0,NA(),GETPIVOTDATA(_xlfn.VALUETOTEXT($A$4),'PREFILL-PIVOT'!$A$3,_xlfn.VALUETOTEXT($A$6),$A115,"Experiment",B$5,"date",B$6))</f>
        <v>#REF!</v>
      </c>
      <c r="C115" t="e">
        <f>IF(GETPIVOTDATA(_xlfn.VALUETOTEXT($A$4),'PREFILL-PIVOT'!$A$3,_xlfn.VALUETOTEXT($A$6),$A115,"Experiment",C$5,"date",C$6)=0,NA(),GETPIVOTDATA(_xlfn.VALUETOTEXT($A$4),'PREFILL-PIVOT'!$A$3,_xlfn.VALUETOTEXT($A$6),$A115,"Experiment",C$5,"date",C$6))</f>
        <v>#REF!</v>
      </c>
      <c r="D115" t="e">
        <f>IF(GETPIVOTDATA(_xlfn.VALUETOTEXT($A$4),'PREFILL-PIVOT'!$A$3,_xlfn.VALUETOTEXT($A$6),$A115,"Experiment",D$5,"date",D$6)=0,NA(),GETPIVOTDATA(_xlfn.VALUETOTEXT($A$4),'PREFILL-PIVOT'!$A$3,_xlfn.VALUETOTEXT($A$6),$A115,"Experiment",D$5,"date",D$6))</f>
        <v>#REF!</v>
      </c>
      <c r="E115" t="e">
        <f>IF(GETPIVOTDATA(_xlfn.VALUETOTEXT($A$4),'PREFILL-PIVOT'!$A$3,_xlfn.VALUETOTEXT($A$6),$A115,"Experiment",E$5,"date",E$6)=0,NA(),GETPIVOTDATA(_xlfn.VALUETOTEXT($A$4),'PREFILL-PIVOT'!$A$3,_xlfn.VALUETOTEXT($A$6),$A115,"Experiment",E$5,"date",E$6))</f>
        <v>#REF!</v>
      </c>
      <c r="F115" t="e">
        <f>IF(GETPIVOTDATA(_xlfn.VALUETOTEXT($A$4),'PREFILL-PIVOT'!$A$3,_xlfn.VALUETOTEXT($A$6),$A115,"Experiment",F$5,"date",F$6)=0,NA(),GETPIVOTDATA(_xlfn.VALUETOTEXT($A$4),'PREFILL-PIVOT'!$A$3,_xlfn.VALUETOTEXT($A$6),$A115,"Experiment",F$5,"date",F$6))</f>
        <v>#REF!</v>
      </c>
      <c r="G115" t="e">
        <f>IF(GETPIVOTDATA(_xlfn.VALUETOTEXT($A$4),'PREFILL-PIVOT'!$A$3,_xlfn.VALUETOTEXT($A$6),$A115,"Experiment",G$5,"date",G$6)=0,NA(),GETPIVOTDATA(_xlfn.VALUETOTEXT($A$4),'PREFILL-PIVOT'!$A$3,_xlfn.VALUETOTEXT($A$6),$A115,"Experiment",G$5,"date",G$6))</f>
        <v>#REF!</v>
      </c>
      <c r="H115" t="e">
        <f>IF(GETPIVOTDATA(_xlfn.VALUETOTEXT($A$4),'PREFILL-PIVOT'!$A$3,_xlfn.VALUETOTEXT($A$6),$A115,"Experiment",H$5,"date",H$6)=0,NA(),GETPIVOTDATA(_xlfn.VALUETOTEXT($A$4),'PREFILL-PIVOT'!$A$3,_xlfn.VALUETOTEXT($A$6),$A115,"Experiment",H$5,"date",H$6))</f>
        <v>#REF!</v>
      </c>
      <c r="I115" t="e">
        <f>IF(GETPIVOTDATA(_xlfn.VALUETOTEXT($A$4),'PREFILL-PIVOT'!$A$3,_xlfn.VALUETOTEXT($A$6),$A115,"Experiment",I$5,"date",I$6)=0,NA(),GETPIVOTDATA(_xlfn.VALUETOTEXT($A$4),'PREFILL-PIVOT'!$A$3,_xlfn.VALUETOTEXT($A$6),$A115,"Experiment",I$5,"date",I$6))</f>
        <v>#REF!</v>
      </c>
      <c r="J115" t="e">
        <f>IF(GETPIVOTDATA(_xlfn.VALUETOTEXT($A$4),'PREFILL-PIVOT'!$A$3,_xlfn.VALUETOTEXT($A$6),$A115,"Experiment",J$5,"date",J$6)=0,NA(),GETPIVOTDATA(_xlfn.VALUETOTEXT($A$4),'PREFILL-PIVOT'!$A$3,_xlfn.VALUETOTEXT($A$6),$A115,"Experiment",J$5,"date",J$6))</f>
        <v>#REF!</v>
      </c>
      <c r="K115" t="e">
        <f>IF(GETPIVOTDATA(_xlfn.VALUETOTEXT($A$4),'PREFILL-PIVOT'!$A$3,_xlfn.VALUETOTEXT($A$6),$A115,"Experiment",K$5,"date",K$6)=0,NA(),GETPIVOTDATA(_xlfn.VALUETOTEXT($A$4),'PREFILL-PIVOT'!$A$3,_xlfn.VALUETOTEXT($A$6),$A115,"Experiment",K$5,"date",K$6))</f>
        <v>#REF!</v>
      </c>
      <c r="L115" t="e">
        <f>IF(GETPIVOTDATA(_xlfn.VALUETOTEXT($A$4),'PREFILL-PIVOT'!$A$3,_xlfn.VALUETOTEXT($A$6),$A115,"Experiment",L$5,"date",L$6)=0,NA(),GETPIVOTDATA(_xlfn.VALUETOTEXT($A$4),'PREFILL-PIVOT'!$A$3,_xlfn.VALUETOTEXT($A$6),$A115,"Experiment",L$5,"date",L$6))</f>
        <v>#REF!</v>
      </c>
      <c r="M115" t="e">
        <f>IF(GETPIVOTDATA(_xlfn.VALUETOTEXT($A$4),'PREFILL-PIVOT'!$A$3,_xlfn.VALUETOTEXT($A$6),$A115,"Experiment",M$5,"date",M$6)=0,NA(),GETPIVOTDATA(_xlfn.VALUETOTEXT($A$4),'PREFILL-PIVOT'!$A$3,_xlfn.VALUETOTEXT($A$6),$A115,"Experiment",M$5,"date",M$6))</f>
        <v>#REF!</v>
      </c>
    </row>
    <row r="116" spans="1:13" x14ac:dyDescent="0.25">
      <c r="A116" s="222" t="e">
        <f>IF('PREFILL-PIVOT'!A114=0,NA(),'PREFILL-PIVOT'!A114)</f>
        <v>#N/A</v>
      </c>
      <c r="B116" t="e">
        <f>IF(GETPIVOTDATA(_xlfn.VALUETOTEXT($A$4),'PREFILL-PIVOT'!$A$3,_xlfn.VALUETOTEXT($A$6),$A116,"Experiment",B$5,"date",B$6)=0,NA(),GETPIVOTDATA(_xlfn.VALUETOTEXT($A$4),'PREFILL-PIVOT'!$A$3,_xlfn.VALUETOTEXT($A$6),$A116,"Experiment",B$5,"date",B$6))</f>
        <v>#REF!</v>
      </c>
      <c r="C116" t="e">
        <f>IF(GETPIVOTDATA(_xlfn.VALUETOTEXT($A$4),'PREFILL-PIVOT'!$A$3,_xlfn.VALUETOTEXT($A$6),$A116,"Experiment",C$5,"date",C$6)=0,NA(),GETPIVOTDATA(_xlfn.VALUETOTEXT($A$4),'PREFILL-PIVOT'!$A$3,_xlfn.VALUETOTEXT($A$6),$A116,"Experiment",C$5,"date",C$6))</f>
        <v>#REF!</v>
      </c>
      <c r="D116" t="e">
        <f>IF(GETPIVOTDATA(_xlfn.VALUETOTEXT($A$4),'PREFILL-PIVOT'!$A$3,_xlfn.VALUETOTEXT($A$6),$A116,"Experiment",D$5,"date",D$6)=0,NA(),GETPIVOTDATA(_xlfn.VALUETOTEXT($A$4),'PREFILL-PIVOT'!$A$3,_xlfn.VALUETOTEXT($A$6),$A116,"Experiment",D$5,"date",D$6))</f>
        <v>#REF!</v>
      </c>
      <c r="E116" t="e">
        <f>IF(GETPIVOTDATA(_xlfn.VALUETOTEXT($A$4),'PREFILL-PIVOT'!$A$3,_xlfn.VALUETOTEXT($A$6),$A116,"Experiment",E$5,"date",E$6)=0,NA(),GETPIVOTDATA(_xlfn.VALUETOTEXT($A$4),'PREFILL-PIVOT'!$A$3,_xlfn.VALUETOTEXT($A$6),$A116,"Experiment",E$5,"date",E$6))</f>
        <v>#REF!</v>
      </c>
      <c r="F116" t="e">
        <f>IF(GETPIVOTDATA(_xlfn.VALUETOTEXT($A$4),'PREFILL-PIVOT'!$A$3,_xlfn.VALUETOTEXT($A$6),$A116,"Experiment",F$5,"date",F$6)=0,NA(),GETPIVOTDATA(_xlfn.VALUETOTEXT($A$4),'PREFILL-PIVOT'!$A$3,_xlfn.VALUETOTEXT($A$6),$A116,"Experiment",F$5,"date",F$6))</f>
        <v>#REF!</v>
      </c>
      <c r="G116" t="e">
        <f>IF(GETPIVOTDATA(_xlfn.VALUETOTEXT($A$4),'PREFILL-PIVOT'!$A$3,_xlfn.VALUETOTEXT($A$6),$A116,"Experiment",G$5,"date",G$6)=0,NA(),GETPIVOTDATA(_xlfn.VALUETOTEXT($A$4),'PREFILL-PIVOT'!$A$3,_xlfn.VALUETOTEXT($A$6),$A116,"Experiment",G$5,"date",G$6))</f>
        <v>#REF!</v>
      </c>
      <c r="H116" t="e">
        <f>IF(GETPIVOTDATA(_xlfn.VALUETOTEXT($A$4),'PREFILL-PIVOT'!$A$3,_xlfn.VALUETOTEXT($A$6),$A116,"Experiment",H$5,"date",H$6)=0,NA(),GETPIVOTDATA(_xlfn.VALUETOTEXT($A$4),'PREFILL-PIVOT'!$A$3,_xlfn.VALUETOTEXT($A$6),$A116,"Experiment",H$5,"date",H$6))</f>
        <v>#REF!</v>
      </c>
      <c r="I116" t="e">
        <f>IF(GETPIVOTDATA(_xlfn.VALUETOTEXT($A$4),'PREFILL-PIVOT'!$A$3,_xlfn.VALUETOTEXT($A$6),$A116,"Experiment",I$5,"date",I$6)=0,NA(),GETPIVOTDATA(_xlfn.VALUETOTEXT($A$4),'PREFILL-PIVOT'!$A$3,_xlfn.VALUETOTEXT($A$6),$A116,"Experiment",I$5,"date",I$6))</f>
        <v>#REF!</v>
      </c>
      <c r="J116" t="e">
        <f>IF(GETPIVOTDATA(_xlfn.VALUETOTEXT($A$4),'PREFILL-PIVOT'!$A$3,_xlfn.VALUETOTEXT($A$6),$A116,"Experiment",J$5,"date",J$6)=0,NA(),GETPIVOTDATA(_xlfn.VALUETOTEXT($A$4),'PREFILL-PIVOT'!$A$3,_xlfn.VALUETOTEXT($A$6),$A116,"Experiment",J$5,"date",J$6))</f>
        <v>#REF!</v>
      </c>
      <c r="K116" t="e">
        <f>IF(GETPIVOTDATA(_xlfn.VALUETOTEXT($A$4),'PREFILL-PIVOT'!$A$3,_xlfn.VALUETOTEXT($A$6),$A116,"Experiment",K$5,"date",K$6)=0,NA(),GETPIVOTDATA(_xlfn.VALUETOTEXT($A$4),'PREFILL-PIVOT'!$A$3,_xlfn.VALUETOTEXT($A$6),$A116,"Experiment",K$5,"date",K$6))</f>
        <v>#REF!</v>
      </c>
      <c r="L116" t="e">
        <f>IF(GETPIVOTDATA(_xlfn.VALUETOTEXT($A$4),'PREFILL-PIVOT'!$A$3,_xlfn.VALUETOTEXT($A$6),$A116,"Experiment",L$5,"date",L$6)=0,NA(),GETPIVOTDATA(_xlfn.VALUETOTEXT($A$4),'PREFILL-PIVOT'!$A$3,_xlfn.VALUETOTEXT($A$6),$A116,"Experiment",L$5,"date",L$6))</f>
        <v>#REF!</v>
      </c>
      <c r="M116" t="e">
        <f>IF(GETPIVOTDATA(_xlfn.VALUETOTEXT($A$4),'PREFILL-PIVOT'!$A$3,_xlfn.VALUETOTEXT($A$6),$A116,"Experiment",M$5,"date",M$6)=0,NA(),GETPIVOTDATA(_xlfn.VALUETOTEXT($A$4),'PREFILL-PIVOT'!$A$3,_xlfn.VALUETOTEXT($A$6),$A116,"Experiment",M$5,"date",M$6))</f>
        <v>#REF!</v>
      </c>
    </row>
    <row r="117" spans="1:13" x14ac:dyDescent="0.25">
      <c r="A117" s="222" t="e">
        <f>IF('PREFILL-PIVOT'!A115=0,NA(),'PREFILL-PIVOT'!A115)</f>
        <v>#N/A</v>
      </c>
      <c r="B117" t="e">
        <f>IF(GETPIVOTDATA(_xlfn.VALUETOTEXT($A$4),'PREFILL-PIVOT'!$A$3,_xlfn.VALUETOTEXT($A$6),$A117,"Experiment",B$5,"date",B$6)=0,NA(),GETPIVOTDATA(_xlfn.VALUETOTEXT($A$4),'PREFILL-PIVOT'!$A$3,_xlfn.VALUETOTEXT($A$6),$A117,"Experiment",B$5,"date",B$6))</f>
        <v>#REF!</v>
      </c>
      <c r="C117" t="e">
        <f>IF(GETPIVOTDATA(_xlfn.VALUETOTEXT($A$4),'PREFILL-PIVOT'!$A$3,_xlfn.VALUETOTEXT($A$6),$A117,"Experiment",C$5,"date",C$6)=0,NA(),GETPIVOTDATA(_xlfn.VALUETOTEXT($A$4),'PREFILL-PIVOT'!$A$3,_xlfn.VALUETOTEXT($A$6),$A117,"Experiment",C$5,"date",C$6))</f>
        <v>#REF!</v>
      </c>
      <c r="D117" t="e">
        <f>IF(GETPIVOTDATA(_xlfn.VALUETOTEXT($A$4),'PREFILL-PIVOT'!$A$3,_xlfn.VALUETOTEXT($A$6),$A117,"Experiment",D$5,"date",D$6)=0,NA(),GETPIVOTDATA(_xlfn.VALUETOTEXT($A$4),'PREFILL-PIVOT'!$A$3,_xlfn.VALUETOTEXT($A$6),$A117,"Experiment",D$5,"date",D$6))</f>
        <v>#REF!</v>
      </c>
      <c r="E117" t="e">
        <f>IF(GETPIVOTDATA(_xlfn.VALUETOTEXT($A$4),'PREFILL-PIVOT'!$A$3,_xlfn.VALUETOTEXT($A$6),$A117,"Experiment",E$5,"date",E$6)=0,NA(),GETPIVOTDATA(_xlfn.VALUETOTEXT($A$4),'PREFILL-PIVOT'!$A$3,_xlfn.VALUETOTEXT($A$6),$A117,"Experiment",E$5,"date",E$6))</f>
        <v>#REF!</v>
      </c>
      <c r="F117" t="e">
        <f>IF(GETPIVOTDATA(_xlfn.VALUETOTEXT($A$4),'PREFILL-PIVOT'!$A$3,_xlfn.VALUETOTEXT($A$6),$A117,"Experiment",F$5,"date",F$6)=0,NA(),GETPIVOTDATA(_xlfn.VALUETOTEXT($A$4),'PREFILL-PIVOT'!$A$3,_xlfn.VALUETOTEXT($A$6),$A117,"Experiment",F$5,"date",F$6))</f>
        <v>#REF!</v>
      </c>
      <c r="G117" t="e">
        <f>IF(GETPIVOTDATA(_xlfn.VALUETOTEXT($A$4),'PREFILL-PIVOT'!$A$3,_xlfn.VALUETOTEXT($A$6),$A117,"Experiment",G$5,"date",G$6)=0,NA(),GETPIVOTDATA(_xlfn.VALUETOTEXT($A$4),'PREFILL-PIVOT'!$A$3,_xlfn.VALUETOTEXT($A$6),$A117,"Experiment",G$5,"date",G$6))</f>
        <v>#REF!</v>
      </c>
      <c r="H117" t="e">
        <f>IF(GETPIVOTDATA(_xlfn.VALUETOTEXT($A$4),'PREFILL-PIVOT'!$A$3,_xlfn.VALUETOTEXT($A$6),$A117,"Experiment",H$5,"date",H$6)=0,NA(),GETPIVOTDATA(_xlfn.VALUETOTEXT($A$4),'PREFILL-PIVOT'!$A$3,_xlfn.VALUETOTEXT($A$6),$A117,"Experiment",H$5,"date",H$6))</f>
        <v>#REF!</v>
      </c>
      <c r="I117" t="e">
        <f>IF(GETPIVOTDATA(_xlfn.VALUETOTEXT($A$4),'PREFILL-PIVOT'!$A$3,_xlfn.VALUETOTEXT($A$6),$A117,"Experiment",I$5,"date",I$6)=0,NA(),GETPIVOTDATA(_xlfn.VALUETOTEXT($A$4),'PREFILL-PIVOT'!$A$3,_xlfn.VALUETOTEXT($A$6),$A117,"Experiment",I$5,"date",I$6))</f>
        <v>#REF!</v>
      </c>
      <c r="J117" t="e">
        <f>IF(GETPIVOTDATA(_xlfn.VALUETOTEXT($A$4),'PREFILL-PIVOT'!$A$3,_xlfn.VALUETOTEXT($A$6),$A117,"Experiment",J$5,"date",J$6)=0,NA(),GETPIVOTDATA(_xlfn.VALUETOTEXT($A$4),'PREFILL-PIVOT'!$A$3,_xlfn.VALUETOTEXT($A$6),$A117,"Experiment",J$5,"date",J$6))</f>
        <v>#REF!</v>
      </c>
      <c r="K117" t="e">
        <f>IF(GETPIVOTDATA(_xlfn.VALUETOTEXT($A$4),'PREFILL-PIVOT'!$A$3,_xlfn.VALUETOTEXT($A$6),$A117,"Experiment",K$5,"date",K$6)=0,NA(),GETPIVOTDATA(_xlfn.VALUETOTEXT($A$4),'PREFILL-PIVOT'!$A$3,_xlfn.VALUETOTEXT($A$6),$A117,"Experiment",K$5,"date",K$6))</f>
        <v>#REF!</v>
      </c>
      <c r="L117" t="e">
        <f>IF(GETPIVOTDATA(_xlfn.VALUETOTEXT($A$4),'PREFILL-PIVOT'!$A$3,_xlfn.VALUETOTEXT($A$6),$A117,"Experiment",L$5,"date",L$6)=0,NA(),GETPIVOTDATA(_xlfn.VALUETOTEXT($A$4),'PREFILL-PIVOT'!$A$3,_xlfn.VALUETOTEXT($A$6),$A117,"Experiment",L$5,"date",L$6))</f>
        <v>#REF!</v>
      </c>
      <c r="M117" t="e">
        <f>IF(GETPIVOTDATA(_xlfn.VALUETOTEXT($A$4),'PREFILL-PIVOT'!$A$3,_xlfn.VALUETOTEXT($A$6),$A117,"Experiment",M$5,"date",M$6)=0,NA(),GETPIVOTDATA(_xlfn.VALUETOTEXT($A$4),'PREFILL-PIVOT'!$A$3,_xlfn.VALUETOTEXT($A$6),$A117,"Experiment",M$5,"date",M$6))</f>
        <v>#REF!</v>
      </c>
    </row>
    <row r="118" spans="1:13" x14ac:dyDescent="0.25">
      <c r="A118" s="222" t="e">
        <f>IF('PREFILL-PIVOT'!A116=0,NA(),'PREFILL-PIVOT'!A116)</f>
        <v>#N/A</v>
      </c>
      <c r="B118" t="e">
        <f>IF(GETPIVOTDATA(_xlfn.VALUETOTEXT($A$4),'PREFILL-PIVOT'!$A$3,_xlfn.VALUETOTEXT($A$6),$A118,"Experiment",B$5,"date",B$6)=0,NA(),GETPIVOTDATA(_xlfn.VALUETOTEXT($A$4),'PREFILL-PIVOT'!$A$3,_xlfn.VALUETOTEXT($A$6),$A118,"Experiment",B$5,"date",B$6))</f>
        <v>#REF!</v>
      </c>
      <c r="C118" t="e">
        <f>IF(GETPIVOTDATA(_xlfn.VALUETOTEXT($A$4),'PREFILL-PIVOT'!$A$3,_xlfn.VALUETOTEXT($A$6),$A118,"Experiment",C$5,"date",C$6)=0,NA(),GETPIVOTDATA(_xlfn.VALUETOTEXT($A$4),'PREFILL-PIVOT'!$A$3,_xlfn.VALUETOTEXT($A$6),$A118,"Experiment",C$5,"date",C$6))</f>
        <v>#REF!</v>
      </c>
      <c r="D118" t="e">
        <f>IF(GETPIVOTDATA(_xlfn.VALUETOTEXT($A$4),'PREFILL-PIVOT'!$A$3,_xlfn.VALUETOTEXT($A$6),$A118,"Experiment",D$5,"date",D$6)=0,NA(),GETPIVOTDATA(_xlfn.VALUETOTEXT($A$4),'PREFILL-PIVOT'!$A$3,_xlfn.VALUETOTEXT($A$6),$A118,"Experiment",D$5,"date",D$6))</f>
        <v>#REF!</v>
      </c>
      <c r="E118" t="e">
        <f>IF(GETPIVOTDATA(_xlfn.VALUETOTEXT($A$4),'PREFILL-PIVOT'!$A$3,_xlfn.VALUETOTEXT($A$6),$A118,"Experiment",E$5,"date",E$6)=0,NA(),GETPIVOTDATA(_xlfn.VALUETOTEXT($A$4),'PREFILL-PIVOT'!$A$3,_xlfn.VALUETOTEXT($A$6),$A118,"Experiment",E$5,"date",E$6))</f>
        <v>#REF!</v>
      </c>
      <c r="F118" t="e">
        <f>IF(GETPIVOTDATA(_xlfn.VALUETOTEXT($A$4),'PREFILL-PIVOT'!$A$3,_xlfn.VALUETOTEXT($A$6),$A118,"Experiment",F$5,"date",F$6)=0,NA(),GETPIVOTDATA(_xlfn.VALUETOTEXT($A$4),'PREFILL-PIVOT'!$A$3,_xlfn.VALUETOTEXT($A$6),$A118,"Experiment",F$5,"date",F$6))</f>
        <v>#REF!</v>
      </c>
      <c r="G118" t="e">
        <f>IF(GETPIVOTDATA(_xlfn.VALUETOTEXT($A$4),'PREFILL-PIVOT'!$A$3,_xlfn.VALUETOTEXT($A$6),$A118,"Experiment",G$5,"date",G$6)=0,NA(),GETPIVOTDATA(_xlfn.VALUETOTEXT($A$4),'PREFILL-PIVOT'!$A$3,_xlfn.VALUETOTEXT($A$6),$A118,"Experiment",G$5,"date",G$6))</f>
        <v>#REF!</v>
      </c>
      <c r="H118" t="e">
        <f>IF(GETPIVOTDATA(_xlfn.VALUETOTEXT($A$4),'PREFILL-PIVOT'!$A$3,_xlfn.VALUETOTEXT($A$6),$A118,"Experiment",H$5,"date",H$6)=0,NA(),GETPIVOTDATA(_xlfn.VALUETOTEXT($A$4),'PREFILL-PIVOT'!$A$3,_xlfn.VALUETOTEXT($A$6),$A118,"Experiment",H$5,"date",H$6))</f>
        <v>#REF!</v>
      </c>
      <c r="I118" t="e">
        <f>IF(GETPIVOTDATA(_xlfn.VALUETOTEXT($A$4),'PREFILL-PIVOT'!$A$3,_xlfn.VALUETOTEXT($A$6),$A118,"Experiment",I$5,"date",I$6)=0,NA(),GETPIVOTDATA(_xlfn.VALUETOTEXT($A$4),'PREFILL-PIVOT'!$A$3,_xlfn.VALUETOTEXT($A$6),$A118,"Experiment",I$5,"date",I$6))</f>
        <v>#REF!</v>
      </c>
      <c r="J118" t="e">
        <f>IF(GETPIVOTDATA(_xlfn.VALUETOTEXT($A$4),'PREFILL-PIVOT'!$A$3,_xlfn.VALUETOTEXT($A$6),$A118,"Experiment",J$5,"date",J$6)=0,NA(),GETPIVOTDATA(_xlfn.VALUETOTEXT($A$4),'PREFILL-PIVOT'!$A$3,_xlfn.VALUETOTEXT($A$6),$A118,"Experiment",J$5,"date",J$6))</f>
        <v>#REF!</v>
      </c>
      <c r="K118" t="e">
        <f>IF(GETPIVOTDATA(_xlfn.VALUETOTEXT($A$4),'PREFILL-PIVOT'!$A$3,_xlfn.VALUETOTEXT($A$6),$A118,"Experiment",K$5,"date",K$6)=0,NA(),GETPIVOTDATA(_xlfn.VALUETOTEXT($A$4),'PREFILL-PIVOT'!$A$3,_xlfn.VALUETOTEXT($A$6),$A118,"Experiment",K$5,"date",K$6))</f>
        <v>#REF!</v>
      </c>
      <c r="L118" t="e">
        <f>IF(GETPIVOTDATA(_xlfn.VALUETOTEXT($A$4),'PREFILL-PIVOT'!$A$3,_xlfn.VALUETOTEXT($A$6),$A118,"Experiment",L$5,"date",L$6)=0,NA(),GETPIVOTDATA(_xlfn.VALUETOTEXT($A$4),'PREFILL-PIVOT'!$A$3,_xlfn.VALUETOTEXT($A$6),$A118,"Experiment",L$5,"date",L$6))</f>
        <v>#REF!</v>
      </c>
      <c r="M118" t="e">
        <f>IF(GETPIVOTDATA(_xlfn.VALUETOTEXT($A$4),'PREFILL-PIVOT'!$A$3,_xlfn.VALUETOTEXT($A$6),$A118,"Experiment",M$5,"date",M$6)=0,NA(),GETPIVOTDATA(_xlfn.VALUETOTEXT($A$4),'PREFILL-PIVOT'!$A$3,_xlfn.VALUETOTEXT($A$6),$A118,"Experiment",M$5,"date",M$6))</f>
        <v>#REF!</v>
      </c>
    </row>
    <row r="119" spans="1:13" x14ac:dyDescent="0.25">
      <c r="A119" s="222" t="e">
        <f>IF('PREFILL-PIVOT'!A117=0,NA(),'PREFILL-PIVOT'!A117)</f>
        <v>#N/A</v>
      </c>
      <c r="B119" t="e">
        <f>IF(GETPIVOTDATA(_xlfn.VALUETOTEXT($A$4),'PREFILL-PIVOT'!$A$3,_xlfn.VALUETOTEXT($A$6),$A119,"Experiment",B$5,"date",B$6)=0,NA(),GETPIVOTDATA(_xlfn.VALUETOTEXT($A$4),'PREFILL-PIVOT'!$A$3,_xlfn.VALUETOTEXT($A$6),$A119,"Experiment",B$5,"date",B$6))</f>
        <v>#REF!</v>
      </c>
      <c r="C119" t="e">
        <f>IF(GETPIVOTDATA(_xlfn.VALUETOTEXT($A$4),'PREFILL-PIVOT'!$A$3,_xlfn.VALUETOTEXT($A$6),$A119,"Experiment",C$5,"date",C$6)=0,NA(),GETPIVOTDATA(_xlfn.VALUETOTEXT($A$4),'PREFILL-PIVOT'!$A$3,_xlfn.VALUETOTEXT($A$6),$A119,"Experiment",C$5,"date",C$6))</f>
        <v>#REF!</v>
      </c>
      <c r="D119" t="e">
        <f>IF(GETPIVOTDATA(_xlfn.VALUETOTEXT($A$4),'PREFILL-PIVOT'!$A$3,_xlfn.VALUETOTEXT($A$6),$A119,"Experiment",D$5,"date",D$6)=0,NA(),GETPIVOTDATA(_xlfn.VALUETOTEXT($A$4),'PREFILL-PIVOT'!$A$3,_xlfn.VALUETOTEXT($A$6),$A119,"Experiment",D$5,"date",D$6))</f>
        <v>#REF!</v>
      </c>
      <c r="E119" t="e">
        <f>IF(GETPIVOTDATA(_xlfn.VALUETOTEXT($A$4),'PREFILL-PIVOT'!$A$3,_xlfn.VALUETOTEXT($A$6),$A119,"Experiment",E$5,"date",E$6)=0,NA(),GETPIVOTDATA(_xlfn.VALUETOTEXT($A$4),'PREFILL-PIVOT'!$A$3,_xlfn.VALUETOTEXT($A$6),$A119,"Experiment",E$5,"date",E$6))</f>
        <v>#REF!</v>
      </c>
      <c r="F119" t="e">
        <f>IF(GETPIVOTDATA(_xlfn.VALUETOTEXT($A$4),'PREFILL-PIVOT'!$A$3,_xlfn.VALUETOTEXT($A$6),$A119,"Experiment",F$5,"date",F$6)=0,NA(),GETPIVOTDATA(_xlfn.VALUETOTEXT($A$4),'PREFILL-PIVOT'!$A$3,_xlfn.VALUETOTEXT($A$6),$A119,"Experiment",F$5,"date",F$6))</f>
        <v>#REF!</v>
      </c>
      <c r="G119" t="e">
        <f>IF(GETPIVOTDATA(_xlfn.VALUETOTEXT($A$4),'PREFILL-PIVOT'!$A$3,_xlfn.VALUETOTEXT($A$6),$A119,"Experiment",G$5,"date",G$6)=0,NA(),GETPIVOTDATA(_xlfn.VALUETOTEXT($A$4),'PREFILL-PIVOT'!$A$3,_xlfn.VALUETOTEXT($A$6),$A119,"Experiment",G$5,"date",G$6))</f>
        <v>#REF!</v>
      </c>
      <c r="H119" t="e">
        <f>IF(GETPIVOTDATA(_xlfn.VALUETOTEXT($A$4),'PREFILL-PIVOT'!$A$3,_xlfn.VALUETOTEXT($A$6),$A119,"Experiment",H$5,"date",H$6)=0,NA(),GETPIVOTDATA(_xlfn.VALUETOTEXT($A$4),'PREFILL-PIVOT'!$A$3,_xlfn.VALUETOTEXT($A$6),$A119,"Experiment",H$5,"date",H$6))</f>
        <v>#REF!</v>
      </c>
      <c r="I119" t="e">
        <f>IF(GETPIVOTDATA(_xlfn.VALUETOTEXT($A$4),'PREFILL-PIVOT'!$A$3,_xlfn.VALUETOTEXT($A$6),$A119,"Experiment",I$5,"date",I$6)=0,NA(),GETPIVOTDATA(_xlfn.VALUETOTEXT($A$4),'PREFILL-PIVOT'!$A$3,_xlfn.VALUETOTEXT($A$6),$A119,"Experiment",I$5,"date",I$6))</f>
        <v>#REF!</v>
      </c>
      <c r="J119" t="e">
        <f>IF(GETPIVOTDATA(_xlfn.VALUETOTEXT($A$4),'PREFILL-PIVOT'!$A$3,_xlfn.VALUETOTEXT($A$6),$A119,"Experiment",J$5,"date",J$6)=0,NA(),GETPIVOTDATA(_xlfn.VALUETOTEXT($A$4),'PREFILL-PIVOT'!$A$3,_xlfn.VALUETOTEXT($A$6),$A119,"Experiment",J$5,"date",J$6))</f>
        <v>#REF!</v>
      </c>
      <c r="K119" t="e">
        <f>IF(GETPIVOTDATA(_xlfn.VALUETOTEXT($A$4),'PREFILL-PIVOT'!$A$3,_xlfn.VALUETOTEXT($A$6),$A119,"Experiment",K$5,"date",K$6)=0,NA(),GETPIVOTDATA(_xlfn.VALUETOTEXT($A$4),'PREFILL-PIVOT'!$A$3,_xlfn.VALUETOTEXT($A$6),$A119,"Experiment",K$5,"date",K$6))</f>
        <v>#REF!</v>
      </c>
      <c r="L119" t="e">
        <f>IF(GETPIVOTDATA(_xlfn.VALUETOTEXT($A$4),'PREFILL-PIVOT'!$A$3,_xlfn.VALUETOTEXT($A$6),$A119,"Experiment",L$5,"date",L$6)=0,NA(),GETPIVOTDATA(_xlfn.VALUETOTEXT($A$4),'PREFILL-PIVOT'!$A$3,_xlfn.VALUETOTEXT($A$6),$A119,"Experiment",L$5,"date",L$6))</f>
        <v>#REF!</v>
      </c>
      <c r="M119" t="e">
        <f>IF(GETPIVOTDATA(_xlfn.VALUETOTEXT($A$4),'PREFILL-PIVOT'!$A$3,_xlfn.VALUETOTEXT($A$6),$A119,"Experiment",M$5,"date",M$6)=0,NA(),GETPIVOTDATA(_xlfn.VALUETOTEXT($A$4),'PREFILL-PIVOT'!$A$3,_xlfn.VALUETOTEXT($A$6),$A119,"Experiment",M$5,"date",M$6))</f>
        <v>#REF!</v>
      </c>
    </row>
    <row r="120" spans="1:13" x14ac:dyDescent="0.25">
      <c r="A120" s="222" t="e">
        <f>IF('PREFILL-PIVOT'!A118=0,NA(),'PREFILL-PIVOT'!A118)</f>
        <v>#N/A</v>
      </c>
      <c r="B120" t="e">
        <f>IF(GETPIVOTDATA(_xlfn.VALUETOTEXT($A$4),'PREFILL-PIVOT'!$A$3,_xlfn.VALUETOTEXT($A$6),$A120,"Experiment",B$5,"date",B$6)=0,NA(),GETPIVOTDATA(_xlfn.VALUETOTEXT($A$4),'PREFILL-PIVOT'!$A$3,_xlfn.VALUETOTEXT($A$6),$A120,"Experiment",B$5,"date",B$6))</f>
        <v>#REF!</v>
      </c>
      <c r="C120" t="e">
        <f>IF(GETPIVOTDATA(_xlfn.VALUETOTEXT($A$4),'PREFILL-PIVOT'!$A$3,_xlfn.VALUETOTEXT($A$6),$A120,"Experiment",C$5,"date",C$6)=0,NA(),GETPIVOTDATA(_xlfn.VALUETOTEXT($A$4),'PREFILL-PIVOT'!$A$3,_xlfn.VALUETOTEXT($A$6),$A120,"Experiment",C$5,"date",C$6))</f>
        <v>#REF!</v>
      </c>
      <c r="D120" t="e">
        <f>IF(GETPIVOTDATA(_xlfn.VALUETOTEXT($A$4),'PREFILL-PIVOT'!$A$3,_xlfn.VALUETOTEXT($A$6),$A120,"Experiment",D$5,"date",D$6)=0,NA(),GETPIVOTDATA(_xlfn.VALUETOTEXT($A$4),'PREFILL-PIVOT'!$A$3,_xlfn.VALUETOTEXT($A$6),$A120,"Experiment",D$5,"date",D$6))</f>
        <v>#REF!</v>
      </c>
      <c r="E120" t="e">
        <f>IF(GETPIVOTDATA(_xlfn.VALUETOTEXT($A$4),'PREFILL-PIVOT'!$A$3,_xlfn.VALUETOTEXT($A$6),$A120,"Experiment",E$5,"date",E$6)=0,NA(),GETPIVOTDATA(_xlfn.VALUETOTEXT($A$4),'PREFILL-PIVOT'!$A$3,_xlfn.VALUETOTEXT($A$6),$A120,"Experiment",E$5,"date",E$6))</f>
        <v>#REF!</v>
      </c>
      <c r="F120" t="e">
        <f>IF(GETPIVOTDATA(_xlfn.VALUETOTEXT($A$4),'PREFILL-PIVOT'!$A$3,_xlfn.VALUETOTEXT($A$6),$A120,"Experiment",F$5,"date",F$6)=0,NA(),GETPIVOTDATA(_xlfn.VALUETOTEXT($A$4),'PREFILL-PIVOT'!$A$3,_xlfn.VALUETOTEXT($A$6),$A120,"Experiment",F$5,"date",F$6))</f>
        <v>#REF!</v>
      </c>
      <c r="G120" t="e">
        <f>IF(GETPIVOTDATA(_xlfn.VALUETOTEXT($A$4),'PREFILL-PIVOT'!$A$3,_xlfn.VALUETOTEXT($A$6),$A120,"Experiment",G$5,"date",G$6)=0,NA(),GETPIVOTDATA(_xlfn.VALUETOTEXT($A$4),'PREFILL-PIVOT'!$A$3,_xlfn.VALUETOTEXT($A$6),$A120,"Experiment",G$5,"date",G$6))</f>
        <v>#REF!</v>
      </c>
      <c r="H120" t="e">
        <f>IF(GETPIVOTDATA(_xlfn.VALUETOTEXT($A$4),'PREFILL-PIVOT'!$A$3,_xlfn.VALUETOTEXT($A$6),$A120,"Experiment",H$5,"date",H$6)=0,NA(),GETPIVOTDATA(_xlfn.VALUETOTEXT($A$4),'PREFILL-PIVOT'!$A$3,_xlfn.VALUETOTEXT($A$6),$A120,"Experiment",H$5,"date",H$6))</f>
        <v>#REF!</v>
      </c>
      <c r="I120" t="e">
        <f>IF(GETPIVOTDATA(_xlfn.VALUETOTEXT($A$4),'PREFILL-PIVOT'!$A$3,_xlfn.VALUETOTEXT($A$6),$A120,"Experiment",I$5,"date",I$6)=0,NA(),GETPIVOTDATA(_xlfn.VALUETOTEXT($A$4),'PREFILL-PIVOT'!$A$3,_xlfn.VALUETOTEXT($A$6),$A120,"Experiment",I$5,"date",I$6))</f>
        <v>#REF!</v>
      </c>
      <c r="J120" t="e">
        <f>IF(GETPIVOTDATA(_xlfn.VALUETOTEXT($A$4),'PREFILL-PIVOT'!$A$3,_xlfn.VALUETOTEXT($A$6),$A120,"Experiment",J$5,"date",J$6)=0,NA(),GETPIVOTDATA(_xlfn.VALUETOTEXT($A$4),'PREFILL-PIVOT'!$A$3,_xlfn.VALUETOTEXT($A$6),$A120,"Experiment",J$5,"date",J$6))</f>
        <v>#REF!</v>
      </c>
      <c r="K120" t="e">
        <f>IF(GETPIVOTDATA(_xlfn.VALUETOTEXT($A$4),'PREFILL-PIVOT'!$A$3,_xlfn.VALUETOTEXT($A$6),$A120,"Experiment",K$5,"date",K$6)=0,NA(),GETPIVOTDATA(_xlfn.VALUETOTEXT($A$4),'PREFILL-PIVOT'!$A$3,_xlfn.VALUETOTEXT($A$6),$A120,"Experiment",K$5,"date",K$6))</f>
        <v>#REF!</v>
      </c>
      <c r="L120" t="e">
        <f>IF(GETPIVOTDATA(_xlfn.VALUETOTEXT($A$4),'PREFILL-PIVOT'!$A$3,_xlfn.VALUETOTEXT($A$6),$A120,"Experiment",L$5,"date",L$6)=0,NA(),GETPIVOTDATA(_xlfn.VALUETOTEXT($A$4),'PREFILL-PIVOT'!$A$3,_xlfn.VALUETOTEXT($A$6),$A120,"Experiment",L$5,"date",L$6))</f>
        <v>#REF!</v>
      </c>
      <c r="M120" t="e">
        <f>IF(GETPIVOTDATA(_xlfn.VALUETOTEXT($A$4),'PREFILL-PIVOT'!$A$3,_xlfn.VALUETOTEXT($A$6),$A120,"Experiment",M$5,"date",M$6)=0,NA(),GETPIVOTDATA(_xlfn.VALUETOTEXT($A$4),'PREFILL-PIVOT'!$A$3,_xlfn.VALUETOTEXT($A$6),$A120,"Experiment",M$5,"date",M$6))</f>
        <v>#REF!</v>
      </c>
    </row>
    <row r="121" spans="1:13" x14ac:dyDescent="0.25">
      <c r="A121" s="222" t="e">
        <f>IF('PREFILL-PIVOT'!A119=0,NA(),'PREFILL-PIVOT'!A119)</f>
        <v>#N/A</v>
      </c>
      <c r="B121" t="e">
        <f>IF(GETPIVOTDATA(_xlfn.VALUETOTEXT($A$4),'PREFILL-PIVOT'!$A$3,_xlfn.VALUETOTEXT($A$6),$A121,"Experiment",B$5,"date",B$6)=0,NA(),GETPIVOTDATA(_xlfn.VALUETOTEXT($A$4),'PREFILL-PIVOT'!$A$3,_xlfn.VALUETOTEXT($A$6),$A121,"Experiment",B$5,"date",B$6))</f>
        <v>#REF!</v>
      </c>
      <c r="C121" t="e">
        <f>IF(GETPIVOTDATA(_xlfn.VALUETOTEXT($A$4),'PREFILL-PIVOT'!$A$3,_xlfn.VALUETOTEXT($A$6),$A121,"Experiment",C$5,"date",C$6)=0,NA(),GETPIVOTDATA(_xlfn.VALUETOTEXT($A$4),'PREFILL-PIVOT'!$A$3,_xlfn.VALUETOTEXT($A$6),$A121,"Experiment",C$5,"date",C$6))</f>
        <v>#REF!</v>
      </c>
      <c r="D121" t="e">
        <f>IF(GETPIVOTDATA(_xlfn.VALUETOTEXT($A$4),'PREFILL-PIVOT'!$A$3,_xlfn.VALUETOTEXT($A$6),$A121,"Experiment",D$5,"date",D$6)=0,NA(),GETPIVOTDATA(_xlfn.VALUETOTEXT($A$4),'PREFILL-PIVOT'!$A$3,_xlfn.VALUETOTEXT($A$6),$A121,"Experiment",D$5,"date",D$6))</f>
        <v>#REF!</v>
      </c>
      <c r="E121" t="e">
        <f>IF(GETPIVOTDATA(_xlfn.VALUETOTEXT($A$4),'PREFILL-PIVOT'!$A$3,_xlfn.VALUETOTEXT($A$6),$A121,"Experiment",E$5,"date",E$6)=0,NA(),GETPIVOTDATA(_xlfn.VALUETOTEXT($A$4),'PREFILL-PIVOT'!$A$3,_xlfn.VALUETOTEXT($A$6),$A121,"Experiment",E$5,"date",E$6))</f>
        <v>#REF!</v>
      </c>
      <c r="F121" t="e">
        <f>IF(GETPIVOTDATA(_xlfn.VALUETOTEXT($A$4),'PREFILL-PIVOT'!$A$3,_xlfn.VALUETOTEXT($A$6),$A121,"Experiment",F$5,"date",F$6)=0,NA(),GETPIVOTDATA(_xlfn.VALUETOTEXT($A$4),'PREFILL-PIVOT'!$A$3,_xlfn.VALUETOTEXT($A$6),$A121,"Experiment",F$5,"date",F$6))</f>
        <v>#REF!</v>
      </c>
      <c r="G121" t="e">
        <f>IF(GETPIVOTDATA(_xlfn.VALUETOTEXT($A$4),'PREFILL-PIVOT'!$A$3,_xlfn.VALUETOTEXT($A$6),$A121,"Experiment",G$5,"date",G$6)=0,NA(),GETPIVOTDATA(_xlfn.VALUETOTEXT($A$4),'PREFILL-PIVOT'!$A$3,_xlfn.VALUETOTEXT($A$6),$A121,"Experiment",G$5,"date",G$6))</f>
        <v>#REF!</v>
      </c>
      <c r="H121" t="e">
        <f>IF(GETPIVOTDATA(_xlfn.VALUETOTEXT($A$4),'PREFILL-PIVOT'!$A$3,_xlfn.VALUETOTEXT($A$6),$A121,"Experiment",H$5,"date",H$6)=0,NA(),GETPIVOTDATA(_xlfn.VALUETOTEXT($A$4),'PREFILL-PIVOT'!$A$3,_xlfn.VALUETOTEXT($A$6),$A121,"Experiment",H$5,"date",H$6))</f>
        <v>#REF!</v>
      </c>
      <c r="I121" t="e">
        <f>IF(GETPIVOTDATA(_xlfn.VALUETOTEXT($A$4),'PREFILL-PIVOT'!$A$3,_xlfn.VALUETOTEXT($A$6),$A121,"Experiment",I$5,"date",I$6)=0,NA(),GETPIVOTDATA(_xlfn.VALUETOTEXT($A$4),'PREFILL-PIVOT'!$A$3,_xlfn.VALUETOTEXT($A$6),$A121,"Experiment",I$5,"date",I$6))</f>
        <v>#REF!</v>
      </c>
      <c r="J121" t="e">
        <f>IF(GETPIVOTDATA(_xlfn.VALUETOTEXT($A$4),'PREFILL-PIVOT'!$A$3,_xlfn.VALUETOTEXT($A$6),$A121,"Experiment",J$5,"date",J$6)=0,NA(),GETPIVOTDATA(_xlfn.VALUETOTEXT($A$4),'PREFILL-PIVOT'!$A$3,_xlfn.VALUETOTEXT($A$6),$A121,"Experiment",J$5,"date",J$6))</f>
        <v>#REF!</v>
      </c>
      <c r="K121" t="e">
        <f>IF(GETPIVOTDATA(_xlfn.VALUETOTEXT($A$4),'PREFILL-PIVOT'!$A$3,_xlfn.VALUETOTEXT($A$6),$A121,"Experiment",K$5,"date",K$6)=0,NA(),GETPIVOTDATA(_xlfn.VALUETOTEXT($A$4),'PREFILL-PIVOT'!$A$3,_xlfn.VALUETOTEXT($A$6),$A121,"Experiment",K$5,"date",K$6))</f>
        <v>#REF!</v>
      </c>
      <c r="L121" t="e">
        <f>IF(GETPIVOTDATA(_xlfn.VALUETOTEXT($A$4),'PREFILL-PIVOT'!$A$3,_xlfn.VALUETOTEXT($A$6),$A121,"Experiment",L$5,"date",L$6)=0,NA(),GETPIVOTDATA(_xlfn.VALUETOTEXT($A$4),'PREFILL-PIVOT'!$A$3,_xlfn.VALUETOTEXT($A$6),$A121,"Experiment",L$5,"date",L$6))</f>
        <v>#REF!</v>
      </c>
      <c r="M121" t="e">
        <f>IF(GETPIVOTDATA(_xlfn.VALUETOTEXT($A$4),'PREFILL-PIVOT'!$A$3,_xlfn.VALUETOTEXT($A$6),$A121,"Experiment",M$5,"date",M$6)=0,NA(),GETPIVOTDATA(_xlfn.VALUETOTEXT($A$4),'PREFILL-PIVOT'!$A$3,_xlfn.VALUETOTEXT($A$6),$A121,"Experiment",M$5,"date",M$6))</f>
        <v>#REF!</v>
      </c>
    </row>
    <row r="122" spans="1:13" x14ac:dyDescent="0.25">
      <c r="A122" s="222" t="e">
        <f>IF('PREFILL-PIVOT'!A120=0,NA(),'PREFILL-PIVOT'!A120)</f>
        <v>#N/A</v>
      </c>
      <c r="B122" t="e">
        <f>IF(GETPIVOTDATA(_xlfn.VALUETOTEXT($A$4),'PREFILL-PIVOT'!$A$3,_xlfn.VALUETOTEXT($A$6),$A122,"Experiment",B$5,"date",B$6)=0,NA(),GETPIVOTDATA(_xlfn.VALUETOTEXT($A$4),'PREFILL-PIVOT'!$A$3,_xlfn.VALUETOTEXT($A$6),$A122,"Experiment",B$5,"date",B$6))</f>
        <v>#REF!</v>
      </c>
      <c r="C122" t="e">
        <f>IF(GETPIVOTDATA(_xlfn.VALUETOTEXT($A$4),'PREFILL-PIVOT'!$A$3,_xlfn.VALUETOTEXT($A$6),$A122,"Experiment",C$5,"date",C$6)=0,NA(),GETPIVOTDATA(_xlfn.VALUETOTEXT($A$4),'PREFILL-PIVOT'!$A$3,_xlfn.VALUETOTEXT($A$6),$A122,"Experiment",C$5,"date",C$6))</f>
        <v>#REF!</v>
      </c>
      <c r="D122" t="e">
        <f>IF(GETPIVOTDATA(_xlfn.VALUETOTEXT($A$4),'PREFILL-PIVOT'!$A$3,_xlfn.VALUETOTEXT($A$6),$A122,"Experiment",D$5,"date",D$6)=0,NA(),GETPIVOTDATA(_xlfn.VALUETOTEXT($A$4),'PREFILL-PIVOT'!$A$3,_xlfn.VALUETOTEXT($A$6),$A122,"Experiment",D$5,"date",D$6))</f>
        <v>#REF!</v>
      </c>
      <c r="E122" t="e">
        <f>IF(GETPIVOTDATA(_xlfn.VALUETOTEXT($A$4),'PREFILL-PIVOT'!$A$3,_xlfn.VALUETOTEXT($A$6),$A122,"Experiment",E$5,"date",E$6)=0,NA(),GETPIVOTDATA(_xlfn.VALUETOTEXT($A$4),'PREFILL-PIVOT'!$A$3,_xlfn.VALUETOTEXT($A$6),$A122,"Experiment",E$5,"date",E$6))</f>
        <v>#REF!</v>
      </c>
      <c r="F122" t="e">
        <f>IF(GETPIVOTDATA(_xlfn.VALUETOTEXT($A$4),'PREFILL-PIVOT'!$A$3,_xlfn.VALUETOTEXT($A$6),$A122,"Experiment",F$5,"date",F$6)=0,NA(),GETPIVOTDATA(_xlfn.VALUETOTEXT($A$4),'PREFILL-PIVOT'!$A$3,_xlfn.VALUETOTEXT($A$6),$A122,"Experiment",F$5,"date",F$6))</f>
        <v>#REF!</v>
      </c>
      <c r="G122" t="e">
        <f>IF(GETPIVOTDATA(_xlfn.VALUETOTEXT($A$4),'PREFILL-PIVOT'!$A$3,_xlfn.VALUETOTEXT($A$6),$A122,"Experiment",G$5,"date",G$6)=0,NA(),GETPIVOTDATA(_xlfn.VALUETOTEXT($A$4),'PREFILL-PIVOT'!$A$3,_xlfn.VALUETOTEXT($A$6),$A122,"Experiment",G$5,"date",G$6))</f>
        <v>#REF!</v>
      </c>
      <c r="H122" t="e">
        <f>IF(GETPIVOTDATA(_xlfn.VALUETOTEXT($A$4),'PREFILL-PIVOT'!$A$3,_xlfn.VALUETOTEXT($A$6),$A122,"Experiment",H$5,"date",H$6)=0,NA(),GETPIVOTDATA(_xlfn.VALUETOTEXT($A$4),'PREFILL-PIVOT'!$A$3,_xlfn.VALUETOTEXT($A$6),$A122,"Experiment",H$5,"date",H$6))</f>
        <v>#REF!</v>
      </c>
      <c r="I122" t="e">
        <f>IF(GETPIVOTDATA(_xlfn.VALUETOTEXT($A$4),'PREFILL-PIVOT'!$A$3,_xlfn.VALUETOTEXT($A$6),$A122,"Experiment",I$5,"date",I$6)=0,NA(),GETPIVOTDATA(_xlfn.VALUETOTEXT($A$4),'PREFILL-PIVOT'!$A$3,_xlfn.VALUETOTEXT($A$6),$A122,"Experiment",I$5,"date",I$6))</f>
        <v>#REF!</v>
      </c>
      <c r="J122" t="e">
        <f>IF(GETPIVOTDATA(_xlfn.VALUETOTEXT($A$4),'PREFILL-PIVOT'!$A$3,_xlfn.VALUETOTEXT($A$6),$A122,"Experiment",J$5,"date",J$6)=0,NA(),GETPIVOTDATA(_xlfn.VALUETOTEXT($A$4),'PREFILL-PIVOT'!$A$3,_xlfn.VALUETOTEXT($A$6),$A122,"Experiment",J$5,"date",J$6))</f>
        <v>#REF!</v>
      </c>
      <c r="K122" t="e">
        <f>IF(GETPIVOTDATA(_xlfn.VALUETOTEXT($A$4),'PREFILL-PIVOT'!$A$3,_xlfn.VALUETOTEXT($A$6),$A122,"Experiment",K$5,"date",K$6)=0,NA(),GETPIVOTDATA(_xlfn.VALUETOTEXT($A$4),'PREFILL-PIVOT'!$A$3,_xlfn.VALUETOTEXT($A$6),$A122,"Experiment",K$5,"date",K$6))</f>
        <v>#REF!</v>
      </c>
      <c r="L122" t="e">
        <f>IF(GETPIVOTDATA(_xlfn.VALUETOTEXT($A$4),'PREFILL-PIVOT'!$A$3,_xlfn.VALUETOTEXT($A$6),$A122,"Experiment",L$5,"date",L$6)=0,NA(),GETPIVOTDATA(_xlfn.VALUETOTEXT($A$4),'PREFILL-PIVOT'!$A$3,_xlfn.VALUETOTEXT($A$6),$A122,"Experiment",L$5,"date",L$6))</f>
        <v>#REF!</v>
      </c>
      <c r="M122" t="e">
        <f>IF(GETPIVOTDATA(_xlfn.VALUETOTEXT($A$4),'PREFILL-PIVOT'!$A$3,_xlfn.VALUETOTEXT($A$6),$A122,"Experiment",M$5,"date",M$6)=0,NA(),GETPIVOTDATA(_xlfn.VALUETOTEXT($A$4),'PREFILL-PIVOT'!$A$3,_xlfn.VALUETOTEXT($A$6),$A122,"Experiment",M$5,"date",M$6))</f>
        <v>#REF!</v>
      </c>
    </row>
    <row r="123" spans="1:13" x14ac:dyDescent="0.25">
      <c r="A123" s="222" t="e">
        <f>IF('PREFILL-PIVOT'!A121=0,NA(),'PREFILL-PIVOT'!A121)</f>
        <v>#N/A</v>
      </c>
      <c r="B123" t="e">
        <f>IF(GETPIVOTDATA(_xlfn.VALUETOTEXT($A$4),'PREFILL-PIVOT'!$A$3,_xlfn.VALUETOTEXT($A$6),$A123,"Experiment",B$5,"date",B$6)=0,NA(),GETPIVOTDATA(_xlfn.VALUETOTEXT($A$4),'PREFILL-PIVOT'!$A$3,_xlfn.VALUETOTEXT($A$6),$A123,"Experiment",B$5,"date",B$6))</f>
        <v>#REF!</v>
      </c>
      <c r="C123" t="e">
        <f>IF(GETPIVOTDATA(_xlfn.VALUETOTEXT($A$4),'PREFILL-PIVOT'!$A$3,_xlfn.VALUETOTEXT($A$6),$A123,"Experiment",C$5,"date",C$6)=0,NA(),GETPIVOTDATA(_xlfn.VALUETOTEXT($A$4),'PREFILL-PIVOT'!$A$3,_xlfn.VALUETOTEXT($A$6),$A123,"Experiment",C$5,"date",C$6))</f>
        <v>#REF!</v>
      </c>
      <c r="D123" t="e">
        <f>IF(GETPIVOTDATA(_xlfn.VALUETOTEXT($A$4),'PREFILL-PIVOT'!$A$3,_xlfn.VALUETOTEXT($A$6),$A123,"Experiment",D$5,"date",D$6)=0,NA(),GETPIVOTDATA(_xlfn.VALUETOTEXT($A$4),'PREFILL-PIVOT'!$A$3,_xlfn.VALUETOTEXT($A$6),$A123,"Experiment",D$5,"date",D$6))</f>
        <v>#REF!</v>
      </c>
      <c r="E123" t="e">
        <f>IF(GETPIVOTDATA(_xlfn.VALUETOTEXT($A$4),'PREFILL-PIVOT'!$A$3,_xlfn.VALUETOTEXT($A$6),$A123,"Experiment",E$5,"date",E$6)=0,NA(),GETPIVOTDATA(_xlfn.VALUETOTEXT($A$4),'PREFILL-PIVOT'!$A$3,_xlfn.VALUETOTEXT($A$6),$A123,"Experiment",E$5,"date",E$6))</f>
        <v>#REF!</v>
      </c>
      <c r="F123" t="e">
        <f>IF(GETPIVOTDATA(_xlfn.VALUETOTEXT($A$4),'PREFILL-PIVOT'!$A$3,_xlfn.VALUETOTEXT($A$6),$A123,"Experiment",F$5,"date",F$6)=0,NA(),GETPIVOTDATA(_xlfn.VALUETOTEXT($A$4),'PREFILL-PIVOT'!$A$3,_xlfn.VALUETOTEXT($A$6),$A123,"Experiment",F$5,"date",F$6))</f>
        <v>#REF!</v>
      </c>
      <c r="G123" t="e">
        <f>IF(GETPIVOTDATA(_xlfn.VALUETOTEXT($A$4),'PREFILL-PIVOT'!$A$3,_xlfn.VALUETOTEXT($A$6),$A123,"Experiment",G$5,"date",G$6)=0,NA(),GETPIVOTDATA(_xlfn.VALUETOTEXT($A$4),'PREFILL-PIVOT'!$A$3,_xlfn.VALUETOTEXT($A$6),$A123,"Experiment",G$5,"date",G$6))</f>
        <v>#REF!</v>
      </c>
      <c r="H123" t="e">
        <f>IF(GETPIVOTDATA(_xlfn.VALUETOTEXT($A$4),'PREFILL-PIVOT'!$A$3,_xlfn.VALUETOTEXT($A$6),$A123,"Experiment",H$5,"date",H$6)=0,NA(),GETPIVOTDATA(_xlfn.VALUETOTEXT($A$4),'PREFILL-PIVOT'!$A$3,_xlfn.VALUETOTEXT($A$6),$A123,"Experiment",H$5,"date",H$6))</f>
        <v>#REF!</v>
      </c>
      <c r="I123" t="e">
        <f>IF(GETPIVOTDATA(_xlfn.VALUETOTEXT($A$4),'PREFILL-PIVOT'!$A$3,_xlfn.VALUETOTEXT($A$6),$A123,"Experiment",I$5,"date",I$6)=0,NA(),GETPIVOTDATA(_xlfn.VALUETOTEXT($A$4),'PREFILL-PIVOT'!$A$3,_xlfn.VALUETOTEXT($A$6),$A123,"Experiment",I$5,"date",I$6))</f>
        <v>#REF!</v>
      </c>
      <c r="J123" t="e">
        <f>IF(GETPIVOTDATA(_xlfn.VALUETOTEXT($A$4),'PREFILL-PIVOT'!$A$3,_xlfn.VALUETOTEXT($A$6),$A123,"Experiment",J$5,"date",J$6)=0,NA(),GETPIVOTDATA(_xlfn.VALUETOTEXT($A$4),'PREFILL-PIVOT'!$A$3,_xlfn.VALUETOTEXT($A$6),$A123,"Experiment",J$5,"date",J$6))</f>
        <v>#REF!</v>
      </c>
      <c r="K123" t="e">
        <f>IF(GETPIVOTDATA(_xlfn.VALUETOTEXT($A$4),'PREFILL-PIVOT'!$A$3,_xlfn.VALUETOTEXT($A$6),$A123,"Experiment",K$5,"date",K$6)=0,NA(),GETPIVOTDATA(_xlfn.VALUETOTEXT($A$4),'PREFILL-PIVOT'!$A$3,_xlfn.VALUETOTEXT($A$6),$A123,"Experiment",K$5,"date",K$6))</f>
        <v>#REF!</v>
      </c>
      <c r="L123" t="e">
        <f>IF(GETPIVOTDATA(_xlfn.VALUETOTEXT($A$4),'PREFILL-PIVOT'!$A$3,_xlfn.VALUETOTEXT($A$6),$A123,"Experiment",L$5,"date",L$6)=0,NA(),GETPIVOTDATA(_xlfn.VALUETOTEXT($A$4),'PREFILL-PIVOT'!$A$3,_xlfn.VALUETOTEXT($A$6),$A123,"Experiment",L$5,"date",L$6))</f>
        <v>#REF!</v>
      </c>
      <c r="M123" t="e">
        <f>IF(GETPIVOTDATA(_xlfn.VALUETOTEXT($A$4),'PREFILL-PIVOT'!$A$3,_xlfn.VALUETOTEXT($A$6),$A123,"Experiment",M$5,"date",M$6)=0,NA(),GETPIVOTDATA(_xlfn.VALUETOTEXT($A$4),'PREFILL-PIVOT'!$A$3,_xlfn.VALUETOTEXT($A$6),$A123,"Experiment",M$5,"date",M$6))</f>
        <v>#REF!</v>
      </c>
    </row>
    <row r="124" spans="1:13" x14ac:dyDescent="0.25">
      <c r="A124" s="222" t="e">
        <f>IF('PREFILL-PIVOT'!A122=0,NA(),'PREFILL-PIVOT'!A122)</f>
        <v>#N/A</v>
      </c>
      <c r="B124" t="e">
        <f>IF(GETPIVOTDATA(_xlfn.VALUETOTEXT($A$4),'PREFILL-PIVOT'!$A$3,_xlfn.VALUETOTEXT($A$6),$A124,"Experiment",B$5,"date",B$6)=0,NA(),GETPIVOTDATA(_xlfn.VALUETOTEXT($A$4),'PREFILL-PIVOT'!$A$3,_xlfn.VALUETOTEXT($A$6),$A124,"Experiment",B$5,"date",B$6))</f>
        <v>#REF!</v>
      </c>
      <c r="C124" t="e">
        <f>IF(GETPIVOTDATA(_xlfn.VALUETOTEXT($A$4),'PREFILL-PIVOT'!$A$3,_xlfn.VALUETOTEXT($A$6),$A124,"Experiment",C$5,"date",C$6)=0,NA(),GETPIVOTDATA(_xlfn.VALUETOTEXT($A$4),'PREFILL-PIVOT'!$A$3,_xlfn.VALUETOTEXT($A$6),$A124,"Experiment",C$5,"date",C$6))</f>
        <v>#REF!</v>
      </c>
      <c r="D124" t="e">
        <f>IF(GETPIVOTDATA(_xlfn.VALUETOTEXT($A$4),'PREFILL-PIVOT'!$A$3,_xlfn.VALUETOTEXT($A$6),$A124,"Experiment",D$5,"date",D$6)=0,NA(),GETPIVOTDATA(_xlfn.VALUETOTEXT($A$4),'PREFILL-PIVOT'!$A$3,_xlfn.VALUETOTEXT($A$6),$A124,"Experiment",D$5,"date",D$6))</f>
        <v>#REF!</v>
      </c>
      <c r="E124" t="e">
        <f>IF(GETPIVOTDATA(_xlfn.VALUETOTEXT($A$4),'PREFILL-PIVOT'!$A$3,_xlfn.VALUETOTEXT($A$6),$A124,"Experiment",E$5,"date",E$6)=0,NA(),GETPIVOTDATA(_xlfn.VALUETOTEXT($A$4),'PREFILL-PIVOT'!$A$3,_xlfn.VALUETOTEXT($A$6),$A124,"Experiment",E$5,"date",E$6))</f>
        <v>#REF!</v>
      </c>
      <c r="F124" t="e">
        <f>IF(GETPIVOTDATA(_xlfn.VALUETOTEXT($A$4),'PREFILL-PIVOT'!$A$3,_xlfn.VALUETOTEXT($A$6),$A124,"Experiment",F$5,"date",F$6)=0,NA(),GETPIVOTDATA(_xlfn.VALUETOTEXT($A$4),'PREFILL-PIVOT'!$A$3,_xlfn.VALUETOTEXT($A$6),$A124,"Experiment",F$5,"date",F$6))</f>
        <v>#REF!</v>
      </c>
      <c r="G124" t="e">
        <f>IF(GETPIVOTDATA(_xlfn.VALUETOTEXT($A$4),'PREFILL-PIVOT'!$A$3,_xlfn.VALUETOTEXT($A$6),$A124,"Experiment",G$5,"date",G$6)=0,NA(),GETPIVOTDATA(_xlfn.VALUETOTEXT($A$4),'PREFILL-PIVOT'!$A$3,_xlfn.VALUETOTEXT($A$6),$A124,"Experiment",G$5,"date",G$6))</f>
        <v>#REF!</v>
      </c>
      <c r="H124" t="e">
        <f>IF(GETPIVOTDATA(_xlfn.VALUETOTEXT($A$4),'PREFILL-PIVOT'!$A$3,_xlfn.VALUETOTEXT($A$6),$A124,"Experiment",H$5,"date",H$6)=0,NA(),GETPIVOTDATA(_xlfn.VALUETOTEXT($A$4),'PREFILL-PIVOT'!$A$3,_xlfn.VALUETOTEXT($A$6),$A124,"Experiment",H$5,"date",H$6))</f>
        <v>#REF!</v>
      </c>
      <c r="I124" t="e">
        <f>IF(GETPIVOTDATA(_xlfn.VALUETOTEXT($A$4),'PREFILL-PIVOT'!$A$3,_xlfn.VALUETOTEXT($A$6),$A124,"Experiment",I$5,"date",I$6)=0,NA(),GETPIVOTDATA(_xlfn.VALUETOTEXT($A$4),'PREFILL-PIVOT'!$A$3,_xlfn.VALUETOTEXT($A$6),$A124,"Experiment",I$5,"date",I$6))</f>
        <v>#REF!</v>
      </c>
      <c r="J124" t="e">
        <f>IF(GETPIVOTDATA(_xlfn.VALUETOTEXT($A$4),'PREFILL-PIVOT'!$A$3,_xlfn.VALUETOTEXT($A$6),$A124,"Experiment",J$5,"date",J$6)=0,NA(),GETPIVOTDATA(_xlfn.VALUETOTEXT($A$4),'PREFILL-PIVOT'!$A$3,_xlfn.VALUETOTEXT($A$6),$A124,"Experiment",J$5,"date",J$6))</f>
        <v>#REF!</v>
      </c>
      <c r="K124" t="e">
        <f>IF(GETPIVOTDATA(_xlfn.VALUETOTEXT($A$4),'PREFILL-PIVOT'!$A$3,_xlfn.VALUETOTEXT($A$6),$A124,"Experiment",K$5,"date",K$6)=0,NA(),GETPIVOTDATA(_xlfn.VALUETOTEXT($A$4),'PREFILL-PIVOT'!$A$3,_xlfn.VALUETOTEXT($A$6),$A124,"Experiment",K$5,"date",K$6))</f>
        <v>#REF!</v>
      </c>
      <c r="L124" t="e">
        <f>IF(GETPIVOTDATA(_xlfn.VALUETOTEXT($A$4),'PREFILL-PIVOT'!$A$3,_xlfn.VALUETOTEXT($A$6),$A124,"Experiment",L$5,"date",L$6)=0,NA(),GETPIVOTDATA(_xlfn.VALUETOTEXT($A$4),'PREFILL-PIVOT'!$A$3,_xlfn.VALUETOTEXT($A$6),$A124,"Experiment",L$5,"date",L$6))</f>
        <v>#REF!</v>
      </c>
      <c r="M124" t="e">
        <f>IF(GETPIVOTDATA(_xlfn.VALUETOTEXT($A$4),'PREFILL-PIVOT'!$A$3,_xlfn.VALUETOTEXT($A$6),$A124,"Experiment",M$5,"date",M$6)=0,NA(),GETPIVOTDATA(_xlfn.VALUETOTEXT($A$4),'PREFILL-PIVOT'!$A$3,_xlfn.VALUETOTEXT($A$6),$A124,"Experiment",M$5,"date",M$6))</f>
        <v>#REF!</v>
      </c>
    </row>
    <row r="125" spans="1:13" x14ac:dyDescent="0.25">
      <c r="A125" s="222" t="e">
        <f>IF('PREFILL-PIVOT'!A123=0,NA(),'PREFILL-PIVOT'!A123)</f>
        <v>#N/A</v>
      </c>
      <c r="B125" t="e">
        <f>IF(GETPIVOTDATA(_xlfn.VALUETOTEXT($A$4),'PREFILL-PIVOT'!$A$3,_xlfn.VALUETOTEXT($A$6),$A125,"Experiment",B$5,"date",B$6)=0,NA(),GETPIVOTDATA(_xlfn.VALUETOTEXT($A$4),'PREFILL-PIVOT'!$A$3,_xlfn.VALUETOTEXT($A$6),$A125,"Experiment",B$5,"date",B$6))</f>
        <v>#REF!</v>
      </c>
      <c r="C125" t="e">
        <f>IF(GETPIVOTDATA(_xlfn.VALUETOTEXT($A$4),'PREFILL-PIVOT'!$A$3,_xlfn.VALUETOTEXT($A$6),$A125,"Experiment",C$5,"date",C$6)=0,NA(),GETPIVOTDATA(_xlfn.VALUETOTEXT($A$4),'PREFILL-PIVOT'!$A$3,_xlfn.VALUETOTEXT($A$6),$A125,"Experiment",C$5,"date",C$6))</f>
        <v>#REF!</v>
      </c>
      <c r="D125" t="e">
        <f>IF(GETPIVOTDATA(_xlfn.VALUETOTEXT($A$4),'PREFILL-PIVOT'!$A$3,_xlfn.VALUETOTEXT($A$6),$A125,"Experiment",D$5,"date",D$6)=0,NA(),GETPIVOTDATA(_xlfn.VALUETOTEXT($A$4),'PREFILL-PIVOT'!$A$3,_xlfn.VALUETOTEXT($A$6),$A125,"Experiment",D$5,"date",D$6))</f>
        <v>#REF!</v>
      </c>
      <c r="E125" t="e">
        <f>IF(GETPIVOTDATA(_xlfn.VALUETOTEXT($A$4),'PREFILL-PIVOT'!$A$3,_xlfn.VALUETOTEXT($A$6),$A125,"Experiment",E$5,"date",E$6)=0,NA(),GETPIVOTDATA(_xlfn.VALUETOTEXT($A$4),'PREFILL-PIVOT'!$A$3,_xlfn.VALUETOTEXT($A$6),$A125,"Experiment",E$5,"date",E$6))</f>
        <v>#REF!</v>
      </c>
      <c r="F125" t="e">
        <f>IF(GETPIVOTDATA(_xlfn.VALUETOTEXT($A$4),'PREFILL-PIVOT'!$A$3,_xlfn.VALUETOTEXT($A$6),$A125,"Experiment",F$5,"date",F$6)=0,NA(),GETPIVOTDATA(_xlfn.VALUETOTEXT($A$4),'PREFILL-PIVOT'!$A$3,_xlfn.VALUETOTEXT($A$6),$A125,"Experiment",F$5,"date",F$6))</f>
        <v>#REF!</v>
      </c>
      <c r="G125" t="e">
        <f>IF(GETPIVOTDATA(_xlfn.VALUETOTEXT($A$4),'PREFILL-PIVOT'!$A$3,_xlfn.VALUETOTEXT($A$6),$A125,"Experiment",G$5,"date",G$6)=0,NA(),GETPIVOTDATA(_xlfn.VALUETOTEXT($A$4),'PREFILL-PIVOT'!$A$3,_xlfn.VALUETOTEXT($A$6),$A125,"Experiment",G$5,"date",G$6))</f>
        <v>#REF!</v>
      </c>
      <c r="H125" t="e">
        <f>IF(GETPIVOTDATA(_xlfn.VALUETOTEXT($A$4),'PREFILL-PIVOT'!$A$3,_xlfn.VALUETOTEXT($A$6),$A125,"Experiment",H$5,"date",H$6)=0,NA(),GETPIVOTDATA(_xlfn.VALUETOTEXT($A$4),'PREFILL-PIVOT'!$A$3,_xlfn.VALUETOTEXT($A$6),$A125,"Experiment",H$5,"date",H$6))</f>
        <v>#REF!</v>
      </c>
      <c r="I125" t="e">
        <f>IF(GETPIVOTDATA(_xlfn.VALUETOTEXT($A$4),'PREFILL-PIVOT'!$A$3,_xlfn.VALUETOTEXT($A$6),$A125,"Experiment",I$5,"date",I$6)=0,NA(),GETPIVOTDATA(_xlfn.VALUETOTEXT($A$4),'PREFILL-PIVOT'!$A$3,_xlfn.VALUETOTEXT($A$6),$A125,"Experiment",I$5,"date",I$6))</f>
        <v>#REF!</v>
      </c>
      <c r="J125" t="e">
        <f>IF(GETPIVOTDATA(_xlfn.VALUETOTEXT($A$4),'PREFILL-PIVOT'!$A$3,_xlfn.VALUETOTEXT($A$6),$A125,"Experiment",J$5,"date",J$6)=0,NA(),GETPIVOTDATA(_xlfn.VALUETOTEXT($A$4),'PREFILL-PIVOT'!$A$3,_xlfn.VALUETOTEXT($A$6),$A125,"Experiment",J$5,"date",J$6))</f>
        <v>#REF!</v>
      </c>
      <c r="K125" t="e">
        <f>IF(GETPIVOTDATA(_xlfn.VALUETOTEXT($A$4),'PREFILL-PIVOT'!$A$3,_xlfn.VALUETOTEXT($A$6),$A125,"Experiment",K$5,"date",K$6)=0,NA(),GETPIVOTDATA(_xlfn.VALUETOTEXT($A$4),'PREFILL-PIVOT'!$A$3,_xlfn.VALUETOTEXT($A$6),$A125,"Experiment",K$5,"date",K$6))</f>
        <v>#REF!</v>
      </c>
      <c r="L125" t="e">
        <f>IF(GETPIVOTDATA(_xlfn.VALUETOTEXT($A$4),'PREFILL-PIVOT'!$A$3,_xlfn.VALUETOTEXT($A$6),$A125,"Experiment",L$5,"date",L$6)=0,NA(),GETPIVOTDATA(_xlfn.VALUETOTEXT($A$4),'PREFILL-PIVOT'!$A$3,_xlfn.VALUETOTEXT($A$6),$A125,"Experiment",L$5,"date",L$6))</f>
        <v>#REF!</v>
      </c>
      <c r="M125" t="e">
        <f>IF(GETPIVOTDATA(_xlfn.VALUETOTEXT($A$4),'PREFILL-PIVOT'!$A$3,_xlfn.VALUETOTEXT($A$6),$A125,"Experiment",M$5,"date",M$6)=0,NA(),GETPIVOTDATA(_xlfn.VALUETOTEXT($A$4),'PREFILL-PIVOT'!$A$3,_xlfn.VALUETOTEXT($A$6),$A125,"Experiment",M$5,"date",M$6))</f>
        <v>#REF!</v>
      </c>
    </row>
    <row r="126" spans="1:13" x14ac:dyDescent="0.25">
      <c r="A126" s="222" t="e">
        <f>IF('PREFILL-PIVOT'!A124=0,NA(),'PREFILL-PIVOT'!A124)</f>
        <v>#N/A</v>
      </c>
      <c r="B126" t="e">
        <f>IF(GETPIVOTDATA(_xlfn.VALUETOTEXT($A$4),'PREFILL-PIVOT'!$A$3,_xlfn.VALUETOTEXT($A$6),$A126,"Experiment",B$5,"date",B$6)=0,NA(),GETPIVOTDATA(_xlfn.VALUETOTEXT($A$4),'PREFILL-PIVOT'!$A$3,_xlfn.VALUETOTEXT($A$6),$A126,"Experiment",B$5,"date",B$6))</f>
        <v>#REF!</v>
      </c>
      <c r="C126" t="e">
        <f>IF(GETPIVOTDATA(_xlfn.VALUETOTEXT($A$4),'PREFILL-PIVOT'!$A$3,_xlfn.VALUETOTEXT($A$6),$A126,"Experiment",C$5,"date",C$6)=0,NA(),GETPIVOTDATA(_xlfn.VALUETOTEXT($A$4),'PREFILL-PIVOT'!$A$3,_xlfn.VALUETOTEXT($A$6),$A126,"Experiment",C$5,"date",C$6))</f>
        <v>#REF!</v>
      </c>
      <c r="D126" t="e">
        <f>IF(GETPIVOTDATA(_xlfn.VALUETOTEXT($A$4),'PREFILL-PIVOT'!$A$3,_xlfn.VALUETOTEXT($A$6),$A126,"Experiment",D$5,"date",D$6)=0,NA(),GETPIVOTDATA(_xlfn.VALUETOTEXT($A$4),'PREFILL-PIVOT'!$A$3,_xlfn.VALUETOTEXT($A$6),$A126,"Experiment",D$5,"date",D$6))</f>
        <v>#REF!</v>
      </c>
      <c r="E126" t="e">
        <f>IF(GETPIVOTDATA(_xlfn.VALUETOTEXT($A$4),'PREFILL-PIVOT'!$A$3,_xlfn.VALUETOTEXT($A$6),$A126,"Experiment",E$5,"date",E$6)=0,NA(),GETPIVOTDATA(_xlfn.VALUETOTEXT($A$4),'PREFILL-PIVOT'!$A$3,_xlfn.VALUETOTEXT($A$6),$A126,"Experiment",E$5,"date",E$6))</f>
        <v>#REF!</v>
      </c>
      <c r="F126" t="e">
        <f>IF(GETPIVOTDATA(_xlfn.VALUETOTEXT($A$4),'PREFILL-PIVOT'!$A$3,_xlfn.VALUETOTEXT($A$6),$A126,"Experiment",F$5,"date",F$6)=0,NA(),GETPIVOTDATA(_xlfn.VALUETOTEXT($A$4),'PREFILL-PIVOT'!$A$3,_xlfn.VALUETOTEXT($A$6),$A126,"Experiment",F$5,"date",F$6))</f>
        <v>#REF!</v>
      </c>
      <c r="G126" t="e">
        <f>IF(GETPIVOTDATA(_xlfn.VALUETOTEXT($A$4),'PREFILL-PIVOT'!$A$3,_xlfn.VALUETOTEXT($A$6),$A126,"Experiment",G$5,"date",G$6)=0,NA(),GETPIVOTDATA(_xlfn.VALUETOTEXT($A$4),'PREFILL-PIVOT'!$A$3,_xlfn.VALUETOTEXT($A$6),$A126,"Experiment",G$5,"date",G$6))</f>
        <v>#REF!</v>
      </c>
      <c r="H126" t="e">
        <f>IF(GETPIVOTDATA(_xlfn.VALUETOTEXT($A$4),'PREFILL-PIVOT'!$A$3,_xlfn.VALUETOTEXT($A$6),$A126,"Experiment",H$5,"date",H$6)=0,NA(),GETPIVOTDATA(_xlfn.VALUETOTEXT($A$4),'PREFILL-PIVOT'!$A$3,_xlfn.VALUETOTEXT($A$6),$A126,"Experiment",H$5,"date",H$6))</f>
        <v>#REF!</v>
      </c>
      <c r="I126" t="e">
        <f>IF(GETPIVOTDATA(_xlfn.VALUETOTEXT($A$4),'PREFILL-PIVOT'!$A$3,_xlfn.VALUETOTEXT($A$6),$A126,"Experiment",I$5,"date",I$6)=0,NA(),GETPIVOTDATA(_xlfn.VALUETOTEXT($A$4),'PREFILL-PIVOT'!$A$3,_xlfn.VALUETOTEXT($A$6),$A126,"Experiment",I$5,"date",I$6))</f>
        <v>#REF!</v>
      </c>
      <c r="J126" t="e">
        <f>IF(GETPIVOTDATA(_xlfn.VALUETOTEXT($A$4),'PREFILL-PIVOT'!$A$3,_xlfn.VALUETOTEXT($A$6),$A126,"Experiment",J$5,"date",J$6)=0,NA(),GETPIVOTDATA(_xlfn.VALUETOTEXT($A$4),'PREFILL-PIVOT'!$A$3,_xlfn.VALUETOTEXT($A$6),$A126,"Experiment",J$5,"date",J$6))</f>
        <v>#REF!</v>
      </c>
      <c r="K126" t="e">
        <f>IF(GETPIVOTDATA(_xlfn.VALUETOTEXT($A$4),'PREFILL-PIVOT'!$A$3,_xlfn.VALUETOTEXT($A$6),$A126,"Experiment",K$5,"date",K$6)=0,NA(),GETPIVOTDATA(_xlfn.VALUETOTEXT($A$4),'PREFILL-PIVOT'!$A$3,_xlfn.VALUETOTEXT($A$6),$A126,"Experiment",K$5,"date",K$6))</f>
        <v>#REF!</v>
      </c>
      <c r="L126" t="e">
        <f>IF(GETPIVOTDATA(_xlfn.VALUETOTEXT($A$4),'PREFILL-PIVOT'!$A$3,_xlfn.VALUETOTEXT($A$6),$A126,"Experiment",L$5,"date",L$6)=0,NA(),GETPIVOTDATA(_xlfn.VALUETOTEXT($A$4),'PREFILL-PIVOT'!$A$3,_xlfn.VALUETOTEXT($A$6),$A126,"Experiment",L$5,"date",L$6))</f>
        <v>#REF!</v>
      </c>
      <c r="M126" t="e">
        <f>IF(GETPIVOTDATA(_xlfn.VALUETOTEXT($A$4),'PREFILL-PIVOT'!$A$3,_xlfn.VALUETOTEXT($A$6),$A126,"Experiment",M$5,"date",M$6)=0,NA(),GETPIVOTDATA(_xlfn.VALUETOTEXT($A$4),'PREFILL-PIVOT'!$A$3,_xlfn.VALUETOTEXT($A$6),$A126,"Experiment",M$5,"date",M$6))</f>
        <v>#REF!</v>
      </c>
    </row>
    <row r="127" spans="1:13" x14ac:dyDescent="0.25">
      <c r="A127" s="222" t="e">
        <f>IF('PREFILL-PIVOT'!A125=0,NA(),'PREFILL-PIVOT'!A125)</f>
        <v>#N/A</v>
      </c>
      <c r="B127" t="e">
        <f>IF(GETPIVOTDATA(_xlfn.VALUETOTEXT($A$4),'PREFILL-PIVOT'!$A$3,_xlfn.VALUETOTEXT($A$6),$A127,"Experiment",B$5,"date",B$6)=0,NA(),GETPIVOTDATA(_xlfn.VALUETOTEXT($A$4),'PREFILL-PIVOT'!$A$3,_xlfn.VALUETOTEXT($A$6),$A127,"Experiment",B$5,"date",B$6))</f>
        <v>#REF!</v>
      </c>
      <c r="C127" t="e">
        <f>IF(GETPIVOTDATA(_xlfn.VALUETOTEXT($A$4),'PREFILL-PIVOT'!$A$3,_xlfn.VALUETOTEXT($A$6),$A127,"Experiment",C$5,"date",C$6)=0,NA(),GETPIVOTDATA(_xlfn.VALUETOTEXT($A$4),'PREFILL-PIVOT'!$A$3,_xlfn.VALUETOTEXT($A$6),$A127,"Experiment",C$5,"date",C$6))</f>
        <v>#REF!</v>
      </c>
      <c r="D127" t="e">
        <f>IF(GETPIVOTDATA(_xlfn.VALUETOTEXT($A$4),'PREFILL-PIVOT'!$A$3,_xlfn.VALUETOTEXT($A$6),$A127,"Experiment",D$5,"date",D$6)=0,NA(),GETPIVOTDATA(_xlfn.VALUETOTEXT($A$4),'PREFILL-PIVOT'!$A$3,_xlfn.VALUETOTEXT($A$6),$A127,"Experiment",D$5,"date",D$6))</f>
        <v>#REF!</v>
      </c>
      <c r="E127" t="e">
        <f>IF(GETPIVOTDATA(_xlfn.VALUETOTEXT($A$4),'PREFILL-PIVOT'!$A$3,_xlfn.VALUETOTEXT($A$6),$A127,"Experiment",E$5,"date",E$6)=0,NA(),GETPIVOTDATA(_xlfn.VALUETOTEXT($A$4),'PREFILL-PIVOT'!$A$3,_xlfn.VALUETOTEXT($A$6),$A127,"Experiment",E$5,"date",E$6))</f>
        <v>#REF!</v>
      </c>
      <c r="F127" t="e">
        <f>IF(GETPIVOTDATA(_xlfn.VALUETOTEXT($A$4),'PREFILL-PIVOT'!$A$3,_xlfn.VALUETOTEXT($A$6),$A127,"Experiment",F$5,"date",F$6)=0,NA(),GETPIVOTDATA(_xlfn.VALUETOTEXT($A$4),'PREFILL-PIVOT'!$A$3,_xlfn.VALUETOTEXT($A$6),$A127,"Experiment",F$5,"date",F$6))</f>
        <v>#REF!</v>
      </c>
      <c r="G127" t="e">
        <f>IF(GETPIVOTDATA(_xlfn.VALUETOTEXT($A$4),'PREFILL-PIVOT'!$A$3,_xlfn.VALUETOTEXT($A$6),$A127,"Experiment",G$5,"date",G$6)=0,NA(),GETPIVOTDATA(_xlfn.VALUETOTEXT($A$4),'PREFILL-PIVOT'!$A$3,_xlfn.VALUETOTEXT($A$6),$A127,"Experiment",G$5,"date",G$6))</f>
        <v>#REF!</v>
      </c>
      <c r="H127" t="e">
        <f>IF(GETPIVOTDATA(_xlfn.VALUETOTEXT($A$4),'PREFILL-PIVOT'!$A$3,_xlfn.VALUETOTEXT($A$6),$A127,"Experiment",H$5,"date",H$6)=0,NA(),GETPIVOTDATA(_xlfn.VALUETOTEXT($A$4),'PREFILL-PIVOT'!$A$3,_xlfn.VALUETOTEXT($A$6),$A127,"Experiment",H$5,"date",H$6))</f>
        <v>#REF!</v>
      </c>
      <c r="I127" t="e">
        <f>IF(GETPIVOTDATA(_xlfn.VALUETOTEXT($A$4),'PREFILL-PIVOT'!$A$3,_xlfn.VALUETOTEXT($A$6),$A127,"Experiment",I$5,"date",I$6)=0,NA(),GETPIVOTDATA(_xlfn.VALUETOTEXT($A$4),'PREFILL-PIVOT'!$A$3,_xlfn.VALUETOTEXT($A$6),$A127,"Experiment",I$5,"date",I$6))</f>
        <v>#REF!</v>
      </c>
      <c r="J127" t="e">
        <f>IF(GETPIVOTDATA(_xlfn.VALUETOTEXT($A$4),'PREFILL-PIVOT'!$A$3,_xlfn.VALUETOTEXT($A$6),$A127,"Experiment",J$5,"date",J$6)=0,NA(),GETPIVOTDATA(_xlfn.VALUETOTEXT($A$4),'PREFILL-PIVOT'!$A$3,_xlfn.VALUETOTEXT($A$6),$A127,"Experiment",J$5,"date",J$6))</f>
        <v>#REF!</v>
      </c>
      <c r="K127" t="e">
        <f>IF(GETPIVOTDATA(_xlfn.VALUETOTEXT($A$4),'PREFILL-PIVOT'!$A$3,_xlfn.VALUETOTEXT($A$6),$A127,"Experiment",K$5,"date",K$6)=0,NA(),GETPIVOTDATA(_xlfn.VALUETOTEXT($A$4),'PREFILL-PIVOT'!$A$3,_xlfn.VALUETOTEXT($A$6),$A127,"Experiment",K$5,"date",K$6))</f>
        <v>#REF!</v>
      </c>
      <c r="L127" t="e">
        <f>IF(GETPIVOTDATA(_xlfn.VALUETOTEXT($A$4),'PREFILL-PIVOT'!$A$3,_xlfn.VALUETOTEXT($A$6),$A127,"Experiment",L$5,"date",L$6)=0,NA(),GETPIVOTDATA(_xlfn.VALUETOTEXT($A$4),'PREFILL-PIVOT'!$A$3,_xlfn.VALUETOTEXT($A$6),$A127,"Experiment",L$5,"date",L$6))</f>
        <v>#REF!</v>
      </c>
      <c r="M127" t="e">
        <f>IF(GETPIVOTDATA(_xlfn.VALUETOTEXT($A$4),'PREFILL-PIVOT'!$A$3,_xlfn.VALUETOTEXT($A$6),$A127,"Experiment",M$5,"date",M$6)=0,NA(),GETPIVOTDATA(_xlfn.VALUETOTEXT($A$4),'PREFILL-PIVOT'!$A$3,_xlfn.VALUETOTEXT($A$6),$A127,"Experiment",M$5,"date",M$6))</f>
        <v>#REF!</v>
      </c>
    </row>
    <row r="128" spans="1:13" x14ac:dyDescent="0.25">
      <c r="A128" s="222" t="e">
        <f>IF('PREFILL-PIVOT'!A126=0,NA(),'PREFILL-PIVOT'!A126)</f>
        <v>#N/A</v>
      </c>
      <c r="B128" t="e">
        <f>IF(GETPIVOTDATA(_xlfn.VALUETOTEXT($A$4),'PREFILL-PIVOT'!$A$3,_xlfn.VALUETOTEXT($A$6),$A128,"Experiment",B$5,"date",B$6)=0,NA(),GETPIVOTDATA(_xlfn.VALUETOTEXT($A$4),'PREFILL-PIVOT'!$A$3,_xlfn.VALUETOTEXT($A$6),$A128,"Experiment",B$5,"date",B$6))</f>
        <v>#REF!</v>
      </c>
      <c r="C128" t="e">
        <f>IF(GETPIVOTDATA(_xlfn.VALUETOTEXT($A$4),'PREFILL-PIVOT'!$A$3,_xlfn.VALUETOTEXT($A$6),$A128,"Experiment",C$5,"date",C$6)=0,NA(),GETPIVOTDATA(_xlfn.VALUETOTEXT($A$4),'PREFILL-PIVOT'!$A$3,_xlfn.VALUETOTEXT($A$6),$A128,"Experiment",C$5,"date",C$6))</f>
        <v>#REF!</v>
      </c>
      <c r="D128" t="e">
        <f>IF(GETPIVOTDATA(_xlfn.VALUETOTEXT($A$4),'PREFILL-PIVOT'!$A$3,_xlfn.VALUETOTEXT($A$6),$A128,"Experiment",D$5,"date",D$6)=0,NA(),GETPIVOTDATA(_xlfn.VALUETOTEXT($A$4),'PREFILL-PIVOT'!$A$3,_xlfn.VALUETOTEXT($A$6),$A128,"Experiment",D$5,"date",D$6))</f>
        <v>#REF!</v>
      </c>
      <c r="E128" t="e">
        <f>IF(GETPIVOTDATA(_xlfn.VALUETOTEXT($A$4),'PREFILL-PIVOT'!$A$3,_xlfn.VALUETOTEXT($A$6),$A128,"Experiment",E$5,"date",E$6)=0,NA(),GETPIVOTDATA(_xlfn.VALUETOTEXT($A$4),'PREFILL-PIVOT'!$A$3,_xlfn.VALUETOTEXT($A$6),$A128,"Experiment",E$5,"date",E$6))</f>
        <v>#REF!</v>
      </c>
      <c r="F128" t="e">
        <f>IF(GETPIVOTDATA(_xlfn.VALUETOTEXT($A$4),'PREFILL-PIVOT'!$A$3,_xlfn.VALUETOTEXT($A$6),$A128,"Experiment",F$5,"date",F$6)=0,NA(),GETPIVOTDATA(_xlfn.VALUETOTEXT($A$4),'PREFILL-PIVOT'!$A$3,_xlfn.VALUETOTEXT($A$6),$A128,"Experiment",F$5,"date",F$6))</f>
        <v>#REF!</v>
      </c>
      <c r="G128" t="e">
        <f>IF(GETPIVOTDATA(_xlfn.VALUETOTEXT($A$4),'PREFILL-PIVOT'!$A$3,_xlfn.VALUETOTEXT($A$6),$A128,"Experiment",G$5,"date",G$6)=0,NA(),GETPIVOTDATA(_xlfn.VALUETOTEXT($A$4),'PREFILL-PIVOT'!$A$3,_xlfn.VALUETOTEXT($A$6),$A128,"Experiment",G$5,"date",G$6))</f>
        <v>#REF!</v>
      </c>
      <c r="H128" t="e">
        <f>IF(GETPIVOTDATA(_xlfn.VALUETOTEXT($A$4),'PREFILL-PIVOT'!$A$3,_xlfn.VALUETOTEXT($A$6),$A128,"Experiment",H$5,"date",H$6)=0,NA(),GETPIVOTDATA(_xlfn.VALUETOTEXT($A$4),'PREFILL-PIVOT'!$A$3,_xlfn.VALUETOTEXT($A$6),$A128,"Experiment",H$5,"date",H$6))</f>
        <v>#REF!</v>
      </c>
      <c r="I128" t="e">
        <f>IF(GETPIVOTDATA(_xlfn.VALUETOTEXT($A$4),'PREFILL-PIVOT'!$A$3,_xlfn.VALUETOTEXT($A$6),$A128,"Experiment",I$5,"date",I$6)=0,NA(),GETPIVOTDATA(_xlfn.VALUETOTEXT($A$4),'PREFILL-PIVOT'!$A$3,_xlfn.VALUETOTEXT($A$6),$A128,"Experiment",I$5,"date",I$6))</f>
        <v>#REF!</v>
      </c>
      <c r="J128" t="e">
        <f>IF(GETPIVOTDATA(_xlfn.VALUETOTEXT($A$4),'PREFILL-PIVOT'!$A$3,_xlfn.VALUETOTEXT($A$6),$A128,"Experiment",J$5,"date",J$6)=0,NA(),GETPIVOTDATA(_xlfn.VALUETOTEXT($A$4),'PREFILL-PIVOT'!$A$3,_xlfn.VALUETOTEXT($A$6),$A128,"Experiment",J$5,"date",J$6))</f>
        <v>#REF!</v>
      </c>
      <c r="K128" t="e">
        <f>IF(GETPIVOTDATA(_xlfn.VALUETOTEXT($A$4),'PREFILL-PIVOT'!$A$3,_xlfn.VALUETOTEXT($A$6),$A128,"Experiment",K$5,"date",K$6)=0,NA(),GETPIVOTDATA(_xlfn.VALUETOTEXT($A$4),'PREFILL-PIVOT'!$A$3,_xlfn.VALUETOTEXT($A$6),$A128,"Experiment",K$5,"date",K$6))</f>
        <v>#REF!</v>
      </c>
      <c r="L128" t="e">
        <f>IF(GETPIVOTDATA(_xlfn.VALUETOTEXT($A$4),'PREFILL-PIVOT'!$A$3,_xlfn.VALUETOTEXT($A$6),$A128,"Experiment",L$5,"date",L$6)=0,NA(),GETPIVOTDATA(_xlfn.VALUETOTEXT($A$4),'PREFILL-PIVOT'!$A$3,_xlfn.VALUETOTEXT($A$6),$A128,"Experiment",L$5,"date",L$6))</f>
        <v>#REF!</v>
      </c>
      <c r="M128" t="e">
        <f>IF(GETPIVOTDATA(_xlfn.VALUETOTEXT($A$4),'PREFILL-PIVOT'!$A$3,_xlfn.VALUETOTEXT($A$6),$A128,"Experiment",M$5,"date",M$6)=0,NA(),GETPIVOTDATA(_xlfn.VALUETOTEXT($A$4),'PREFILL-PIVOT'!$A$3,_xlfn.VALUETOTEXT($A$6),$A128,"Experiment",M$5,"date",M$6))</f>
        <v>#REF!</v>
      </c>
    </row>
    <row r="129" spans="1:13" x14ac:dyDescent="0.25">
      <c r="A129" s="222" t="e">
        <f>IF('PREFILL-PIVOT'!A127=0,NA(),'PREFILL-PIVOT'!A127)</f>
        <v>#N/A</v>
      </c>
      <c r="B129" t="e">
        <f>IF(GETPIVOTDATA(_xlfn.VALUETOTEXT($A$4),'PREFILL-PIVOT'!$A$3,_xlfn.VALUETOTEXT($A$6),$A129,"Experiment",B$5,"date",B$6)=0,NA(),GETPIVOTDATA(_xlfn.VALUETOTEXT($A$4),'PREFILL-PIVOT'!$A$3,_xlfn.VALUETOTEXT($A$6),$A129,"Experiment",B$5,"date",B$6))</f>
        <v>#REF!</v>
      </c>
      <c r="C129" t="e">
        <f>IF(GETPIVOTDATA(_xlfn.VALUETOTEXT($A$4),'PREFILL-PIVOT'!$A$3,_xlfn.VALUETOTEXT($A$6),$A129,"Experiment",C$5,"date",C$6)=0,NA(),GETPIVOTDATA(_xlfn.VALUETOTEXT($A$4),'PREFILL-PIVOT'!$A$3,_xlfn.VALUETOTEXT($A$6),$A129,"Experiment",C$5,"date",C$6))</f>
        <v>#REF!</v>
      </c>
      <c r="D129" t="e">
        <f>IF(GETPIVOTDATA(_xlfn.VALUETOTEXT($A$4),'PREFILL-PIVOT'!$A$3,_xlfn.VALUETOTEXT($A$6),$A129,"Experiment",D$5,"date",D$6)=0,NA(),GETPIVOTDATA(_xlfn.VALUETOTEXT($A$4),'PREFILL-PIVOT'!$A$3,_xlfn.VALUETOTEXT($A$6),$A129,"Experiment",D$5,"date",D$6))</f>
        <v>#REF!</v>
      </c>
      <c r="E129" t="e">
        <f>IF(GETPIVOTDATA(_xlfn.VALUETOTEXT($A$4),'PREFILL-PIVOT'!$A$3,_xlfn.VALUETOTEXT($A$6),$A129,"Experiment",E$5,"date",E$6)=0,NA(),GETPIVOTDATA(_xlfn.VALUETOTEXT($A$4),'PREFILL-PIVOT'!$A$3,_xlfn.VALUETOTEXT($A$6),$A129,"Experiment",E$5,"date",E$6))</f>
        <v>#REF!</v>
      </c>
      <c r="F129" t="e">
        <f>IF(GETPIVOTDATA(_xlfn.VALUETOTEXT($A$4),'PREFILL-PIVOT'!$A$3,_xlfn.VALUETOTEXT($A$6),$A129,"Experiment",F$5,"date",F$6)=0,NA(),GETPIVOTDATA(_xlfn.VALUETOTEXT($A$4),'PREFILL-PIVOT'!$A$3,_xlfn.VALUETOTEXT($A$6),$A129,"Experiment",F$5,"date",F$6))</f>
        <v>#REF!</v>
      </c>
      <c r="G129" t="e">
        <f>IF(GETPIVOTDATA(_xlfn.VALUETOTEXT($A$4),'PREFILL-PIVOT'!$A$3,_xlfn.VALUETOTEXT($A$6),$A129,"Experiment",G$5,"date",G$6)=0,NA(),GETPIVOTDATA(_xlfn.VALUETOTEXT($A$4),'PREFILL-PIVOT'!$A$3,_xlfn.VALUETOTEXT($A$6),$A129,"Experiment",G$5,"date",G$6))</f>
        <v>#REF!</v>
      </c>
      <c r="H129" t="e">
        <f>IF(GETPIVOTDATA(_xlfn.VALUETOTEXT($A$4),'PREFILL-PIVOT'!$A$3,_xlfn.VALUETOTEXT($A$6),$A129,"Experiment",H$5,"date",H$6)=0,NA(),GETPIVOTDATA(_xlfn.VALUETOTEXT($A$4),'PREFILL-PIVOT'!$A$3,_xlfn.VALUETOTEXT($A$6),$A129,"Experiment",H$5,"date",H$6))</f>
        <v>#REF!</v>
      </c>
      <c r="I129" t="e">
        <f>IF(GETPIVOTDATA(_xlfn.VALUETOTEXT($A$4),'PREFILL-PIVOT'!$A$3,_xlfn.VALUETOTEXT($A$6),$A129,"Experiment",I$5,"date",I$6)=0,NA(),GETPIVOTDATA(_xlfn.VALUETOTEXT($A$4),'PREFILL-PIVOT'!$A$3,_xlfn.VALUETOTEXT($A$6),$A129,"Experiment",I$5,"date",I$6))</f>
        <v>#REF!</v>
      </c>
      <c r="J129" t="e">
        <f>IF(GETPIVOTDATA(_xlfn.VALUETOTEXT($A$4),'PREFILL-PIVOT'!$A$3,_xlfn.VALUETOTEXT($A$6),$A129,"Experiment",J$5,"date",J$6)=0,NA(),GETPIVOTDATA(_xlfn.VALUETOTEXT($A$4),'PREFILL-PIVOT'!$A$3,_xlfn.VALUETOTEXT($A$6),$A129,"Experiment",J$5,"date",J$6))</f>
        <v>#REF!</v>
      </c>
      <c r="K129" t="e">
        <f>IF(GETPIVOTDATA(_xlfn.VALUETOTEXT($A$4),'PREFILL-PIVOT'!$A$3,_xlfn.VALUETOTEXT($A$6),$A129,"Experiment",K$5,"date",K$6)=0,NA(),GETPIVOTDATA(_xlfn.VALUETOTEXT($A$4),'PREFILL-PIVOT'!$A$3,_xlfn.VALUETOTEXT($A$6),$A129,"Experiment",K$5,"date",K$6))</f>
        <v>#REF!</v>
      </c>
      <c r="L129" t="e">
        <f>IF(GETPIVOTDATA(_xlfn.VALUETOTEXT($A$4),'PREFILL-PIVOT'!$A$3,_xlfn.VALUETOTEXT($A$6),$A129,"Experiment",L$5,"date",L$6)=0,NA(),GETPIVOTDATA(_xlfn.VALUETOTEXT($A$4),'PREFILL-PIVOT'!$A$3,_xlfn.VALUETOTEXT($A$6),$A129,"Experiment",L$5,"date",L$6))</f>
        <v>#REF!</v>
      </c>
      <c r="M129" t="e">
        <f>IF(GETPIVOTDATA(_xlfn.VALUETOTEXT($A$4),'PREFILL-PIVOT'!$A$3,_xlfn.VALUETOTEXT($A$6),$A129,"Experiment",M$5,"date",M$6)=0,NA(),GETPIVOTDATA(_xlfn.VALUETOTEXT($A$4),'PREFILL-PIVOT'!$A$3,_xlfn.VALUETOTEXT($A$6),$A129,"Experiment",M$5,"date",M$6))</f>
        <v>#REF!</v>
      </c>
    </row>
    <row r="130" spans="1:13" x14ac:dyDescent="0.25">
      <c r="A130" s="222" t="e">
        <f>IF('PREFILL-PIVOT'!A128=0,NA(),'PREFILL-PIVOT'!A128)</f>
        <v>#N/A</v>
      </c>
      <c r="B130" t="e">
        <f>IF(GETPIVOTDATA(_xlfn.VALUETOTEXT($A$4),'PREFILL-PIVOT'!$A$3,_xlfn.VALUETOTEXT($A$6),$A130,"Experiment",B$5,"date",B$6)=0,NA(),GETPIVOTDATA(_xlfn.VALUETOTEXT($A$4),'PREFILL-PIVOT'!$A$3,_xlfn.VALUETOTEXT($A$6),$A130,"Experiment",B$5,"date",B$6))</f>
        <v>#REF!</v>
      </c>
      <c r="C130" t="e">
        <f>IF(GETPIVOTDATA(_xlfn.VALUETOTEXT($A$4),'PREFILL-PIVOT'!$A$3,_xlfn.VALUETOTEXT($A$6),$A130,"Experiment",C$5,"date",C$6)=0,NA(),GETPIVOTDATA(_xlfn.VALUETOTEXT($A$4),'PREFILL-PIVOT'!$A$3,_xlfn.VALUETOTEXT($A$6),$A130,"Experiment",C$5,"date",C$6))</f>
        <v>#REF!</v>
      </c>
      <c r="D130" t="e">
        <f>IF(GETPIVOTDATA(_xlfn.VALUETOTEXT($A$4),'PREFILL-PIVOT'!$A$3,_xlfn.VALUETOTEXT($A$6),$A130,"Experiment",D$5,"date",D$6)=0,NA(),GETPIVOTDATA(_xlfn.VALUETOTEXT($A$4),'PREFILL-PIVOT'!$A$3,_xlfn.VALUETOTEXT($A$6),$A130,"Experiment",D$5,"date",D$6))</f>
        <v>#REF!</v>
      </c>
      <c r="E130" t="e">
        <f>IF(GETPIVOTDATA(_xlfn.VALUETOTEXT($A$4),'PREFILL-PIVOT'!$A$3,_xlfn.VALUETOTEXT($A$6),$A130,"Experiment",E$5,"date",E$6)=0,NA(),GETPIVOTDATA(_xlfn.VALUETOTEXT($A$4),'PREFILL-PIVOT'!$A$3,_xlfn.VALUETOTEXT($A$6),$A130,"Experiment",E$5,"date",E$6))</f>
        <v>#REF!</v>
      </c>
      <c r="F130" t="e">
        <f>IF(GETPIVOTDATA(_xlfn.VALUETOTEXT($A$4),'PREFILL-PIVOT'!$A$3,_xlfn.VALUETOTEXT($A$6),$A130,"Experiment",F$5,"date",F$6)=0,NA(),GETPIVOTDATA(_xlfn.VALUETOTEXT($A$4),'PREFILL-PIVOT'!$A$3,_xlfn.VALUETOTEXT($A$6),$A130,"Experiment",F$5,"date",F$6))</f>
        <v>#REF!</v>
      </c>
      <c r="G130" t="e">
        <f>IF(GETPIVOTDATA(_xlfn.VALUETOTEXT($A$4),'PREFILL-PIVOT'!$A$3,_xlfn.VALUETOTEXT($A$6),$A130,"Experiment",G$5,"date",G$6)=0,NA(),GETPIVOTDATA(_xlfn.VALUETOTEXT($A$4),'PREFILL-PIVOT'!$A$3,_xlfn.VALUETOTEXT($A$6),$A130,"Experiment",G$5,"date",G$6))</f>
        <v>#REF!</v>
      </c>
      <c r="H130" t="e">
        <f>IF(GETPIVOTDATA(_xlfn.VALUETOTEXT($A$4),'PREFILL-PIVOT'!$A$3,_xlfn.VALUETOTEXT($A$6),$A130,"Experiment",H$5,"date",H$6)=0,NA(),GETPIVOTDATA(_xlfn.VALUETOTEXT($A$4),'PREFILL-PIVOT'!$A$3,_xlfn.VALUETOTEXT($A$6),$A130,"Experiment",H$5,"date",H$6))</f>
        <v>#REF!</v>
      </c>
      <c r="I130" t="e">
        <f>IF(GETPIVOTDATA(_xlfn.VALUETOTEXT($A$4),'PREFILL-PIVOT'!$A$3,_xlfn.VALUETOTEXT($A$6),$A130,"Experiment",I$5,"date",I$6)=0,NA(),GETPIVOTDATA(_xlfn.VALUETOTEXT($A$4),'PREFILL-PIVOT'!$A$3,_xlfn.VALUETOTEXT($A$6),$A130,"Experiment",I$5,"date",I$6))</f>
        <v>#REF!</v>
      </c>
      <c r="J130" t="e">
        <f>IF(GETPIVOTDATA(_xlfn.VALUETOTEXT($A$4),'PREFILL-PIVOT'!$A$3,_xlfn.VALUETOTEXT($A$6),$A130,"Experiment",J$5,"date",J$6)=0,NA(),GETPIVOTDATA(_xlfn.VALUETOTEXT($A$4),'PREFILL-PIVOT'!$A$3,_xlfn.VALUETOTEXT($A$6),$A130,"Experiment",J$5,"date",J$6))</f>
        <v>#REF!</v>
      </c>
      <c r="K130" t="e">
        <f>IF(GETPIVOTDATA(_xlfn.VALUETOTEXT($A$4),'PREFILL-PIVOT'!$A$3,_xlfn.VALUETOTEXT($A$6),$A130,"Experiment",K$5,"date",K$6)=0,NA(),GETPIVOTDATA(_xlfn.VALUETOTEXT($A$4),'PREFILL-PIVOT'!$A$3,_xlfn.VALUETOTEXT($A$6),$A130,"Experiment",K$5,"date",K$6))</f>
        <v>#REF!</v>
      </c>
      <c r="L130" t="e">
        <f>IF(GETPIVOTDATA(_xlfn.VALUETOTEXT($A$4),'PREFILL-PIVOT'!$A$3,_xlfn.VALUETOTEXT($A$6),$A130,"Experiment",L$5,"date",L$6)=0,NA(),GETPIVOTDATA(_xlfn.VALUETOTEXT($A$4),'PREFILL-PIVOT'!$A$3,_xlfn.VALUETOTEXT($A$6),$A130,"Experiment",L$5,"date",L$6))</f>
        <v>#REF!</v>
      </c>
      <c r="M130" t="e">
        <f>IF(GETPIVOTDATA(_xlfn.VALUETOTEXT($A$4),'PREFILL-PIVOT'!$A$3,_xlfn.VALUETOTEXT($A$6),$A130,"Experiment",M$5,"date",M$6)=0,NA(),GETPIVOTDATA(_xlfn.VALUETOTEXT($A$4),'PREFILL-PIVOT'!$A$3,_xlfn.VALUETOTEXT($A$6),$A130,"Experiment",M$5,"date",M$6))</f>
        <v>#REF!</v>
      </c>
    </row>
    <row r="131" spans="1:13" x14ac:dyDescent="0.25">
      <c r="A131" s="222" t="e">
        <f>IF('PREFILL-PIVOT'!A129=0,NA(),'PREFILL-PIVOT'!A129)</f>
        <v>#N/A</v>
      </c>
      <c r="B131" t="e">
        <f>IF(GETPIVOTDATA(_xlfn.VALUETOTEXT($A$4),'PREFILL-PIVOT'!$A$3,_xlfn.VALUETOTEXT($A$6),$A131,"Experiment",B$5,"date",B$6)=0,NA(),GETPIVOTDATA(_xlfn.VALUETOTEXT($A$4),'PREFILL-PIVOT'!$A$3,_xlfn.VALUETOTEXT($A$6),$A131,"Experiment",B$5,"date",B$6))</f>
        <v>#REF!</v>
      </c>
      <c r="C131" t="e">
        <f>IF(GETPIVOTDATA(_xlfn.VALUETOTEXT($A$4),'PREFILL-PIVOT'!$A$3,_xlfn.VALUETOTEXT($A$6),$A131,"Experiment",C$5,"date",C$6)=0,NA(),GETPIVOTDATA(_xlfn.VALUETOTEXT($A$4),'PREFILL-PIVOT'!$A$3,_xlfn.VALUETOTEXT($A$6),$A131,"Experiment",C$5,"date",C$6))</f>
        <v>#REF!</v>
      </c>
      <c r="D131" t="e">
        <f>IF(GETPIVOTDATA(_xlfn.VALUETOTEXT($A$4),'PREFILL-PIVOT'!$A$3,_xlfn.VALUETOTEXT($A$6),$A131,"Experiment",D$5,"date",D$6)=0,NA(),GETPIVOTDATA(_xlfn.VALUETOTEXT($A$4),'PREFILL-PIVOT'!$A$3,_xlfn.VALUETOTEXT($A$6),$A131,"Experiment",D$5,"date",D$6))</f>
        <v>#REF!</v>
      </c>
      <c r="E131" t="e">
        <f>IF(GETPIVOTDATA(_xlfn.VALUETOTEXT($A$4),'PREFILL-PIVOT'!$A$3,_xlfn.VALUETOTEXT($A$6),$A131,"Experiment",E$5,"date",E$6)=0,NA(),GETPIVOTDATA(_xlfn.VALUETOTEXT($A$4),'PREFILL-PIVOT'!$A$3,_xlfn.VALUETOTEXT($A$6),$A131,"Experiment",E$5,"date",E$6))</f>
        <v>#REF!</v>
      </c>
      <c r="F131" t="e">
        <f>IF(GETPIVOTDATA(_xlfn.VALUETOTEXT($A$4),'PREFILL-PIVOT'!$A$3,_xlfn.VALUETOTEXT($A$6),$A131,"Experiment",F$5,"date",F$6)=0,NA(),GETPIVOTDATA(_xlfn.VALUETOTEXT($A$4),'PREFILL-PIVOT'!$A$3,_xlfn.VALUETOTEXT($A$6),$A131,"Experiment",F$5,"date",F$6))</f>
        <v>#REF!</v>
      </c>
      <c r="G131" t="e">
        <f>IF(GETPIVOTDATA(_xlfn.VALUETOTEXT($A$4),'PREFILL-PIVOT'!$A$3,_xlfn.VALUETOTEXT($A$6),$A131,"Experiment",G$5,"date",G$6)=0,NA(),GETPIVOTDATA(_xlfn.VALUETOTEXT($A$4),'PREFILL-PIVOT'!$A$3,_xlfn.VALUETOTEXT($A$6),$A131,"Experiment",G$5,"date",G$6))</f>
        <v>#REF!</v>
      </c>
      <c r="H131" t="e">
        <f>IF(GETPIVOTDATA(_xlfn.VALUETOTEXT($A$4),'PREFILL-PIVOT'!$A$3,_xlfn.VALUETOTEXT($A$6),$A131,"Experiment",H$5,"date",H$6)=0,NA(),GETPIVOTDATA(_xlfn.VALUETOTEXT($A$4),'PREFILL-PIVOT'!$A$3,_xlfn.VALUETOTEXT($A$6),$A131,"Experiment",H$5,"date",H$6))</f>
        <v>#REF!</v>
      </c>
      <c r="I131" t="e">
        <f>IF(GETPIVOTDATA(_xlfn.VALUETOTEXT($A$4),'PREFILL-PIVOT'!$A$3,_xlfn.VALUETOTEXT($A$6),$A131,"Experiment",I$5,"date",I$6)=0,NA(),GETPIVOTDATA(_xlfn.VALUETOTEXT($A$4),'PREFILL-PIVOT'!$A$3,_xlfn.VALUETOTEXT($A$6),$A131,"Experiment",I$5,"date",I$6))</f>
        <v>#REF!</v>
      </c>
      <c r="J131" t="e">
        <f>IF(GETPIVOTDATA(_xlfn.VALUETOTEXT($A$4),'PREFILL-PIVOT'!$A$3,_xlfn.VALUETOTEXT($A$6),$A131,"Experiment",J$5,"date",J$6)=0,NA(),GETPIVOTDATA(_xlfn.VALUETOTEXT($A$4),'PREFILL-PIVOT'!$A$3,_xlfn.VALUETOTEXT($A$6),$A131,"Experiment",J$5,"date",J$6))</f>
        <v>#REF!</v>
      </c>
      <c r="K131" t="e">
        <f>IF(GETPIVOTDATA(_xlfn.VALUETOTEXT($A$4),'PREFILL-PIVOT'!$A$3,_xlfn.VALUETOTEXT($A$6),$A131,"Experiment",K$5,"date",K$6)=0,NA(),GETPIVOTDATA(_xlfn.VALUETOTEXT($A$4),'PREFILL-PIVOT'!$A$3,_xlfn.VALUETOTEXT($A$6),$A131,"Experiment",K$5,"date",K$6))</f>
        <v>#REF!</v>
      </c>
      <c r="L131" t="e">
        <f>IF(GETPIVOTDATA(_xlfn.VALUETOTEXT($A$4),'PREFILL-PIVOT'!$A$3,_xlfn.VALUETOTEXT($A$6),$A131,"Experiment",L$5,"date",L$6)=0,NA(),GETPIVOTDATA(_xlfn.VALUETOTEXT($A$4),'PREFILL-PIVOT'!$A$3,_xlfn.VALUETOTEXT($A$6),$A131,"Experiment",L$5,"date",L$6))</f>
        <v>#REF!</v>
      </c>
      <c r="M131" t="e">
        <f>IF(GETPIVOTDATA(_xlfn.VALUETOTEXT($A$4),'PREFILL-PIVOT'!$A$3,_xlfn.VALUETOTEXT($A$6),$A131,"Experiment",M$5,"date",M$6)=0,NA(),GETPIVOTDATA(_xlfn.VALUETOTEXT($A$4),'PREFILL-PIVOT'!$A$3,_xlfn.VALUETOTEXT($A$6),$A131,"Experiment",M$5,"date",M$6))</f>
        <v>#REF!</v>
      </c>
    </row>
    <row r="132" spans="1:13" x14ac:dyDescent="0.25">
      <c r="A132" s="222" t="e">
        <f>IF('PREFILL-PIVOT'!A130=0,NA(),'PREFILL-PIVOT'!A130)</f>
        <v>#N/A</v>
      </c>
      <c r="B132" t="e">
        <f>IF(GETPIVOTDATA(_xlfn.VALUETOTEXT($A$4),'PREFILL-PIVOT'!$A$3,_xlfn.VALUETOTEXT($A$6),$A132,"Experiment",B$5,"date",B$6)=0,NA(),GETPIVOTDATA(_xlfn.VALUETOTEXT($A$4),'PREFILL-PIVOT'!$A$3,_xlfn.VALUETOTEXT($A$6),$A132,"Experiment",B$5,"date",B$6))</f>
        <v>#REF!</v>
      </c>
      <c r="C132" t="e">
        <f>IF(GETPIVOTDATA(_xlfn.VALUETOTEXT($A$4),'PREFILL-PIVOT'!$A$3,_xlfn.VALUETOTEXT($A$6),$A132,"Experiment",C$5,"date",C$6)=0,NA(),GETPIVOTDATA(_xlfn.VALUETOTEXT($A$4),'PREFILL-PIVOT'!$A$3,_xlfn.VALUETOTEXT($A$6),$A132,"Experiment",C$5,"date",C$6))</f>
        <v>#REF!</v>
      </c>
      <c r="D132" t="e">
        <f>IF(GETPIVOTDATA(_xlfn.VALUETOTEXT($A$4),'PREFILL-PIVOT'!$A$3,_xlfn.VALUETOTEXT($A$6),$A132,"Experiment",D$5,"date",D$6)=0,NA(),GETPIVOTDATA(_xlfn.VALUETOTEXT($A$4),'PREFILL-PIVOT'!$A$3,_xlfn.VALUETOTEXT($A$6),$A132,"Experiment",D$5,"date",D$6))</f>
        <v>#REF!</v>
      </c>
      <c r="E132" t="e">
        <f>IF(GETPIVOTDATA(_xlfn.VALUETOTEXT($A$4),'PREFILL-PIVOT'!$A$3,_xlfn.VALUETOTEXT($A$6),$A132,"Experiment",E$5,"date",E$6)=0,NA(),GETPIVOTDATA(_xlfn.VALUETOTEXT($A$4),'PREFILL-PIVOT'!$A$3,_xlfn.VALUETOTEXT($A$6),$A132,"Experiment",E$5,"date",E$6))</f>
        <v>#REF!</v>
      </c>
      <c r="F132" t="e">
        <f>IF(GETPIVOTDATA(_xlfn.VALUETOTEXT($A$4),'PREFILL-PIVOT'!$A$3,_xlfn.VALUETOTEXT($A$6),$A132,"Experiment",F$5,"date",F$6)=0,NA(),GETPIVOTDATA(_xlfn.VALUETOTEXT($A$4),'PREFILL-PIVOT'!$A$3,_xlfn.VALUETOTEXT($A$6),$A132,"Experiment",F$5,"date",F$6))</f>
        <v>#REF!</v>
      </c>
      <c r="G132" t="e">
        <f>IF(GETPIVOTDATA(_xlfn.VALUETOTEXT($A$4),'PREFILL-PIVOT'!$A$3,_xlfn.VALUETOTEXT($A$6),$A132,"Experiment",G$5,"date",G$6)=0,NA(),GETPIVOTDATA(_xlfn.VALUETOTEXT($A$4),'PREFILL-PIVOT'!$A$3,_xlfn.VALUETOTEXT($A$6),$A132,"Experiment",G$5,"date",G$6))</f>
        <v>#REF!</v>
      </c>
      <c r="H132" t="e">
        <f>IF(GETPIVOTDATA(_xlfn.VALUETOTEXT($A$4),'PREFILL-PIVOT'!$A$3,_xlfn.VALUETOTEXT($A$6),$A132,"Experiment",H$5,"date",H$6)=0,NA(),GETPIVOTDATA(_xlfn.VALUETOTEXT($A$4),'PREFILL-PIVOT'!$A$3,_xlfn.VALUETOTEXT($A$6),$A132,"Experiment",H$5,"date",H$6))</f>
        <v>#REF!</v>
      </c>
      <c r="I132" t="e">
        <f>IF(GETPIVOTDATA(_xlfn.VALUETOTEXT($A$4),'PREFILL-PIVOT'!$A$3,_xlfn.VALUETOTEXT($A$6),$A132,"Experiment",I$5,"date",I$6)=0,NA(),GETPIVOTDATA(_xlfn.VALUETOTEXT($A$4),'PREFILL-PIVOT'!$A$3,_xlfn.VALUETOTEXT($A$6),$A132,"Experiment",I$5,"date",I$6))</f>
        <v>#REF!</v>
      </c>
      <c r="J132" t="e">
        <f>IF(GETPIVOTDATA(_xlfn.VALUETOTEXT($A$4),'PREFILL-PIVOT'!$A$3,_xlfn.VALUETOTEXT($A$6),$A132,"Experiment",J$5,"date",J$6)=0,NA(),GETPIVOTDATA(_xlfn.VALUETOTEXT($A$4),'PREFILL-PIVOT'!$A$3,_xlfn.VALUETOTEXT($A$6),$A132,"Experiment",J$5,"date",J$6))</f>
        <v>#REF!</v>
      </c>
      <c r="K132" t="e">
        <f>IF(GETPIVOTDATA(_xlfn.VALUETOTEXT($A$4),'PREFILL-PIVOT'!$A$3,_xlfn.VALUETOTEXT($A$6),$A132,"Experiment",K$5,"date",K$6)=0,NA(),GETPIVOTDATA(_xlfn.VALUETOTEXT($A$4),'PREFILL-PIVOT'!$A$3,_xlfn.VALUETOTEXT($A$6),$A132,"Experiment",K$5,"date",K$6))</f>
        <v>#REF!</v>
      </c>
      <c r="L132" t="e">
        <f>IF(GETPIVOTDATA(_xlfn.VALUETOTEXT($A$4),'PREFILL-PIVOT'!$A$3,_xlfn.VALUETOTEXT($A$6),$A132,"Experiment",L$5,"date",L$6)=0,NA(),GETPIVOTDATA(_xlfn.VALUETOTEXT($A$4),'PREFILL-PIVOT'!$A$3,_xlfn.VALUETOTEXT($A$6),$A132,"Experiment",L$5,"date",L$6))</f>
        <v>#REF!</v>
      </c>
      <c r="M132" t="e">
        <f>IF(GETPIVOTDATA(_xlfn.VALUETOTEXT($A$4),'PREFILL-PIVOT'!$A$3,_xlfn.VALUETOTEXT($A$6),$A132,"Experiment",M$5,"date",M$6)=0,NA(),GETPIVOTDATA(_xlfn.VALUETOTEXT($A$4),'PREFILL-PIVOT'!$A$3,_xlfn.VALUETOTEXT($A$6),$A132,"Experiment",M$5,"date",M$6))</f>
        <v>#REF!</v>
      </c>
    </row>
    <row r="133" spans="1:13" x14ac:dyDescent="0.25">
      <c r="A133" s="222" t="e">
        <f>IF('PREFILL-PIVOT'!A131=0,NA(),'PREFILL-PIVOT'!A131)</f>
        <v>#N/A</v>
      </c>
      <c r="B133" t="e">
        <f>IF(GETPIVOTDATA(_xlfn.VALUETOTEXT($A$4),'PREFILL-PIVOT'!$A$3,_xlfn.VALUETOTEXT($A$6),$A133,"Experiment",B$5,"date",B$6)=0,NA(),GETPIVOTDATA(_xlfn.VALUETOTEXT($A$4),'PREFILL-PIVOT'!$A$3,_xlfn.VALUETOTEXT($A$6),$A133,"Experiment",B$5,"date",B$6))</f>
        <v>#REF!</v>
      </c>
      <c r="C133" t="e">
        <f>IF(GETPIVOTDATA(_xlfn.VALUETOTEXT($A$4),'PREFILL-PIVOT'!$A$3,_xlfn.VALUETOTEXT($A$6),$A133,"Experiment",C$5,"date",C$6)=0,NA(),GETPIVOTDATA(_xlfn.VALUETOTEXT($A$4),'PREFILL-PIVOT'!$A$3,_xlfn.VALUETOTEXT($A$6),$A133,"Experiment",C$5,"date",C$6))</f>
        <v>#REF!</v>
      </c>
      <c r="D133" t="e">
        <f>IF(GETPIVOTDATA(_xlfn.VALUETOTEXT($A$4),'PREFILL-PIVOT'!$A$3,_xlfn.VALUETOTEXT($A$6),$A133,"Experiment",D$5,"date",D$6)=0,NA(),GETPIVOTDATA(_xlfn.VALUETOTEXT($A$4),'PREFILL-PIVOT'!$A$3,_xlfn.VALUETOTEXT($A$6),$A133,"Experiment",D$5,"date",D$6))</f>
        <v>#REF!</v>
      </c>
      <c r="E133" t="e">
        <f>IF(GETPIVOTDATA(_xlfn.VALUETOTEXT($A$4),'PREFILL-PIVOT'!$A$3,_xlfn.VALUETOTEXT($A$6),$A133,"Experiment",E$5,"date",E$6)=0,NA(),GETPIVOTDATA(_xlfn.VALUETOTEXT($A$4),'PREFILL-PIVOT'!$A$3,_xlfn.VALUETOTEXT($A$6),$A133,"Experiment",E$5,"date",E$6))</f>
        <v>#REF!</v>
      </c>
      <c r="F133" t="e">
        <f>IF(GETPIVOTDATA(_xlfn.VALUETOTEXT($A$4),'PREFILL-PIVOT'!$A$3,_xlfn.VALUETOTEXT($A$6),$A133,"Experiment",F$5,"date",F$6)=0,NA(),GETPIVOTDATA(_xlfn.VALUETOTEXT($A$4),'PREFILL-PIVOT'!$A$3,_xlfn.VALUETOTEXT($A$6),$A133,"Experiment",F$5,"date",F$6))</f>
        <v>#REF!</v>
      </c>
      <c r="G133" t="e">
        <f>IF(GETPIVOTDATA(_xlfn.VALUETOTEXT($A$4),'PREFILL-PIVOT'!$A$3,_xlfn.VALUETOTEXT($A$6),$A133,"Experiment",G$5,"date",G$6)=0,NA(),GETPIVOTDATA(_xlfn.VALUETOTEXT($A$4),'PREFILL-PIVOT'!$A$3,_xlfn.VALUETOTEXT($A$6),$A133,"Experiment",G$5,"date",G$6))</f>
        <v>#REF!</v>
      </c>
      <c r="H133" t="e">
        <f>IF(GETPIVOTDATA(_xlfn.VALUETOTEXT($A$4),'PREFILL-PIVOT'!$A$3,_xlfn.VALUETOTEXT($A$6),$A133,"Experiment",H$5,"date",H$6)=0,NA(),GETPIVOTDATA(_xlfn.VALUETOTEXT($A$4),'PREFILL-PIVOT'!$A$3,_xlfn.VALUETOTEXT($A$6),$A133,"Experiment",H$5,"date",H$6))</f>
        <v>#REF!</v>
      </c>
      <c r="I133" t="e">
        <f>IF(GETPIVOTDATA(_xlfn.VALUETOTEXT($A$4),'PREFILL-PIVOT'!$A$3,_xlfn.VALUETOTEXT($A$6),$A133,"Experiment",I$5,"date",I$6)=0,NA(),GETPIVOTDATA(_xlfn.VALUETOTEXT($A$4),'PREFILL-PIVOT'!$A$3,_xlfn.VALUETOTEXT($A$6),$A133,"Experiment",I$5,"date",I$6))</f>
        <v>#REF!</v>
      </c>
      <c r="J133" t="e">
        <f>IF(GETPIVOTDATA(_xlfn.VALUETOTEXT($A$4),'PREFILL-PIVOT'!$A$3,_xlfn.VALUETOTEXT($A$6),$A133,"Experiment",J$5,"date",J$6)=0,NA(),GETPIVOTDATA(_xlfn.VALUETOTEXT($A$4),'PREFILL-PIVOT'!$A$3,_xlfn.VALUETOTEXT($A$6),$A133,"Experiment",J$5,"date",J$6))</f>
        <v>#REF!</v>
      </c>
      <c r="K133" t="e">
        <f>IF(GETPIVOTDATA(_xlfn.VALUETOTEXT($A$4),'PREFILL-PIVOT'!$A$3,_xlfn.VALUETOTEXT($A$6),$A133,"Experiment",K$5,"date",K$6)=0,NA(),GETPIVOTDATA(_xlfn.VALUETOTEXT($A$4),'PREFILL-PIVOT'!$A$3,_xlfn.VALUETOTEXT($A$6),$A133,"Experiment",K$5,"date",K$6))</f>
        <v>#REF!</v>
      </c>
      <c r="L133" t="e">
        <f>IF(GETPIVOTDATA(_xlfn.VALUETOTEXT($A$4),'PREFILL-PIVOT'!$A$3,_xlfn.VALUETOTEXT($A$6),$A133,"Experiment",L$5,"date",L$6)=0,NA(),GETPIVOTDATA(_xlfn.VALUETOTEXT($A$4),'PREFILL-PIVOT'!$A$3,_xlfn.VALUETOTEXT($A$6),$A133,"Experiment",L$5,"date",L$6))</f>
        <v>#REF!</v>
      </c>
      <c r="M133" t="e">
        <f>IF(GETPIVOTDATA(_xlfn.VALUETOTEXT($A$4),'PREFILL-PIVOT'!$A$3,_xlfn.VALUETOTEXT($A$6),$A133,"Experiment",M$5,"date",M$6)=0,NA(),GETPIVOTDATA(_xlfn.VALUETOTEXT($A$4),'PREFILL-PIVOT'!$A$3,_xlfn.VALUETOTEXT($A$6),$A133,"Experiment",M$5,"date",M$6))</f>
        <v>#REF!</v>
      </c>
    </row>
    <row r="134" spans="1:13" x14ac:dyDescent="0.25">
      <c r="A134" s="222" t="e">
        <f>IF('PREFILL-PIVOT'!A132=0,NA(),'PREFILL-PIVOT'!A132)</f>
        <v>#N/A</v>
      </c>
      <c r="B134" t="e">
        <f>IF(GETPIVOTDATA(_xlfn.VALUETOTEXT($A$4),'PREFILL-PIVOT'!$A$3,_xlfn.VALUETOTEXT($A$6),$A134,"Experiment",B$5,"date",B$6)=0,NA(),GETPIVOTDATA(_xlfn.VALUETOTEXT($A$4),'PREFILL-PIVOT'!$A$3,_xlfn.VALUETOTEXT($A$6),$A134,"Experiment",B$5,"date",B$6))</f>
        <v>#REF!</v>
      </c>
      <c r="C134" t="e">
        <f>IF(GETPIVOTDATA(_xlfn.VALUETOTEXT($A$4),'PREFILL-PIVOT'!$A$3,_xlfn.VALUETOTEXT($A$6),$A134,"Experiment",C$5,"date",C$6)=0,NA(),GETPIVOTDATA(_xlfn.VALUETOTEXT($A$4),'PREFILL-PIVOT'!$A$3,_xlfn.VALUETOTEXT($A$6),$A134,"Experiment",C$5,"date",C$6))</f>
        <v>#REF!</v>
      </c>
      <c r="D134" t="e">
        <f>IF(GETPIVOTDATA(_xlfn.VALUETOTEXT($A$4),'PREFILL-PIVOT'!$A$3,_xlfn.VALUETOTEXT($A$6),$A134,"Experiment",D$5,"date",D$6)=0,NA(),GETPIVOTDATA(_xlfn.VALUETOTEXT($A$4),'PREFILL-PIVOT'!$A$3,_xlfn.VALUETOTEXT($A$6),$A134,"Experiment",D$5,"date",D$6))</f>
        <v>#REF!</v>
      </c>
      <c r="E134" t="e">
        <f>IF(GETPIVOTDATA(_xlfn.VALUETOTEXT($A$4),'PREFILL-PIVOT'!$A$3,_xlfn.VALUETOTEXT($A$6),$A134,"Experiment",E$5,"date",E$6)=0,NA(),GETPIVOTDATA(_xlfn.VALUETOTEXT($A$4),'PREFILL-PIVOT'!$A$3,_xlfn.VALUETOTEXT($A$6),$A134,"Experiment",E$5,"date",E$6))</f>
        <v>#REF!</v>
      </c>
      <c r="F134" t="e">
        <f>IF(GETPIVOTDATA(_xlfn.VALUETOTEXT($A$4),'PREFILL-PIVOT'!$A$3,_xlfn.VALUETOTEXT($A$6),$A134,"Experiment",F$5,"date",F$6)=0,NA(),GETPIVOTDATA(_xlfn.VALUETOTEXT($A$4),'PREFILL-PIVOT'!$A$3,_xlfn.VALUETOTEXT($A$6),$A134,"Experiment",F$5,"date",F$6))</f>
        <v>#REF!</v>
      </c>
      <c r="G134" t="e">
        <f>IF(GETPIVOTDATA(_xlfn.VALUETOTEXT($A$4),'PREFILL-PIVOT'!$A$3,_xlfn.VALUETOTEXT($A$6),$A134,"Experiment",G$5,"date",G$6)=0,NA(),GETPIVOTDATA(_xlfn.VALUETOTEXT($A$4),'PREFILL-PIVOT'!$A$3,_xlfn.VALUETOTEXT($A$6),$A134,"Experiment",G$5,"date",G$6))</f>
        <v>#REF!</v>
      </c>
      <c r="H134" t="e">
        <f>IF(GETPIVOTDATA(_xlfn.VALUETOTEXT($A$4),'PREFILL-PIVOT'!$A$3,_xlfn.VALUETOTEXT($A$6),$A134,"Experiment",H$5,"date",H$6)=0,NA(),GETPIVOTDATA(_xlfn.VALUETOTEXT($A$4),'PREFILL-PIVOT'!$A$3,_xlfn.VALUETOTEXT($A$6),$A134,"Experiment",H$5,"date",H$6))</f>
        <v>#REF!</v>
      </c>
      <c r="I134" t="e">
        <f>IF(GETPIVOTDATA(_xlfn.VALUETOTEXT($A$4),'PREFILL-PIVOT'!$A$3,_xlfn.VALUETOTEXT($A$6),$A134,"Experiment",I$5,"date",I$6)=0,NA(),GETPIVOTDATA(_xlfn.VALUETOTEXT($A$4),'PREFILL-PIVOT'!$A$3,_xlfn.VALUETOTEXT($A$6),$A134,"Experiment",I$5,"date",I$6))</f>
        <v>#REF!</v>
      </c>
      <c r="J134" t="e">
        <f>IF(GETPIVOTDATA(_xlfn.VALUETOTEXT($A$4),'PREFILL-PIVOT'!$A$3,_xlfn.VALUETOTEXT($A$6),$A134,"Experiment",J$5,"date",J$6)=0,NA(),GETPIVOTDATA(_xlfn.VALUETOTEXT($A$4),'PREFILL-PIVOT'!$A$3,_xlfn.VALUETOTEXT($A$6),$A134,"Experiment",J$5,"date",J$6))</f>
        <v>#REF!</v>
      </c>
      <c r="K134" t="e">
        <f>IF(GETPIVOTDATA(_xlfn.VALUETOTEXT($A$4),'PREFILL-PIVOT'!$A$3,_xlfn.VALUETOTEXT($A$6),$A134,"Experiment",K$5,"date",K$6)=0,NA(),GETPIVOTDATA(_xlfn.VALUETOTEXT($A$4),'PREFILL-PIVOT'!$A$3,_xlfn.VALUETOTEXT($A$6),$A134,"Experiment",K$5,"date",K$6))</f>
        <v>#REF!</v>
      </c>
      <c r="L134" t="e">
        <f>IF(GETPIVOTDATA(_xlfn.VALUETOTEXT($A$4),'PREFILL-PIVOT'!$A$3,_xlfn.VALUETOTEXT($A$6),$A134,"Experiment",L$5,"date",L$6)=0,NA(),GETPIVOTDATA(_xlfn.VALUETOTEXT($A$4),'PREFILL-PIVOT'!$A$3,_xlfn.VALUETOTEXT($A$6),$A134,"Experiment",L$5,"date",L$6))</f>
        <v>#REF!</v>
      </c>
      <c r="M134" t="e">
        <f>IF(GETPIVOTDATA(_xlfn.VALUETOTEXT($A$4),'PREFILL-PIVOT'!$A$3,_xlfn.VALUETOTEXT($A$6),$A134,"Experiment",M$5,"date",M$6)=0,NA(),GETPIVOTDATA(_xlfn.VALUETOTEXT($A$4),'PREFILL-PIVOT'!$A$3,_xlfn.VALUETOTEXT($A$6),$A134,"Experiment",M$5,"date",M$6))</f>
        <v>#REF!</v>
      </c>
    </row>
    <row r="135" spans="1:13" x14ac:dyDescent="0.25">
      <c r="A135" s="222" t="e">
        <f>IF('PREFILL-PIVOT'!A133=0,NA(),'PREFILL-PIVOT'!A133)</f>
        <v>#N/A</v>
      </c>
      <c r="B135" t="e">
        <f>IF(GETPIVOTDATA(_xlfn.VALUETOTEXT($A$4),'PREFILL-PIVOT'!$A$3,_xlfn.VALUETOTEXT($A$6),$A135,"Experiment",B$5,"date",B$6)=0,NA(),GETPIVOTDATA(_xlfn.VALUETOTEXT($A$4),'PREFILL-PIVOT'!$A$3,_xlfn.VALUETOTEXT($A$6),$A135,"Experiment",B$5,"date",B$6))</f>
        <v>#REF!</v>
      </c>
      <c r="C135" t="e">
        <f>IF(GETPIVOTDATA(_xlfn.VALUETOTEXT($A$4),'PREFILL-PIVOT'!$A$3,_xlfn.VALUETOTEXT($A$6),$A135,"Experiment",C$5,"date",C$6)=0,NA(),GETPIVOTDATA(_xlfn.VALUETOTEXT($A$4),'PREFILL-PIVOT'!$A$3,_xlfn.VALUETOTEXT($A$6),$A135,"Experiment",C$5,"date",C$6))</f>
        <v>#REF!</v>
      </c>
      <c r="D135" t="e">
        <f>IF(GETPIVOTDATA(_xlfn.VALUETOTEXT($A$4),'PREFILL-PIVOT'!$A$3,_xlfn.VALUETOTEXT($A$6),$A135,"Experiment",D$5,"date",D$6)=0,NA(),GETPIVOTDATA(_xlfn.VALUETOTEXT($A$4),'PREFILL-PIVOT'!$A$3,_xlfn.VALUETOTEXT($A$6),$A135,"Experiment",D$5,"date",D$6))</f>
        <v>#REF!</v>
      </c>
      <c r="E135" t="e">
        <f>IF(GETPIVOTDATA(_xlfn.VALUETOTEXT($A$4),'PREFILL-PIVOT'!$A$3,_xlfn.VALUETOTEXT($A$6),$A135,"Experiment",E$5,"date",E$6)=0,NA(),GETPIVOTDATA(_xlfn.VALUETOTEXT($A$4),'PREFILL-PIVOT'!$A$3,_xlfn.VALUETOTEXT($A$6),$A135,"Experiment",E$5,"date",E$6))</f>
        <v>#REF!</v>
      </c>
      <c r="F135" t="e">
        <f>IF(GETPIVOTDATA(_xlfn.VALUETOTEXT($A$4),'PREFILL-PIVOT'!$A$3,_xlfn.VALUETOTEXT($A$6),$A135,"Experiment",F$5,"date",F$6)=0,NA(),GETPIVOTDATA(_xlfn.VALUETOTEXT($A$4),'PREFILL-PIVOT'!$A$3,_xlfn.VALUETOTEXT($A$6),$A135,"Experiment",F$5,"date",F$6))</f>
        <v>#REF!</v>
      </c>
      <c r="G135" t="e">
        <f>IF(GETPIVOTDATA(_xlfn.VALUETOTEXT($A$4),'PREFILL-PIVOT'!$A$3,_xlfn.VALUETOTEXT($A$6),$A135,"Experiment",G$5,"date",G$6)=0,NA(),GETPIVOTDATA(_xlfn.VALUETOTEXT($A$4),'PREFILL-PIVOT'!$A$3,_xlfn.VALUETOTEXT($A$6),$A135,"Experiment",G$5,"date",G$6))</f>
        <v>#REF!</v>
      </c>
      <c r="H135" t="e">
        <f>IF(GETPIVOTDATA(_xlfn.VALUETOTEXT($A$4),'PREFILL-PIVOT'!$A$3,_xlfn.VALUETOTEXT($A$6),$A135,"Experiment",H$5,"date",H$6)=0,NA(),GETPIVOTDATA(_xlfn.VALUETOTEXT($A$4),'PREFILL-PIVOT'!$A$3,_xlfn.VALUETOTEXT($A$6),$A135,"Experiment",H$5,"date",H$6))</f>
        <v>#REF!</v>
      </c>
      <c r="I135" t="e">
        <f>IF(GETPIVOTDATA(_xlfn.VALUETOTEXT($A$4),'PREFILL-PIVOT'!$A$3,_xlfn.VALUETOTEXT($A$6),$A135,"Experiment",I$5,"date",I$6)=0,NA(),GETPIVOTDATA(_xlfn.VALUETOTEXT($A$4),'PREFILL-PIVOT'!$A$3,_xlfn.VALUETOTEXT($A$6),$A135,"Experiment",I$5,"date",I$6))</f>
        <v>#REF!</v>
      </c>
      <c r="J135" t="e">
        <f>IF(GETPIVOTDATA(_xlfn.VALUETOTEXT($A$4),'PREFILL-PIVOT'!$A$3,_xlfn.VALUETOTEXT($A$6),$A135,"Experiment",J$5,"date",J$6)=0,NA(),GETPIVOTDATA(_xlfn.VALUETOTEXT($A$4),'PREFILL-PIVOT'!$A$3,_xlfn.VALUETOTEXT($A$6),$A135,"Experiment",J$5,"date",J$6))</f>
        <v>#REF!</v>
      </c>
      <c r="K135" t="e">
        <f>IF(GETPIVOTDATA(_xlfn.VALUETOTEXT($A$4),'PREFILL-PIVOT'!$A$3,_xlfn.VALUETOTEXT($A$6),$A135,"Experiment",K$5,"date",K$6)=0,NA(),GETPIVOTDATA(_xlfn.VALUETOTEXT($A$4),'PREFILL-PIVOT'!$A$3,_xlfn.VALUETOTEXT($A$6),$A135,"Experiment",K$5,"date",K$6))</f>
        <v>#REF!</v>
      </c>
      <c r="L135" t="e">
        <f>IF(GETPIVOTDATA(_xlfn.VALUETOTEXT($A$4),'PREFILL-PIVOT'!$A$3,_xlfn.VALUETOTEXT($A$6),$A135,"Experiment",L$5,"date",L$6)=0,NA(),GETPIVOTDATA(_xlfn.VALUETOTEXT($A$4),'PREFILL-PIVOT'!$A$3,_xlfn.VALUETOTEXT($A$6),$A135,"Experiment",L$5,"date",L$6))</f>
        <v>#REF!</v>
      </c>
      <c r="M135" t="e">
        <f>IF(GETPIVOTDATA(_xlfn.VALUETOTEXT($A$4),'PREFILL-PIVOT'!$A$3,_xlfn.VALUETOTEXT($A$6),$A135,"Experiment",M$5,"date",M$6)=0,NA(),GETPIVOTDATA(_xlfn.VALUETOTEXT($A$4),'PREFILL-PIVOT'!$A$3,_xlfn.VALUETOTEXT($A$6),$A135,"Experiment",M$5,"date",M$6))</f>
        <v>#REF!</v>
      </c>
    </row>
    <row r="136" spans="1:13" x14ac:dyDescent="0.25">
      <c r="A136" s="222" t="e">
        <f>IF('PREFILL-PIVOT'!A134=0,NA(),'PREFILL-PIVOT'!A134)</f>
        <v>#N/A</v>
      </c>
      <c r="B136" t="e">
        <f>IF(GETPIVOTDATA(_xlfn.VALUETOTEXT($A$4),'PREFILL-PIVOT'!$A$3,_xlfn.VALUETOTEXT($A$6),$A136,"Experiment",B$5,"date",B$6)=0,NA(),GETPIVOTDATA(_xlfn.VALUETOTEXT($A$4),'PREFILL-PIVOT'!$A$3,_xlfn.VALUETOTEXT($A$6),$A136,"Experiment",B$5,"date",B$6))</f>
        <v>#REF!</v>
      </c>
      <c r="C136" t="e">
        <f>IF(GETPIVOTDATA(_xlfn.VALUETOTEXT($A$4),'PREFILL-PIVOT'!$A$3,_xlfn.VALUETOTEXT($A$6),$A136,"Experiment",C$5,"date",C$6)=0,NA(),GETPIVOTDATA(_xlfn.VALUETOTEXT($A$4),'PREFILL-PIVOT'!$A$3,_xlfn.VALUETOTEXT($A$6),$A136,"Experiment",C$5,"date",C$6))</f>
        <v>#REF!</v>
      </c>
      <c r="D136" t="e">
        <f>IF(GETPIVOTDATA(_xlfn.VALUETOTEXT($A$4),'PREFILL-PIVOT'!$A$3,_xlfn.VALUETOTEXT($A$6),$A136,"Experiment",D$5,"date",D$6)=0,NA(),GETPIVOTDATA(_xlfn.VALUETOTEXT($A$4),'PREFILL-PIVOT'!$A$3,_xlfn.VALUETOTEXT($A$6),$A136,"Experiment",D$5,"date",D$6))</f>
        <v>#REF!</v>
      </c>
      <c r="E136" t="e">
        <f>IF(GETPIVOTDATA(_xlfn.VALUETOTEXT($A$4),'PREFILL-PIVOT'!$A$3,_xlfn.VALUETOTEXT($A$6),$A136,"Experiment",E$5,"date",E$6)=0,NA(),GETPIVOTDATA(_xlfn.VALUETOTEXT($A$4),'PREFILL-PIVOT'!$A$3,_xlfn.VALUETOTEXT($A$6),$A136,"Experiment",E$5,"date",E$6))</f>
        <v>#REF!</v>
      </c>
      <c r="F136" t="e">
        <f>IF(GETPIVOTDATA(_xlfn.VALUETOTEXT($A$4),'PREFILL-PIVOT'!$A$3,_xlfn.VALUETOTEXT($A$6),$A136,"Experiment",F$5,"date",F$6)=0,NA(),GETPIVOTDATA(_xlfn.VALUETOTEXT($A$4),'PREFILL-PIVOT'!$A$3,_xlfn.VALUETOTEXT($A$6),$A136,"Experiment",F$5,"date",F$6))</f>
        <v>#REF!</v>
      </c>
      <c r="G136" t="e">
        <f>IF(GETPIVOTDATA(_xlfn.VALUETOTEXT($A$4),'PREFILL-PIVOT'!$A$3,_xlfn.VALUETOTEXT($A$6),$A136,"Experiment",G$5,"date",G$6)=0,NA(),GETPIVOTDATA(_xlfn.VALUETOTEXT($A$4),'PREFILL-PIVOT'!$A$3,_xlfn.VALUETOTEXT($A$6),$A136,"Experiment",G$5,"date",G$6))</f>
        <v>#REF!</v>
      </c>
      <c r="H136" t="e">
        <f>IF(GETPIVOTDATA(_xlfn.VALUETOTEXT($A$4),'PREFILL-PIVOT'!$A$3,_xlfn.VALUETOTEXT($A$6),$A136,"Experiment",H$5,"date",H$6)=0,NA(),GETPIVOTDATA(_xlfn.VALUETOTEXT($A$4),'PREFILL-PIVOT'!$A$3,_xlfn.VALUETOTEXT($A$6),$A136,"Experiment",H$5,"date",H$6))</f>
        <v>#REF!</v>
      </c>
      <c r="I136" t="e">
        <f>IF(GETPIVOTDATA(_xlfn.VALUETOTEXT($A$4),'PREFILL-PIVOT'!$A$3,_xlfn.VALUETOTEXT($A$6),$A136,"Experiment",I$5,"date",I$6)=0,NA(),GETPIVOTDATA(_xlfn.VALUETOTEXT($A$4),'PREFILL-PIVOT'!$A$3,_xlfn.VALUETOTEXT($A$6),$A136,"Experiment",I$5,"date",I$6))</f>
        <v>#REF!</v>
      </c>
      <c r="J136" t="e">
        <f>IF(GETPIVOTDATA(_xlfn.VALUETOTEXT($A$4),'PREFILL-PIVOT'!$A$3,_xlfn.VALUETOTEXT($A$6),$A136,"Experiment",J$5,"date",J$6)=0,NA(),GETPIVOTDATA(_xlfn.VALUETOTEXT($A$4),'PREFILL-PIVOT'!$A$3,_xlfn.VALUETOTEXT($A$6),$A136,"Experiment",J$5,"date",J$6))</f>
        <v>#REF!</v>
      </c>
      <c r="K136" t="e">
        <f>IF(GETPIVOTDATA(_xlfn.VALUETOTEXT($A$4),'PREFILL-PIVOT'!$A$3,_xlfn.VALUETOTEXT($A$6),$A136,"Experiment",K$5,"date",K$6)=0,NA(),GETPIVOTDATA(_xlfn.VALUETOTEXT($A$4),'PREFILL-PIVOT'!$A$3,_xlfn.VALUETOTEXT($A$6),$A136,"Experiment",K$5,"date",K$6))</f>
        <v>#REF!</v>
      </c>
      <c r="L136" t="e">
        <f>IF(GETPIVOTDATA(_xlfn.VALUETOTEXT($A$4),'PREFILL-PIVOT'!$A$3,_xlfn.VALUETOTEXT($A$6),$A136,"Experiment",L$5,"date",L$6)=0,NA(),GETPIVOTDATA(_xlfn.VALUETOTEXT($A$4),'PREFILL-PIVOT'!$A$3,_xlfn.VALUETOTEXT($A$6),$A136,"Experiment",L$5,"date",L$6))</f>
        <v>#REF!</v>
      </c>
      <c r="M136" t="e">
        <f>IF(GETPIVOTDATA(_xlfn.VALUETOTEXT($A$4),'PREFILL-PIVOT'!$A$3,_xlfn.VALUETOTEXT($A$6),$A136,"Experiment",M$5,"date",M$6)=0,NA(),GETPIVOTDATA(_xlfn.VALUETOTEXT($A$4),'PREFILL-PIVOT'!$A$3,_xlfn.VALUETOTEXT($A$6),$A136,"Experiment",M$5,"date",M$6))</f>
        <v>#REF!</v>
      </c>
    </row>
    <row r="137" spans="1:13" x14ac:dyDescent="0.25">
      <c r="A137" s="222" t="e">
        <f>IF('PREFILL-PIVOT'!A135=0,NA(),'PREFILL-PIVOT'!A135)</f>
        <v>#N/A</v>
      </c>
      <c r="B137" t="e">
        <f>IF(GETPIVOTDATA(_xlfn.VALUETOTEXT($A$4),'PREFILL-PIVOT'!$A$3,_xlfn.VALUETOTEXT($A$6),$A137,"Experiment",B$5,"date",B$6)=0,NA(),GETPIVOTDATA(_xlfn.VALUETOTEXT($A$4),'PREFILL-PIVOT'!$A$3,_xlfn.VALUETOTEXT($A$6),$A137,"Experiment",B$5,"date",B$6))</f>
        <v>#REF!</v>
      </c>
      <c r="C137" t="e">
        <f>IF(GETPIVOTDATA(_xlfn.VALUETOTEXT($A$4),'PREFILL-PIVOT'!$A$3,_xlfn.VALUETOTEXT($A$6),$A137,"Experiment",C$5,"date",C$6)=0,NA(),GETPIVOTDATA(_xlfn.VALUETOTEXT($A$4),'PREFILL-PIVOT'!$A$3,_xlfn.VALUETOTEXT($A$6),$A137,"Experiment",C$5,"date",C$6))</f>
        <v>#REF!</v>
      </c>
      <c r="D137" t="e">
        <f>IF(GETPIVOTDATA(_xlfn.VALUETOTEXT($A$4),'PREFILL-PIVOT'!$A$3,_xlfn.VALUETOTEXT($A$6),$A137,"Experiment",D$5,"date",D$6)=0,NA(),GETPIVOTDATA(_xlfn.VALUETOTEXT($A$4),'PREFILL-PIVOT'!$A$3,_xlfn.VALUETOTEXT($A$6),$A137,"Experiment",D$5,"date",D$6))</f>
        <v>#REF!</v>
      </c>
      <c r="E137" t="e">
        <f>IF(GETPIVOTDATA(_xlfn.VALUETOTEXT($A$4),'PREFILL-PIVOT'!$A$3,_xlfn.VALUETOTEXT($A$6),$A137,"Experiment",E$5,"date",E$6)=0,NA(),GETPIVOTDATA(_xlfn.VALUETOTEXT($A$4),'PREFILL-PIVOT'!$A$3,_xlfn.VALUETOTEXT($A$6),$A137,"Experiment",E$5,"date",E$6))</f>
        <v>#REF!</v>
      </c>
      <c r="F137" t="e">
        <f>IF(GETPIVOTDATA(_xlfn.VALUETOTEXT($A$4),'PREFILL-PIVOT'!$A$3,_xlfn.VALUETOTEXT($A$6),$A137,"Experiment",F$5,"date",F$6)=0,NA(),GETPIVOTDATA(_xlfn.VALUETOTEXT($A$4),'PREFILL-PIVOT'!$A$3,_xlfn.VALUETOTEXT($A$6),$A137,"Experiment",F$5,"date",F$6))</f>
        <v>#REF!</v>
      </c>
      <c r="G137" t="e">
        <f>IF(GETPIVOTDATA(_xlfn.VALUETOTEXT($A$4),'PREFILL-PIVOT'!$A$3,_xlfn.VALUETOTEXT($A$6),$A137,"Experiment",G$5,"date",G$6)=0,NA(),GETPIVOTDATA(_xlfn.VALUETOTEXT($A$4),'PREFILL-PIVOT'!$A$3,_xlfn.VALUETOTEXT($A$6),$A137,"Experiment",G$5,"date",G$6))</f>
        <v>#REF!</v>
      </c>
      <c r="H137" t="e">
        <f>IF(GETPIVOTDATA(_xlfn.VALUETOTEXT($A$4),'PREFILL-PIVOT'!$A$3,_xlfn.VALUETOTEXT($A$6),$A137,"Experiment",H$5,"date",H$6)=0,NA(),GETPIVOTDATA(_xlfn.VALUETOTEXT($A$4),'PREFILL-PIVOT'!$A$3,_xlfn.VALUETOTEXT($A$6),$A137,"Experiment",H$5,"date",H$6))</f>
        <v>#REF!</v>
      </c>
      <c r="I137" t="e">
        <f>IF(GETPIVOTDATA(_xlfn.VALUETOTEXT($A$4),'PREFILL-PIVOT'!$A$3,_xlfn.VALUETOTEXT($A$6),$A137,"Experiment",I$5,"date",I$6)=0,NA(),GETPIVOTDATA(_xlfn.VALUETOTEXT($A$4),'PREFILL-PIVOT'!$A$3,_xlfn.VALUETOTEXT($A$6),$A137,"Experiment",I$5,"date",I$6))</f>
        <v>#REF!</v>
      </c>
      <c r="J137" t="e">
        <f>IF(GETPIVOTDATA(_xlfn.VALUETOTEXT($A$4),'PREFILL-PIVOT'!$A$3,_xlfn.VALUETOTEXT($A$6),$A137,"Experiment",J$5,"date",J$6)=0,NA(),GETPIVOTDATA(_xlfn.VALUETOTEXT($A$4),'PREFILL-PIVOT'!$A$3,_xlfn.VALUETOTEXT($A$6),$A137,"Experiment",J$5,"date",J$6))</f>
        <v>#REF!</v>
      </c>
      <c r="K137" t="e">
        <f>IF(GETPIVOTDATA(_xlfn.VALUETOTEXT($A$4),'PREFILL-PIVOT'!$A$3,_xlfn.VALUETOTEXT($A$6),$A137,"Experiment",K$5,"date",K$6)=0,NA(),GETPIVOTDATA(_xlfn.VALUETOTEXT($A$4),'PREFILL-PIVOT'!$A$3,_xlfn.VALUETOTEXT($A$6),$A137,"Experiment",K$5,"date",K$6))</f>
        <v>#REF!</v>
      </c>
      <c r="L137" t="e">
        <f>IF(GETPIVOTDATA(_xlfn.VALUETOTEXT($A$4),'PREFILL-PIVOT'!$A$3,_xlfn.VALUETOTEXT($A$6),$A137,"Experiment",L$5,"date",L$6)=0,NA(),GETPIVOTDATA(_xlfn.VALUETOTEXT($A$4),'PREFILL-PIVOT'!$A$3,_xlfn.VALUETOTEXT($A$6),$A137,"Experiment",L$5,"date",L$6))</f>
        <v>#REF!</v>
      </c>
      <c r="M137" t="e">
        <f>IF(GETPIVOTDATA(_xlfn.VALUETOTEXT($A$4),'PREFILL-PIVOT'!$A$3,_xlfn.VALUETOTEXT($A$6),$A137,"Experiment",M$5,"date",M$6)=0,NA(),GETPIVOTDATA(_xlfn.VALUETOTEXT($A$4),'PREFILL-PIVOT'!$A$3,_xlfn.VALUETOTEXT($A$6),$A137,"Experiment",M$5,"date",M$6))</f>
        <v>#REF!</v>
      </c>
    </row>
    <row r="138" spans="1:13" x14ac:dyDescent="0.25">
      <c r="A138" s="222" t="e">
        <f>IF('PREFILL-PIVOT'!A136=0,NA(),'PREFILL-PIVOT'!A136)</f>
        <v>#N/A</v>
      </c>
      <c r="B138" t="e">
        <f>IF(GETPIVOTDATA(_xlfn.VALUETOTEXT($A$4),'PREFILL-PIVOT'!$A$3,_xlfn.VALUETOTEXT($A$6),$A138,"Experiment",B$5,"date",B$6)=0,NA(),GETPIVOTDATA(_xlfn.VALUETOTEXT($A$4),'PREFILL-PIVOT'!$A$3,_xlfn.VALUETOTEXT($A$6),$A138,"Experiment",B$5,"date",B$6))</f>
        <v>#REF!</v>
      </c>
      <c r="C138" t="e">
        <f>IF(GETPIVOTDATA(_xlfn.VALUETOTEXT($A$4),'PREFILL-PIVOT'!$A$3,_xlfn.VALUETOTEXT($A$6),$A138,"Experiment",C$5,"date",C$6)=0,NA(),GETPIVOTDATA(_xlfn.VALUETOTEXT($A$4),'PREFILL-PIVOT'!$A$3,_xlfn.VALUETOTEXT($A$6),$A138,"Experiment",C$5,"date",C$6))</f>
        <v>#REF!</v>
      </c>
      <c r="D138" t="e">
        <f>IF(GETPIVOTDATA(_xlfn.VALUETOTEXT($A$4),'PREFILL-PIVOT'!$A$3,_xlfn.VALUETOTEXT($A$6),$A138,"Experiment",D$5,"date",D$6)=0,NA(),GETPIVOTDATA(_xlfn.VALUETOTEXT($A$4),'PREFILL-PIVOT'!$A$3,_xlfn.VALUETOTEXT($A$6),$A138,"Experiment",D$5,"date",D$6))</f>
        <v>#REF!</v>
      </c>
      <c r="E138" t="e">
        <f>IF(GETPIVOTDATA(_xlfn.VALUETOTEXT($A$4),'PREFILL-PIVOT'!$A$3,_xlfn.VALUETOTEXT($A$6),$A138,"Experiment",E$5,"date",E$6)=0,NA(),GETPIVOTDATA(_xlfn.VALUETOTEXT($A$4),'PREFILL-PIVOT'!$A$3,_xlfn.VALUETOTEXT($A$6),$A138,"Experiment",E$5,"date",E$6))</f>
        <v>#REF!</v>
      </c>
      <c r="F138" t="e">
        <f>IF(GETPIVOTDATA(_xlfn.VALUETOTEXT($A$4),'PREFILL-PIVOT'!$A$3,_xlfn.VALUETOTEXT($A$6),$A138,"Experiment",F$5,"date",F$6)=0,NA(),GETPIVOTDATA(_xlfn.VALUETOTEXT($A$4),'PREFILL-PIVOT'!$A$3,_xlfn.VALUETOTEXT($A$6),$A138,"Experiment",F$5,"date",F$6))</f>
        <v>#REF!</v>
      </c>
      <c r="G138" t="e">
        <f>IF(GETPIVOTDATA(_xlfn.VALUETOTEXT($A$4),'PREFILL-PIVOT'!$A$3,_xlfn.VALUETOTEXT($A$6),$A138,"Experiment",G$5,"date",G$6)=0,NA(),GETPIVOTDATA(_xlfn.VALUETOTEXT($A$4),'PREFILL-PIVOT'!$A$3,_xlfn.VALUETOTEXT($A$6),$A138,"Experiment",G$5,"date",G$6))</f>
        <v>#REF!</v>
      </c>
      <c r="H138" t="e">
        <f>IF(GETPIVOTDATA(_xlfn.VALUETOTEXT($A$4),'PREFILL-PIVOT'!$A$3,_xlfn.VALUETOTEXT($A$6),$A138,"Experiment",H$5,"date",H$6)=0,NA(),GETPIVOTDATA(_xlfn.VALUETOTEXT($A$4),'PREFILL-PIVOT'!$A$3,_xlfn.VALUETOTEXT($A$6),$A138,"Experiment",H$5,"date",H$6))</f>
        <v>#REF!</v>
      </c>
      <c r="I138" t="e">
        <f>IF(GETPIVOTDATA(_xlfn.VALUETOTEXT($A$4),'PREFILL-PIVOT'!$A$3,_xlfn.VALUETOTEXT($A$6),$A138,"Experiment",I$5,"date",I$6)=0,NA(),GETPIVOTDATA(_xlfn.VALUETOTEXT($A$4),'PREFILL-PIVOT'!$A$3,_xlfn.VALUETOTEXT($A$6),$A138,"Experiment",I$5,"date",I$6))</f>
        <v>#REF!</v>
      </c>
      <c r="J138" t="e">
        <f>IF(GETPIVOTDATA(_xlfn.VALUETOTEXT($A$4),'PREFILL-PIVOT'!$A$3,_xlfn.VALUETOTEXT($A$6),$A138,"Experiment",J$5,"date",J$6)=0,NA(),GETPIVOTDATA(_xlfn.VALUETOTEXT($A$4),'PREFILL-PIVOT'!$A$3,_xlfn.VALUETOTEXT($A$6),$A138,"Experiment",J$5,"date",J$6))</f>
        <v>#REF!</v>
      </c>
      <c r="K138" t="e">
        <f>IF(GETPIVOTDATA(_xlfn.VALUETOTEXT($A$4),'PREFILL-PIVOT'!$A$3,_xlfn.VALUETOTEXT($A$6),$A138,"Experiment",K$5,"date",K$6)=0,NA(),GETPIVOTDATA(_xlfn.VALUETOTEXT($A$4),'PREFILL-PIVOT'!$A$3,_xlfn.VALUETOTEXT($A$6),$A138,"Experiment",K$5,"date",K$6))</f>
        <v>#REF!</v>
      </c>
      <c r="L138" t="e">
        <f>IF(GETPIVOTDATA(_xlfn.VALUETOTEXT($A$4),'PREFILL-PIVOT'!$A$3,_xlfn.VALUETOTEXT($A$6),$A138,"Experiment",L$5,"date",L$6)=0,NA(),GETPIVOTDATA(_xlfn.VALUETOTEXT($A$4),'PREFILL-PIVOT'!$A$3,_xlfn.VALUETOTEXT($A$6),$A138,"Experiment",L$5,"date",L$6))</f>
        <v>#REF!</v>
      </c>
      <c r="M138" t="e">
        <f>IF(GETPIVOTDATA(_xlfn.VALUETOTEXT($A$4),'PREFILL-PIVOT'!$A$3,_xlfn.VALUETOTEXT($A$6),$A138,"Experiment",M$5,"date",M$6)=0,NA(),GETPIVOTDATA(_xlfn.VALUETOTEXT($A$4),'PREFILL-PIVOT'!$A$3,_xlfn.VALUETOTEXT($A$6),$A138,"Experiment",M$5,"date",M$6))</f>
        <v>#REF!</v>
      </c>
    </row>
    <row r="139" spans="1:13" x14ac:dyDescent="0.25">
      <c r="A139" s="222" t="e">
        <f>IF('PREFILL-PIVOT'!A137=0,NA(),'PREFILL-PIVOT'!A137)</f>
        <v>#N/A</v>
      </c>
      <c r="B139" t="e">
        <f>IF(GETPIVOTDATA(_xlfn.VALUETOTEXT($A$4),'PREFILL-PIVOT'!$A$3,_xlfn.VALUETOTEXT($A$6),$A139,"Experiment",B$5,"date",B$6)=0,NA(),GETPIVOTDATA(_xlfn.VALUETOTEXT($A$4),'PREFILL-PIVOT'!$A$3,_xlfn.VALUETOTEXT($A$6),$A139,"Experiment",B$5,"date",B$6))</f>
        <v>#REF!</v>
      </c>
      <c r="C139" t="e">
        <f>IF(GETPIVOTDATA(_xlfn.VALUETOTEXT($A$4),'PREFILL-PIVOT'!$A$3,_xlfn.VALUETOTEXT($A$6),$A139,"Experiment",C$5,"date",C$6)=0,NA(),GETPIVOTDATA(_xlfn.VALUETOTEXT($A$4),'PREFILL-PIVOT'!$A$3,_xlfn.VALUETOTEXT($A$6),$A139,"Experiment",C$5,"date",C$6))</f>
        <v>#REF!</v>
      </c>
      <c r="D139" t="e">
        <f>IF(GETPIVOTDATA(_xlfn.VALUETOTEXT($A$4),'PREFILL-PIVOT'!$A$3,_xlfn.VALUETOTEXT($A$6),$A139,"Experiment",D$5,"date",D$6)=0,NA(),GETPIVOTDATA(_xlfn.VALUETOTEXT($A$4),'PREFILL-PIVOT'!$A$3,_xlfn.VALUETOTEXT($A$6),$A139,"Experiment",D$5,"date",D$6))</f>
        <v>#REF!</v>
      </c>
      <c r="E139" t="e">
        <f>IF(GETPIVOTDATA(_xlfn.VALUETOTEXT($A$4),'PREFILL-PIVOT'!$A$3,_xlfn.VALUETOTEXT($A$6),$A139,"Experiment",E$5,"date",E$6)=0,NA(),GETPIVOTDATA(_xlfn.VALUETOTEXT($A$4),'PREFILL-PIVOT'!$A$3,_xlfn.VALUETOTEXT($A$6),$A139,"Experiment",E$5,"date",E$6))</f>
        <v>#REF!</v>
      </c>
      <c r="F139" t="e">
        <f>IF(GETPIVOTDATA(_xlfn.VALUETOTEXT($A$4),'PREFILL-PIVOT'!$A$3,_xlfn.VALUETOTEXT($A$6),$A139,"Experiment",F$5,"date",F$6)=0,NA(),GETPIVOTDATA(_xlfn.VALUETOTEXT($A$4),'PREFILL-PIVOT'!$A$3,_xlfn.VALUETOTEXT($A$6),$A139,"Experiment",F$5,"date",F$6))</f>
        <v>#REF!</v>
      </c>
      <c r="G139" t="e">
        <f>IF(GETPIVOTDATA(_xlfn.VALUETOTEXT($A$4),'PREFILL-PIVOT'!$A$3,_xlfn.VALUETOTEXT($A$6),$A139,"Experiment",G$5,"date",G$6)=0,NA(),GETPIVOTDATA(_xlfn.VALUETOTEXT($A$4),'PREFILL-PIVOT'!$A$3,_xlfn.VALUETOTEXT($A$6),$A139,"Experiment",G$5,"date",G$6))</f>
        <v>#REF!</v>
      </c>
      <c r="H139" t="e">
        <f>IF(GETPIVOTDATA(_xlfn.VALUETOTEXT($A$4),'PREFILL-PIVOT'!$A$3,_xlfn.VALUETOTEXT($A$6),$A139,"Experiment",H$5,"date",H$6)=0,NA(),GETPIVOTDATA(_xlfn.VALUETOTEXT($A$4),'PREFILL-PIVOT'!$A$3,_xlfn.VALUETOTEXT($A$6),$A139,"Experiment",H$5,"date",H$6))</f>
        <v>#REF!</v>
      </c>
      <c r="I139" t="e">
        <f>IF(GETPIVOTDATA(_xlfn.VALUETOTEXT($A$4),'PREFILL-PIVOT'!$A$3,_xlfn.VALUETOTEXT($A$6),$A139,"Experiment",I$5,"date",I$6)=0,NA(),GETPIVOTDATA(_xlfn.VALUETOTEXT($A$4),'PREFILL-PIVOT'!$A$3,_xlfn.VALUETOTEXT($A$6),$A139,"Experiment",I$5,"date",I$6))</f>
        <v>#REF!</v>
      </c>
      <c r="J139" t="e">
        <f>IF(GETPIVOTDATA(_xlfn.VALUETOTEXT($A$4),'PREFILL-PIVOT'!$A$3,_xlfn.VALUETOTEXT($A$6),$A139,"Experiment",J$5,"date",J$6)=0,NA(),GETPIVOTDATA(_xlfn.VALUETOTEXT($A$4),'PREFILL-PIVOT'!$A$3,_xlfn.VALUETOTEXT($A$6),$A139,"Experiment",J$5,"date",J$6))</f>
        <v>#REF!</v>
      </c>
      <c r="K139" t="e">
        <f>IF(GETPIVOTDATA(_xlfn.VALUETOTEXT($A$4),'PREFILL-PIVOT'!$A$3,_xlfn.VALUETOTEXT($A$6),$A139,"Experiment",K$5,"date",K$6)=0,NA(),GETPIVOTDATA(_xlfn.VALUETOTEXT($A$4),'PREFILL-PIVOT'!$A$3,_xlfn.VALUETOTEXT($A$6),$A139,"Experiment",K$5,"date",K$6))</f>
        <v>#REF!</v>
      </c>
      <c r="L139" t="e">
        <f>IF(GETPIVOTDATA(_xlfn.VALUETOTEXT($A$4),'PREFILL-PIVOT'!$A$3,_xlfn.VALUETOTEXT($A$6),$A139,"Experiment",L$5,"date",L$6)=0,NA(),GETPIVOTDATA(_xlfn.VALUETOTEXT($A$4),'PREFILL-PIVOT'!$A$3,_xlfn.VALUETOTEXT($A$6),$A139,"Experiment",L$5,"date",L$6))</f>
        <v>#REF!</v>
      </c>
      <c r="M139" t="e">
        <f>IF(GETPIVOTDATA(_xlfn.VALUETOTEXT($A$4),'PREFILL-PIVOT'!$A$3,_xlfn.VALUETOTEXT($A$6),$A139,"Experiment",M$5,"date",M$6)=0,NA(),GETPIVOTDATA(_xlfn.VALUETOTEXT($A$4),'PREFILL-PIVOT'!$A$3,_xlfn.VALUETOTEXT($A$6),$A139,"Experiment",M$5,"date",M$6))</f>
        <v>#REF!</v>
      </c>
    </row>
    <row r="140" spans="1:13" x14ac:dyDescent="0.25">
      <c r="A140" s="222" t="e">
        <f>IF('PREFILL-PIVOT'!A138=0,NA(),'PREFILL-PIVOT'!A138)</f>
        <v>#N/A</v>
      </c>
      <c r="B140" t="e">
        <f>IF(GETPIVOTDATA(_xlfn.VALUETOTEXT($A$4),'PREFILL-PIVOT'!$A$3,_xlfn.VALUETOTEXT($A$6),$A140,"Experiment",B$5,"date",B$6)=0,NA(),GETPIVOTDATA(_xlfn.VALUETOTEXT($A$4),'PREFILL-PIVOT'!$A$3,_xlfn.VALUETOTEXT($A$6),$A140,"Experiment",B$5,"date",B$6))</f>
        <v>#REF!</v>
      </c>
      <c r="C140" t="e">
        <f>IF(GETPIVOTDATA(_xlfn.VALUETOTEXT($A$4),'PREFILL-PIVOT'!$A$3,_xlfn.VALUETOTEXT($A$6),$A140,"Experiment",C$5,"date",C$6)=0,NA(),GETPIVOTDATA(_xlfn.VALUETOTEXT($A$4),'PREFILL-PIVOT'!$A$3,_xlfn.VALUETOTEXT($A$6),$A140,"Experiment",C$5,"date",C$6))</f>
        <v>#REF!</v>
      </c>
      <c r="D140" t="e">
        <f>IF(GETPIVOTDATA(_xlfn.VALUETOTEXT($A$4),'PREFILL-PIVOT'!$A$3,_xlfn.VALUETOTEXT($A$6),$A140,"Experiment",D$5,"date",D$6)=0,NA(),GETPIVOTDATA(_xlfn.VALUETOTEXT($A$4),'PREFILL-PIVOT'!$A$3,_xlfn.VALUETOTEXT($A$6),$A140,"Experiment",D$5,"date",D$6))</f>
        <v>#REF!</v>
      </c>
      <c r="E140" t="e">
        <f>IF(GETPIVOTDATA(_xlfn.VALUETOTEXT($A$4),'PREFILL-PIVOT'!$A$3,_xlfn.VALUETOTEXT($A$6),$A140,"Experiment",E$5,"date",E$6)=0,NA(),GETPIVOTDATA(_xlfn.VALUETOTEXT($A$4),'PREFILL-PIVOT'!$A$3,_xlfn.VALUETOTEXT($A$6),$A140,"Experiment",E$5,"date",E$6))</f>
        <v>#REF!</v>
      </c>
      <c r="F140" t="e">
        <f>IF(GETPIVOTDATA(_xlfn.VALUETOTEXT($A$4),'PREFILL-PIVOT'!$A$3,_xlfn.VALUETOTEXT($A$6),$A140,"Experiment",F$5,"date",F$6)=0,NA(),GETPIVOTDATA(_xlfn.VALUETOTEXT($A$4),'PREFILL-PIVOT'!$A$3,_xlfn.VALUETOTEXT($A$6),$A140,"Experiment",F$5,"date",F$6))</f>
        <v>#REF!</v>
      </c>
      <c r="G140" t="e">
        <f>IF(GETPIVOTDATA(_xlfn.VALUETOTEXT($A$4),'PREFILL-PIVOT'!$A$3,_xlfn.VALUETOTEXT($A$6),$A140,"Experiment",G$5,"date",G$6)=0,NA(),GETPIVOTDATA(_xlfn.VALUETOTEXT($A$4),'PREFILL-PIVOT'!$A$3,_xlfn.VALUETOTEXT($A$6),$A140,"Experiment",G$5,"date",G$6))</f>
        <v>#REF!</v>
      </c>
      <c r="H140" t="e">
        <f>IF(GETPIVOTDATA(_xlfn.VALUETOTEXT($A$4),'PREFILL-PIVOT'!$A$3,_xlfn.VALUETOTEXT($A$6),$A140,"Experiment",H$5,"date",H$6)=0,NA(),GETPIVOTDATA(_xlfn.VALUETOTEXT($A$4),'PREFILL-PIVOT'!$A$3,_xlfn.VALUETOTEXT($A$6),$A140,"Experiment",H$5,"date",H$6))</f>
        <v>#REF!</v>
      </c>
      <c r="I140" t="e">
        <f>IF(GETPIVOTDATA(_xlfn.VALUETOTEXT($A$4),'PREFILL-PIVOT'!$A$3,_xlfn.VALUETOTEXT($A$6),$A140,"Experiment",I$5,"date",I$6)=0,NA(),GETPIVOTDATA(_xlfn.VALUETOTEXT($A$4),'PREFILL-PIVOT'!$A$3,_xlfn.VALUETOTEXT($A$6),$A140,"Experiment",I$5,"date",I$6))</f>
        <v>#REF!</v>
      </c>
      <c r="J140" t="e">
        <f>IF(GETPIVOTDATA(_xlfn.VALUETOTEXT($A$4),'PREFILL-PIVOT'!$A$3,_xlfn.VALUETOTEXT($A$6),$A140,"Experiment",J$5,"date",J$6)=0,NA(),GETPIVOTDATA(_xlfn.VALUETOTEXT($A$4),'PREFILL-PIVOT'!$A$3,_xlfn.VALUETOTEXT($A$6),$A140,"Experiment",J$5,"date",J$6))</f>
        <v>#REF!</v>
      </c>
      <c r="K140" t="e">
        <f>IF(GETPIVOTDATA(_xlfn.VALUETOTEXT($A$4),'PREFILL-PIVOT'!$A$3,_xlfn.VALUETOTEXT($A$6),$A140,"Experiment",K$5,"date",K$6)=0,NA(),GETPIVOTDATA(_xlfn.VALUETOTEXT($A$4),'PREFILL-PIVOT'!$A$3,_xlfn.VALUETOTEXT($A$6),$A140,"Experiment",K$5,"date",K$6))</f>
        <v>#REF!</v>
      </c>
      <c r="L140" t="e">
        <f>IF(GETPIVOTDATA(_xlfn.VALUETOTEXT($A$4),'PREFILL-PIVOT'!$A$3,_xlfn.VALUETOTEXT($A$6),$A140,"Experiment",L$5,"date",L$6)=0,NA(),GETPIVOTDATA(_xlfn.VALUETOTEXT($A$4),'PREFILL-PIVOT'!$A$3,_xlfn.VALUETOTEXT($A$6),$A140,"Experiment",L$5,"date",L$6))</f>
        <v>#REF!</v>
      </c>
      <c r="M140" t="e">
        <f>IF(GETPIVOTDATA(_xlfn.VALUETOTEXT($A$4),'PREFILL-PIVOT'!$A$3,_xlfn.VALUETOTEXT($A$6),$A140,"Experiment",M$5,"date",M$6)=0,NA(),GETPIVOTDATA(_xlfn.VALUETOTEXT($A$4),'PREFILL-PIVOT'!$A$3,_xlfn.VALUETOTEXT($A$6),$A140,"Experiment",M$5,"date",M$6))</f>
        <v>#REF!</v>
      </c>
    </row>
    <row r="141" spans="1:13" x14ac:dyDescent="0.25">
      <c r="A141" s="222" t="e">
        <f>IF('PREFILL-PIVOT'!A139=0,NA(),'PREFILL-PIVOT'!A139)</f>
        <v>#N/A</v>
      </c>
      <c r="B141" t="e">
        <f>IF(GETPIVOTDATA(_xlfn.VALUETOTEXT($A$4),'PREFILL-PIVOT'!$A$3,_xlfn.VALUETOTEXT($A$6),$A141,"Experiment",B$5,"date",B$6)=0,NA(),GETPIVOTDATA(_xlfn.VALUETOTEXT($A$4),'PREFILL-PIVOT'!$A$3,_xlfn.VALUETOTEXT($A$6),$A141,"Experiment",B$5,"date",B$6))</f>
        <v>#REF!</v>
      </c>
      <c r="C141" t="e">
        <f>IF(GETPIVOTDATA(_xlfn.VALUETOTEXT($A$4),'PREFILL-PIVOT'!$A$3,_xlfn.VALUETOTEXT($A$6),$A141,"Experiment",C$5,"date",C$6)=0,NA(),GETPIVOTDATA(_xlfn.VALUETOTEXT($A$4),'PREFILL-PIVOT'!$A$3,_xlfn.VALUETOTEXT($A$6),$A141,"Experiment",C$5,"date",C$6))</f>
        <v>#REF!</v>
      </c>
      <c r="D141" t="e">
        <f>IF(GETPIVOTDATA(_xlfn.VALUETOTEXT($A$4),'PREFILL-PIVOT'!$A$3,_xlfn.VALUETOTEXT($A$6),$A141,"Experiment",D$5,"date",D$6)=0,NA(),GETPIVOTDATA(_xlfn.VALUETOTEXT($A$4),'PREFILL-PIVOT'!$A$3,_xlfn.VALUETOTEXT($A$6),$A141,"Experiment",D$5,"date",D$6))</f>
        <v>#REF!</v>
      </c>
      <c r="E141" t="e">
        <f>IF(GETPIVOTDATA(_xlfn.VALUETOTEXT($A$4),'PREFILL-PIVOT'!$A$3,_xlfn.VALUETOTEXT($A$6),$A141,"Experiment",E$5,"date",E$6)=0,NA(),GETPIVOTDATA(_xlfn.VALUETOTEXT($A$4),'PREFILL-PIVOT'!$A$3,_xlfn.VALUETOTEXT($A$6),$A141,"Experiment",E$5,"date",E$6))</f>
        <v>#REF!</v>
      </c>
      <c r="F141" t="e">
        <f>IF(GETPIVOTDATA(_xlfn.VALUETOTEXT($A$4),'PREFILL-PIVOT'!$A$3,_xlfn.VALUETOTEXT($A$6),$A141,"Experiment",F$5,"date",F$6)=0,NA(),GETPIVOTDATA(_xlfn.VALUETOTEXT($A$4),'PREFILL-PIVOT'!$A$3,_xlfn.VALUETOTEXT($A$6),$A141,"Experiment",F$5,"date",F$6))</f>
        <v>#REF!</v>
      </c>
      <c r="G141" t="e">
        <f>IF(GETPIVOTDATA(_xlfn.VALUETOTEXT($A$4),'PREFILL-PIVOT'!$A$3,_xlfn.VALUETOTEXT($A$6),$A141,"Experiment",G$5,"date",G$6)=0,NA(),GETPIVOTDATA(_xlfn.VALUETOTEXT($A$4),'PREFILL-PIVOT'!$A$3,_xlfn.VALUETOTEXT($A$6),$A141,"Experiment",G$5,"date",G$6))</f>
        <v>#REF!</v>
      </c>
      <c r="H141" t="e">
        <f>IF(GETPIVOTDATA(_xlfn.VALUETOTEXT($A$4),'PREFILL-PIVOT'!$A$3,_xlfn.VALUETOTEXT($A$6),$A141,"Experiment",H$5,"date",H$6)=0,NA(),GETPIVOTDATA(_xlfn.VALUETOTEXT($A$4),'PREFILL-PIVOT'!$A$3,_xlfn.VALUETOTEXT($A$6),$A141,"Experiment",H$5,"date",H$6))</f>
        <v>#REF!</v>
      </c>
      <c r="I141" t="e">
        <f>IF(GETPIVOTDATA(_xlfn.VALUETOTEXT($A$4),'PREFILL-PIVOT'!$A$3,_xlfn.VALUETOTEXT($A$6),$A141,"Experiment",I$5,"date",I$6)=0,NA(),GETPIVOTDATA(_xlfn.VALUETOTEXT($A$4),'PREFILL-PIVOT'!$A$3,_xlfn.VALUETOTEXT($A$6),$A141,"Experiment",I$5,"date",I$6))</f>
        <v>#REF!</v>
      </c>
      <c r="J141" t="e">
        <f>IF(GETPIVOTDATA(_xlfn.VALUETOTEXT($A$4),'PREFILL-PIVOT'!$A$3,_xlfn.VALUETOTEXT($A$6),$A141,"Experiment",J$5,"date",J$6)=0,NA(),GETPIVOTDATA(_xlfn.VALUETOTEXT($A$4),'PREFILL-PIVOT'!$A$3,_xlfn.VALUETOTEXT($A$6),$A141,"Experiment",J$5,"date",J$6))</f>
        <v>#REF!</v>
      </c>
      <c r="K141" t="e">
        <f>IF(GETPIVOTDATA(_xlfn.VALUETOTEXT($A$4),'PREFILL-PIVOT'!$A$3,_xlfn.VALUETOTEXT($A$6),$A141,"Experiment",K$5,"date",K$6)=0,NA(),GETPIVOTDATA(_xlfn.VALUETOTEXT($A$4),'PREFILL-PIVOT'!$A$3,_xlfn.VALUETOTEXT($A$6),$A141,"Experiment",K$5,"date",K$6))</f>
        <v>#REF!</v>
      </c>
      <c r="L141" t="e">
        <f>IF(GETPIVOTDATA(_xlfn.VALUETOTEXT($A$4),'PREFILL-PIVOT'!$A$3,_xlfn.VALUETOTEXT($A$6),$A141,"Experiment",L$5,"date",L$6)=0,NA(),GETPIVOTDATA(_xlfn.VALUETOTEXT($A$4),'PREFILL-PIVOT'!$A$3,_xlfn.VALUETOTEXT($A$6),$A141,"Experiment",L$5,"date",L$6))</f>
        <v>#REF!</v>
      </c>
      <c r="M141" t="e">
        <f>IF(GETPIVOTDATA(_xlfn.VALUETOTEXT($A$4),'PREFILL-PIVOT'!$A$3,_xlfn.VALUETOTEXT($A$6),$A141,"Experiment",M$5,"date",M$6)=0,NA(),GETPIVOTDATA(_xlfn.VALUETOTEXT($A$4),'PREFILL-PIVOT'!$A$3,_xlfn.VALUETOTEXT($A$6),$A141,"Experiment",M$5,"date",M$6))</f>
        <v>#REF!</v>
      </c>
    </row>
    <row r="142" spans="1:13" x14ac:dyDescent="0.25">
      <c r="A142" s="222" t="e">
        <f>IF('PREFILL-PIVOT'!A140=0,NA(),'PREFILL-PIVOT'!A140)</f>
        <v>#N/A</v>
      </c>
      <c r="B142" t="e">
        <f>IF(GETPIVOTDATA(_xlfn.VALUETOTEXT($A$4),'PREFILL-PIVOT'!$A$3,_xlfn.VALUETOTEXT($A$6),$A142,"Experiment",B$5,"date",B$6)=0,NA(),GETPIVOTDATA(_xlfn.VALUETOTEXT($A$4),'PREFILL-PIVOT'!$A$3,_xlfn.VALUETOTEXT($A$6),$A142,"Experiment",B$5,"date",B$6))</f>
        <v>#REF!</v>
      </c>
      <c r="C142" t="e">
        <f>IF(GETPIVOTDATA(_xlfn.VALUETOTEXT($A$4),'PREFILL-PIVOT'!$A$3,_xlfn.VALUETOTEXT($A$6),$A142,"Experiment",C$5,"date",C$6)=0,NA(),GETPIVOTDATA(_xlfn.VALUETOTEXT($A$4),'PREFILL-PIVOT'!$A$3,_xlfn.VALUETOTEXT($A$6),$A142,"Experiment",C$5,"date",C$6))</f>
        <v>#REF!</v>
      </c>
      <c r="D142" t="e">
        <f>IF(GETPIVOTDATA(_xlfn.VALUETOTEXT($A$4),'PREFILL-PIVOT'!$A$3,_xlfn.VALUETOTEXT($A$6),$A142,"Experiment",D$5,"date",D$6)=0,NA(),GETPIVOTDATA(_xlfn.VALUETOTEXT($A$4),'PREFILL-PIVOT'!$A$3,_xlfn.VALUETOTEXT($A$6),$A142,"Experiment",D$5,"date",D$6))</f>
        <v>#REF!</v>
      </c>
      <c r="E142" t="e">
        <f>IF(GETPIVOTDATA(_xlfn.VALUETOTEXT($A$4),'PREFILL-PIVOT'!$A$3,_xlfn.VALUETOTEXT($A$6),$A142,"Experiment",E$5,"date",E$6)=0,NA(),GETPIVOTDATA(_xlfn.VALUETOTEXT($A$4),'PREFILL-PIVOT'!$A$3,_xlfn.VALUETOTEXT($A$6),$A142,"Experiment",E$5,"date",E$6))</f>
        <v>#REF!</v>
      </c>
      <c r="F142" t="e">
        <f>IF(GETPIVOTDATA(_xlfn.VALUETOTEXT($A$4),'PREFILL-PIVOT'!$A$3,_xlfn.VALUETOTEXT($A$6),$A142,"Experiment",F$5,"date",F$6)=0,NA(),GETPIVOTDATA(_xlfn.VALUETOTEXT($A$4),'PREFILL-PIVOT'!$A$3,_xlfn.VALUETOTEXT($A$6),$A142,"Experiment",F$5,"date",F$6))</f>
        <v>#REF!</v>
      </c>
      <c r="G142" t="e">
        <f>IF(GETPIVOTDATA(_xlfn.VALUETOTEXT($A$4),'PREFILL-PIVOT'!$A$3,_xlfn.VALUETOTEXT($A$6),$A142,"Experiment",G$5,"date",G$6)=0,NA(),GETPIVOTDATA(_xlfn.VALUETOTEXT($A$4),'PREFILL-PIVOT'!$A$3,_xlfn.VALUETOTEXT($A$6),$A142,"Experiment",G$5,"date",G$6))</f>
        <v>#REF!</v>
      </c>
      <c r="H142" t="e">
        <f>IF(GETPIVOTDATA(_xlfn.VALUETOTEXT($A$4),'PREFILL-PIVOT'!$A$3,_xlfn.VALUETOTEXT($A$6),$A142,"Experiment",H$5,"date",H$6)=0,NA(),GETPIVOTDATA(_xlfn.VALUETOTEXT($A$4),'PREFILL-PIVOT'!$A$3,_xlfn.VALUETOTEXT($A$6),$A142,"Experiment",H$5,"date",H$6))</f>
        <v>#REF!</v>
      </c>
      <c r="I142" t="e">
        <f>IF(GETPIVOTDATA(_xlfn.VALUETOTEXT($A$4),'PREFILL-PIVOT'!$A$3,_xlfn.VALUETOTEXT($A$6),$A142,"Experiment",I$5,"date",I$6)=0,NA(),GETPIVOTDATA(_xlfn.VALUETOTEXT($A$4),'PREFILL-PIVOT'!$A$3,_xlfn.VALUETOTEXT($A$6),$A142,"Experiment",I$5,"date",I$6))</f>
        <v>#REF!</v>
      </c>
      <c r="J142" t="e">
        <f>IF(GETPIVOTDATA(_xlfn.VALUETOTEXT($A$4),'PREFILL-PIVOT'!$A$3,_xlfn.VALUETOTEXT($A$6),$A142,"Experiment",J$5,"date",J$6)=0,NA(),GETPIVOTDATA(_xlfn.VALUETOTEXT($A$4),'PREFILL-PIVOT'!$A$3,_xlfn.VALUETOTEXT($A$6),$A142,"Experiment",J$5,"date",J$6))</f>
        <v>#REF!</v>
      </c>
      <c r="K142" t="e">
        <f>IF(GETPIVOTDATA(_xlfn.VALUETOTEXT($A$4),'PREFILL-PIVOT'!$A$3,_xlfn.VALUETOTEXT($A$6),$A142,"Experiment",K$5,"date",K$6)=0,NA(),GETPIVOTDATA(_xlfn.VALUETOTEXT($A$4),'PREFILL-PIVOT'!$A$3,_xlfn.VALUETOTEXT($A$6),$A142,"Experiment",K$5,"date",K$6))</f>
        <v>#REF!</v>
      </c>
      <c r="L142" t="e">
        <f>IF(GETPIVOTDATA(_xlfn.VALUETOTEXT($A$4),'PREFILL-PIVOT'!$A$3,_xlfn.VALUETOTEXT($A$6),$A142,"Experiment",L$5,"date",L$6)=0,NA(),GETPIVOTDATA(_xlfn.VALUETOTEXT($A$4),'PREFILL-PIVOT'!$A$3,_xlfn.VALUETOTEXT($A$6),$A142,"Experiment",L$5,"date",L$6))</f>
        <v>#REF!</v>
      </c>
      <c r="M142" t="e">
        <f>IF(GETPIVOTDATA(_xlfn.VALUETOTEXT($A$4),'PREFILL-PIVOT'!$A$3,_xlfn.VALUETOTEXT($A$6),$A142,"Experiment",M$5,"date",M$6)=0,NA(),GETPIVOTDATA(_xlfn.VALUETOTEXT($A$4),'PREFILL-PIVOT'!$A$3,_xlfn.VALUETOTEXT($A$6),$A142,"Experiment",M$5,"date",M$6))</f>
        <v>#REF!</v>
      </c>
    </row>
    <row r="143" spans="1:13" x14ac:dyDescent="0.25">
      <c r="A143" s="222" t="e">
        <f>IF('PREFILL-PIVOT'!A141=0,NA(),'PREFILL-PIVOT'!A141)</f>
        <v>#N/A</v>
      </c>
      <c r="B143" t="e">
        <f>IF(GETPIVOTDATA(_xlfn.VALUETOTEXT($A$4),'PREFILL-PIVOT'!$A$3,_xlfn.VALUETOTEXT($A$6),$A143,"Experiment",B$5,"date",B$6)=0,NA(),GETPIVOTDATA(_xlfn.VALUETOTEXT($A$4),'PREFILL-PIVOT'!$A$3,_xlfn.VALUETOTEXT($A$6),$A143,"Experiment",B$5,"date",B$6))</f>
        <v>#REF!</v>
      </c>
      <c r="C143" t="e">
        <f>IF(GETPIVOTDATA(_xlfn.VALUETOTEXT($A$4),'PREFILL-PIVOT'!$A$3,_xlfn.VALUETOTEXT($A$6),$A143,"Experiment",C$5,"date",C$6)=0,NA(),GETPIVOTDATA(_xlfn.VALUETOTEXT($A$4),'PREFILL-PIVOT'!$A$3,_xlfn.VALUETOTEXT($A$6),$A143,"Experiment",C$5,"date",C$6))</f>
        <v>#REF!</v>
      </c>
      <c r="D143" t="e">
        <f>IF(GETPIVOTDATA(_xlfn.VALUETOTEXT($A$4),'PREFILL-PIVOT'!$A$3,_xlfn.VALUETOTEXT($A$6),$A143,"Experiment",D$5,"date",D$6)=0,NA(),GETPIVOTDATA(_xlfn.VALUETOTEXT($A$4),'PREFILL-PIVOT'!$A$3,_xlfn.VALUETOTEXT($A$6),$A143,"Experiment",D$5,"date",D$6))</f>
        <v>#REF!</v>
      </c>
      <c r="E143" t="e">
        <f>IF(GETPIVOTDATA(_xlfn.VALUETOTEXT($A$4),'PREFILL-PIVOT'!$A$3,_xlfn.VALUETOTEXT($A$6),$A143,"Experiment",E$5,"date",E$6)=0,NA(),GETPIVOTDATA(_xlfn.VALUETOTEXT($A$4),'PREFILL-PIVOT'!$A$3,_xlfn.VALUETOTEXT($A$6),$A143,"Experiment",E$5,"date",E$6))</f>
        <v>#REF!</v>
      </c>
      <c r="F143" t="e">
        <f>IF(GETPIVOTDATA(_xlfn.VALUETOTEXT($A$4),'PREFILL-PIVOT'!$A$3,_xlfn.VALUETOTEXT($A$6),$A143,"Experiment",F$5,"date",F$6)=0,NA(),GETPIVOTDATA(_xlfn.VALUETOTEXT($A$4),'PREFILL-PIVOT'!$A$3,_xlfn.VALUETOTEXT($A$6),$A143,"Experiment",F$5,"date",F$6))</f>
        <v>#REF!</v>
      </c>
      <c r="G143" t="e">
        <f>IF(GETPIVOTDATA(_xlfn.VALUETOTEXT($A$4),'PREFILL-PIVOT'!$A$3,_xlfn.VALUETOTEXT($A$6),$A143,"Experiment",G$5,"date",G$6)=0,NA(),GETPIVOTDATA(_xlfn.VALUETOTEXT($A$4),'PREFILL-PIVOT'!$A$3,_xlfn.VALUETOTEXT($A$6),$A143,"Experiment",G$5,"date",G$6))</f>
        <v>#REF!</v>
      </c>
      <c r="H143" t="e">
        <f>IF(GETPIVOTDATA(_xlfn.VALUETOTEXT($A$4),'PREFILL-PIVOT'!$A$3,_xlfn.VALUETOTEXT($A$6),$A143,"Experiment",H$5,"date",H$6)=0,NA(),GETPIVOTDATA(_xlfn.VALUETOTEXT($A$4),'PREFILL-PIVOT'!$A$3,_xlfn.VALUETOTEXT($A$6),$A143,"Experiment",H$5,"date",H$6))</f>
        <v>#REF!</v>
      </c>
      <c r="I143" t="e">
        <f>IF(GETPIVOTDATA(_xlfn.VALUETOTEXT($A$4),'PREFILL-PIVOT'!$A$3,_xlfn.VALUETOTEXT($A$6),$A143,"Experiment",I$5,"date",I$6)=0,NA(),GETPIVOTDATA(_xlfn.VALUETOTEXT($A$4),'PREFILL-PIVOT'!$A$3,_xlfn.VALUETOTEXT($A$6),$A143,"Experiment",I$5,"date",I$6))</f>
        <v>#REF!</v>
      </c>
      <c r="J143" t="e">
        <f>IF(GETPIVOTDATA(_xlfn.VALUETOTEXT($A$4),'PREFILL-PIVOT'!$A$3,_xlfn.VALUETOTEXT($A$6),$A143,"Experiment",J$5,"date",J$6)=0,NA(),GETPIVOTDATA(_xlfn.VALUETOTEXT($A$4),'PREFILL-PIVOT'!$A$3,_xlfn.VALUETOTEXT($A$6),$A143,"Experiment",J$5,"date",J$6))</f>
        <v>#REF!</v>
      </c>
      <c r="K143" t="e">
        <f>IF(GETPIVOTDATA(_xlfn.VALUETOTEXT($A$4),'PREFILL-PIVOT'!$A$3,_xlfn.VALUETOTEXT($A$6),$A143,"Experiment",K$5,"date",K$6)=0,NA(),GETPIVOTDATA(_xlfn.VALUETOTEXT($A$4),'PREFILL-PIVOT'!$A$3,_xlfn.VALUETOTEXT($A$6),$A143,"Experiment",K$5,"date",K$6))</f>
        <v>#REF!</v>
      </c>
      <c r="L143" t="e">
        <f>IF(GETPIVOTDATA(_xlfn.VALUETOTEXT($A$4),'PREFILL-PIVOT'!$A$3,_xlfn.VALUETOTEXT($A$6),$A143,"Experiment",L$5,"date",L$6)=0,NA(),GETPIVOTDATA(_xlfn.VALUETOTEXT($A$4),'PREFILL-PIVOT'!$A$3,_xlfn.VALUETOTEXT($A$6),$A143,"Experiment",L$5,"date",L$6))</f>
        <v>#REF!</v>
      </c>
      <c r="M143" t="e">
        <f>IF(GETPIVOTDATA(_xlfn.VALUETOTEXT($A$4),'PREFILL-PIVOT'!$A$3,_xlfn.VALUETOTEXT($A$6),$A143,"Experiment",M$5,"date",M$6)=0,NA(),GETPIVOTDATA(_xlfn.VALUETOTEXT($A$4),'PREFILL-PIVOT'!$A$3,_xlfn.VALUETOTEXT($A$6),$A143,"Experiment",M$5,"date",M$6))</f>
        <v>#REF!</v>
      </c>
    </row>
    <row r="144" spans="1:13" x14ac:dyDescent="0.25">
      <c r="A144" s="222" t="e">
        <f>IF('PREFILL-PIVOT'!A142=0,NA(),'PREFILL-PIVOT'!A142)</f>
        <v>#N/A</v>
      </c>
      <c r="B144" t="e">
        <f>IF(GETPIVOTDATA(_xlfn.VALUETOTEXT($A$4),'PREFILL-PIVOT'!$A$3,_xlfn.VALUETOTEXT($A$6),$A144,"Experiment",B$5,"date",B$6)=0,NA(),GETPIVOTDATA(_xlfn.VALUETOTEXT($A$4),'PREFILL-PIVOT'!$A$3,_xlfn.VALUETOTEXT($A$6),$A144,"Experiment",B$5,"date",B$6))</f>
        <v>#REF!</v>
      </c>
      <c r="C144" t="e">
        <f>IF(GETPIVOTDATA(_xlfn.VALUETOTEXT($A$4),'PREFILL-PIVOT'!$A$3,_xlfn.VALUETOTEXT($A$6),$A144,"Experiment",C$5,"date",C$6)=0,NA(),GETPIVOTDATA(_xlfn.VALUETOTEXT($A$4),'PREFILL-PIVOT'!$A$3,_xlfn.VALUETOTEXT($A$6),$A144,"Experiment",C$5,"date",C$6))</f>
        <v>#REF!</v>
      </c>
      <c r="D144" t="e">
        <f>IF(GETPIVOTDATA(_xlfn.VALUETOTEXT($A$4),'PREFILL-PIVOT'!$A$3,_xlfn.VALUETOTEXT($A$6),$A144,"Experiment",D$5,"date",D$6)=0,NA(),GETPIVOTDATA(_xlfn.VALUETOTEXT($A$4),'PREFILL-PIVOT'!$A$3,_xlfn.VALUETOTEXT($A$6),$A144,"Experiment",D$5,"date",D$6))</f>
        <v>#REF!</v>
      </c>
      <c r="E144" t="e">
        <f>IF(GETPIVOTDATA(_xlfn.VALUETOTEXT($A$4),'PREFILL-PIVOT'!$A$3,_xlfn.VALUETOTEXT($A$6),$A144,"Experiment",E$5,"date",E$6)=0,NA(),GETPIVOTDATA(_xlfn.VALUETOTEXT($A$4),'PREFILL-PIVOT'!$A$3,_xlfn.VALUETOTEXT($A$6),$A144,"Experiment",E$5,"date",E$6))</f>
        <v>#REF!</v>
      </c>
      <c r="F144" t="e">
        <f>IF(GETPIVOTDATA(_xlfn.VALUETOTEXT($A$4),'PREFILL-PIVOT'!$A$3,_xlfn.VALUETOTEXT($A$6),$A144,"Experiment",F$5,"date",F$6)=0,NA(),GETPIVOTDATA(_xlfn.VALUETOTEXT($A$4),'PREFILL-PIVOT'!$A$3,_xlfn.VALUETOTEXT($A$6),$A144,"Experiment",F$5,"date",F$6))</f>
        <v>#REF!</v>
      </c>
      <c r="G144" t="e">
        <f>IF(GETPIVOTDATA(_xlfn.VALUETOTEXT($A$4),'PREFILL-PIVOT'!$A$3,_xlfn.VALUETOTEXT($A$6),$A144,"Experiment",G$5,"date",G$6)=0,NA(),GETPIVOTDATA(_xlfn.VALUETOTEXT($A$4),'PREFILL-PIVOT'!$A$3,_xlfn.VALUETOTEXT($A$6),$A144,"Experiment",G$5,"date",G$6))</f>
        <v>#REF!</v>
      </c>
      <c r="H144" t="e">
        <f>IF(GETPIVOTDATA(_xlfn.VALUETOTEXT($A$4),'PREFILL-PIVOT'!$A$3,_xlfn.VALUETOTEXT($A$6),$A144,"Experiment",H$5,"date",H$6)=0,NA(),GETPIVOTDATA(_xlfn.VALUETOTEXT($A$4),'PREFILL-PIVOT'!$A$3,_xlfn.VALUETOTEXT($A$6),$A144,"Experiment",H$5,"date",H$6))</f>
        <v>#REF!</v>
      </c>
      <c r="I144" t="e">
        <f>IF(GETPIVOTDATA(_xlfn.VALUETOTEXT($A$4),'PREFILL-PIVOT'!$A$3,_xlfn.VALUETOTEXT($A$6),$A144,"Experiment",I$5,"date",I$6)=0,NA(),GETPIVOTDATA(_xlfn.VALUETOTEXT($A$4),'PREFILL-PIVOT'!$A$3,_xlfn.VALUETOTEXT($A$6),$A144,"Experiment",I$5,"date",I$6))</f>
        <v>#REF!</v>
      </c>
      <c r="J144" t="e">
        <f>IF(GETPIVOTDATA(_xlfn.VALUETOTEXT($A$4),'PREFILL-PIVOT'!$A$3,_xlfn.VALUETOTEXT($A$6),$A144,"Experiment",J$5,"date",J$6)=0,NA(),GETPIVOTDATA(_xlfn.VALUETOTEXT($A$4),'PREFILL-PIVOT'!$A$3,_xlfn.VALUETOTEXT($A$6),$A144,"Experiment",J$5,"date",J$6))</f>
        <v>#REF!</v>
      </c>
      <c r="K144" t="e">
        <f>IF(GETPIVOTDATA(_xlfn.VALUETOTEXT($A$4),'PREFILL-PIVOT'!$A$3,_xlfn.VALUETOTEXT($A$6),$A144,"Experiment",K$5,"date",K$6)=0,NA(),GETPIVOTDATA(_xlfn.VALUETOTEXT($A$4),'PREFILL-PIVOT'!$A$3,_xlfn.VALUETOTEXT($A$6),$A144,"Experiment",K$5,"date",K$6))</f>
        <v>#REF!</v>
      </c>
      <c r="L144" t="e">
        <f>IF(GETPIVOTDATA(_xlfn.VALUETOTEXT($A$4),'PREFILL-PIVOT'!$A$3,_xlfn.VALUETOTEXT($A$6),$A144,"Experiment",L$5,"date",L$6)=0,NA(),GETPIVOTDATA(_xlfn.VALUETOTEXT($A$4),'PREFILL-PIVOT'!$A$3,_xlfn.VALUETOTEXT($A$6),$A144,"Experiment",L$5,"date",L$6))</f>
        <v>#REF!</v>
      </c>
      <c r="M144" t="e">
        <f>IF(GETPIVOTDATA(_xlfn.VALUETOTEXT($A$4),'PREFILL-PIVOT'!$A$3,_xlfn.VALUETOTEXT($A$6),$A144,"Experiment",M$5,"date",M$6)=0,NA(),GETPIVOTDATA(_xlfn.VALUETOTEXT($A$4),'PREFILL-PIVOT'!$A$3,_xlfn.VALUETOTEXT($A$6),$A144,"Experiment",M$5,"date",M$6))</f>
        <v>#REF!</v>
      </c>
    </row>
    <row r="145" spans="1:13" x14ac:dyDescent="0.25">
      <c r="A145" s="222" t="e">
        <f>IF('PREFILL-PIVOT'!A143=0,NA(),'PREFILL-PIVOT'!A143)</f>
        <v>#N/A</v>
      </c>
      <c r="B145" t="e">
        <f>IF(GETPIVOTDATA(_xlfn.VALUETOTEXT($A$4),'PREFILL-PIVOT'!$A$3,_xlfn.VALUETOTEXT($A$6),$A145,"Experiment",B$5,"date",B$6)=0,NA(),GETPIVOTDATA(_xlfn.VALUETOTEXT($A$4),'PREFILL-PIVOT'!$A$3,_xlfn.VALUETOTEXT($A$6),$A145,"Experiment",B$5,"date",B$6))</f>
        <v>#REF!</v>
      </c>
      <c r="C145" t="e">
        <f>IF(GETPIVOTDATA(_xlfn.VALUETOTEXT($A$4),'PREFILL-PIVOT'!$A$3,_xlfn.VALUETOTEXT($A$6),$A145,"Experiment",C$5,"date",C$6)=0,NA(),GETPIVOTDATA(_xlfn.VALUETOTEXT($A$4),'PREFILL-PIVOT'!$A$3,_xlfn.VALUETOTEXT($A$6),$A145,"Experiment",C$5,"date",C$6))</f>
        <v>#REF!</v>
      </c>
      <c r="D145" t="e">
        <f>IF(GETPIVOTDATA(_xlfn.VALUETOTEXT($A$4),'PREFILL-PIVOT'!$A$3,_xlfn.VALUETOTEXT($A$6),$A145,"Experiment",D$5,"date",D$6)=0,NA(),GETPIVOTDATA(_xlfn.VALUETOTEXT($A$4),'PREFILL-PIVOT'!$A$3,_xlfn.VALUETOTEXT($A$6),$A145,"Experiment",D$5,"date",D$6))</f>
        <v>#REF!</v>
      </c>
      <c r="E145" t="e">
        <f>IF(GETPIVOTDATA(_xlfn.VALUETOTEXT($A$4),'PREFILL-PIVOT'!$A$3,_xlfn.VALUETOTEXT($A$6),$A145,"Experiment",E$5,"date",E$6)=0,NA(),GETPIVOTDATA(_xlfn.VALUETOTEXT($A$4),'PREFILL-PIVOT'!$A$3,_xlfn.VALUETOTEXT($A$6),$A145,"Experiment",E$5,"date",E$6))</f>
        <v>#REF!</v>
      </c>
      <c r="F145" t="e">
        <f>IF(GETPIVOTDATA(_xlfn.VALUETOTEXT($A$4),'PREFILL-PIVOT'!$A$3,_xlfn.VALUETOTEXT($A$6),$A145,"Experiment",F$5,"date",F$6)=0,NA(),GETPIVOTDATA(_xlfn.VALUETOTEXT($A$4),'PREFILL-PIVOT'!$A$3,_xlfn.VALUETOTEXT($A$6),$A145,"Experiment",F$5,"date",F$6))</f>
        <v>#REF!</v>
      </c>
      <c r="G145" t="e">
        <f>IF(GETPIVOTDATA(_xlfn.VALUETOTEXT($A$4),'PREFILL-PIVOT'!$A$3,_xlfn.VALUETOTEXT($A$6),$A145,"Experiment",G$5,"date",G$6)=0,NA(),GETPIVOTDATA(_xlfn.VALUETOTEXT($A$4),'PREFILL-PIVOT'!$A$3,_xlfn.VALUETOTEXT($A$6),$A145,"Experiment",G$5,"date",G$6))</f>
        <v>#REF!</v>
      </c>
      <c r="H145" t="e">
        <f>IF(GETPIVOTDATA(_xlfn.VALUETOTEXT($A$4),'PREFILL-PIVOT'!$A$3,_xlfn.VALUETOTEXT($A$6),$A145,"Experiment",H$5,"date",H$6)=0,NA(),GETPIVOTDATA(_xlfn.VALUETOTEXT($A$4),'PREFILL-PIVOT'!$A$3,_xlfn.VALUETOTEXT($A$6),$A145,"Experiment",H$5,"date",H$6))</f>
        <v>#REF!</v>
      </c>
      <c r="I145" t="e">
        <f>IF(GETPIVOTDATA(_xlfn.VALUETOTEXT($A$4),'PREFILL-PIVOT'!$A$3,_xlfn.VALUETOTEXT($A$6),$A145,"Experiment",I$5,"date",I$6)=0,NA(),GETPIVOTDATA(_xlfn.VALUETOTEXT($A$4),'PREFILL-PIVOT'!$A$3,_xlfn.VALUETOTEXT($A$6),$A145,"Experiment",I$5,"date",I$6))</f>
        <v>#REF!</v>
      </c>
      <c r="J145" t="e">
        <f>IF(GETPIVOTDATA(_xlfn.VALUETOTEXT($A$4),'PREFILL-PIVOT'!$A$3,_xlfn.VALUETOTEXT($A$6),$A145,"Experiment",J$5,"date",J$6)=0,NA(),GETPIVOTDATA(_xlfn.VALUETOTEXT($A$4),'PREFILL-PIVOT'!$A$3,_xlfn.VALUETOTEXT($A$6),$A145,"Experiment",J$5,"date",J$6))</f>
        <v>#REF!</v>
      </c>
      <c r="K145" t="e">
        <f>IF(GETPIVOTDATA(_xlfn.VALUETOTEXT($A$4),'PREFILL-PIVOT'!$A$3,_xlfn.VALUETOTEXT($A$6),$A145,"Experiment",K$5,"date",K$6)=0,NA(),GETPIVOTDATA(_xlfn.VALUETOTEXT($A$4),'PREFILL-PIVOT'!$A$3,_xlfn.VALUETOTEXT($A$6),$A145,"Experiment",K$5,"date",K$6))</f>
        <v>#REF!</v>
      </c>
      <c r="L145" t="e">
        <f>IF(GETPIVOTDATA(_xlfn.VALUETOTEXT($A$4),'PREFILL-PIVOT'!$A$3,_xlfn.VALUETOTEXT($A$6),$A145,"Experiment",L$5,"date",L$6)=0,NA(),GETPIVOTDATA(_xlfn.VALUETOTEXT($A$4),'PREFILL-PIVOT'!$A$3,_xlfn.VALUETOTEXT($A$6),$A145,"Experiment",L$5,"date",L$6))</f>
        <v>#REF!</v>
      </c>
      <c r="M145" t="e">
        <f>IF(GETPIVOTDATA(_xlfn.VALUETOTEXT($A$4),'PREFILL-PIVOT'!$A$3,_xlfn.VALUETOTEXT($A$6),$A145,"Experiment",M$5,"date",M$6)=0,NA(),GETPIVOTDATA(_xlfn.VALUETOTEXT($A$4),'PREFILL-PIVOT'!$A$3,_xlfn.VALUETOTEXT($A$6),$A145,"Experiment",M$5,"date",M$6))</f>
        <v>#REF!</v>
      </c>
    </row>
    <row r="146" spans="1:13" x14ac:dyDescent="0.25">
      <c r="A146" s="222" t="e">
        <f>IF('PREFILL-PIVOT'!A144=0,NA(),'PREFILL-PIVOT'!A144)</f>
        <v>#N/A</v>
      </c>
      <c r="B146" t="e">
        <f>IF(GETPIVOTDATA(_xlfn.VALUETOTEXT($A$4),'PREFILL-PIVOT'!$A$3,_xlfn.VALUETOTEXT($A$6),$A146,"Experiment",B$5,"date",B$6)=0,NA(),GETPIVOTDATA(_xlfn.VALUETOTEXT($A$4),'PREFILL-PIVOT'!$A$3,_xlfn.VALUETOTEXT($A$6),$A146,"Experiment",B$5,"date",B$6))</f>
        <v>#REF!</v>
      </c>
      <c r="C146" t="e">
        <f>IF(GETPIVOTDATA(_xlfn.VALUETOTEXT($A$4),'PREFILL-PIVOT'!$A$3,_xlfn.VALUETOTEXT($A$6),$A146,"Experiment",C$5,"date",C$6)=0,NA(),GETPIVOTDATA(_xlfn.VALUETOTEXT($A$4),'PREFILL-PIVOT'!$A$3,_xlfn.VALUETOTEXT($A$6),$A146,"Experiment",C$5,"date",C$6))</f>
        <v>#REF!</v>
      </c>
      <c r="D146" t="e">
        <f>IF(GETPIVOTDATA(_xlfn.VALUETOTEXT($A$4),'PREFILL-PIVOT'!$A$3,_xlfn.VALUETOTEXT($A$6),$A146,"Experiment",D$5,"date",D$6)=0,NA(),GETPIVOTDATA(_xlfn.VALUETOTEXT($A$4),'PREFILL-PIVOT'!$A$3,_xlfn.VALUETOTEXT($A$6),$A146,"Experiment",D$5,"date",D$6))</f>
        <v>#REF!</v>
      </c>
      <c r="E146" t="e">
        <f>IF(GETPIVOTDATA(_xlfn.VALUETOTEXT($A$4),'PREFILL-PIVOT'!$A$3,_xlfn.VALUETOTEXT($A$6),$A146,"Experiment",E$5,"date",E$6)=0,NA(),GETPIVOTDATA(_xlfn.VALUETOTEXT($A$4),'PREFILL-PIVOT'!$A$3,_xlfn.VALUETOTEXT($A$6),$A146,"Experiment",E$5,"date",E$6))</f>
        <v>#REF!</v>
      </c>
      <c r="F146" t="e">
        <f>IF(GETPIVOTDATA(_xlfn.VALUETOTEXT($A$4),'PREFILL-PIVOT'!$A$3,_xlfn.VALUETOTEXT($A$6),$A146,"Experiment",F$5,"date",F$6)=0,NA(),GETPIVOTDATA(_xlfn.VALUETOTEXT($A$4),'PREFILL-PIVOT'!$A$3,_xlfn.VALUETOTEXT($A$6),$A146,"Experiment",F$5,"date",F$6))</f>
        <v>#REF!</v>
      </c>
      <c r="G146" t="e">
        <f>IF(GETPIVOTDATA(_xlfn.VALUETOTEXT($A$4),'PREFILL-PIVOT'!$A$3,_xlfn.VALUETOTEXT($A$6),$A146,"Experiment",G$5,"date",G$6)=0,NA(),GETPIVOTDATA(_xlfn.VALUETOTEXT($A$4),'PREFILL-PIVOT'!$A$3,_xlfn.VALUETOTEXT($A$6),$A146,"Experiment",G$5,"date",G$6))</f>
        <v>#REF!</v>
      </c>
      <c r="H146" t="e">
        <f>IF(GETPIVOTDATA(_xlfn.VALUETOTEXT($A$4),'PREFILL-PIVOT'!$A$3,_xlfn.VALUETOTEXT($A$6),$A146,"Experiment",H$5,"date",H$6)=0,NA(),GETPIVOTDATA(_xlfn.VALUETOTEXT($A$4),'PREFILL-PIVOT'!$A$3,_xlfn.VALUETOTEXT($A$6),$A146,"Experiment",H$5,"date",H$6))</f>
        <v>#REF!</v>
      </c>
      <c r="I146" t="e">
        <f>IF(GETPIVOTDATA(_xlfn.VALUETOTEXT($A$4),'PREFILL-PIVOT'!$A$3,_xlfn.VALUETOTEXT($A$6),$A146,"Experiment",I$5,"date",I$6)=0,NA(),GETPIVOTDATA(_xlfn.VALUETOTEXT($A$4),'PREFILL-PIVOT'!$A$3,_xlfn.VALUETOTEXT($A$6),$A146,"Experiment",I$5,"date",I$6))</f>
        <v>#REF!</v>
      </c>
      <c r="J146" t="e">
        <f>IF(GETPIVOTDATA(_xlfn.VALUETOTEXT($A$4),'PREFILL-PIVOT'!$A$3,_xlfn.VALUETOTEXT($A$6),$A146,"Experiment",J$5,"date",J$6)=0,NA(),GETPIVOTDATA(_xlfn.VALUETOTEXT($A$4),'PREFILL-PIVOT'!$A$3,_xlfn.VALUETOTEXT($A$6),$A146,"Experiment",J$5,"date",J$6))</f>
        <v>#REF!</v>
      </c>
      <c r="K146" t="e">
        <f>IF(GETPIVOTDATA(_xlfn.VALUETOTEXT($A$4),'PREFILL-PIVOT'!$A$3,_xlfn.VALUETOTEXT($A$6),$A146,"Experiment",K$5,"date",K$6)=0,NA(),GETPIVOTDATA(_xlfn.VALUETOTEXT($A$4),'PREFILL-PIVOT'!$A$3,_xlfn.VALUETOTEXT($A$6),$A146,"Experiment",K$5,"date",K$6))</f>
        <v>#REF!</v>
      </c>
      <c r="L146" t="e">
        <f>IF(GETPIVOTDATA(_xlfn.VALUETOTEXT($A$4),'PREFILL-PIVOT'!$A$3,_xlfn.VALUETOTEXT($A$6),$A146,"Experiment",L$5,"date",L$6)=0,NA(),GETPIVOTDATA(_xlfn.VALUETOTEXT($A$4),'PREFILL-PIVOT'!$A$3,_xlfn.VALUETOTEXT($A$6),$A146,"Experiment",L$5,"date",L$6))</f>
        <v>#REF!</v>
      </c>
      <c r="M146" t="e">
        <f>IF(GETPIVOTDATA(_xlfn.VALUETOTEXT($A$4),'PREFILL-PIVOT'!$A$3,_xlfn.VALUETOTEXT($A$6),$A146,"Experiment",M$5,"date",M$6)=0,NA(),GETPIVOTDATA(_xlfn.VALUETOTEXT($A$4),'PREFILL-PIVOT'!$A$3,_xlfn.VALUETOTEXT($A$6),$A146,"Experiment",M$5,"date",M$6))</f>
        <v>#REF!</v>
      </c>
    </row>
    <row r="147" spans="1:13" x14ac:dyDescent="0.25">
      <c r="A147" s="222" t="e">
        <f>IF('PREFILL-PIVOT'!A145=0,NA(),'PREFILL-PIVOT'!A145)</f>
        <v>#N/A</v>
      </c>
      <c r="B147" t="e">
        <f>IF(GETPIVOTDATA(_xlfn.VALUETOTEXT($A$4),'PREFILL-PIVOT'!$A$3,_xlfn.VALUETOTEXT($A$6),$A147,"Experiment",B$5,"date",B$6)=0,NA(),GETPIVOTDATA(_xlfn.VALUETOTEXT($A$4),'PREFILL-PIVOT'!$A$3,_xlfn.VALUETOTEXT($A$6),$A147,"Experiment",B$5,"date",B$6))</f>
        <v>#REF!</v>
      </c>
      <c r="C147" t="e">
        <f>IF(GETPIVOTDATA(_xlfn.VALUETOTEXT($A$4),'PREFILL-PIVOT'!$A$3,_xlfn.VALUETOTEXT($A$6),$A147,"Experiment",C$5,"date",C$6)=0,NA(),GETPIVOTDATA(_xlfn.VALUETOTEXT($A$4),'PREFILL-PIVOT'!$A$3,_xlfn.VALUETOTEXT($A$6),$A147,"Experiment",C$5,"date",C$6))</f>
        <v>#REF!</v>
      </c>
      <c r="D147" t="e">
        <f>IF(GETPIVOTDATA(_xlfn.VALUETOTEXT($A$4),'PREFILL-PIVOT'!$A$3,_xlfn.VALUETOTEXT($A$6),$A147,"Experiment",D$5,"date",D$6)=0,NA(),GETPIVOTDATA(_xlfn.VALUETOTEXT($A$4),'PREFILL-PIVOT'!$A$3,_xlfn.VALUETOTEXT($A$6),$A147,"Experiment",D$5,"date",D$6))</f>
        <v>#REF!</v>
      </c>
      <c r="E147" t="e">
        <f>IF(GETPIVOTDATA(_xlfn.VALUETOTEXT($A$4),'PREFILL-PIVOT'!$A$3,_xlfn.VALUETOTEXT($A$6),$A147,"Experiment",E$5,"date",E$6)=0,NA(),GETPIVOTDATA(_xlfn.VALUETOTEXT($A$4),'PREFILL-PIVOT'!$A$3,_xlfn.VALUETOTEXT($A$6),$A147,"Experiment",E$5,"date",E$6))</f>
        <v>#REF!</v>
      </c>
      <c r="F147" t="e">
        <f>IF(GETPIVOTDATA(_xlfn.VALUETOTEXT($A$4),'PREFILL-PIVOT'!$A$3,_xlfn.VALUETOTEXT($A$6),$A147,"Experiment",F$5,"date",F$6)=0,NA(),GETPIVOTDATA(_xlfn.VALUETOTEXT($A$4),'PREFILL-PIVOT'!$A$3,_xlfn.VALUETOTEXT($A$6),$A147,"Experiment",F$5,"date",F$6))</f>
        <v>#REF!</v>
      </c>
      <c r="G147" t="e">
        <f>IF(GETPIVOTDATA(_xlfn.VALUETOTEXT($A$4),'PREFILL-PIVOT'!$A$3,_xlfn.VALUETOTEXT($A$6),$A147,"Experiment",G$5,"date",G$6)=0,NA(),GETPIVOTDATA(_xlfn.VALUETOTEXT($A$4),'PREFILL-PIVOT'!$A$3,_xlfn.VALUETOTEXT($A$6),$A147,"Experiment",G$5,"date",G$6))</f>
        <v>#REF!</v>
      </c>
      <c r="H147" t="e">
        <f>IF(GETPIVOTDATA(_xlfn.VALUETOTEXT($A$4),'PREFILL-PIVOT'!$A$3,_xlfn.VALUETOTEXT($A$6),$A147,"Experiment",H$5,"date",H$6)=0,NA(),GETPIVOTDATA(_xlfn.VALUETOTEXT($A$4),'PREFILL-PIVOT'!$A$3,_xlfn.VALUETOTEXT($A$6),$A147,"Experiment",H$5,"date",H$6))</f>
        <v>#REF!</v>
      </c>
      <c r="I147" t="e">
        <f>IF(GETPIVOTDATA(_xlfn.VALUETOTEXT($A$4),'PREFILL-PIVOT'!$A$3,_xlfn.VALUETOTEXT($A$6),$A147,"Experiment",I$5,"date",I$6)=0,NA(),GETPIVOTDATA(_xlfn.VALUETOTEXT($A$4),'PREFILL-PIVOT'!$A$3,_xlfn.VALUETOTEXT($A$6),$A147,"Experiment",I$5,"date",I$6))</f>
        <v>#REF!</v>
      </c>
      <c r="J147" t="e">
        <f>IF(GETPIVOTDATA(_xlfn.VALUETOTEXT($A$4),'PREFILL-PIVOT'!$A$3,_xlfn.VALUETOTEXT($A$6),$A147,"Experiment",J$5,"date",J$6)=0,NA(),GETPIVOTDATA(_xlfn.VALUETOTEXT($A$4),'PREFILL-PIVOT'!$A$3,_xlfn.VALUETOTEXT($A$6),$A147,"Experiment",J$5,"date",J$6))</f>
        <v>#REF!</v>
      </c>
      <c r="K147" t="e">
        <f>IF(GETPIVOTDATA(_xlfn.VALUETOTEXT($A$4),'PREFILL-PIVOT'!$A$3,_xlfn.VALUETOTEXT($A$6),$A147,"Experiment",K$5,"date",K$6)=0,NA(),GETPIVOTDATA(_xlfn.VALUETOTEXT($A$4),'PREFILL-PIVOT'!$A$3,_xlfn.VALUETOTEXT($A$6),$A147,"Experiment",K$5,"date",K$6))</f>
        <v>#REF!</v>
      </c>
      <c r="L147" t="e">
        <f>IF(GETPIVOTDATA(_xlfn.VALUETOTEXT($A$4),'PREFILL-PIVOT'!$A$3,_xlfn.VALUETOTEXT($A$6),$A147,"Experiment",L$5,"date",L$6)=0,NA(),GETPIVOTDATA(_xlfn.VALUETOTEXT($A$4),'PREFILL-PIVOT'!$A$3,_xlfn.VALUETOTEXT($A$6),$A147,"Experiment",L$5,"date",L$6))</f>
        <v>#REF!</v>
      </c>
      <c r="M147" t="e">
        <f>IF(GETPIVOTDATA(_xlfn.VALUETOTEXT($A$4),'PREFILL-PIVOT'!$A$3,_xlfn.VALUETOTEXT($A$6),$A147,"Experiment",M$5,"date",M$6)=0,NA(),GETPIVOTDATA(_xlfn.VALUETOTEXT($A$4),'PREFILL-PIVOT'!$A$3,_xlfn.VALUETOTEXT($A$6),$A147,"Experiment",M$5,"date",M$6))</f>
        <v>#REF!</v>
      </c>
    </row>
    <row r="148" spans="1:13" x14ac:dyDescent="0.25">
      <c r="A148" s="222" t="e">
        <f>IF('PREFILL-PIVOT'!A146=0,NA(),'PREFILL-PIVOT'!A146)</f>
        <v>#N/A</v>
      </c>
      <c r="B148" t="e">
        <f>IF(GETPIVOTDATA(_xlfn.VALUETOTEXT($A$4),'PREFILL-PIVOT'!$A$3,_xlfn.VALUETOTEXT($A$6),$A148,"Experiment",B$5,"date",B$6)=0,NA(),GETPIVOTDATA(_xlfn.VALUETOTEXT($A$4),'PREFILL-PIVOT'!$A$3,_xlfn.VALUETOTEXT($A$6),$A148,"Experiment",B$5,"date",B$6))</f>
        <v>#REF!</v>
      </c>
      <c r="C148" t="e">
        <f>IF(GETPIVOTDATA(_xlfn.VALUETOTEXT($A$4),'PREFILL-PIVOT'!$A$3,_xlfn.VALUETOTEXT($A$6),$A148,"Experiment",C$5,"date",C$6)=0,NA(),GETPIVOTDATA(_xlfn.VALUETOTEXT($A$4),'PREFILL-PIVOT'!$A$3,_xlfn.VALUETOTEXT($A$6),$A148,"Experiment",C$5,"date",C$6))</f>
        <v>#REF!</v>
      </c>
      <c r="D148" t="e">
        <f>IF(GETPIVOTDATA(_xlfn.VALUETOTEXT($A$4),'PREFILL-PIVOT'!$A$3,_xlfn.VALUETOTEXT($A$6),$A148,"Experiment",D$5,"date",D$6)=0,NA(),GETPIVOTDATA(_xlfn.VALUETOTEXT($A$4),'PREFILL-PIVOT'!$A$3,_xlfn.VALUETOTEXT($A$6),$A148,"Experiment",D$5,"date",D$6))</f>
        <v>#REF!</v>
      </c>
      <c r="E148" t="e">
        <f>IF(GETPIVOTDATA(_xlfn.VALUETOTEXT($A$4),'PREFILL-PIVOT'!$A$3,_xlfn.VALUETOTEXT($A$6),$A148,"Experiment",E$5,"date",E$6)=0,NA(),GETPIVOTDATA(_xlfn.VALUETOTEXT($A$4),'PREFILL-PIVOT'!$A$3,_xlfn.VALUETOTEXT($A$6),$A148,"Experiment",E$5,"date",E$6))</f>
        <v>#REF!</v>
      </c>
      <c r="F148" t="e">
        <f>IF(GETPIVOTDATA(_xlfn.VALUETOTEXT($A$4),'PREFILL-PIVOT'!$A$3,_xlfn.VALUETOTEXT($A$6),$A148,"Experiment",F$5,"date",F$6)=0,NA(),GETPIVOTDATA(_xlfn.VALUETOTEXT($A$4),'PREFILL-PIVOT'!$A$3,_xlfn.VALUETOTEXT($A$6),$A148,"Experiment",F$5,"date",F$6))</f>
        <v>#REF!</v>
      </c>
      <c r="G148" t="e">
        <f>IF(GETPIVOTDATA(_xlfn.VALUETOTEXT($A$4),'PREFILL-PIVOT'!$A$3,_xlfn.VALUETOTEXT($A$6),$A148,"Experiment",G$5,"date",G$6)=0,NA(),GETPIVOTDATA(_xlfn.VALUETOTEXT($A$4),'PREFILL-PIVOT'!$A$3,_xlfn.VALUETOTEXT($A$6),$A148,"Experiment",G$5,"date",G$6))</f>
        <v>#REF!</v>
      </c>
      <c r="H148" t="e">
        <f>IF(GETPIVOTDATA(_xlfn.VALUETOTEXT($A$4),'PREFILL-PIVOT'!$A$3,_xlfn.VALUETOTEXT($A$6),$A148,"Experiment",H$5,"date",H$6)=0,NA(),GETPIVOTDATA(_xlfn.VALUETOTEXT($A$4),'PREFILL-PIVOT'!$A$3,_xlfn.VALUETOTEXT($A$6),$A148,"Experiment",H$5,"date",H$6))</f>
        <v>#REF!</v>
      </c>
      <c r="I148" t="e">
        <f>IF(GETPIVOTDATA(_xlfn.VALUETOTEXT($A$4),'PREFILL-PIVOT'!$A$3,_xlfn.VALUETOTEXT($A$6),$A148,"Experiment",I$5,"date",I$6)=0,NA(),GETPIVOTDATA(_xlfn.VALUETOTEXT($A$4),'PREFILL-PIVOT'!$A$3,_xlfn.VALUETOTEXT($A$6),$A148,"Experiment",I$5,"date",I$6))</f>
        <v>#REF!</v>
      </c>
      <c r="J148" t="e">
        <f>IF(GETPIVOTDATA(_xlfn.VALUETOTEXT($A$4),'PREFILL-PIVOT'!$A$3,_xlfn.VALUETOTEXT($A$6),$A148,"Experiment",J$5,"date",J$6)=0,NA(),GETPIVOTDATA(_xlfn.VALUETOTEXT($A$4),'PREFILL-PIVOT'!$A$3,_xlfn.VALUETOTEXT($A$6),$A148,"Experiment",J$5,"date",J$6))</f>
        <v>#REF!</v>
      </c>
      <c r="K148" t="e">
        <f>IF(GETPIVOTDATA(_xlfn.VALUETOTEXT($A$4),'PREFILL-PIVOT'!$A$3,_xlfn.VALUETOTEXT($A$6),$A148,"Experiment",K$5,"date",K$6)=0,NA(),GETPIVOTDATA(_xlfn.VALUETOTEXT($A$4),'PREFILL-PIVOT'!$A$3,_xlfn.VALUETOTEXT($A$6),$A148,"Experiment",K$5,"date",K$6))</f>
        <v>#REF!</v>
      </c>
      <c r="L148" t="e">
        <f>IF(GETPIVOTDATA(_xlfn.VALUETOTEXT($A$4),'PREFILL-PIVOT'!$A$3,_xlfn.VALUETOTEXT($A$6),$A148,"Experiment",L$5,"date",L$6)=0,NA(),GETPIVOTDATA(_xlfn.VALUETOTEXT($A$4),'PREFILL-PIVOT'!$A$3,_xlfn.VALUETOTEXT($A$6),$A148,"Experiment",L$5,"date",L$6))</f>
        <v>#REF!</v>
      </c>
      <c r="M148" t="e">
        <f>IF(GETPIVOTDATA(_xlfn.VALUETOTEXT($A$4),'PREFILL-PIVOT'!$A$3,_xlfn.VALUETOTEXT($A$6),$A148,"Experiment",M$5,"date",M$6)=0,NA(),GETPIVOTDATA(_xlfn.VALUETOTEXT($A$4),'PREFILL-PIVOT'!$A$3,_xlfn.VALUETOTEXT($A$6),$A148,"Experiment",M$5,"date",M$6))</f>
        <v>#REF!</v>
      </c>
    </row>
    <row r="149" spans="1:13" x14ac:dyDescent="0.25">
      <c r="A149" s="222" t="e">
        <f>IF('PREFILL-PIVOT'!A147=0,NA(),'PREFILL-PIVOT'!A147)</f>
        <v>#N/A</v>
      </c>
      <c r="B149" t="e">
        <f>IF(GETPIVOTDATA(_xlfn.VALUETOTEXT($A$4),'PREFILL-PIVOT'!$A$3,_xlfn.VALUETOTEXT($A$6),$A149,"Experiment",B$5,"date",B$6)=0,NA(),GETPIVOTDATA(_xlfn.VALUETOTEXT($A$4),'PREFILL-PIVOT'!$A$3,_xlfn.VALUETOTEXT($A$6),$A149,"Experiment",B$5,"date",B$6))</f>
        <v>#REF!</v>
      </c>
      <c r="C149" t="e">
        <f>IF(GETPIVOTDATA(_xlfn.VALUETOTEXT($A$4),'PREFILL-PIVOT'!$A$3,_xlfn.VALUETOTEXT($A$6),$A149,"Experiment",C$5,"date",C$6)=0,NA(),GETPIVOTDATA(_xlfn.VALUETOTEXT($A$4),'PREFILL-PIVOT'!$A$3,_xlfn.VALUETOTEXT($A$6),$A149,"Experiment",C$5,"date",C$6))</f>
        <v>#REF!</v>
      </c>
      <c r="D149" t="e">
        <f>IF(GETPIVOTDATA(_xlfn.VALUETOTEXT($A$4),'PREFILL-PIVOT'!$A$3,_xlfn.VALUETOTEXT($A$6),$A149,"Experiment",D$5,"date",D$6)=0,NA(),GETPIVOTDATA(_xlfn.VALUETOTEXT($A$4),'PREFILL-PIVOT'!$A$3,_xlfn.VALUETOTEXT($A$6),$A149,"Experiment",D$5,"date",D$6))</f>
        <v>#REF!</v>
      </c>
      <c r="E149" t="e">
        <f>IF(GETPIVOTDATA(_xlfn.VALUETOTEXT($A$4),'PREFILL-PIVOT'!$A$3,_xlfn.VALUETOTEXT($A$6),$A149,"Experiment",E$5,"date",E$6)=0,NA(),GETPIVOTDATA(_xlfn.VALUETOTEXT($A$4),'PREFILL-PIVOT'!$A$3,_xlfn.VALUETOTEXT($A$6),$A149,"Experiment",E$5,"date",E$6))</f>
        <v>#REF!</v>
      </c>
      <c r="F149" t="e">
        <f>IF(GETPIVOTDATA(_xlfn.VALUETOTEXT($A$4),'PREFILL-PIVOT'!$A$3,_xlfn.VALUETOTEXT($A$6),$A149,"Experiment",F$5,"date",F$6)=0,NA(),GETPIVOTDATA(_xlfn.VALUETOTEXT($A$4),'PREFILL-PIVOT'!$A$3,_xlfn.VALUETOTEXT($A$6),$A149,"Experiment",F$5,"date",F$6))</f>
        <v>#REF!</v>
      </c>
      <c r="G149" t="e">
        <f>IF(GETPIVOTDATA(_xlfn.VALUETOTEXT($A$4),'PREFILL-PIVOT'!$A$3,_xlfn.VALUETOTEXT($A$6),$A149,"Experiment",G$5,"date",G$6)=0,NA(),GETPIVOTDATA(_xlfn.VALUETOTEXT($A$4),'PREFILL-PIVOT'!$A$3,_xlfn.VALUETOTEXT($A$6),$A149,"Experiment",G$5,"date",G$6))</f>
        <v>#REF!</v>
      </c>
      <c r="H149" t="e">
        <f>IF(GETPIVOTDATA(_xlfn.VALUETOTEXT($A$4),'PREFILL-PIVOT'!$A$3,_xlfn.VALUETOTEXT($A$6),$A149,"Experiment",H$5,"date",H$6)=0,NA(),GETPIVOTDATA(_xlfn.VALUETOTEXT($A$4),'PREFILL-PIVOT'!$A$3,_xlfn.VALUETOTEXT($A$6),$A149,"Experiment",H$5,"date",H$6))</f>
        <v>#REF!</v>
      </c>
      <c r="I149" t="e">
        <f>IF(GETPIVOTDATA(_xlfn.VALUETOTEXT($A$4),'PREFILL-PIVOT'!$A$3,_xlfn.VALUETOTEXT($A$6),$A149,"Experiment",I$5,"date",I$6)=0,NA(),GETPIVOTDATA(_xlfn.VALUETOTEXT($A$4),'PREFILL-PIVOT'!$A$3,_xlfn.VALUETOTEXT($A$6),$A149,"Experiment",I$5,"date",I$6))</f>
        <v>#REF!</v>
      </c>
      <c r="J149" t="e">
        <f>IF(GETPIVOTDATA(_xlfn.VALUETOTEXT($A$4),'PREFILL-PIVOT'!$A$3,_xlfn.VALUETOTEXT($A$6),$A149,"Experiment",J$5,"date",J$6)=0,NA(),GETPIVOTDATA(_xlfn.VALUETOTEXT($A$4),'PREFILL-PIVOT'!$A$3,_xlfn.VALUETOTEXT($A$6),$A149,"Experiment",J$5,"date",J$6))</f>
        <v>#REF!</v>
      </c>
      <c r="K149" t="e">
        <f>IF(GETPIVOTDATA(_xlfn.VALUETOTEXT($A$4),'PREFILL-PIVOT'!$A$3,_xlfn.VALUETOTEXT($A$6),$A149,"Experiment",K$5,"date",K$6)=0,NA(),GETPIVOTDATA(_xlfn.VALUETOTEXT($A$4),'PREFILL-PIVOT'!$A$3,_xlfn.VALUETOTEXT($A$6),$A149,"Experiment",K$5,"date",K$6))</f>
        <v>#REF!</v>
      </c>
      <c r="L149" t="e">
        <f>IF(GETPIVOTDATA(_xlfn.VALUETOTEXT($A$4),'PREFILL-PIVOT'!$A$3,_xlfn.VALUETOTEXT($A$6),$A149,"Experiment",L$5,"date",L$6)=0,NA(),GETPIVOTDATA(_xlfn.VALUETOTEXT($A$4),'PREFILL-PIVOT'!$A$3,_xlfn.VALUETOTEXT($A$6),$A149,"Experiment",L$5,"date",L$6))</f>
        <v>#REF!</v>
      </c>
      <c r="M149" t="e">
        <f>IF(GETPIVOTDATA(_xlfn.VALUETOTEXT($A$4),'PREFILL-PIVOT'!$A$3,_xlfn.VALUETOTEXT($A$6),$A149,"Experiment",M$5,"date",M$6)=0,NA(),GETPIVOTDATA(_xlfn.VALUETOTEXT($A$4),'PREFILL-PIVOT'!$A$3,_xlfn.VALUETOTEXT($A$6),$A149,"Experiment",M$5,"date",M$6))</f>
        <v>#REF!</v>
      </c>
    </row>
    <row r="150" spans="1:13" x14ac:dyDescent="0.25">
      <c r="A150" s="222" t="e">
        <f>IF('PREFILL-PIVOT'!A148=0,NA(),'PREFILL-PIVOT'!A148)</f>
        <v>#N/A</v>
      </c>
      <c r="B150" t="e">
        <f>IF(GETPIVOTDATA(_xlfn.VALUETOTEXT($A$4),'PREFILL-PIVOT'!$A$3,_xlfn.VALUETOTEXT($A$6),$A150,"Experiment",B$5,"date",B$6)=0,NA(),GETPIVOTDATA(_xlfn.VALUETOTEXT($A$4),'PREFILL-PIVOT'!$A$3,_xlfn.VALUETOTEXT($A$6),$A150,"Experiment",B$5,"date",B$6))</f>
        <v>#REF!</v>
      </c>
      <c r="C150" t="e">
        <f>IF(GETPIVOTDATA(_xlfn.VALUETOTEXT($A$4),'PREFILL-PIVOT'!$A$3,_xlfn.VALUETOTEXT($A$6),$A150,"Experiment",C$5,"date",C$6)=0,NA(),GETPIVOTDATA(_xlfn.VALUETOTEXT($A$4),'PREFILL-PIVOT'!$A$3,_xlfn.VALUETOTEXT($A$6),$A150,"Experiment",C$5,"date",C$6))</f>
        <v>#REF!</v>
      </c>
      <c r="D150" t="e">
        <f>IF(GETPIVOTDATA(_xlfn.VALUETOTEXT($A$4),'PREFILL-PIVOT'!$A$3,_xlfn.VALUETOTEXT($A$6),$A150,"Experiment",D$5,"date",D$6)=0,NA(),GETPIVOTDATA(_xlfn.VALUETOTEXT($A$4),'PREFILL-PIVOT'!$A$3,_xlfn.VALUETOTEXT($A$6),$A150,"Experiment",D$5,"date",D$6))</f>
        <v>#REF!</v>
      </c>
      <c r="E150" t="e">
        <f>IF(GETPIVOTDATA(_xlfn.VALUETOTEXT($A$4),'PREFILL-PIVOT'!$A$3,_xlfn.VALUETOTEXT($A$6),$A150,"Experiment",E$5,"date",E$6)=0,NA(),GETPIVOTDATA(_xlfn.VALUETOTEXT($A$4),'PREFILL-PIVOT'!$A$3,_xlfn.VALUETOTEXT($A$6),$A150,"Experiment",E$5,"date",E$6))</f>
        <v>#REF!</v>
      </c>
      <c r="F150" t="e">
        <f>IF(GETPIVOTDATA(_xlfn.VALUETOTEXT($A$4),'PREFILL-PIVOT'!$A$3,_xlfn.VALUETOTEXT($A$6),$A150,"Experiment",F$5,"date",F$6)=0,NA(),GETPIVOTDATA(_xlfn.VALUETOTEXT($A$4),'PREFILL-PIVOT'!$A$3,_xlfn.VALUETOTEXT($A$6),$A150,"Experiment",F$5,"date",F$6))</f>
        <v>#REF!</v>
      </c>
      <c r="G150" t="e">
        <f>IF(GETPIVOTDATA(_xlfn.VALUETOTEXT($A$4),'PREFILL-PIVOT'!$A$3,_xlfn.VALUETOTEXT($A$6),$A150,"Experiment",G$5,"date",G$6)=0,NA(),GETPIVOTDATA(_xlfn.VALUETOTEXT($A$4),'PREFILL-PIVOT'!$A$3,_xlfn.VALUETOTEXT($A$6),$A150,"Experiment",G$5,"date",G$6))</f>
        <v>#REF!</v>
      </c>
      <c r="H150" t="e">
        <f>IF(GETPIVOTDATA(_xlfn.VALUETOTEXT($A$4),'PREFILL-PIVOT'!$A$3,_xlfn.VALUETOTEXT($A$6),$A150,"Experiment",H$5,"date",H$6)=0,NA(),GETPIVOTDATA(_xlfn.VALUETOTEXT($A$4),'PREFILL-PIVOT'!$A$3,_xlfn.VALUETOTEXT($A$6),$A150,"Experiment",H$5,"date",H$6))</f>
        <v>#REF!</v>
      </c>
      <c r="I150" t="e">
        <f>IF(GETPIVOTDATA(_xlfn.VALUETOTEXT($A$4),'PREFILL-PIVOT'!$A$3,_xlfn.VALUETOTEXT($A$6),$A150,"Experiment",I$5,"date",I$6)=0,NA(),GETPIVOTDATA(_xlfn.VALUETOTEXT($A$4),'PREFILL-PIVOT'!$A$3,_xlfn.VALUETOTEXT($A$6),$A150,"Experiment",I$5,"date",I$6))</f>
        <v>#REF!</v>
      </c>
      <c r="J150" t="e">
        <f>IF(GETPIVOTDATA(_xlfn.VALUETOTEXT($A$4),'PREFILL-PIVOT'!$A$3,_xlfn.VALUETOTEXT($A$6),$A150,"Experiment",J$5,"date",J$6)=0,NA(),GETPIVOTDATA(_xlfn.VALUETOTEXT($A$4),'PREFILL-PIVOT'!$A$3,_xlfn.VALUETOTEXT($A$6),$A150,"Experiment",J$5,"date",J$6))</f>
        <v>#REF!</v>
      </c>
      <c r="K150" t="e">
        <f>IF(GETPIVOTDATA(_xlfn.VALUETOTEXT($A$4),'PREFILL-PIVOT'!$A$3,_xlfn.VALUETOTEXT($A$6),$A150,"Experiment",K$5,"date",K$6)=0,NA(),GETPIVOTDATA(_xlfn.VALUETOTEXT($A$4),'PREFILL-PIVOT'!$A$3,_xlfn.VALUETOTEXT($A$6),$A150,"Experiment",K$5,"date",K$6))</f>
        <v>#REF!</v>
      </c>
      <c r="L150" t="e">
        <f>IF(GETPIVOTDATA(_xlfn.VALUETOTEXT($A$4),'PREFILL-PIVOT'!$A$3,_xlfn.VALUETOTEXT($A$6),$A150,"Experiment",L$5,"date",L$6)=0,NA(),GETPIVOTDATA(_xlfn.VALUETOTEXT($A$4),'PREFILL-PIVOT'!$A$3,_xlfn.VALUETOTEXT($A$6),$A150,"Experiment",L$5,"date",L$6))</f>
        <v>#REF!</v>
      </c>
      <c r="M150" t="e">
        <f>IF(GETPIVOTDATA(_xlfn.VALUETOTEXT($A$4),'PREFILL-PIVOT'!$A$3,_xlfn.VALUETOTEXT($A$6),$A150,"Experiment",M$5,"date",M$6)=0,NA(),GETPIVOTDATA(_xlfn.VALUETOTEXT($A$4),'PREFILL-PIVOT'!$A$3,_xlfn.VALUETOTEXT($A$6),$A150,"Experiment",M$5,"date",M$6))</f>
        <v>#REF!</v>
      </c>
    </row>
    <row r="151" spans="1:13" x14ac:dyDescent="0.25">
      <c r="A151" s="222" t="e">
        <f>IF('PREFILL-PIVOT'!A149=0,NA(),'PREFILL-PIVOT'!A149)</f>
        <v>#N/A</v>
      </c>
      <c r="B151" t="e">
        <f>IF(GETPIVOTDATA(_xlfn.VALUETOTEXT($A$4),'PREFILL-PIVOT'!$A$3,_xlfn.VALUETOTEXT($A$6),$A151,"Experiment",B$5,"date",B$6)=0,NA(),GETPIVOTDATA(_xlfn.VALUETOTEXT($A$4),'PREFILL-PIVOT'!$A$3,_xlfn.VALUETOTEXT($A$6),$A151,"Experiment",B$5,"date",B$6))</f>
        <v>#REF!</v>
      </c>
      <c r="C151" t="e">
        <f>IF(GETPIVOTDATA(_xlfn.VALUETOTEXT($A$4),'PREFILL-PIVOT'!$A$3,_xlfn.VALUETOTEXT($A$6),$A151,"Experiment",C$5,"date",C$6)=0,NA(),GETPIVOTDATA(_xlfn.VALUETOTEXT($A$4),'PREFILL-PIVOT'!$A$3,_xlfn.VALUETOTEXT($A$6),$A151,"Experiment",C$5,"date",C$6))</f>
        <v>#REF!</v>
      </c>
      <c r="D151" t="e">
        <f>IF(GETPIVOTDATA(_xlfn.VALUETOTEXT($A$4),'PREFILL-PIVOT'!$A$3,_xlfn.VALUETOTEXT($A$6),$A151,"Experiment",D$5,"date",D$6)=0,NA(),GETPIVOTDATA(_xlfn.VALUETOTEXT($A$4),'PREFILL-PIVOT'!$A$3,_xlfn.VALUETOTEXT($A$6),$A151,"Experiment",D$5,"date",D$6))</f>
        <v>#REF!</v>
      </c>
      <c r="E151" t="e">
        <f>IF(GETPIVOTDATA(_xlfn.VALUETOTEXT($A$4),'PREFILL-PIVOT'!$A$3,_xlfn.VALUETOTEXT($A$6),$A151,"Experiment",E$5,"date",E$6)=0,NA(),GETPIVOTDATA(_xlfn.VALUETOTEXT($A$4),'PREFILL-PIVOT'!$A$3,_xlfn.VALUETOTEXT($A$6),$A151,"Experiment",E$5,"date",E$6))</f>
        <v>#REF!</v>
      </c>
      <c r="F151" t="e">
        <f>IF(GETPIVOTDATA(_xlfn.VALUETOTEXT($A$4),'PREFILL-PIVOT'!$A$3,_xlfn.VALUETOTEXT($A$6),$A151,"Experiment",F$5,"date",F$6)=0,NA(),GETPIVOTDATA(_xlfn.VALUETOTEXT($A$4),'PREFILL-PIVOT'!$A$3,_xlfn.VALUETOTEXT($A$6),$A151,"Experiment",F$5,"date",F$6))</f>
        <v>#REF!</v>
      </c>
      <c r="G151" t="e">
        <f>IF(GETPIVOTDATA(_xlfn.VALUETOTEXT($A$4),'PREFILL-PIVOT'!$A$3,_xlfn.VALUETOTEXT($A$6),$A151,"Experiment",G$5,"date",G$6)=0,NA(),GETPIVOTDATA(_xlfn.VALUETOTEXT($A$4),'PREFILL-PIVOT'!$A$3,_xlfn.VALUETOTEXT($A$6),$A151,"Experiment",G$5,"date",G$6))</f>
        <v>#REF!</v>
      </c>
      <c r="H151" t="e">
        <f>IF(GETPIVOTDATA(_xlfn.VALUETOTEXT($A$4),'PREFILL-PIVOT'!$A$3,_xlfn.VALUETOTEXT($A$6),$A151,"Experiment",H$5,"date",H$6)=0,NA(),GETPIVOTDATA(_xlfn.VALUETOTEXT($A$4),'PREFILL-PIVOT'!$A$3,_xlfn.VALUETOTEXT($A$6),$A151,"Experiment",H$5,"date",H$6))</f>
        <v>#REF!</v>
      </c>
      <c r="I151" t="e">
        <f>IF(GETPIVOTDATA(_xlfn.VALUETOTEXT($A$4),'PREFILL-PIVOT'!$A$3,_xlfn.VALUETOTEXT($A$6),$A151,"Experiment",I$5,"date",I$6)=0,NA(),GETPIVOTDATA(_xlfn.VALUETOTEXT($A$4),'PREFILL-PIVOT'!$A$3,_xlfn.VALUETOTEXT($A$6),$A151,"Experiment",I$5,"date",I$6))</f>
        <v>#REF!</v>
      </c>
      <c r="J151" t="e">
        <f>IF(GETPIVOTDATA(_xlfn.VALUETOTEXT($A$4),'PREFILL-PIVOT'!$A$3,_xlfn.VALUETOTEXT($A$6),$A151,"Experiment",J$5,"date",J$6)=0,NA(),GETPIVOTDATA(_xlfn.VALUETOTEXT($A$4),'PREFILL-PIVOT'!$A$3,_xlfn.VALUETOTEXT($A$6),$A151,"Experiment",J$5,"date",J$6))</f>
        <v>#REF!</v>
      </c>
      <c r="K151" t="e">
        <f>IF(GETPIVOTDATA(_xlfn.VALUETOTEXT($A$4),'PREFILL-PIVOT'!$A$3,_xlfn.VALUETOTEXT($A$6),$A151,"Experiment",K$5,"date",K$6)=0,NA(),GETPIVOTDATA(_xlfn.VALUETOTEXT($A$4),'PREFILL-PIVOT'!$A$3,_xlfn.VALUETOTEXT($A$6),$A151,"Experiment",K$5,"date",K$6))</f>
        <v>#REF!</v>
      </c>
      <c r="L151" t="e">
        <f>IF(GETPIVOTDATA(_xlfn.VALUETOTEXT($A$4),'PREFILL-PIVOT'!$A$3,_xlfn.VALUETOTEXT($A$6),$A151,"Experiment",L$5,"date",L$6)=0,NA(),GETPIVOTDATA(_xlfn.VALUETOTEXT($A$4),'PREFILL-PIVOT'!$A$3,_xlfn.VALUETOTEXT($A$6),$A151,"Experiment",L$5,"date",L$6))</f>
        <v>#REF!</v>
      </c>
      <c r="M151" t="e">
        <f>IF(GETPIVOTDATA(_xlfn.VALUETOTEXT($A$4),'PREFILL-PIVOT'!$A$3,_xlfn.VALUETOTEXT($A$6),$A151,"Experiment",M$5,"date",M$6)=0,NA(),GETPIVOTDATA(_xlfn.VALUETOTEXT($A$4),'PREFILL-PIVOT'!$A$3,_xlfn.VALUETOTEXT($A$6),$A151,"Experiment",M$5,"date",M$6))</f>
        <v>#REF!</v>
      </c>
    </row>
    <row r="152" spans="1:13" x14ac:dyDescent="0.25">
      <c r="A152" s="222" t="e">
        <f>IF('PREFILL-PIVOT'!A150=0,NA(),'PREFILL-PIVOT'!A150)</f>
        <v>#N/A</v>
      </c>
      <c r="B152" t="e">
        <f>IF(GETPIVOTDATA(_xlfn.VALUETOTEXT($A$4),'PREFILL-PIVOT'!$A$3,_xlfn.VALUETOTEXT($A$6),$A152,"Experiment",B$5,"date",B$6)=0,NA(),GETPIVOTDATA(_xlfn.VALUETOTEXT($A$4),'PREFILL-PIVOT'!$A$3,_xlfn.VALUETOTEXT($A$6),$A152,"Experiment",B$5,"date",B$6))</f>
        <v>#REF!</v>
      </c>
      <c r="C152" t="e">
        <f>IF(GETPIVOTDATA(_xlfn.VALUETOTEXT($A$4),'PREFILL-PIVOT'!$A$3,_xlfn.VALUETOTEXT($A$6),$A152,"Experiment",C$5,"date",C$6)=0,NA(),GETPIVOTDATA(_xlfn.VALUETOTEXT($A$4),'PREFILL-PIVOT'!$A$3,_xlfn.VALUETOTEXT($A$6),$A152,"Experiment",C$5,"date",C$6))</f>
        <v>#REF!</v>
      </c>
      <c r="D152" t="e">
        <f>IF(GETPIVOTDATA(_xlfn.VALUETOTEXT($A$4),'PREFILL-PIVOT'!$A$3,_xlfn.VALUETOTEXT($A$6),$A152,"Experiment",D$5,"date",D$6)=0,NA(),GETPIVOTDATA(_xlfn.VALUETOTEXT($A$4),'PREFILL-PIVOT'!$A$3,_xlfn.VALUETOTEXT($A$6),$A152,"Experiment",D$5,"date",D$6))</f>
        <v>#REF!</v>
      </c>
      <c r="E152" t="e">
        <f>IF(GETPIVOTDATA(_xlfn.VALUETOTEXT($A$4),'PREFILL-PIVOT'!$A$3,_xlfn.VALUETOTEXT($A$6),$A152,"Experiment",E$5,"date",E$6)=0,NA(),GETPIVOTDATA(_xlfn.VALUETOTEXT($A$4),'PREFILL-PIVOT'!$A$3,_xlfn.VALUETOTEXT($A$6),$A152,"Experiment",E$5,"date",E$6))</f>
        <v>#REF!</v>
      </c>
      <c r="F152" t="e">
        <f>IF(GETPIVOTDATA(_xlfn.VALUETOTEXT($A$4),'PREFILL-PIVOT'!$A$3,_xlfn.VALUETOTEXT($A$6),$A152,"Experiment",F$5,"date",F$6)=0,NA(),GETPIVOTDATA(_xlfn.VALUETOTEXT($A$4),'PREFILL-PIVOT'!$A$3,_xlfn.VALUETOTEXT($A$6),$A152,"Experiment",F$5,"date",F$6))</f>
        <v>#REF!</v>
      </c>
      <c r="G152" t="e">
        <f>IF(GETPIVOTDATA(_xlfn.VALUETOTEXT($A$4),'PREFILL-PIVOT'!$A$3,_xlfn.VALUETOTEXT($A$6),$A152,"Experiment",G$5,"date",G$6)=0,NA(),GETPIVOTDATA(_xlfn.VALUETOTEXT($A$4),'PREFILL-PIVOT'!$A$3,_xlfn.VALUETOTEXT($A$6),$A152,"Experiment",G$5,"date",G$6))</f>
        <v>#REF!</v>
      </c>
      <c r="H152" t="e">
        <f>IF(GETPIVOTDATA(_xlfn.VALUETOTEXT($A$4),'PREFILL-PIVOT'!$A$3,_xlfn.VALUETOTEXT($A$6),$A152,"Experiment",H$5,"date",H$6)=0,NA(),GETPIVOTDATA(_xlfn.VALUETOTEXT($A$4),'PREFILL-PIVOT'!$A$3,_xlfn.VALUETOTEXT($A$6),$A152,"Experiment",H$5,"date",H$6))</f>
        <v>#REF!</v>
      </c>
      <c r="I152" t="e">
        <f>IF(GETPIVOTDATA(_xlfn.VALUETOTEXT($A$4),'PREFILL-PIVOT'!$A$3,_xlfn.VALUETOTEXT($A$6),$A152,"Experiment",I$5,"date",I$6)=0,NA(),GETPIVOTDATA(_xlfn.VALUETOTEXT($A$4),'PREFILL-PIVOT'!$A$3,_xlfn.VALUETOTEXT($A$6),$A152,"Experiment",I$5,"date",I$6))</f>
        <v>#REF!</v>
      </c>
      <c r="J152" t="e">
        <f>IF(GETPIVOTDATA(_xlfn.VALUETOTEXT($A$4),'PREFILL-PIVOT'!$A$3,_xlfn.VALUETOTEXT($A$6),$A152,"Experiment",J$5,"date",J$6)=0,NA(),GETPIVOTDATA(_xlfn.VALUETOTEXT($A$4),'PREFILL-PIVOT'!$A$3,_xlfn.VALUETOTEXT($A$6),$A152,"Experiment",J$5,"date",J$6))</f>
        <v>#REF!</v>
      </c>
      <c r="K152" t="e">
        <f>IF(GETPIVOTDATA(_xlfn.VALUETOTEXT($A$4),'PREFILL-PIVOT'!$A$3,_xlfn.VALUETOTEXT($A$6),$A152,"Experiment",K$5,"date",K$6)=0,NA(),GETPIVOTDATA(_xlfn.VALUETOTEXT($A$4),'PREFILL-PIVOT'!$A$3,_xlfn.VALUETOTEXT($A$6),$A152,"Experiment",K$5,"date",K$6))</f>
        <v>#REF!</v>
      </c>
      <c r="L152" t="e">
        <f>IF(GETPIVOTDATA(_xlfn.VALUETOTEXT($A$4),'PREFILL-PIVOT'!$A$3,_xlfn.VALUETOTEXT($A$6),$A152,"Experiment",L$5,"date",L$6)=0,NA(),GETPIVOTDATA(_xlfn.VALUETOTEXT($A$4),'PREFILL-PIVOT'!$A$3,_xlfn.VALUETOTEXT($A$6),$A152,"Experiment",L$5,"date",L$6))</f>
        <v>#REF!</v>
      </c>
      <c r="M152" t="e">
        <f>IF(GETPIVOTDATA(_xlfn.VALUETOTEXT($A$4),'PREFILL-PIVOT'!$A$3,_xlfn.VALUETOTEXT($A$6),$A152,"Experiment",M$5,"date",M$6)=0,NA(),GETPIVOTDATA(_xlfn.VALUETOTEXT($A$4),'PREFILL-PIVOT'!$A$3,_xlfn.VALUETOTEXT($A$6),$A152,"Experiment",M$5,"date",M$6))</f>
        <v>#REF!</v>
      </c>
    </row>
    <row r="153" spans="1:13" x14ac:dyDescent="0.25">
      <c r="A153" s="222" t="e">
        <f>IF('PREFILL-PIVOT'!A151=0,NA(),'PREFILL-PIVOT'!A151)</f>
        <v>#N/A</v>
      </c>
      <c r="B153" t="e">
        <f>IF(GETPIVOTDATA(_xlfn.VALUETOTEXT($A$4),'PREFILL-PIVOT'!$A$3,_xlfn.VALUETOTEXT($A$6),$A153,"Experiment",B$5,"date",B$6)=0,NA(),GETPIVOTDATA(_xlfn.VALUETOTEXT($A$4),'PREFILL-PIVOT'!$A$3,_xlfn.VALUETOTEXT($A$6),$A153,"Experiment",B$5,"date",B$6))</f>
        <v>#REF!</v>
      </c>
      <c r="C153" t="e">
        <f>IF(GETPIVOTDATA(_xlfn.VALUETOTEXT($A$4),'PREFILL-PIVOT'!$A$3,_xlfn.VALUETOTEXT($A$6),$A153,"Experiment",C$5,"date",C$6)=0,NA(),GETPIVOTDATA(_xlfn.VALUETOTEXT($A$4),'PREFILL-PIVOT'!$A$3,_xlfn.VALUETOTEXT($A$6),$A153,"Experiment",C$5,"date",C$6))</f>
        <v>#REF!</v>
      </c>
      <c r="D153" t="e">
        <f>IF(GETPIVOTDATA(_xlfn.VALUETOTEXT($A$4),'PREFILL-PIVOT'!$A$3,_xlfn.VALUETOTEXT($A$6),$A153,"Experiment",D$5,"date",D$6)=0,NA(),GETPIVOTDATA(_xlfn.VALUETOTEXT($A$4),'PREFILL-PIVOT'!$A$3,_xlfn.VALUETOTEXT($A$6),$A153,"Experiment",D$5,"date",D$6))</f>
        <v>#REF!</v>
      </c>
      <c r="E153" t="e">
        <f>IF(GETPIVOTDATA(_xlfn.VALUETOTEXT($A$4),'PREFILL-PIVOT'!$A$3,_xlfn.VALUETOTEXT($A$6),$A153,"Experiment",E$5,"date",E$6)=0,NA(),GETPIVOTDATA(_xlfn.VALUETOTEXT($A$4),'PREFILL-PIVOT'!$A$3,_xlfn.VALUETOTEXT($A$6),$A153,"Experiment",E$5,"date",E$6))</f>
        <v>#REF!</v>
      </c>
      <c r="F153" t="e">
        <f>IF(GETPIVOTDATA(_xlfn.VALUETOTEXT($A$4),'PREFILL-PIVOT'!$A$3,_xlfn.VALUETOTEXT($A$6),$A153,"Experiment",F$5,"date",F$6)=0,NA(),GETPIVOTDATA(_xlfn.VALUETOTEXT($A$4),'PREFILL-PIVOT'!$A$3,_xlfn.VALUETOTEXT($A$6),$A153,"Experiment",F$5,"date",F$6))</f>
        <v>#REF!</v>
      </c>
      <c r="G153" t="e">
        <f>IF(GETPIVOTDATA(_xlfn.VALUETOTEXT($A$4),'PREFILL-PIVOT'!$A$3,_xlfn.VALUETOTEXT($A$6),$A153,"Experiment",G$5,"date",G$6)=0,NA(),GETPIVOTDATA(_xlfn.VALUETOTEXT($A$4),'PREFILL-PIVOT'!$A$3,_xlfn.VALUETOTEXT($A$6),$A153,"Experiment",G$5,"date",G$6))</f>
        <v>#REF!</v>
      </c>
      <c r="H153" t="e">
        <f>IF(GETPIVOTDATA(_xlfn.VALUETOTEXT($A$4),'PREFILL-PIVOT'!$A$3,_xlfn.VALUETOTEXT($A$6),$A153,"Experiment",H$5,"date",H$6)=0,NA(),GETPIVOTDATA(_xlfn.VALUETOTEXT($A$4),'PREFILL-PIVOT'!$A$3,_xlfn.VALUETOTEXT($A$6),$A153,"Experiment",H$5,"date",H$6))</f>
        <v>#REF!</v>
      </c>
      <c r="I153" t="e">
        <f>IF(GETPIVOTDATA(_xlfn.VALUETOTEXT($A$4),'PREFILL-PIVOT'!$A$3,_xlfn.VALUETOTEXT($A$6),$A153,"Experiment",I$5,"date",I$6)=0,NA(),GETPIVOTDATA(_xlfn.VALUETOTEXT($A$4),'PREFILL-PIVOT'!$A$3,_xlfn.VALUETOTEXT($A$6),$A153,"Experiment",I$5,"date",I$6))</f>
        <v>#REF!</v>
      </c>
      <c r="J153" t="e">
        <f>IF(GETPIVOTDATA(_xlfn.VALUETOTEXT($A$4),'PREFILL-PIVOT'!$A$3,_xlfn.VALUETOTEXT($A$6),$A153,"Experiment",J$5,"date",J$6)=0,NA(),GETPIVOTDATA(_xlfn.VALUETOTEXT($A$4),'PREFILL-PIVOT'!$A$3,_xlfn.VALUETOTEXT($A$6),$A153,"Experiment",J$5,"date",J$6))</f>
        <v>#REF!</v>
      </c>
      <c r="K153" t="e">
        <f>IF(GETPIVOTDATA(_xlfn.VALUETOTEXT($A$4),'PREFILL-PIVOT'!$A$3,_xlfn.VALUETOTEXT($A$6),$A153,"Experiment",K$5,"date",K$6)=0,NA(),GETPIVOTDATA(_xlfn.VALUETOTEXT($A$4),'PREFILL-PIVOT'!$A$3,_xlfn.VALUETOTEXT($A$6),$A153,"Experiment",K$5,"date",K$6))</f>
        <v>#REF!</v>
      </c>
      <c r="L153" t="e">
        <f>IF(GETPIVOTDATA(_xlfn.VALUETOTEXT($A$4),'PREFILL-PIVOT'!$A$3,_xlfn.VALUETOTEXT($A$6),$A153,"Experiment",L$5,"date",L$6)=0,NA(),GETPIVOTDATA(_xlfn.VALUETOTEXT($A$4),'PREFILL-PIVOT'!$A$3,_xlfn.VALUETOTEXT($A$6),$A153,"Experiment",L$5,"date",L$6))</f>
        <v>#REF!</v>
      </c>
      <c r="M153" t="e">
        <f>IF(GETPIVOTDATA(_xlfn.VALUETOTEXT($A$4),'PREFILL-PIVOT'!$A$3,_xlfn.VALUETOTEXT($A$6),$A153,"Experiment",M$5,"date",M$6)=0,NA(),GETPIVOTDATA(_xlfn.VALUETOTEXT($A$4),'PREFILL-PIVOT'!$A$3,_xlfn.VALUETOTEXT($A$6),$A153,"Experiment",M$5,"date",M$6))</f>
        <v>#REF!</v>
      </c>
    </row>
    <row r="154" spans="1:13" x14ac:dyDescent="0.25">
      <c r="A154" s="222" t="e">
        <f>IF('PREFILL-PIVOT'!A152=0,NA(),'PREFILL-PIVOT'!A152)</f>
        <v>#N/A</v>
      </c>
      <c r="B154" t="e">
        <f>IF(GETPIVOTDATA(_xlfn.VALUETOTEXT($A$4),'PREFILL-PIVOT'!$A$3,_xlfn.VALUETOTEXT($A$6),$A154,"Experiment",B$5,"date",B$6)=0,NA(),GETPIVOTDATA(_xlfn.VALUETOTEXT($A$4),'PREFILL-PIVOT'!$A$3,_xlfn.VALUETOTEXT($A$6),$A154,"Experiment",B$5,"date",B$6))</f>
        <v>#REF!</v>
      </c>
      <c r="C154" t="e">
        <f>IF(GETPIVOTDATA(_xlfn.VALUETOTEXT($A$4),'PREFILL-PIVOT'!$A$3,_xlfn.VALUETOTEXT($A$6),$A154,"Experiment",C$5,"date",C$6)=0,NA(),GETPIVOTDATA(_xlfn.VALUETOTEXT($A$4),'PREFILL-PIVOT'!$A$3,_xlfn.VALUETOTEXT($A$6),$A154,"Experiment",C$5,"date",C$6))</f>
        <v>#REF!</v>
      </c>
      <c r="D154" t="e">
        <f>IF(GETPIVOTDATA(_xlfn.VALUETOTEXT($A$4),'PREFILL-PIVOT'!$A$3,_xlfn.VALUETOTEXT($A$6),$A154,"Experiment",D$5,"date",D$6)=0,NA(),GETPIVOTDATA(_xlfn.VALUETOTEXT($A$4),'PREFILL-PIVOT'!$A$3,_xlfn.VALUETOTEXT($A$6),$A154,"Experiment",D$5,"date",D$6))</f>
        <v>#REF!</v>
      </c>
      <c r="E154" t="e">
        <f>IF(GETPIVOTDATA(_xlfn.VALUETOTEXT($A$4),'PREFILL-PIVOT'!$A$3,_xlfn.VALUETOTEXT($A$6),$A154,"Experiment",E$5,"date",E$6)=0,NA(),GETPIVOTDATA(_xlfn.VALUETOTEXT($A$4),'PREFILL-PIVOT'!$A$3,_xlfn.VALUETOTEXT($A$6),$A154,"Experiment",E$5,"date",E$6))</f>
        <v>#REF!</v>
      </c>
      <c r="F154" t="e">
        <f>IF(GETPIVOTDATA(_xlfn.VALUETOTEXT($A$4),'PREFILL-PIVOT'!$A$3,_xlfn.VALUETOTEXT($A$6),$A154,"Experiment",F$5,"date",F$6)=0,NA(),GETPIVOTDATA(_xlfn.VALUETOTEXT($A$4),'PREFILL-PIVOT'!$A$3,_xlfn.VALUETOTEXT($A$6),$A154,"Experiment",F$5,"date",F$6))</f>
        <v>#REF!</v>
      </c>
      <c r="G154" t="e">
        <f>IF(GETPIVOTDATA(_xlfn.VALUETOTEXT($A$4),'PREFILL-PIVOT'!$A$3,_xlfn.VALUETOTEXT($A$6),$A154,"Experiment",G$5,"date",G$6)=0,NA(),GETPIVOTDATA(_xlfn.VALUETOTEXT($A$4),'PREFILL-PIVOT'!$A$3,_xlfn.VALUETOTEXT($A$6),$A154,"Experiment",G$5,"date",G$6))</f>
        <v>#REF!</v>
      </c>
      <c r="H154" t="e">
        <f>IF(GETPIVOTDATA(_xlfn.VALUETOTEXT($A$4),'PREFILL-PIVOT'!$A$3,_xlfn.VALUETOTEXT($A$6),$A154,"Experiment",H$5,"date",H$6)=0,NA(),GETPIVOTDATA(_xlfn.VALUETOTEXT($A$4),'PREFILL-PIVOT'!$A$3,_xlfn.VALUETOTEXT($A$6),$A154,"Experiment",H$5,"date",H$6))</f>
        <v>#REF!</v>
      </c>
      <c r="I154" t="e">
        <f>IF(GETPIVOTDATA(_xlfn.VALUETOTEXT($A$4),'PREFILL-PIVOT'!$A$3,_xlfn.VALUETOTEXT($A$6),$A154,"Experiment",I$5,"date",I$6)=0,NA(),GETPIVOTDATA(_xlfn.VALUETOTEXT($A$4),'PREFILL-PIVOT'!$A$3,_xlfn.VALUETOTEXT($A$6),$A154,"Experiment",I$5,"date",I$6))</f>
        <v>#REF!</v>
      </c>
      <c r="J154" t="e">
        <f>IF(GETPIVOTDATA(_xlfn.VALUETOTEXT($A$4),'PREFILL-PIVOT'!$A$3,_xlfn.VALUETOTEXT($A$6),$A154,"Experiment",J$5,"date",J$6)=0,NA(),GETPIVOTDATA(_xlfn.VALUETOTEXT($A$4),'PREFILL-PIVOT'!$A$3,_xlfn.VALUETOTEXT($A$6),$A154,"Experiment",J$5,"date",J$6))</f>
        <v>#REF!</v>
      </c>
      <c r="K154" t="e">
        <f>IF(GETPIVOTDATA(_xlfn.VALUETOTEXT($A$4),'PREFILL-PIVOT'!$A$3,_xlfn.VALUETOTEXT($A$6),$A154,"Experiment",K$5,"date",K$6)=0,NA(),GETPIVOTDATA(_xlfn.VALUETOTEXT($A$4),'PREFILL-PIVOT'!$A$3,_xlfn.VALUETOTEXT($A$6),$A154,"Experiment",K$5,"date",K$6))</f>
        <v>#REF!</v>
      </c>
      <c r="L154" t="e">
        <f>IF(GETPIVOTDATA(_xlfn.VALUETOTEXT($A$4),'PREFILL-PIVOT'!$A$3,_xlfn.VALUETOTEXT($A$6),$A154,"Experiment",L$5,"date",L$6)=0,NA(),GETPIVOTDATA(_xlfn.VALUETOTEXT($A$4),'PREFILL-PIVOT'!$A$3,_xlfn.VALUETOTEXT($A$6),$A154,"Experiment",L$5,"date",L$6))</f>
        <v>#REF!</v>
      </c>
      <c r="M154" t="e">
        <f>IF(GETPIVOTDATA(_xlfn.VALUETOTEXT($A$4),'PREFILL-PIVOT'!$A$3,_xlfn.VALUETOTEXT($A$6),$A154,"Experiment",M$5,"date",M$6)=0,NA(),GETPIVOTDATA(_xlfn.VALUETOTEXT($A$4),'PREFILL-PIVOT'!$A$3,_xlfn.VALUETOTEXT($A$6),$A154,"Experiment",M$5,"date",M$6))</f>
        <v>#REF!</v>
      </c>
    </row>
    <row r="155" spans="1:13" x14ac:dyDescent="0.25">
      <c r="A155" s="222" t="e">
        <f>IF('PREFILL-PIVOT'!A153=0,NA(),'PREFILL-PIVOT'!A153)</f>
        <v>#N/A</v>
      </c>
      <c r="B155" t="e">
        <f>IF(GETPIVOTDATA(_xlfn.VALUETOTEXT($A$4),'PREFILL-PIVOT'!$A$3,_xlfn.VALUETOTEXT($A$6),$A155,"Experiment",B$5,"date",B$6)=0,NA(),GETPIVOTDATA(_xlfn.VALUETOTEXT($A$4),'PREFILL-PIVOT'!$A$3,_xlfn.VALUETOTEXT($A$6),$A155,"Experiment",B$5,"date",B$6))</f>
        <v>#REF!</v>
      </c>
      <c r="C155" t="e">
        <f>IF(GETPIVOTDATA(_xlfn.VALUETOTEXT($A$4),'PREFILL-PIVOT'!$A$3,_xlfn.VALUETOTEXT($A$6),$A155,"Experiment",C$5,"date",C$6)=0,NA(),GETPIVOTDATA(_xlfn.VALUETOTEXT($A$4),'PREFILL-PIVOT'!$A$3,_xlfn.VALUETOTEXT($A$6),$A155,"Experiment",C$5,"date",C$6))</f>
        <v>#REF!</v>
      </c>
      <c r="D155" t="e">
        <f>IF(GETPIVOTDATA(_xlfn.VALUETOTEXT($A$4),'PREFILL-PIVOT'!$A$3,_xlfn.VALUETOTEXT($A$6),$A155,"Experiment",D$5,"date",D$6)=0,NA(),GETPIVOTDATA(_xlfn.VALUETOTEXT($A$4),'PREFILL-PIVOT'!$A$3,_xlfn.VALUETOTEXT($A$6),$A155,"Experiment",D$5,"date",D$6))</f>
        <v>#REF!</v>
      </c>
      <c r="E155" t="e">
        <f>IF(GETPIVOTDATA(_xlfn.VALUETOTEXT($A$4),'PREFILL-PIVOT'!$A$3,_xlfn.VALUETOTEXT($A$6),$A155,"Experiment",E$5,"date",E$6)=0,NA(),GETPIVOTDATA(_xlfn.VALUETOTEXT($A$4),'PREFILL-PIVOT'!$A$3,_xlfn.VALUETOTEXT($A$6),$A155,"Experiment",E$5,"date",E$6))</f>
        <v>#REF!</v>
      </c>
      <c r="F155" t="e">
        <f>IF(GETPIVOTDATA(_xlfn.VALUETOTEXT($A$4),'PREFILL-PIVOT'!$A$3,_xlfn.VALUETOTEXT($A$6),$A155,"Experiment",F$5,"date",F$6)=0,NA(),GETPIVOTDATA(_xlfn.VALUETOTEXT($A$4),'PREFILL-PIVOT'!$A$3,_xlfn.VALUETOTEXT($A$6),$A155,"Experiment",F$5,"date",F$6))</f>
        <v>#REF!</v>
      </c>
      <c r="G155" t="e">
        <f>IF(GETPIVOTDATA(_xlfn.VALUETOTEXT($A$4),'PREFILL-PIVOT'!$A$3,_xlfn.VALUETOTEXT($A$6),$A155,"Experiment",G$5,"date",G$6)=0,NA(),GETPIVOTDATA(_xlfn.VALUETOTEXT($A$4),'PREFILL-PIVOT'!$A$3,_xlfn.VALUETOTEXT($A$6),$A155,"Experiment",G$5,"date",G$6))</f>
        <v>#REF!</v>
      </c>
      <c r="H155" t="e">
        <f>IF(GETPIVOTDATA(_xlfn.VALUETOTEXT($A$4),'PREFILL-PIVOT'!$A$3,_xlfn.VALUETOTEXT($A$6),$A155,"Experiment",H$5,"date",H$6)=0,NA(),GETPIVOTDATA(_xlfn.VALUETOTEXT($A$4),'PREFILL-PIVOT'!$A$3,_xlfn.VALUETOTEXT($A$6),$A155,"Experiment",H$5,"date",H$6))</f>
        <v>#REF!</v>
      </c>
      <c r="I155" t="e">
        <f>IF(GETPIVOTDATA(_xlfn.VALUETOTEXT($A$4),'PREFILL-PIVOT'!$A$3,_xlfn.VALUETOTEXT($A$6),$A155,"Experiment",I$5,"date",I$6)=0,NA(),GETPIVOTDATA(_xlfn.VALUETOTEXT($A$4),'PREFILL-PIVOT'!$A$3,_xlfn.VALUETOTEXT($A$6),$A155,"Experiment",I$5,"date",I$6))</f>
        <v>#REF!</v>
      </c>
      <c r="J155" t="e">
        <f>IF(GETPIVOTDATA(_xlfn.VALUETOTEXT($A$4),'PREFILL-PIVOT'!$A$3,_xlfn.VALUETOTEXT($A$6),$A155,"Experiment",J$5,"date",J$6)=0,NA(),GETPIVOTDATA(_xlfn.VALUETOTEXT($A$4),'PREFILL-PIVOT'!$A$3,_xlfn.VALUETOTEXT($A$6),$A155,"Experiment",J$5,"date",J$6))</f>
        <v>#REF!</v>
      </c>
      <c r="K155" t="e">
        <f>IF(GETPIVOTDATA(_xlfn.VALUETOTEXT($A$4),'PREFILL-PIVOT'!$A$3,_xlfn.VALUETOTEXT($A$6),$A155,"Experiment",K$5,"date",K$6)=0,NA(),GETPIVOTDATA(_xlfn.VALUETOTEXT($A$4),'PREFILL-PIVOT'!$A$3,_xlfn.VALUETOTEXT($A$6),$A155,"Experiment",K$5,"date",K$6))</f>
        <v>#REF!</v>
      </c>
      <c r="L155" t="e">
        <f>IF(GETPIVOTDATA(_xlfn.VALUETOTEXT($A$4),'PREFILL-PIVOT'!$A$3,_xlfn.VALUETOTEXT($A$6),$A155,"Experiment",L$5,"date",L$6)=0,NA(),GETPIVOTDATA(_xlfn.VALUETOTEXT($A$4),'PREFILL-PIVOT'!$A$3,_xlfn.VALUETOTEXT($A$6),$A155,"Experiment",L$5,"date",L$6))</f>
        <v>#REF!</v>
      </c>
      <c r="M155" t="e">
        <f>IF(GETPIVOTDATA(_xlfn.VALUETOTEXT($A$4),'PREFILL-PIVOT'!$A$3,_xlfn.VALUETOTEXT($A$6),$A155,"Experiment",M$5,"date",M$6)=0,NA(),GETPIVOTDATA(_xlfn.VALUETOTEXT($A$4),'PREFILL-PIVOT'!$A$3,_xlfn.VALUETOTEXT($A$6),$A155,"Experiment",M$5,"date",M$6))</f>
        <v>#REF!</v>
      </c>
    </row>
    <row r="156" spans="1:13" x14ac:dyDescent="0.25">
      <c r="A156" s="222" t="e">
        <f>IF('PREFILL-PIVOT'!A154=0,NA(),'PREFILL-PIVOT'!A154)</f>
        <v>#N/A</v>
      </c>
      <c r="B156" t="e">
        <f>IF(GETPIVOTDATA(_xlfn.VALUETOTEXT($A$4),'PREFILL-PIVOT'!$A$3,_xlfn.VALUETOTEXT($A$6),$A156,"Experiment",B$5,"date",B$6)=0,NA(),GETPIVOTDATA(_xlfn.VALUETOTEXT($A$4),'PREFILL-PIVOT'!$A$3,_xlfn.VALUETOTEXT($A$6),$A156,"Experiment",B$5,"date",B$6))</f>
        <v>#REF!</v>
      </c>
      <c r="C156" t="e">
        <f>IF(GETPIVOTDATA(_xlfn.VALUETOTEXT($A$4),'PREFILL-PIVOT'!$A$3,_xlfn.VALUETOTEXT($A$6),$A156,"Experiment",C$5,"date",C$6)=0,NA(),GETPIVOTDATA(_xlfn.VALUETOTEXT($A$4),'PREFILL-PIVOT'!$A$3,_xlfn.VALUETOTEXT($A$6),$A156,"Experiment",C$5,"date",C$6))</f>
        <v>#REF!</v>
      </c>
      <c r="D156" t="e">
        <f>IF(GETPIVOTDATA(_xlfn.VALUETOTEXT($A$4),'PREFILL-PIVOT'!$A$3,_xlfn.VALUETOTEXT($A$6),$A156,"Experiment",D$5,"date",D$6)=0,NA(),GETPIVOTDATA(_xlfn.VALUETOTEXT($A$4),'PREFILL-PIVOT'!$A$3,_xlfn.VALUETOTEXT($A$6),$A156,"Experiment",D$5,"date",D$6))</f>
        <v>#REF!</v>
      </c>
      <c r="E156" t="e">
        <f>IF(GETPIVOTDATA(_xlfn.VALUETOTEXT($A$4),'PREFILL-PIVOT'!$A$3,_xlfn.VALUETOTEXT($A$6),$A156,"Experiment",E$5,"date",E$6)=0,NA(),GETPIVOTDATA(_xlfn.VALUETOTEXT($A$4),'PREFILL-PIVOT'!$A$3,_xlfn.VALUETOTEXT($A$6),$A156,"Experiment",E$5,"date",E$6))</f>
        <v>#REF!</v>
      </c>
      <c r="F156" t="e">
        <f>IF(GETPIVOTDATA(_xlfn.VALUETOTEXT($A$4),'PREFILL-PIVOT'!$A$3,_xlfn.VALUETOTEXT($A$6),$A156,"Experiment",F$5,"date",F$6)=0,NA(),GETPIVOTDATA(_xlfn.VALUETOTEXT($A$4),'PREFILL-PIVOT'!$A$3,_xlfn.VALUETOTEXT($A$6),$A156,"Experiment",F$5,"date",F$6))</f>
        <v>#REF!</v>
      </c>
      <c r="G156" t="e">
        <f>IF(GETPIVOTDATA(_xlfn.VALUETOTEXT($A$4),'PREFILL-PIVOT'!$A$3,_xlfn.VALUETOTEXT($A$6),$A156,"Experiment",G$5,"date",G$6)=0,NA(),GETPIVOTDATA(_xlfn.VALUETOTEXT($A$4),'PREFILL-PIVOT'!$A$3,_xlfn.VALUETOTEXT($A$6),$A156,"Experiment",G$5,"date",G$6))</f>
        <v>#REF!</v>
      </c>
      <c r="H156" t="e">
        <f>IF(GETPIVOTDATA(_xlfn.VALUETOTEXT($A$4),'PREFILL-PIVOT'!$A$3,_xlfn.VALUETOTEXT($A$6),$A156,"Experiment",H$5,"date",H$6)=0,NA(),GETPIVOTDATA(_xlfn.VALUETOTEXT($A$4),'PREFILL-PIVOT'!$A$3,_xlfn.VALUETOTEXT($A$6),$A156,"Experiment",H$5,"date",H$6))</f>
        <v>#REF!</v>
      </c>
      <c r="I156" t="e">
        <f>IF(GETPIVOTDATA(_xlfn.VALUETOTEXT($A$4),'PREFILL-PIVOT'!$A$3,_xlfn.VALUETOTEXT($A$6),$A156,"Experiment",I$5,"date",I$6)=0,NA(),GETPIVOTDATA(_xlfn.VALUETOTEXT($A$4),'PREFILL-PIVOT'!$A$3,_xlfn.VALUETOTEXT($A$6),$A156,"Experiment",I$5,"date",I$6))</f>
        <v>#REF!</v>
      </c>
      <c r="J156" t="e">
        <f>IF(GETPIVOTDATA(_xlfn.VALUETOTEXT($A$4),'PREFILL-PIVOT'!$A$3,_xlfn.VALUETOTEXT($A$6),$A156,"Experiment",J$5,"date",J$6)=0,NA(),GETPIVOTDATA(_xlfn.VALUETOTEXT($A$4),'PREFILL-PIVOT'!$A$3,_xlfn.VALUETOTEXT($A$6),$A156,"Experiment",J$5,"date",J$6))</f>
        <v>#REF!</v>
      </c>
      <c r="K156" t="e">
        <f>IF(GETPIVOTDATA(_xlfn.VALUETOTEXT($A$4),'PREFILL-PIVOT'!$A$3,_xlfn.VALUETOTEXT($A$6),$A156,"Experiment",K$5,"date",K$6)=0,NA(),GETPIVOTDATA(_xlfn.VALUETOTEXT($A$4),'PREFILL-PIVOT'!$A$3,_xlfn.VALUETOTEXT($A$6),$A156,"Experiment",K$5,"date",K$6))</f>
        <v>#REF!</v>
      </c>
      <c r="L156" t="e">
        <f>IF(GETPIVOTDATA(_xlfn.VALUETOTEXT($A$4),'PREFILL-PIVOT'!$A$3,_xlfn.VALUETOTEXT($A$6),$A156,"Experiment",L$5,"date",L$6)=0,NA(),GETPIVOTDATA(_xlfn.VALUETOTEXT($A$4),'PREFILL-PIVOT'!$A$3,_xlfn.VALUETOTEXT($A$6),$A156,"Experiment",L$5,"date",L$6))</f>
        <v>#REF!</v>
      </c>
      <c r="M156" t="e">
        <f>IF(GETPIVOTDATA(_xlfn.VALUETOTEXT($A$4),'PREFILL-PIVOT'!$A$3,_xlfn.VALUETOTEXT($A$6),$A156,"Experiment",M$5,"date",M$6)=0,NA(),GETPIVOTDATA(_xlfn.VALUETOTEXT($A$4),'PREFILL-PIVOT'!$A$3,_xlfn.VALUETOTEXT($A$6),$A156,"Experiment",M$5,"date",M$6))</f>
        <v>#REF!</v>
      </c>
    </row>
    <row r="157" spans="1:13" x14ac:dyDescent="0.25">
      <c r="A157" s="222" t="e">
        <f>IF('PREFILL-PIVOT'!A155=0,NA(),'PREFILL-PIVOT'!A155)</f>
        <v>#N/A</v>
      </c>
      <c r="B157" t="e">
        <f>IF(GETPIVOTDATA(_xlfn.VALUETOTEXT($A$4),'PREFILL-PIVOT'!$A$3,_xlfn.VALUETOTEXT($A$6),$A157,"Experiment",B$5,"date",B$6)=0,NA(),GETPIVOTDATA(_xlfn.VALUETOTEXT($A$4),'PREFILL-PIVOT'!$A$3,_xlfn.VALUETOTEXT($A$6),$A157,"Experiment",B$5,"date",B$6))</f>
        <v>#REF!</v>
      </c>
      <c r="C157" t="e">
        <f>IF(GETPIVOTDATA(_xlfn.VALUETOTEXT($A$4),'PREFILL-PIVOT'!$A$3,_xlfn.VALUETOTEXT($A$6),$A157,"Experiment",C$5,"date",C$6)=0,NA(),GETPIVOTDATA(_xlfn.VALUETOTEXT($A$4),'PREFILL-PIVOT'!$A$3,_xlfn.VALUETOTEXT($A$6),$A157,"Experiment",C$5,"date",C$6))</f>
        <v>#REF!</v>
      </c>
      <c r="D157" t="e">
        <f>IF(GETPIVOTDATA(_xlfn.VALUETOTEXT($A$4),'PREFILL-PIVOT'!$A$3,_xlfn.VALUETOTEXT($A$6),$A157,"Experiment",D$5,"date",D$6)=0,NA(),GETPIVOTDATA(_xlfn.VALUETOTEXT($A$4),'PREFILL-PIVOT'!$A$3,_xlfn.VALUETOTEXT($A$6),$A157,"Experiment",D$5,"date",D$6))</f>
        <v>#REF!</v>
      </c>
      <c r="E157" t="e">
        <f>IF(GETPIVOTDATA(_xlfn.VALUETOTEXT($A$4),'PREFILL-PIVOT'!$A$3,_xlfn.VALUETOTEXT($A$6),$A157,"Experiment",E$5,"date",E$6)=0,NA(),GETPIVOTDATA(_xlfn.VALUETOTEXT($A$4),'PREFILL-PIVOT'!$A$3,_xlfn.VALUETOTEXT($A$6),$A157,"Experiment",E$5,"date",E$6))</f>
        <v>#REF!</v>
      </c>
      <c r="F157" t="e">
        <f>IF(GETPIVOTDATA(_xlfn.VALUETOTEXT($A$4),'PREFILL-PIVOT'!$A$3,_xlfn.VALUETOTEXT($A$6),$A157,"Experiment",F$5,"date",F$6)=0,NA(),GETPIVOTDATA(_xlfn.VALUETOTEXT($A$4),'PREFILL-PIVOT'!$A$3,_xlfn.VALUETOTEXT($A$6),$A157,"Experiment",F$5,"date",F$6))</f>
        <v>#REF!</v>
      </c>
      <c r="G157" t="e">
        <f>IF(GETPIVOTDATA(_xlfn.VALUETOTEXT($A$4),'PREFILL-PIVOT'!$A$3,_xlfn.VALUETOTEXT($A$6),$A157,"Experiment",G$5,"date",G$6)=0,NA(),GETPIVOTDATA(_xlfn.VALUETOTEXT($A$4),'PREFILL-PIVOT'!$A$3,_xlfn.VALUETOTEXT($A$6),$A157,"Experiment",G$5,"date",G$6))</f>
        <v>#REF!</v>
      </c>
      <c r="H157" t="e">
        <f>IF(GETPIVOTDATA(_xlfn.VALUETOTEXT($A$4),'PREFILL-PIVOT'!$A$3,_xlfn.VALUETOTEXT($A$6),$A157,"Experiment",H$5,"date",H$6)=0,NA(),GETPIVOTDATA(_xlfn.VALUETOTEXT($A$4),'PREFILL-PIVOT'!$A$3,_xlfn.VALUETOTEXT($A$6),$A157,"Experiment",H$5,"date",H$6))</f>
        <v>#REF!</v>
      </c>
      <c r="I157" t="e">
        <f>IF(GETPIVOTDATA(_xlfn.VALUETOTEXT($A$4),'PREFILL-PIVOT'!$A$3,_xlfn.VALUETOTEXT($A$6),$A157,"Experiment",I$5,"date",I$6)=0,NA(),GETPIVOTDATA(_xlfn.VALUETOTEXT($A$4),'PREFILL-PIVOT'!$A$3,_xlfn.VALUETOTEXT($A$6),$A157,"Experiment",I$5,"date",I$6))</f>
        <v>#REF!</v>
      </c>
      <c r="J157" t="e">
        <f>IF(GETPIVOTDATA(_xlfn.VALUETOTEXT($A$4),'PREFILL-PIVOT'!$A$3,_xlfn.VALUETOTEXT($A$6),$A157,"Experiment",J$5,"date",J$6)=0,NA(),GETPIVOTDATA(_xlfn.VALUETOTEXT($A$4),'PREFILL-PIVOT'!$A$3,_xlfn.VALUETOTEXT($A$6),$A157,"Experiment",J$5,"date",J$6))</f>
        <v>#REF!</v>
      </c>
      <c r="K157" t="e">
        <f>IF(GETPIVOTDATA(_xlfn.VALUETOTEXT($A$4),'PREFILL-PIVOT'!$A$3,_xlfn.VALUETOTEXT($A$6),$A157,"Experiment",K$5,"date",K$6)=0,NA(),GETPIVOTDATA(_xlfn.VALUETOTEXT($A$4),'PREFILL-PIVOT'!$A$3,_xlfn.VALUETOTEXT($A$6),$A157,"Experiment",K$5,"date",K$6))</f>
        <v>#REF!</v>
      </c>
      <c r="L157" t="e">
        <f>IF(GETPIVOTDATA(_xlfn.VALUETOTEXT($A$4),'PREFILL-PIVOT'!$A$3,_xlfn.VALUETOTEXT($A$6),$A157,"Experiment",L$5,"date",L$6)=0,NA(),GETPIVOTDATA(_xlfn.VALUETOTEXT($A$4),'PREFILL-PIVOT'!$A$3,_xlfn.VALUETOTEXT($A$6),$A157,"Experiment",L$5,"date",L$6))</f>
        <v>#REF!</v>
      </c>
      <c r="M157" t="e">
        <f>IF(GETPIVOTDATA(_xlfn.VALUETOTEXT($A$4),'PREFILL-PIVOT'!$A$3,_xlfn.VALUETOTEXT($A$6),$A157,"Experiment",M$5,"date",M$6)=0,NA(),GETPIVOTDATA(_xlfn.VALUETOTEXT($A$4),'PREFILL-PIVOT'!$A$3,_xlfn.VALUETOTEXT($A$6),$A157,"Experiment",M$5,"date",M$6))</f>
        <v>#REF!</v>
      </c>
    </row>
    <row r="158" spans="1:13" x14ac:dyDescent="0.25">
      <c r="A158" s="222" t="e">
        <f>IF('PREFILL-PIVOT'!A156=0,NA(),'PREFILL-PIVOT'!A156)</f>
        <v>#N/A</v>
      </c>
      <c r="B158" t="e">
        <f>IF(GETPIVOTDATA(_xlfn.VALUETOTEXT($A$4),'PREFILL-PIVOT'!$A$3,_xlfn.VALUETOTEXT($A$6),$A158,"Experiment",B$5,"date",B$6)=0,NA(),GETPIVOTDATA(_xlfn.VALUETOTEXT($A$4),'PREFILL-PIVOT'!$A$3,_xlfn.VALUETOTEXT($A$6),$A158,"Experiment",B$5,"date",B$6))</f>
        <v>#REF!</v>
      </c>
      <c r="C158" t="e">
        <f>IF(GETPIVOTDATA(_xlfn.VALUETOTEXT($A$4),'PREFILL-PIVOT'!$A$3,_xlfn.VALUETOTEXT($A$6),$A158,"Experiment",C$5,"date",C$6)=0,NA(),GETPIVOTDATA(_xlfn.VALUETOTEXT($A$4),'PREFILL-PIVOT'!$A$3,_xlfn.VALUETOTEXT($A$6),$A158,"Experiment",C$5,"date",C$6))</f>
        <v>#REF!</v>
      </c>
      <c r="D158" t="e">
        <f>IF(GETPIVOTDATA(_xlfn.VALUETOTEXT($A$4),'PREFILL-PIVOT'!$A$3,_xlfn.VALUETOTEXT($A$6),$A158,"Experiment",D$5,"date",D$6)=0,NA(),GETPIVOTDATA(_xlfn.VALUETOTEXT($A$4),'PREFILL-PIVOT'!$A$3,_xlfn.VALUETOTEXT($A$6),$A158,"Experiment",D$5,"date",D$6))</f>
        <v>#REF!</v>
      </c>
      <c r="E158" t="e">
        <f>IF(GETPIVOTDATA(_xlfn.VALUETOTEXT($A$4),'PREFILL-PIVOT'!$A$3,_xlfn.VALUETOTEXT($A$6),$A158,"Experiment",E$5,"date",E$6)=0,NA(),GETPIVOTDATA(_xlfn.VALUETOTEXT($A$4),'PREFILL-PIVOT'!$A$3,_xlfn.VALUETOTEXT($A$6),$A158,"Experiment",E$5,"date",E$6))</f>
        <v>#REF!</v>
      </c>
      <c r="F158" t="e">
        <f>IF(GETPIVOTDATA(_xlfn.VALUETOTEXT($A$4),'PREFILL-PIVOT'!$A$3,_xlfn.VALUETOTEXT($A$6),$A158,"Experiment",F$5,"date",F$6)=0,NA(),GETPIVOTDATA(_xlfn.VALUETOTEXT($A$4),'PREFILL-PIVOT'!$A$3,_xlfn.VALUETOTEXT($A$6),$A158,"Experiment",F$5,"date",F$6))</f>
        <v>#REF!</v>
      </c>
      <c r="G158" t="e">
        <f>IF(GETPIVOTDATA(_xlfn.VALUETOTEXT($A$4),'PREFILL-PIVOT'!$A$3,_xlfn.VALUETOTEXT($A$6),$A158,"Experiment",G$5,"date",G$6)=0,NA(),GETPIVOTDATA(_xlfn.VALUETOTEXT($A$4),'PREFILL-PIVOT'!$A$3,_xlfn.VALUETOTEXT($A$6),$A158,"Experiment",G$5,"date",G$6))</f>
        <v>#REF!</v>
      </c>
      <c r="H158" t="e">
        <f>IF(GETPIVOTDATA(_xlfn.VALUETOTEXT($A$4),'PREFILL-PIVOT'!$A$3,_xlfn.VALUETOTEXT($A$6),$A158,"Experiment",H$5,"date",H$6)=0,NA(),GETPIVOTDATA(_xlfn.VALUETOTEXT($A$4),'PREFILL-PIVOT'!$A$3,_xlfn.VALUETOTEXT($A$6),$A158,"Experiment",H$5,"date",H$6))</f>
        <v>#REF!</v>
      </c>
      <c r="I158" t="e">
        <f>IF(GETPIVOTDATA(_xlfn.VALUETOTEXT($A$4),'PREFILL-PIVOT'!$A$3,_xlfn.VALUETOTEXT($A$6),$A158,"Experiment",I$5,"date",I$6)=0,NA(),GETPIVOTDATA(_xlfn.VALUETOTEXT($A$4),'PREFILL-PIVOT'!$A$3,_xlfn.VALUETOTEXT($A$6),$A158,"Experiment",I$5,"date",I$6))</f>
        <v>#REF!</v>
      </c>
      <c r="J158" t="e">
        <f>IF(GETPIVOTDATA(_xlfn.VALUETOTEXT($A$4),'PREFILL-PIVOT'!$A$3,_xlfn.VALUETOTEXT($A$6),$A158,"Experiment",J$5,"date",J$6)=0,NA(),GETPIVOTDATA(_xlfn.VALUETOTEXT($A$4),'PREFILL-PIVOT'!$A$3,_xlfn.VALUETOTEXT($A$6),$A158,"Experiment",J$5,"date",J$6))</f>
        <v>#REF!</v>
      </c>
      <c r="K158" t="e">
        <f>IF(GETPIVOTDATA(_xlfn.VALUETOTEXT($A$4),'PREFILL-PIVOT'!$A$3,_xlfn.VALUETOTEXT($A$6),$A158,"Experiment",K$5,"date",K$6)=0,NA(),GETPIVOTDATA(_xlfn.VALUETOTEXT($A$4),'PREFILL-PIVOT'!$A$3,_xlfn.VALUETOTEXT($A$6),$A158,"Experiment",K$5,"date",K$6))</f>
        <v>#REF!</v>
      </c>
      <c r="L158" t="e">
        <f>IF(GETPIVOTDATA(_xlfn.VALUETOTEXT($A$4),'PREFILL-PIVOT'!$A$3,_xlfn.VALUETOTEXT($A$6),$A158,"Experiment",L$5,"date",L$6)=0,NA(),GETPIVOTDATA(_xlfn.VALUETOTEXT($A$4),'PREFILL-PIVOT'!$A$3,_xlfn.VALUETOTEXT($A$6),$A158,"Experiment",L$5,"date",L$6))</f>
        <v>#REF!</v>
      </c>
      <c r="M158" t="e">
        <f>IF(GETPIVOTDATA(_xlfn.VALUETOTEXT($A$4),'PREFILL-PIVOT'!$A$3,_xlfn.VALUETOTEXT($A$6),$A158,"Experiment",M$5,"date",M$6)=0,NA(),GETPIVOTDATA(_xlfn.VALUETOTEXT($A$4),'PREFILL-PIVOT'!$A$3,_xlfn.VALUETOTEXT($A$6),$A158,"Experiment",M$5,"date",M$6))</f>
        <v>#REF!</v>
      </c>
    </row>
    <row r="159" spans="1:13" x14ac:dyDescent="0.25">
      <c r="A159" s="222" t="e">
        <f>IF('PREFILL-PIVOT'!A157=0,NA(),'PREFILL-PIVOT'!A157)</f>
        <v>#N/A</v>
      </c>
      <c r="B159" t="e">
        <f>IF(GETPIVOTDATA(_xlfn.VALUETOTEXT($A$4),'PREFILL-PIVOT'!$A$3,_xlfn.VALUETOTEXT($A$6),$A159,"Experiment",B$5,"date",B$6)=0,NA(),GETPIVOTDATA(_xlfn.VALUETOTEXT($A$4),'PREFILL-PIVOT'!$A$3,_xlfn.VALUETOTEXT($A$6),$A159,"Experiment",B$5,"date",B$6))</f>
        <v>#REF!</v>
      </c>
      <c r="C159" t="e">
        <f>IF(GETPIVOTDATA(_xlfn.VALUETOTEXT($A$4),'PREFILL-PIVOT'!$A$3,_xlfn.VALUETOTEXT($A$6),$A159,"Experiment",C$5,"date",C$6)=0,NA(),GETPIVOTDATA(_xlfn.VALUETOTEXT($A$4),'PREFILL-PIVOT'!$A$3,_xlfn.VALUETOTEXT($A$6),$A159,"Experiment",C$5,"date",C$6))</f>
        <v>#REF!</v>
      </c>
      <c r="D159" t="e">
        <f>IF(GETPIVOTDATA(_xlfn.VALUETOTEXT($A$4),'PREFILL-PIVOT'!$A$3,_xlfn.VALUETOTEXT($A$6),$A159,"Experiment",D$5,"date",D$6)=0,NA(),GETPIVOTDATA(_xlfn.VALUETOTEXT($A$4),'PREFILL-PIVOT'!$A$3,_xlfn.VALUETOTEXT($A$6),$A159,"Experiment",D$5,"date",D$6))</f>
        <v>#REF!</v>
      </c>
      <c r="E159" t="e">
        <f>IF(GETPIVOTDATA(_xlfn.VALUETOTEXT($A$4),'PREFILL-PIVOT'!$A$3,_xlfn.VALUETOTEXT($A$6),$A159,"Experiment",E$5,"date",E$6)=0,NA(),GETPIVOTDATA(_xlfn.VALUETOTEXT($A$4),'PREFILL-PIVOT'!$A$3,_xlfn.VALUETOTEXT($A$6),$A159,"Experiment",E$5,"date",E$6))</f>
        <v>#REF!</v>
      </c>
      <c r="F159" t="e">
        <f>IF(GETPIVOTDATA(_xlfn.VALUETOTEXT($A$4),'PREFILL-PIVOT'!$A$3,_xlfn.VALUETOTEXT($A$6),$A159,"Experiment",F$5,"date",F$6)=0,NA(),GETPIVOTDATA(_xlfn.VALUETOTEXT($A$4),'PREFILL-PIVOT'!$A$3,_xlfn.VALUETOTEXT($A$6),$A159,"Experiment",F$5,"date",F$6))</f>
        <v>#REF!</v>
      </c>
      <c r="G159" t="e">
        <f>IF(GETPIVOTDATA(_xlfn.VALUETOTEXT($A$4),'PREFILL-PIVOT'!$A$3,_xlfn.VALUETOTEXT($A$6),$A159,"Experiment",G$5,"date",G$6)=0,NA(),GETPIVOTDATA(_xlfn.VALUETOTEXT($A$4),'PREFILL-PIVOT'!$A$3,_xlfn.VALUETOTEXT($A$6),$A159,"Experiment",G$5,"date",G$6))</f>
        <v>#REF!</v>
      </c>
      <c r="H159" t="e">
        <f>IF(GETPIVOTDATA(_xlfn.VALUETOTEXT($A$4),'PREFILL-PIVOT'!$A$3,_xlfn.VALUETOTEXT($A$6),$A159,"Experiment",H$5,"date",H$6)=0,NA(),GETPIVOTDATA(_xlfn.VALUETOTEXT($A$4),'PREFILL-PIVOT'!$A$3,_xlfn.VALUETOTEXT($A$6),$A159,"Experiment",H$5,"date",H$6))</f>
        <v>#REF!</v>
      </c>
      <c r="I159" t="e">
        <f>IF(GETPIVOTDATA(_xlfn.VALUETOTEXT($A$4),'PREFILL-PIVOT'!$A$3,_xlfn.VALUETOTEXT($A$6),$A159,"Experiment",I$5,"date",I$6)=0,NA(),GETPIVOTDATA(_xlfn.VALUETOTEXT($A$4),'PREFILL-PIVOT'!$A$3,_xlfn.VALUETOTEXT($A$6),$A159,"Experiment",I$5,"date",I$6))</f>
        <v>#REF!</v>
      </c>
      <c r="J159" t="e">
        <f>IF(GETPIVOTDATA(_xlfn.VALUETOTEXT($A$4),'PREFILL-PIVOT'!$A$3,_xlfn.VALUETOTEXT($A$6),$A159,"Experiment",J$5,"date",J$6)=0,NA(),GETPIVOTDATA(_xlfn.VALUETOTEXT($A$4),'PREFILL-PIVOT'!$A$3,_xlfn.VALUETOTEXT($A$6),$A159,"Experiment",J$5,"date",J$6))</f>
        <v>#REF!</v>
      </c>
      <c r="K159" t="e">
        <f>IF(GETPIVOTDATA(_xlfn.VALUETOTEXT($A$4),'PREFILL-PIVOT'!$A$3,_xlfn.VALUETOTEXT($A$6),$A159,"Experiment",K$5,"date",K$6)=0,NA(),GETPIVOTDATA(_xlfn.VALUETOTEXT($A$4),'PREFILL-PIVOT'!$A$3,_xlfn.VALUETOTEXT($A$6),$A159,"Experiment",K$5,"date",K$6))</f>
        <v>#REF!</v>
      </c>
      <c r="L159" t="e">
        <f>IF(GETPIVOTDATA(_xlfn.VALUETOTEXT($A$4),'PREFILL-PIVOT'!$A$3,_xlfn.VALUETOTEXT($A$6),$A159,"Experiment",L$5,"date",L$6)=0,NA(),GETPIVOTDATA(_xlfn.VALUETOTEXT($A$4),'PREFILL-PIVOT'!$A$3,_xlfn.VALUETOTEXT($A$6),$A159,"Experiment",L$5,"date",L$6))</f>
        <v>#REF!</v>
      </c>
      <c r="M159" t="e">
        <f>IF(GETPIVOTDATA(_xlfn.VALUETOTEXT($A$4),'PREFILL-PIVOT'!$A$3,_xlfn.VALUETOTEXT($A$6),$A159,"Experiment",M$5,"date",M$6)=0,NA(),GETPIVOTDATA(_xlfn.VALUETOTEXT($A$4),'PREFILL-PIVOT'!$A$3,_xlfn.VALUETOTEXT($A$6),$A159,"Experiment",M$5,"date",M$6))</f>
        <v>#REF!</v>
      </c>
    </row>
    <row r="160" spans="1:13" x14ac:dyDescent="0.25">
      <c r="A160" s="222" t="e">
        <f>IF('PREFILL-PIVOT'!A158=0,NA(),'PREFILL-PIVOT'!A158)</f>
        <v>#N/A</v>
      </c>
      <c r="B160" t="e">
        <f>IF(GETPIVOTDATA(_xlfn.VALUETOTEXT($A$4),'PREFILL-PIVOT'!$A$3,_xlfn.VALUETOTEXT($A$6),$A160,"Experiment",B$5,"date",B$6)=0,NA(),GETPIVOTDATA(_xlfn.VALUETOTEXT($A$4),'PREFILL-PIVOT'!$A$3,_xlfn.VALUETOTEXT($A$6),$A160,"Experiment",B$5,"date",B$6))</f>
        <v>#REF!</v>
      </c>
      <c r="C160" t="e">
        <f>IF(GETPIVOTDATA(_xlfn.VALUETOTEXT($A$4),'PREFILL-PIVOT'!$A$3,_xlfn.VALUETOTEXT($A$6),$A160,"Experiment",C$5,"date",C$6)=0,NA(),GETPIVOTDATA(_xlfn.VALUETOTEXT($A$4),'PREFILL-PIVOT'!$A$3,_xlfn.VALUETOTEXT($A$6),$A160,"Experiment",C$5,"date",C$6))</f>
        <v>#REF!</v>
      </c>
      <c r="D160" t="e">
        <f>IF(GETPIVOTDATA(_xlfn.VALUETOTEXT($A$4),'PREFILL-PIVOT'!$A$3,_xlfn.VALUETOTEXT($A$6),$A160,"Experiment",D$5,"date",D$6)=0,NA(),GETPIVOTDATA(_xlfn.VALUETOTEXT($A$4),'PREFILL-PIVOT'!$A$3,_xlfn.VALUETOTEXT($A$6),$A160,"Experiment",D$5,"date",D$6))</f>
        <v>#REF!</v>
      </c>
      <c r="E160" t="e">
        <f>IF(GETPIVOTDATA(_xlfn.VALUETOTEXT($A$4),'PREFILL-PIVOT'!$A$3,_xlfn.VALUETOTEXT($A$6),$A160,"Experiment",E$5,"date",E$6)=0,NA(),GETPIVOTDATA(_xlfn.VALUETOTEXT($A$4),'PREFILL-PIVOT'!$A$3,_xlfn.VALUETOTEXT($A$6),$A160,"Experiment",E$5,"date",E$6))</f>
        <v>#REF!</v>
      </c>
      <c r="F160" t="e">
        <f>IF(GETPIVOTDATA(_xlfn.VALUETOTEXT($A$4),'PREFILL-PIVOT'!$A$3,_xlfn.VALUETOTEXT($A$6),$A160,"Experiment",F$5,"date",F$6)=0,NA(),GETPIVOTDATA(_xlfn.VALUETOTEXT($A$4),'PREFILL-PIVOT'!$A$3,_xlfn.VALUETOTEXT($A$6),$A160,"Experiment",F$5,"date",F$6))</f>
        <v>#REF!</v>
      </c>
      <c r="G160" t="e">
        <f>IF(GETPIVOTDATA(_xlfn.VALUETOTEXT($A$4),'PREFILL-PIVOT'!$A$3,_xlfn.VALUETOTEXT($A$6),$A160,"Experiment",G$5,"date",G$6)=0,NA(),GETPIVOTDATA(_xlfn.VALUETOTEXT($A$4),'PREFILL-PIVOT'!$A$3,_xlfn.VALUETOTEXT($A$6),$A160,"Experiment",G$5,"date",G$6))</f>
        <v>#REF!</v>
      </c>
      <c r="H160" t="e">
        <f>IF(GETPIVOTDATA(_xlfn.VALUETOTEXT($A$4),'PREFILL-PIVOT'!$A$3,_xlfn.VALUETOTEXT($A$6),$A160,"Experiment",H$5,"date",H$6)=0,NA(),GETPIVOTDATA(_xlfn.VALUETOTEXT($A$4),'PREFILL-PIVOT'!$A$3,_xlfn.VALUETOTEXT($A$6),$A160,"Experiment",H$5,"date",H$6))</f>
        <v>#REF!</v>
      </c>
      <c r="I160" t="e">
        <f>IF(GETPIVOTDATA(_xlfn.VALUETOTEXT($A$4),'PREFILL-PIVOT'!$A$3,_xlfn.VALUETOTEXT($A$6),$A160,"Experiment",I$5,"date",I$6)=0,NA(),GETPIVOTDATA(_xlfn.VALUETOTEXT($A$4),'PREFILL-PIVOT'!$A$3,_xlfn.VALUETOTEXT($A$6),$A160,"Experiment",I$5,"date",I$6))</f>
        <v>#REF!</v>
      </c>
      <c r="J160" t="e">
        <f>IF(GETPIVOTDATA(_xlfn.VALUETOTEXT($A$4),'PREFILL-PIVOT'!$A$3,_xlfn.VALUETOTEXT($A$6),$A160,"Experiment",J$5,"date",J$6)=0,NA(),GETPIVOTDATA(_xlfn.VALUETOTEXT($A$4),'PREFILL-PIVOT'!$A$3,_xlfn.VALUETOTEXT($A$6),$A160,"Experiment",J$5,"date",J$6))</f>
        <v>#REF!</v>
      </c>
      <c r="K160" t="e">
        <f>IF(GETPIVOTDATA(_xlfn.VALUETOTEXT($A$4),'PREFILL-PIVOT'!$A$3,_xlfn.VALUETOTEXT($A$6),$A160,"Experiment",K$5,"date",K$6)=0,NA(),GETPIVOTDATA(_xlfn.VALUETOTEXT($A$4),'PREFILL-PIVOT'!$A$3,_xlfn.VALUETOTEXT($A$6),$A160,"Experiment",K$5,"date",K$6))</f>
        <v>#REF!</v>
      </c>
      <c r="L160" t="e">
        <f>IF(GETPIVOTDATA(_xlfn.VALUETOTEXT($A$4),'PREFILL-PIVOT'!$A$3,_xlfn.VALUETOTEXT($A$6),$A160,"Experiment",L$5,"date",L$6)=0,NA(),GETPIVOTDATA(_xlfn.VALUETOTEXT($A$4),'PREFILL-PIVOT'!$A$3,_xlfn.VALUETOTEXT($A$6),$A160,"Experiment",L$5,"date",L$6))</f>
        <v>#REF!</v>
      </c>
      <c r="M160" t="e">
        <f>IF(GETPIVOTDATA(_xlfn.VALUETOTEXT($A$4),'PREFILL-PIVOT'!$A$3,_xlfn.VALUETOTEXT($A$6),$A160,"Experiment",M$5,"date",M$6)=0,NA(),GETPIVOTDATA(_xlfn.VALUETOTEXT($A$4),'PREFILL-PIVOT'!$A$3,_xlfn.VALUETOTEXT($A$6),$A160,"Experiment",M$5,"date",M$6))</f>
        <v>#REF!</v>
      </c>
    </row>
    <row r="161" spans="1:13" x14ac:dyDescent="0.25">
      <c r="A161" s="222" t="e">
        <f>IF('PREFILL-PIVOT'!A159=0,NA(),'PREFILL-PIVOT'!A159)</f>
        <v>#N/A</v>
      </c>
      <c r="B161" t="e">
        <f>IF(GETPIVOTDATA(_xlfn.VALUETOTEXT($A$4),'PREFILL-PIVOT'!$A$3,_xlfn.VALUETOTEXT($A$6),$A161,"Experiment",B$5,"date",B$6)=0,NA(),GETPIVOTDATA(_xlfn.VALUETOTEXT($A$4),'PREFILL-PIVOT'!$A$3,_xlfn.VALUETOTEXT($A$6),$A161,"Experiment",B$5,"date",B$6))</f>
        <v>#REF!</v>
      </c>
      <c r="C161" t="e">
        <f>IF(GETPIVOTDATA(_xlfn.VALUETOTEXT($A$4),'PREFILL-PIVOT'!$A$3,_xlfn.VALUETOTEXT($A$6),$A161,"Experiment",C$5,"date",C$6)=0,NA(),GETPIVOTDATA(_xlfn.VALUETOTEXT($A$4),'PREFILL-PIVOT'!$A$3,_xlfn.VALUETOTEXT($A$6),$A161,"Experiment",C$5,"date",C$6))</f>
        <v>#REF!</v>
      </c>
      <c r="D161" t="e">
        <f>IF(GETPIVOTDATA(_xlfn.VALUETOTEXT($A$4),'PREFILL-PIVOT'!$A$3,_xlfn.VALUETOTEXT($A$6),$A161,"Experiment",D$5,"date",D$6)=0,NA(),GETPIVOTDATA(_xlfn.VALUETOTEXT($A$4),'PREFILL-PIVOT'!$A$3,_xlfn.VALUETOTEXT($A$6),$A161,"Experiment",D$5,"date",D$6))</f>
        <v>#REF!</v>
      </c>
      <c r="E161" t="e">
        <f>IF(GETPIVOTDATA(_xlfn.VALUETOTEXT($A$4),'PREFILL-PIVOT'!$A$3,_xlfn.VALUETOTEXT($A$6),$A161,"Experiment",E$5,"date",E$6)=0,NA(),GETPIVOTDATA(_xlfn.VALUETOTEXT($A$4),'PREFILL-PIVOT'!$A$3,_xlfn.VALUETOTEXT($A$6),$A161,"Experiment",E$5,"date",E$6))</f>
        <v>#REF!</v>
      </c>
      <c r="F161" t="e">
        <f>IF(GETPIVOTDATA(_xlfn.VALUETOTEXT($A$4),'PREFILL-PIVOT'!$A$3,_xlfn.VALUETOTEXT($A$6),$A161,"Experiment",F$5,"date",F$6)=0,NA(),GETPIVOTDATA(_xlfn.VALUETOTEXT($A$4),'PREFILL-PIVOT'!$A$3,_xlfn.VALUETOTEXT($A$6),$A161,"Experiment",F$5,"date",F$6))</f>
        <v>#REF!</v>
      </c>
      <c r="G161" t="e">
        <f>IF(GETPIVOTDATA(_xlfn.VALUETOTEXT($A$4),'PREFILL-PIVOT'!$A$3,_xlfn.VALUETOTEXT($A$6),$A161,"Experiment",G$5,"date",G$6)=0,NA(),GETPIVOTDATA(_xlfn.VALUETOTEXT($A$4),'PREFILL-PIVOT'!$A$3,_xlfn.VALUETOTEXT($A$6),$A161,"Experiment",G$5,"date",G$6))</f>
        <v>#REF!</v>
      </c>
      <c r="H161" t="e">
        <f>IF(GETPIVOTDATA(_xlfn.VALUETOTEXT($A$4),'PREFILL-PIVOT'!$A$3,_xlfn.VALUETOTEXT($A$6),$A161,"Experiment",H$5,"date",H$6)=0,NA(),GETPIVOTDATA(_xlfn.VALUETOTEXT($A$4),'PREFILL-PIVOT'!$A$3,_xlfn.VALUETOTEXT($A$6),$A161,"Experiment",H$5,"date",H$6))</f>
        <v>#REF!</v>
      </c>
      <c r="I161" t="e">
        <f>IF(GETPIVOTDATA(_xlfn.VALUETOTEXT($A$4),'PREFILL-PIVOT'!$A$3,_xlfn.VALUETOTEXT($A$6),$A161,"Experiment",I$5,"date",I$6)=0,NA(),GETPIVOTDATA(_xlfn.VALUETOTEXT($A$4),'PREFILL-PIVOT'!$A$3,_xlfn.VALUETOTEXT($A$6),$A161,"Experiment",I$5,"date",I$6))</f>
        <v>#REF!</v>
      </c>
      <c r="J161" t="e">
        <f>IF(GETPIVOTDATA(_xlfn.VALUETOTEXT($A$4),'PREFILL-PIVOT'!$A$3,_xlfn.VALUETOTEXT($A$6),$A161,"Experiment",J$5,"date",J$6)=0,NA(),GETPIVOTDATA(_xlfn.VALUETOTEXT($A$4),'PREFILL-PIVOT'!$A$3,_xlfn.VALUETOTEXT($A$6),$A161,"Experiment",J$5,"date",J$6))</f>
        <v>#REF!</v>
      </c>
      <c r="K161" t="e">
        <f>IF(GETPIVOTDATA(_xlfn.VALUETOTEXT($A$4),'PREFILL-PIVOT'!$A$3,_xlfn.VALUETOTEXT($A$6),$A161,"Experiment",K$5,"date",K$6)=0,NA(),GETPIVOTDATA(_xlfn.VALUETOTEXT($A$4),'PREFILL-PIVOT'!$A$3,_xlfn.VALUETOTEXT($A$6),$A161,"Experiment",K$5,"date",K$6))</f>
        <v>#REF!</v>
      </c>
      <c r="L161" t="e">
        <f>IF(GETPIVOTDATA(_xlfn.VALUETOTEXT($A$4),'PREFILL-PIVOT'!$A$3,_xlfn.VALUETOTEXT($A$6),$A161,"Experiment",L$5,"date",L$6)=0,NA(),GETPIVOTDATA(_xlfn.VALUETOTEXT($A$4),'PREFILL-PIVOT'!$A$3,_xlfn.VALUETOTEXT($A$6),$A161,"Experiment",L$5,"date",L$6))</f>
        <v>#REF!</v>
      </c>
      <c r="M161" t="e">
        <f>IF(GETPIVOTDATA(_xlfn.VALUETOTEXT($A$4),'PREFILL-PIVOT'!$A$3,_xlfn.VALUETOTEXT($A$6),$A161,"Experiment",M$5,"date",M$6)=0,NA(),GETPIVOTDATA(_xlfn.VALUETOTEXT($A$4),'PREFILL-PIVOT'!$A$3,_xlfn.VALUETOTEXT($A$6),$A161,"Experiment",M$5,"date",M$6))</f>
        <v>#REF!</v>
      </c>
    </row>
    <row r="162" spans="1:13" x14ac:dyDescent="0.25">
      <c r="A162" s="222" t="e">
        <f>IF('PREFILL-PIVOT'!A160=0,NA(),'PREFILL-PIVOT'!A160)</f>
        <v>#N/A</v>
      </c>
      <c r="B162" t="e">
        <f>IF(GETPIVOTDATA(_xlfn.VALUETOTEXT($A$4),'PREFILL-PIVOT'!$A$3,_xlfn.VALUETOTEXT($A$6),$A162,"Experiment",B$5,"date",B$6)=0,NA(),GETPIVOTDATA(_xlfn.VALUETOTEXT($A$4),'PREFILL-PIVOT'!$A$3,_xlfn.VALUETOTEXT($A$6),$A162,"Experiment",B$5,"date",B$6))</f>
        <v>#REF!</v>
      </c>
      <c r="C162" t="e">
        <f>IF(GETPIVOTDATA(_xlfn.VALUETOTEXT($A$4),'PREFILL-PIVOT'!$A$3,_xlfn.VALUETOTEXT($A$6),$A162,"Experiment",C$5,"date",C$6)=0,NA(),GETPIVOTDATA(_xlfn.VALUETOTEXT($A$4),'PREFILL-PIVOT'!$A$3,_xlfn.VALUETOTEXT($A$6),$A162,"Experiment",C$5,"date",C$6))</f>
        <v>#REF!</v>
      </c>
      <c r="D162" t="e">
        <f>IF(GETPIVOTDATA(_xlfn.VALUETOTEXT($A$4),'PREFILL-PIVOT'!$A$3,_xlfn.VALUETOTEXT($A$6),$A162,"Experiment",D$5,"date",D$6)=0,NA(),GETPIVOTDATA(_xlfn.VALUETOTEXT($A$4),'PREFILL-PIVOT'!$A$3,_xlfn.VALUETOTEXT($A$6),$A162,"Experiment",D$5,"date",D$6))</f>
        <v>#REF!</v>
      </c>
      <c r="E162" t="e">
        <f>IF(GETPIVOTDATA(_xlfn.VALUETOTEXT($A$4),'PREFILL-PIVOT'!$A$3,_xlfn.VALUETOTEXT($A$6),$A162,"Experiment",E$5,"date",E$6)=0,NA(),GETPIVOTDATA(_xlfn.VALUETOTEXT($A$4),'PREFILL-PIVOT'!$A$3,_xlfn.VALUETOTEXT($A$6),$A162,"Experiment",E$5,"date",E$6))</f>
        <v>#REF!</v>
      </c>
      <c r="F162" t="e">
        <f>IF(GETPIVOTDATA(_xlfn.VALUETOTEXT($A$4),'PREFILL-PIVOT'!$A$3,_xlfn.VALUETOTEXT($A$6),$A162,"Experiment",F$5,"date",F$6)=0,NA(),GETPIVOTDATA(_xlfn.VALUETOTEXT($A$4),'PREFILL-PIVOT'!$A$3,_xlfn.VALUETOTEXT($A$6),$A162,"Experiment",F$5,"date",F$6))</f>
        <v>#REF!</v>
      </c>
      <c r="G162" t="e">
        <f>IF(GETPIVOTDATA(_xlfn.VALUETOTEXT($A$4),'PREFILL-PIVOT'!$A$3,_xlfn.VALUETOTEXT($A$6),$A162,"Experiment",G$5,"date",G$6)=0,NA(),GETPIVOTDATA(_xlfn.VALUETOTEXT($A$4),'PREFILL-PIVOT'!$A$3,_xlfn.VALUETOTEXT($A$6),$A162,"Experiment",G$5,"date",G$6))</f>
        <v>#REF!</v>
      </c>
      <c r="H162" t="e">
        <f>IF(GETPIVOTDATA(_xlfn.VALUETOTEXT($A$4),'PREFILL-PIVOT'!$A$3,_xlfn.VALUETOTEXT($A$6),$A162,"Experiment",H$5,"date",H$6)=0,NA(),GETPIVOTDATA(_xlfn.VALUETOTEXT($A$4),'PREFILL-PIVOT'!$A$3,_xlfn.VALUETOTEXT($A$6),$A162,"Experiment",H$5,"date",H$6))</f>
        <v>#REF!</v>
      </c>
      <c r="I162" t="e">
        <f>IF(GETPIVOTDATA(_xlfn.VALUETOTEXT($A$4),'PREFILL-PIVOT'!$A$3,_xlfn.VALUETOTEXT($A$6),$A162,"Experiment",I$5,"date",I$6)=0,NA(),GETPIVOTDATA(_xlfn.VALUETOTEXT($A$4),'PREFILL-PIVOT'!$A$3,_xlfn.VALUETOTEXT($A$6),$A162,"Experiment",I$5,"date",I$6))</f>
        <v>#REF!</v>
      </c>
      <c r="J162" t="e">
        <f>IF(GETPIVOTDATA(_xlfn.VALUETOTEXT($A$4),'PREFILL-PIVOT'!$A$3,_xlfn.VALUETOTEXT($A$6),$A162,"Experiment",J$5,"date",J$6)=0,NA(),GETPIVOTDATA(_xlfn.VALUETOTEXT($A$4),'PREFILL-PIVOT'!$A$3,_xlfn.VALUETOTEXT($A$6),$A162,"Experiment",J$5,"date",J$6))</f>
        <v>#REF!</v>
      </c>
      <c r="K162" t="e">
        <f>IF(GETPIVOTDATA(_xlfn.VALUETOTEXT($A$4),'PREFILL-PIVOT'!$A$3,_xlfn.VALUETOTEXT($A$6),$A162,"Experiment",K$5,"date",K$6)=0,NA(),GETPIVOTDATA(_xlfn.VALUETOTEXT($A$4),'PREFILL-PIVOT'!$A$3,_xlfn.VALUETOTEXT($A$6),$A162,"Experiment",K$5,"date",K$6))</f>
        <v>#REF!</v>
      </c>
      <c r="L162" t="e">
        <f>IF(GETPIVOTDATA(_xlfn.VALUETOTEXT($A$4),'PREFILL-PIVOT'!$A$3,_xlfn.VALUETOTEXT($A$6),$A162,"Experiment",L$5,"date",L$6)=0,NA(),GETPIVOTDATA(_xlfn.VALUETOTEXT($A$4),'PREFILL-PIVOT'!$A$3,_xlfn.VALUETOTEXT($A$6),$A162,"Experiment",L$5,"date",L$6))</f>
        <v>#REF!</v>
      </c>
      <c r="M162" t="e">
        <f>IF(GETPIVOTDATA(_xlfn.VALUETOTEXT($A$4),'PREFILL-PIVOT'!$A$3,_xlfn.VALUETOTEXT($A$6),$A162,"Experiment",M$5,"date",M$6)=0,NA(),GETPIVOTDATA(_xlfn.VALUETOTEXT($A$4),'PREFILL-PIVOT'!$A$3,_xlfn.VALUETOTEXT($A$6),$A162,"Experiment",M$5,"date",M$6))</f>
        <v>#REF!</v>
      </c>
    </row>
    <row r="163" spans="1:13" x14ac:dyDescent="0.25">
      <c r="A163" s="222" t="e">
        <f>IF('PREFILL-PIVOT'!A161=0,NA(),'PREFILL-PIVOT'!A161)</f>
        <v>#N/A</v>
      </c>
      <c r="B163" t="e">
        <f>IF(GETPIVOTDATA(_xlfn.VALUETOTEXT($A$4),'PREFILL-PIVOT'!$A$3,_xlfn.VALUETOTEXT($A$6),$A163,"Experiment",B$5,"date",B$6)=0,NA(),GETPIVOTDATA(_xlfn.VALUETOTEXT($A$4),'PREFILL-PIVOT'!$A$3,_xlfn.VALUETOTEXT($A$6),$A163,"Experiment",B$5,"date",B$6))</f>
        <v>#REF!</v>
      </c>
      <c r="C163" t="e">
        <f>IF(GETPIVOTDATA(_xlfn.VALUETOTEXT($A$4),'PREFILL-PIVOT'!$A$3,_xlfn.VALUETOTEXT($A$6),$A163,"Experiment",C$5,"date",C$6)=0,NA(),GETPIVOTDATA(_xlfn.VALUETOTEXT($A$4),'PREFILL-PIVOT'!$A$3,_xlfn.VALUETOTEXT($A$6),$A163,"Experiment",C$5,"date",C$6))</f>
        <v>#REF!</v>
      </c>
      <c r="D163" t="e">
        <f>IF(GETPIVOTDATA(_xlfn.VALUETOTEXT($A$4),'PREFILL-PIVOT'!$A$3,_xlfn.VALUETOTEXT($A$6),$A163,"Experiment",D$5,"date",D$6)=0,NA(),GETPIVOTDATA(_xlfn.VALUETOTEXT($A$4),'PREFILL-PIVOT'!$A$3,_xlfn.VALUETOTEXT($A$6),$A163,"Experiment",D$5,"date",D$6))</f>
        <v>#REF!</v>
      </c>
      <c r="E163" t="e">
        <f>IF(GETPIVOTDATA(_xlfn.VALUETOTEXT($A$4),'PREFILL-PIVOT'!$A$3,_xlfn.VALUETOTEXT($A$6),$A163,"Experiment",E$5,"date",E$6)=0,NA(),GETPIVOTDATA(_xlfn.VALUETOTEXT($A$4),'PREFILL-PIVOT'!$A$3,_xlfn.VALUETOTEXT($A$6),$A163,"Experiment",E$5,"date",E$6))</f>
        <v>#REF!</v>
      </c>
      <c r="F163" t="e">
        <f>IF(GETPIVOTDATA(_xlfn.VALUETOTEXT($A$4),'PREFILL-PIVOT'!$A$3,_xlfn.VALUETOTEXT($A$6),$A163,"Experiment",F$5,"date",F$6)=0,NA(),GETPIVOTDATA(_xlfn.VALUETOTEXT($A$4),'PREFILL-PIVOT'!$A$3,_xlfn.VALUETOTEXT($A$6),$A163,"Experiment",F$5,"date",F$6))</f>
        <v>#REF!</v>
      </c>
      <c r="G163" t="e">
        <f>IF(GETPIVOTDATA(_xlfn.VALUETOTEXT($A$4),'PREFILL-PIVOT'!$A$3,_xlfn.VALUETOTEXT($A$6),$A163,"Experiment",G$5,"date",G$6)=0,NA(),GETPIVOTDATA(_xlfn.VALUETOTEXT($A$4),'PREFILL-PIVOT'!$A$3,_xlfn.VALUETOTEXT($A$6),$A163,"Experiment",G$5,"date",G$6))</f>
        <v>#REF!</v>
      </c>
      <c r="H163" t="e">
        <f>IF(GETPIVOTDATA(_xlfn.VALUETOTEXT($A$4),'PREFILL-PIVOT'!$A$3,_xlfn.VALUETOTEXT($A$6),$A163,"Experiment",H$5,"date",H$6)=0,NA(),GETPIVOTDATA(_xlfn.VALUETOTEXT($A$4),'PREFILL-PIVOT'!$A$3,_xlfn.VALUETOTEXT($A$6),$A163,"Experiment",H$5,"date",H$6))</f>
        <v>#REF!</v>
      </c>
      <c r="I163" t="e">
        <f>IF(GETPIVOTDATA(_xlfn.VALUETOTEXT($A$4),'PREFILL-PIVOT'!$A$3,_xlfn.VALUETOTEXT($A$6),$A163,"Experiment",I$5,"date",I$6)=0,NA(),GETPIVOTDATA(_xlfn.VALUETOTEXT($A$4),'PREFILL-PIVOT'!$A$3,_xlfn.VALUETOTEXT($A$6),$A163,"Experiment",I$5,"date",I$6))</f>
        <v>#REF!</v>
      </c>
      <c r="J163" t="e">
        <f>IF(GETPIVOTDATA(_xlfn.VALUETOTEXT($A$4),'PREFILL-PIVOT'!$A$3,_xlfn.VALUETOTEXT($A$6),$A163,"Experiment",J$5,"date",J$6)=0,NA(),GETPIVOTDATA(_xlfn.VALUETOTEXT($A$4),'PREFILL-PIVOT'!$A$3,_xlfn.VALUETOTEXT($A$6),$A163,"Experiment",J$5,"date",J$6))</f>
        <v>#REF!</v>
      </c>
      <c r="K163" t="e">
        <f>IF(GETPIVOTDATA(_xlfn.VALUETOTEXT($A$4),'PREFILL-PIVOT'!$A$3,_xlfn.VALUETOTEXT($A$6),$A163,"Experiment",K$5,"date",K$6)=0,NA(),GETPIVOTDATA(_xlfn.VALUETOTEXT($A$4),'PREFILL-PIVOT'!$A$3,_xlfn.VALUETOTEXT($A$6),$A163,"Experiment",K$5,"date",K$6))</f>
        <v>#REF!</v>
      </c>
      <c r="L163" t="e">
        <f>IF(GETPIVOTDATA(_xlfn.VALUETOTEXT($A$4),'PREFILL-PIVOT'!$A$3,_xlfn.VALUETOTEXT($A$6),$A163,"Experiment",L$5,"date",L$6)=0,NA(),GETPIVOTDATA(_xlfn.VALUETOTEXT($A$4),'PREFILL-PIVOT'!$A$3,_xlfn.VALUETOTEXT($A$6),$A163,"Experiment",L$5,"date",L$6))</f>
        <v>#REF!</v>
      </c>
      <c r="M163" t="e">
        <f>IF(GETPIVOTDATA(_xlfn.VALUETOTEXT($A$4),'PREFILL-PIVOT'!$A$3,_xlfn.VALUETOTEXT($A$6),$A163,"Experiment",M$5,"date",M$6)=0,NA(),GETPIVOTDATA(_xlfn.VALUETOTEXT($A$4),'PREFILL-PIVOT'!$A$3,_xlfn.VALUETOTEXT($A$6),$A163,"Experiment",M$5,"date",M$6))</f>
        <v>#REF!</v>
      </c>
    </row>
    <row r="164" spans="1:13" x14ac:dyDescent="0.25">
      <c r="A164" s="222" t="e">
        <f>IF('PREFILL-PIVOT'!A162=0,NA(),'PREFILL-PIVOT'!A162)</f>
        <v>#N/A</v>
      </c>
      <c r="B164" t="e">
        <f>IF(GETPIVOTDATA(_xlfn.VALUETOTEXT($A$4),'PREFILL-PIVOT'!$A$3,_xlfn.VALUETOTEXT($A$6),$A164,"Experiment",B$5,"date",B$6)=0,NA(),GETPIVOTDATA(_xlfn.VALUETOTEXT($A$4),'PREFILL-PIVOT'!$A$3,_xlfn.VALUETOTEXT($A$6),$A164,"Experiment",B$5,"date",B$6))</f>
        <v>#REF!</v>
      </c>
      <c r="C164" t="e">
        <f>IF(GETPIVOTDATA(_xlfn.VALUETOTEXT($A$4),'PREFILL-PIVOT'!$A$3,_xlfn.VALUETOTEXT($A$6),$A164,"Experiment",C$5,"date",C$6)=0,NA(),GETPIVOTDATA(_xlfn.VALUETOTEXT($A$4),'PREFILL-PIVOT'!$A$3,_xlfn.VALUETOTEXT($A$6),$A164,"Experiment",C$5,"date",C$6))</f>
        <v>#REF!</v>
      </c>
      <c r="D164" t="e">
        <f>IF(GETPIVOTDATA(_xlfn.VALUETOTEXT($A$4),'PREFILL-PIVOT'!$A$3,_xlfn.VALUETOTEXT($A$6),$A164,"Experiment",D$5,"date",D$6)=0,NA(),GETPIVOTDATA(_xlfn.VALUETOTEXT($A$4),'PREFILL-PIVOT'!$A$3,_xlfn.VALUETOTEXT($A$6),$A164,"Experiment",D$5,"date",D$6))</f>
        <v>#REF!</v>
      </c>
      <c r="E164" t="e">
        <f>IF(GETPIVOTDATA(_xlfn.VALUETOTEXT($A$4),'PREFILL-PIVOT'!$A$3,_xlfn.VALUETOTEXT($A$6),$A164,"Experiment",E$5,"date",E$6)=0,NA(),GETPIVOTDATA(_xlfn.VALUETOTEXT($A$4),'PREFILL-PIVOT'!$A$3,_xlfn.VALUETOTEXT($A$6),$A164,"Experiment",E$5,"date",E$6))</f>
        <v>#REF!</v>
      </c>
      <c r="F164" t="e">
        <f>IF(GETPIVOTDATA(_xlfn.VALUETOTEXT($A$4),'PREFILL-PIVOT'!$A$3,_xlfn.VALUETOTEXT($A$6),$A164,"Experiment",F$5,"date",F$6)=0,NA(),GETPIVOTDATA(_xlfn.VALUETOTEXT($A$4),'PREFILL-PIVOT'!$A$3,_xlfn.VALUETOTEXT($A$6),$A164,"Experiment",F$5,"date",F$6))</f>
        <v>#REF!</v>
      </c>
      <c r="G164" t="e">
        <f>IF(GETPIVOTDATA(_xlfn.VALUETOTEXT($A$4),'PREFILL-PIVOT'!$A$3,_xlfn.VALUETOTEXT($A$6),$A164,"Experiment",G$5,"date",G$6)=0,NA(),GETPIVOTDATA(_xlfn.VALUETOTEXT($A$4),'PREFILL-PIVOT'!$A$3,_xlfn.VALUETOTEXT($A$6),$A164,"Experiment",G$5,"date",G$6))</f>
        <v>#REF!</v>
      </c>
      <c r="H164" t="e">
        <f>IF(GETPIVOTDATA(_xlfn.VALUETOTEXT($A$4),'PREFILL-PIVOT'!$A$3,_xlfn.VALUETOTEXT($A$6),$A164,"Experiment",H$5,"date",H$6)=0,NA(),GETPIVOTDATA(_xlfn.VALUETOTEXT($A$4),'PREFILL-PIVOT'!$A$3,_xlfn.VALUETOTEXT($A$6),$A164,"Experiment",H$5,"date",H$6))</f>
        <v>#REF!</v>
      </c>
      <c r="I164" t="e">
        <f>IF(GETPIVOTDATA(_xlfn.VALUETOTEXT($A$4),'PREFILL-PIVOT'!$A$3,_xlfn.VALUETOTEXT($A$6),$A164,"Experiment",I$5,"date",I$6)=0,NA(),GETPIVOTDATA(_xlfn.VALUETOTEXT($A$4),'PREFILL-PIVOT'!$A$3,_xlfn.VALUETOTEXT($A$6),$A164,"Experiment",I$5,"date",I$6))</f>
        <v>#REF!</v>
      </c>
      <c r="J164" t="e">
        <f>IF(GETPIVOTDATA(_xlfn.VALUETOTEXT($A$4),'PREFILL-PIVOT'!$A$3,_xlfn.VALUETOTEXT($A$6),$A164,"Experiment",J$5,"date",J$6)=0,NA(),GETPIVOTDATA(_xlfn.VALUETOTEXT($A$4),'PREFILL-PIVOT'!$A$3,_xlfn.VALUETOTEXT($A$6),$A164,"Experiment",J$5,"date",J$6))</f>
        <v>#REF!</v>
      </c>
      <c r="K164" t="e">
        <f>IF(GETPIVOTDATA(_xlfn.VALUETOTEXT($A$4),'PREFILL-PIVOT'!$A$3,_xlfn.VALUETOTEXT($A$6),$A164,"Experiment",K$5,"date",K$6)=0,NA(),GETPIVOTDATA(_xlfn.VALUETOTEXT($A$4),'PREFILL-PIVOT'!$A$3,_xlfn.VALUETOTEXT($A$6),$A164,"Experiment",K$5,"date",K$6))</f>
        <v>#REF!</v>
      </c>
      <c r="L164" t="e">
        <f>IF(GETPIVOTDATA(_xlfn.VALUETOTEXT($A$4),'PREFILL-PIVOT'!$A$3,_xlfn.VALUETOTEXT($A$6),$A164,"Experiment",L$5,"date",L$6)=0,NA(),GETPIVOTDATA(_xlfn.VALUETOTEXT($A$4),'PREFILL-PIVOT'!$A$3,_xlfn.VALUETOTEXT($A$6),$A164,"Experiment",L$5,"date",L$6))</f>
        <v>#REF!</v>
      </c>
      <c r="M164" t="e">
        <f>IF(GETPIVOTDATA(_xlfn.VALUETOTEXT($A$4),'PREFILL-PIVOT'!$A$3,_xlfn.VALUETOTEXT($A$6),$A164,"Experiment",M$5,"date",M$6)=0,NA(),GETPIVOTDATA(_xlfn.VALUETOTEXT($A$4),'PREFILL-PIVOT'!$A$3,_xlfn.VALUETOTEXT($A$6),$A164,"Experiment",M$5,"date",M$6))</f>
        <v>#REF!</v>
      </c>
    </row>
    <row r="165" spans="1:13" x14ac:dyDescent="0.25">
      <c r="A165" s="222" t="e">
        <f>IF('PREFILL-PIVOT'!A163=0,NA(),'PREFILL-PIVOT'!A163)</f>
        <v>#N/A</v>
      </c>
      <c r="B165" t="e">
        <f>IF(GETPIVOTDATA(_xlfn.VALUETOTEXT($A$4),'PREFILL-PIVOT'!$A$3,_xlfn.VALUETOTEXT($A$6),$A165,"Experiment",B$5,"date",B$6)=0,NA(),GETPIVOTDATA(_xlfn.VALUETOTEXT($A$4),'PREFILL-PIVOT'!$A$3,_xlfn.VALUETOTEXT($A$6),$A165,"Experiment",B$5,"date",B$6))</f>
        <v>#REF!</v>
      </c>
      <c r="C165" t="e">
        <f>IF(GETPIVOTDATA(_xlfn.VALUETOTEXT($A$4),'PREFILL-PIVOT'!$A$3,_xlfn.VALUETOTEXT($A$6),$A165,"Experiment",C$5,"date",C$6)=0,NA(),GETPIVOTDATA(_xlfn.VALUETOTEXT($A$4),'PREFILL-PIVOT'!$A$3,_xlfn.VALUETOTEXT($A$6),$A165,"Experiment",C$5,"date",C$6))</f>
        <v>#REF!</v>
      </c>
      <c r="D165" t="e">
        <f>IF(GETPIVOTDATA(_xlfn.VALUETOTEXT($A$4),'PREFILL-PIVOT'!$A$3,_xlfn.VALUETOTEXT($A$6),$A165,"Experiment",D$5,"date",D$6)=0,NA(),GETPIVOTDATA(_xlfn.VALUETOTEXT($A$4),'PREFILL-PIVOT'!$A$3,_xlfn.VALUETOTEXT($A$6),$A165,"Experiment",D$5,"date",D$6))</f>
        <v>#REF!</v>
      </c>
      <c r="E165" t="e">
        <f>IF(GETPIVOTDATA(_xlfn.VALUETOTEXT($A$4),'PREFILL-PIVOT'!$A$3,_xlfn.VALUETOTEXT($A$6),$A165,"Experiment",E$5,"date",E$6)=0,NA(),GETPIVOTDATA(_xlfn.VALUETOTEXT($A$4),'PREFILL-PIVOT'!$A$3,_xlfn.VALUETOTEXT($A$6),$A165,"Experiment",E$5,"date",E$6))</f>
        <v>#REF!</v>
      </c>
      <c r="F165" t="e">
        <f>IF(GETPIVOTDATA(_xlfn.VALUETOTEXT($A$4),'PREFILL-PIVOT'!$A$3,_xlfn.VALUETOTEXT($A$6),$A165,"Experiment",F$5,"date",F$6)=0,NA(),GETPIVOTDATA(_xlfn.VALUETOTEXT($A$4),'PREFILL-PIVOT'!$A$3,_xlfn.VALUETOTEXT($A$6),$A165,"Experiment",F$5,"date",F$6))</f>
        <v>#REF!</v>
      </c>
      <c r="G165" t="e">
        <f>IF(GETPIVOTDATA(_xlfn.VALUETOTEXT($A$4),'PREFILL-PIVOT'!$A$3,_xlfn.VALUETOTEXT($A$6),$A165,"Experiment",G$5,"date",G$6)=0,NA(),GETPIVOTDATA(_xlfn.VALUETOTEXT($A$4),'PREFILL-PIVOT'!$A$3,_xlfn.VALUETOTEXT($A$6),$A165,"Experiment",G$5,"date",G$6))</f>
        <v>#REF!</v>
      </c>
      <c r="H165" t="e">
        <f>IF(GETPIVOTDATA(_xlfn.VALUETOTEXT($A$4),'PREFILL-PIVOT'!$A$3,_xlfn.VALUETOTEXT($A$6),$A165,"Experiment",H$5,"date",H$6)=0,NA(),GETPIVOTDATA(_xlfn.VALUETOTEXT($A$4),'PREFILL-PIVOT'!$A$3,_xlfn.VALUETOTEXT($A$6),$A165,"Experiment",H$5,"date",H$6))</f>
        <v>#REF!</v>
      </c>
      <c r="I165" t="e">
        <f>IF(GETPIVOTDATA(_xlfn.VALUETOTEXT($A$4),'PREFILL-PIVOT'!$A$3,_xlfn.VALUETOTEXT($A$6),$A165,"Experiment",I$5,"date",I$6)=0,NA(),GETPIVOTDATA(_xlfn.VALUETOTEXT($A$4),'PREFILL-PIVOT'!$A$3,_xlfn.VALUETOTEXT($A$6),$A165,"Experiment",I$5,"date",I$6))</f>
        <v>#REF!</v>
      </c>
      <c r="J165" t="e">
        <f>IF(GETPIVOTDATA(_xlfn.VALUETOTEXT($A$4),'PREFILL-PIVOT'!$A$3,_xlfn.VALUETOTEXT($A$6),$A165,"Experiment",J$5,"date",J$6)=0,NA(),GETPIVOTDATA(_xlfn.VALUETOTEXT($A$4),'PREFILL-PIVOT'!$A$3,_xlfn.VALUETOTEXT($A$6),$A165,"Experiment",J$5,"date",J$6))</f>
        <v>#REF!</v>
      </c>
      <c r="K165" t="e">
        <f>IF(GETPIVOTDATA(_xlfn.VALUETOTEXT($A$4),'PREFILL-PIVOT'!$A$3,_xlfn.VALUETOTEXT($A$6),$A165,"Experiment",K$5,"date",K$6)=0,NA(),GETPIVOTDATA(_xlfn.VALUETOTEXT($A$4),'PREFILL-PIVOT'!$A$3,_xlfn.VALUETOTEXT($A$6),$A165,"Experiment",K$5,"date",K$6))</f>
        <v>#REF!</v>
      </c>
      <c r="L165" t="e">
        <f>IF(GETPIVOTDATA(_xlfn.VALUETOTEXT($A$4),'PREFILL-PIVOT'!$A$3,_xlfn.VALUETOTEXT($A$6),$A165,"Experiment",L$5,"date",L$6)=0,NA(),GETPIVOTDATA(_xlfn.VALUETOTEXT($A$4),'PREFILL-PIVOT'!$A$3,_xlfn.VALUETOTEXT($A$6),$A165,"Experiment",L$5,"date",L$6))</f>
        <v>#REF!</v>
      </c>
      <c r="M165" t="e">
        <f>IF(GETPIVOTDATA(_xlfn.VALUETOTEXT($A$4),'PREFILL-PIVOT'!$A$3,_xlfn.VALUETOTEXT($A$6),$A165,"Experiment",M$5,"date",M$6)=0,NA(),GETPIVOTDATA(_xlfn.VALUETOTEXT($A$4),'PREFILL-PIVOT'!$A$3,_xlfn.VALUETOTEXT($A$6),$A165,"Experiment",M$5,"date",M$6))</f>
        <v>#REF!</v>
      </c>
    </row>
    <row r="166" spans="1:13" x14ac:dyDescent="0.25">
      <c r="A166" s="222" t="e">
        <f>IF('PREFILL-PIVOT'!A164=0,NA(),'PREFILL-PIVOT'!A164)</f>
        <v>#N/A</v>
      </c>
      <c r="B166" t="e">
        <f>IF(GETPIVOTDATA(_xlfn.VALUETOTEXT($A$4),'PREFILL-PIVOT'!$A$3,_xlfn.VALUETOTEXT($A$6),$A166,"Experiment",B$5,"date",B$6)=0,NA(),GETPIVOTDATA(_xlfn.VALUETOTEXT($A$4),'PREFILL-PIVOT'!$A$3,_xlfn.VALUETOTEXT($A$6),$A166,"Experiment",B$5,"date",B$6))</f>
        <v>#REF!</v>
      </c>
      <c r="C166" t="e">
        <f>IF(GETPIVOTDATA(_xlfn.VALUETOTEXT($A$4),'PREFILL-PIVOT'!$A$3,_xlfn.VALUETOTEXT($A$6),$A166,"Experiment",C$5,"date",C$6)=0,NA(),GETPIVOTDATA(_xlfn.VALUETOTEXT($A$4),'PREFILL-PIVOT'!$A$3,_xlfn.VALUETOTEXT($A$6),$A166,"Experiment",C$5,"date",C$6))</f>
        <v>#REF!</v>
      </c>
      <c r="D166" t="e">
        <f>IF(GETPIVOTDATA(_xlfn.VALUETOTEXT($A$4),'PREFILL-PIVOT'!$A$3,_xlfn.VALUETOTEXT($A$6),$A166,"Experiment",D$5,"date",D$6)=0,NA(),GETPIVOTDATA(_xlfn.VALUETOTEXT($A$4),'PREFILL-PIVOT'!$A$3,_xlfn.VALUETOTEXT($A$6),$A166,"Experiment",D$5,"date",D$6))</f>
        <v>#REF!</v>
      </c>
      <c r="E166" t="e">
        <f>IF(GETPIVOTDATA(_xlfn.VALUETOTEXT($A$4),'PREFILL-PIVOT'!$A$3,_xlfn.VALUETOTEXT($A$6),$A166,"Experiment",E$5,"date",E$6)=0,NA(),GETPIVOTDATA(_xlfn.VALUETOTEXT($A$4),'PREFILL-PIVOT'!$A$3,_xlfn.VALUETOTEXT($A$6),$A166,"Experiment",E$5,"date",E$6))</f>
        <v>#REF!</v>
      </c>
      <c r="F166" t="e">
        <f>IF(GETPIVOTDATA(_xlfn.VALUETOTEXT($A$4),'PREFILL-PIVOT'!$A$3,_xlfn.VALUETOTEXT($A$6),$A166,"Experiment",F$5,"date",F$6)=0,NA(),GETPIVOTDATA(_xlfn.VALUETOTEXT($A$4),'PREFILL-PIVOT'!$A$3,_xlfn.VALUETOTEXT($A$6),$A166,"Experiment",F$5,"date",F$6))</f>
        <v>#REF!</v>
      </c>
      <c r="G166" t="e">
        <f>IF(GETPIVOTDATA(_xlfn.VALUETOTEXT($A$4),'PREFILL-PIVOT'!$A$3,_xlfn.VALUETOTEXT($A$6),$A166,"Experiment",G$5,"date",G$6)=0,NA(),GETPIVOTDATA(_xlfn.VALUETOTEXT($A$4),'PREFILL-PIVOT'!$A$3,_xlfn.VALUETOTEXT($A$6),$A166,"Experiment",G$5,"date",G$6))</f>
        <v>#REF!</v>
      </c>
      <c r="H166" t="e">
        <f>IF(GETPIVOTDATA(_xlfn.VALUETOTEXT($A$4),'PREFILL-PIVOT'!$A$3,_xlfn.VALUETOTEXT($A$6),$A166,"Experiment",H$5,"date",H$6)=0,NA(),GETPIVOTDATA(_xlfn.VALUETOTEXT($A$4),'PREFILL-PIVOT'!$A$3,_xlfn.VALUETOTEXT($A$6),$A166,"Experiment",H$5,"date",H$6))</f>
        <v>#REF!</v>
      </c>
      <c r="I166" t="e">
        <f>IF(GETPIVOTDATA(_xlfn.VALUETOTEXT($A$4),'PREFILL-PIVOT'!$A$3,_xlfn.VALUETOTEXT($A$6),$A166,"Experiment",I$5,"date",I$6)=0,NA(),GETPIVOTDATA(_xlfn.VALUETOTEXT($A$4),'PREFILL-PIVOT'!$A$3,_xlfn.VALUETOTEXT($A$6),$A166,"Experiment",I$5,"date",I$6))</f>
        <v>#REF!</v>
      </c>
      <c r="J166" t="e">
        <f>IF(GETPIVOTDATA(_xlfn.VALUETOTEXT($A$4),'PREFILL-PIVOT'!$A$3,_xlfn.VALUETOTEXT($A$6),$A166,"Experiment",J$5,"date",J$6)=0,NA(),GETPIVOTDATA(_xlfn.VALUETOTEXT($A$4),'PREFILL-PIVOT'!$A$3,_xlfn.VALUETOTEXT($A$6),$A166,"Experiment",J$5,"date",J$6))</f>
        <v>#REF!</v>
      </c>
      <c r="K166" t="e">
        <f>IF(GETPIVOTDATA(_xlfn.VALUETOTEXT($A$4),'PREFILL-PIVOT'!$A$3,_xlfn.VALUETOTEXT($A$6),$A166,"Experiment",K$5,"date",K$6)=0,NA(),GETPIVOTDATA(_xlfn.VALUETOTEXT($A$4),'PREFILL-PIVOT'!$A$3,_xlfn.VALUETOTEXT($A$6),$A166,"Experiment",K$5,"date",K$6))</f>
        <v>#REF!</v>
      </c>
      <c r="L166" t="e">
        <f>IF(GETPIVOTDATA(_xlfn.VALUETOTEXT($A$4),'PREFILL-PIVOT'!$A$3,_xlfn.VALUETOTEXT($A$6),$A166,"Experiment",L$5,"date",L$6)=0,NA(),GETPIVOTDATA(_xlfn.VALUETOTEXT($A$4),'PREFILL-PIVOT'!$A$3,_xlfn.VALUETOTEXT($A$6),$A166,"Experiment",L$5,"date",L$6))</f>
        <v>#REF!</v>
      </c>
      <c r="M166" t="e">
        <f>IF(GETPIVOTDATA(_xlfn.VALUETOTEXT($A$4),'PREFILL-PIVOT'!$A$3,_xlfn.VALUETOTEXT($A$6),$A166,"Experiment",M$5,"date",M$6)=0,NA(),GETPIVOTDATA(_xlfn.VALUETOTEXT($A$4),'PREFILL-PIVOT'!$A$3,_xlfn.VALUETOTEXT($A$6),$A166,"Experiment",M$5,"date",M$6))</f>
        <v>#REF!</v>
      </c>
    </row>
    <row r="167" spans="1:13" x14ac:dyDescent="0.25">
      <c r="A167" s="222" t="e">
        <f>IF('PREFILL-PIVOT'!A165=0,NA(),'PREFILL-PIVOT'!A165)</f>
        <v>#N/A</v>
      </c>
      <c r="B167" t="e">
        <f>IF(GETPIVOTDATA(_xlfn.VALUETOTEXT($A$4),'PREFILL-PIVOT'!$A$3,_xlfn.VALUETOTEXT($A$6),$A167,"Experiment",B$5,"date",B$6)=0,NA(),GETPIVOTDATA(_xlfn.VALUETOTEXT($A$4),'PREFILL-PIVOT'!$A$3,_xlfn.VALUETOTEXT($A$6),$A167,"Experiment",B$5,"date",B$6))</f>
        <v>#REF!</v>
      </c>
      <c r="C167" t="e">
        <f>IF(GETPIVOTDATA(_xlfn.VALUETOTEXT($A$4),'PREFILL-PIVOT'!$A$3,_xlfn.VALUETOTEXT($A$6),$A167,"Experiment",C$5,"date",C$6)=0,NA(),GETPIVOTDATA(_xlfn.VALUETOTEXT($A$4),'PREFILL-PIVOT'!$A$3,_xlfn.VALUETOTEXT($A$6),$A167,"Experiment",C$5,"date",C$6))</f>
        <v>#REF!</v>
      </c>
      <c r="D167" t="e">
        <f>IF(GETPIVOTDATA(_xlfn.VALUETOTEXT($A$4),'PREFILL-PIVOT'!$A$3,_xlfn.VALUETOTEXT($A$6),$A167,"Experiment",D$5,"date",D$6)=0,NA(),GETPIVOTDATA(_xlfn.VALUETOTEXT($A$4),'PREFILL-PIVOT'!$A$3,_xlfn.VALUETOTEXT($A$6),$A167,"Experiment",D$5,"date",D$6))</f>
        <v>#REF!</v>
      </c>
      <c r="E167" t="e">
        <f>IF(GETPIVOTDATA(_xlfn.VALUETOTEXT($A$4),'PREFILL-PIVOT'!$A$3,_xlfn.VALUETOTEXT($A$6),$A167,"Experiment",E$5,"date",E$6)=0,NA(),GETPIVOTDATA(_xlfn.VALUETOTEXT($A$4),'PREFILL-PIVOT'!$A$3,_xlfn.VALUETOTEXT($A$6),$A167,"Experiment",E$5,"date",E$6))</f>
        <v>#REF!</v>
      </c>
      <c r="F167" t="e">
        <f>IF(GETPIVOTDATA(_xlfn.VALUETOTEXT($A$4),'PREFILL-PIVOT'!$A$3,_xlfn.VALUETOTEXT($A$6),$A167,"Experiment",F$5,"date",F$6)=0,NA(),GETPIVOTDATA(_xlfn.VALUETOTEXT($A$4),'PREFILL-PIVOT'!$A$3,_xlfn.VALUETOTEXT($A$6),$A167,"Experiment",F$5,"date",F$6))</f>
        <v>#REF!</v>
      </c>
      <c r="G167" t="e">
        <f>IF(GETPIVOTDATA(_xlfn.VALUETOTEXT($A$4),'PREFILL-PIVOT'!$A$3,_xlfn.VALUETOTEXT($A$6),$A167,"Experiment",G$5,"date",G$6)=0,NA(),GETPIVOTDATA(_xlfn.VALUETOTEXT($A$4),'PREFILL-PIVOT'!$A$3,_xlfn.VALUETOTEXT($A$6),$A167,"Experiment",G$5,"date",G$6))</f>
        <v>#REF!</v>
      </c>
      <c r="H167" t="e">
        <f>IF(GETPIVOTDATA(_xlfn.VALUETOTEXT($A$4),'PREFILL-PIVOT'!$A$3,_xlfn.VALUETOTEXT($A$6),$A167,"Experiment",H$5,"date",H$6)=0,NA(),GETPIVOTDATA(_xlfn.VALUETOTEXT($A$4),'PREFILL-PIVOT'!$A$3,_xlfn.VALUETOTEXT($A$6),$A167,"Experiment",H$5,"date",H$6))</f>
        <v>#REF!</v>
      </c>
      <c r="I167" t="e">
        <f>IF(GETPIVOTDATA(_xlfn.VALUETOTEXT($A$4),'PREFILL-PIVOT'!$A$3,_xlfn.VALUETOTEXT($A$6),$A167,"Experiment",I$5,"date",I$6)=0,NA(),GETPIVOTDATA(_xlfn.VALUETOTEXT($A$4),'PREFILL-PIVOT'!$A$3,_xlfn.VALUETOTEXT($A$6),$A167,"Experiment",I$5,"date",I$6))</f>
        <v>#REF!</v>
      </c>
      <c r="J167" t="e">
        <f>IF(GETPIVOTDATA(_xlfn.VALUETOTEXT($A$4),'PREFILL-PIVOT'!$A$3,_xlfn.VALUETOTEXT($A$6),$A167,"Experiment",J$5,"date",J$6)=0,NA(),GETPIVOTDATA(_xlfn.VALUETOTEXT($A$4),'PREFILL-PIVOT'!$A$3,_xlfn.VALUETOTEXT($A$6),$A167,"Experiment",J$5,"date",J$6))</f>
        <v>#REF!</v>
      </c>
      <c r="K167" t="e">
        <f>IF(GETPIVOTDATA(_xlfn.VALUETOTEXT($A$4),'PREFILL-PIVOT'!$A$3,_xlfn.VALUETOTEXT($A$6),$A167,"Experiment",K$5,"date",K$6)=0,NA(),GETPIVOTDATA(_xlfn.VALUETOTEXT($A$4),'PREFILL-PIVOT'!$A$3,_xlfn.VALUETOTEXT($A$6),$A167,"Experiment",K$5,"date",K$6))</f>
        <v>#REF!</v>
      </c>
      <c r="L167" t="e">
        <f>IF(GETPIVOTDATA(_xlfn.VALUETOTEXT($A$4),'PREFILL-PIVOT'!$A$3,_xlfn.VALUETOTEXT($A$6),$A167,"Experiment",L$5,"date",L$6)=0,NA(),GETPIVOTDATA(_xlfn.VALUETOTEXT($A$4),'PREFILL-PIVOT'!$A$3,_xlfn.VALUETOTEXT($A$6),$A167,"Experiment",L$5,"date",L$6))</f>
        <v>#REF!</v>
      </c>
      <c r="M167" t="e">
        <f>IF(GETPIVOTDATA(_xlfn.VALUETOTEXT($A$4),'PREFILL-PIVOT'!$A$3,_xlfn.VALUETOTEXT($A$6),$A167,"Experiment",M$5,"date",M$6)=0,NA(),GETPIVOTDATA(_xlfn.VALUETOTEXT($A$4),'PREFILL-PIVOT'!$A$3,_xlfn.VALUETOTEXT($A$6),$A167,"Experiment",M$5,"date",M$6))</f>
        <v>#REF!</v>
      </c>
    </row>
    <row r="168" spans="1:13" x14ac:dyDescent="0.25">
      <c r="A168" s="222" t="e">
        <f>IF('PREFILL-PIVOT'!A166=0,NA(),'PREFILL-PIVOT'!A166)</f>
        <v>#N/A</v>
      </c>
      <c r="B168" t="e">
        <f>IF(GETPIVOTDATA(_xlfn.VALUETOTEXT($A$4),'PREFILL-PIVOT'!$A$3,_xlfn.VALUETOTEXT($A$6),$A168,"Experiment",B$5,"date",B$6)=0,NA(),GETPIVOTDATA(_xlfn.VALUETOTEXT($A$4),'PREFILL-PIVOT'!$A$3,_xlfn.VALUETOTEXT($A$6),$A168,"Experiment",B$5,"date",B$6))</f>
        <v>#REF!</v>
      </c>
      <c r="C168" t="e">
        <f>IF(GETPIVOTDATA(_xlfn.VALUETOTEXT($A$4),'PREFILL-PIVOT'!$A$3,_xlfn.VALUETOTEXT($A$6),$A168,"Experiment",C$5,"date",C$6)=0,NA(),GETPIVOTDATA(_xlfn.VALUETOTEXT($A$4),'PREFILL-PIVOT'!$A$3,_xlfn.VALUETOTEXT($A$6),$A168,"Experiment",C$5,"date",C$6))</f>
        <v>#REF!</v>
      </c>
      <c r="D168" t="e">
        <f>IF(GETPIVOTDATA(_xlfn.VALUETOTEXT($A$4),'PREFILL-PIVOT'!$A$3,_xlfn.VALUETOTEXT($A$6),$A168,"Experiment",D$5,"date",D$6)=0,NA(),GETPIVOTDATA(_xlfn.VALUETOTEXT($A$4),'PREFILL-PIVOT'!$A$3,_xlfn.VALUETOTEXT($A$6),$A168,"Experiment",D$5,"date",D$6))</f>
        <v>#REF!</v>
      </c>
      <c r="E168" t="e">
        <f>IF(GETPIVOTDATA(_xlfn.VALUETOTEXT($A$4),'PREFILL-PIVOT'!$A$3,_xlfn.VALUETOTEXT($A$6),$A168,"Experiment",E$5,"date",E$6)=0,NA(),GETPIVOTDATA(_xlfn.VALUETOTEXT($A$4),'PREFILL-PIVOT'!$A$3,_xlfn.VALUETOTEXT($A$6),$A168,"Experiment",E$5,"date",E$6))</f>
        <v>#REF!</v>
      </c>
      <c r="F168" t="e">
        <f>IF(GETPIVOTDATA(_xlfn.VALUETOTEXT($A$4),'PREFILL-PIVOT'!$A$3,_xlfn.VALUETOTEXT($A$6),$A168,"Experiment",F$5,"date",F$6)=0,NA(),GETPIVOTDATA(_xlfn.VALUETOTEXT($A$4),'PREFILL-PIVOT'!$A$3,_xlfn.VALUETOTEXT($A$6),$A168,"Experiment",F$5,"date",F$6))</f>
        <v>#REF!</v>
      </c>
      <c r="G168" t="e">
        <f>IF(GETPIVOTDATA(_xlfn.VALUETOTEXT($A$4),'PREFILL-PIVOT'!$A$3,_xlfn.VALUETOTEXT($A$6),$A168,"Experiment",G$5,"date",G$6)=0,NA(),GETPIVOTDATA(_xlfn.VALUETOTEXT($A$4),'PREFILL-PIVOT'!$A$3,_xlfn.VALUETOTEXT($A$6),$A168,"Experiment",G$5,"date",G$6))</f>
        <v>#REF!</v>
      </c>
      <c r="H168" t="e">
        <f>IF(GETPIVOTDATA(_xlfn.VALUETOTEXT($A$4),'PREFILL-PIVOT'!$A$3,_xlfn.VALUETOTEXT($A$6),$A168,"Experiment",H$5,"date",H$6)=0,NA(),GETPIVOTDATA(_xlfn.VALUETOTEXT($A$4),'PREFILL-PIVOT'!$A$3,_xlfn.VALUETOTEXT($A$6),$A168,"Experiment",H$5,"date",H$6))</f>
        <v>#REF!</v>
      </c>
      <c r="I168" t="e">
        <f>IF(GETPIVOTDATA(_xlfn.VALUETOTEXT($A$4),'PREFILL-PIVOT'!$A$3,_xlfn.VALUETOTEXT($A$6),$A168,"Experiment",I$5,"date",I$6)=0,NA(),GETPIVOTDATA(_xlfn.VALUETOTEXT($A$4),'PREFILL-PIVOT'!$A$3,_xlfn.VALUETOTEXT($A$6),$A168,"Experiment",I$5,"date",I$6))</f>
        <v>#REF!</v>
      </c>
      <c r="J168" t="e">
        <f>IF(GETPIVOTDATA(_xlfn.VALUETOTEXT($A$4),'PREFILL-PIVOT'!$A$3,_xlfn.VALUETOTEXT($A$6),$A168,"Experiment",J$5,"date",J$6)=0,NA(),GETPIVOTDATA(_xlfn.VALUETOTEXT($A$4),'PREFILL-PIVOT'!$A$3,_xlfn.VALUETOTEXT($A$6),$A168,"Experiment",J$5,"date",J$6))</f>
        <v>#REF!</v>
      </c>
      <c r="K168" t="e">
        <f>IF(GETPIVOTDATA(_xlfn.VALUETOTEXT($A$4),'PREFILL-PIVOT'!$A$3,_xlfn.VALUETOTEXT($A$6),$A168,"Experiment",K$5,"date",K$6)=0,NA(),GETPIVOTDATA(_xlfn.VALUETOTEXT($A$4),'PREFILL-PIVOT'!$A$3,_xlfn.VALUETOTEXT($A$6),$A168,"Experiment",K$5,"date",K$6))</f>
        <v>#REF!</v>
      </c>
      <c r="L168" t="e">
        <f>IF(GETPIVOTDATA(_xlfn.VALUETOTEXT($A$4),'PREFILL-PIVOT'!$A$3,_xlfn.VALUETOTEXT($A$6),$A168,"Experiment",L$5,"date",L$6)=0,NA(),GETPIVOTDATA(_xlfn.VALUETOTEXT($A$4),'PREFILL-PIVOT'!$A$3,_xlfn.VALUETOTEXT($A$6),$A168,"Experiment",L$5,"date",L$6))</f>
        <v>#REF!</v>
      </c>
      <c r="M168" t="e">
        <f>IF(GETPIVOTDATA(_xlfn.VALUETOTEXT($A$4),'PREFILL-PIVOT'!$A$3,_xlfn.VALUETOTEXT($A$6),$A168,"Experiment",M$5,"date",M$6)=0,NA(),GETPIVOTDATA(_xlfn.VALUETOTEXT($A$4),'PREFILL-PIVOT'!$A$3,_xlfn.VALUETOTEXT($A$6),$A168,"Experiment",M$5,"date",M$6))</f>
        <v>#REF!</v>
      </c>
    </row>
    <row r="169" spans="1:13" x14ac:dyDescent="0.25">
      <c r="A169" s="222" t="e">
        <f>IF('PREFILL-PIVOT'!A167=0,NA(),'PREFILL-PIVOT'!A167)</f>
        <v>#N/A</v>
      </c>
      <c r="B169" t="e">
        <f>IF(GETPIVOTDATA(_xlfn.VALUETOTEXT($A$4),'PREFILL-PIVOT'!$A$3,_xlfn.VALUETOTEXT($A$6),$A169,"Experiment",B$5,"date",B$6)=0,NA(),GETPIVOTDATA(_xlfn.VALUETOTEXT($A$4),'PREFILL-PIVOT'!$A$3,_xlfn.VALUETOTEXT($A$6),$A169,"Experiment",B$5,"date",B$6))</f>
        <v>#REF!</v>
      </c>
      <c r="C169" t="e">
        <f>IF(GETPIVOTDATA(_xlfn.VALUETOTEXT($A$4),'PREFILL-PIVOT'!$A$3,_xlfn.VALUETOTEXT($A$6),$A169,"Experiment",C$5,"date",C$6)=0,NA(),GETPIVOTDATA(_xlfn.VALUETOTEXT($A$4),'PREFILL-PIVOT'!$A$3,_xlfn.VALUETOTEXT($A$6),$A169,"Experiment",C$5,"date",C$6))</f>
        <v>#REF!</v>
      </c>
      <c r="D169" t="e">
        <f>IF(GETPIVOTDATA(_xlfn.VALUETOTEXT($A$4),'PREFILL-PIVOT'!$A$3,_xlfn.VALUETOTEXT($A$6),$A169,"Experiment",D$5,"date",D$6)=0,NA(),GETPIVOTDATA(_xlfn.VALUETOTEXT($A$4),'PREFILL-PIVOT'!$A$3,_xlfn.VALUETOTEXT($A$6),$A169,"Experiment",D$5,"date",D$6))</f>
        <v>#REF!</v>
      </c>
      <c r="E169" t="e">
        <f>IF(GETPIVOTDATA(_xlfn.VALUETOTEXT($A$4),'PREFILL-PIVOT'!$A$3,_xlfn.VALUETOTEXT($A$6),$A169,"Experiment",E$5,"date",E$6)=0,NA(),GETPIVOTDATA(_xlfn.VALUETOTEXT($A$4),'PREFILL-PIVOT'!$A$3,_xlfn.VALUETOTEXT($A$6),$A169,"Experiment",E$5,"date",E$6))</f>
        <v>#REF!</v>
      </c>
      <c r="F169" t="e">
        <f>IF(GETPIVOTDATA(_xlfn.VALUETOTEXT($A$4),'PREFILL-PIVOT'!$A$3,_xlfn.VALUETOTEXT($A$6),$A169,"Experiment",F$5,"date",F$6)=0,NA(),GETPIVOTDATA(_xlfn.VALUETOTEXT($A$4),'PREFILL-PIVOT'!$A$3,_xlfn.VALUETOTEXT($A$6),$A169,"Experiment",F$5,"date",F$6))</f>
        <v>#REF!</v>
      </c>
      <c r="G169" t="e">
        <f>IF(GETPIVOTDATA(_xlfn.VALUETOTEXT($A$4),'PREFILL-PIVOT'!$A$3,_xlfn.VALUETOTEXT($A$6),$A169,"Experiment",G$5,"date",G$6)=0,NA(),GETPIVOTDATA(_xlfn.VALUETOTEXT($A$4),'PREFILL-PIVOT'!$A$3,_xlfn.VALUETOTEXT($A$6),$A169,"Experiment",G$5,"date",G$6))</f>
        <v>#REF!</v>
      </c>
      <c r="H169" t="e">
        <f>IF(GETPIVOTDATA(_xlfn.VALUETOTEXT($A$4),'PREFILL-PIVOT'!$A$3,_xlfn.VALUETOTEXT($A$6),$A169,"Experiment",H$5,"date",H$6)=0,NA(),GETPIVOTDATA(_xlfn.VALUETOTEXT($A$4),'PREFILL-PIVOT'!$A$3,_xlfn.VALUETOTEXT($A$6),$A169,"Experiment",H$5,"date",H$6))</f>
        <v>#REF!</v>
      </c>
      <c r="I169" t="e">
        <f>IF(GETPIVOTDATA(_xlfn.VALUETOTEXT($A$4),'PREFILL-PIVOT'!$A$3,_xlfn.VALUETOTEXT($A$6),$A169,"Experiment",I$5,"date",I$6)=0,NA(),GETPIVOTDATA(_xlfn.VALUETOTEXT($A$4),'PREFILL-PIVOT'!$A$3,_xlfn.VALUETOTEXT($A$6),$A169,"Experiment",I$5,"date",I$6))</f>
        <v>#REF!</v>
      </c>
      <c r="J169" t="e">
        <f>IF(GETPIVOTDATA(_xlfn.VALUETOTEXT($A$4),'PREFILL-PIVOT'!$A$3,_xlfn.VALUETOTEXT($A$6),$A169,"Experiment",J$5,"date",J$6)=0,NA(),GETPIVOTDATA(_xlfn.VALUETOTEXT($A$4),'PREFILL-PIVOT'!$A$3,_xlfn.VALUETOTEXT($A$6),$A169,"Experiment",J$5,"date",J$6))</f>
        <v>#REF!</v>
      </c>
      <c r="K169" t="e">
        <f>IF(GETPIVOTDATA(_xlfn.VALUETOTEXT($A$4),'PREFILL-PIVOT'!$A$3,_xlfn.VALUETOTEXT($A$6),$A169,"Experiment",K$5,"date",K$6)=0,NA(),GETPIVOTDATA(_xlfn.VALUETOTEXT($A$4),'PREFILL-PIVOT'!$A$3,_xlfn.VALUETOTEXT($A$6),$A169,"Experiment",K$5,"date",K$6))</f>
        <v>#REF!</v>
      </c>
      <c r="L169" t="e">
        <f>IF(GETPIVOTDATA(_xlfn.VALUETOTEXT($A$4),'PREFILL-PIVOT'!$A$3,_xlfn.VALUETOTEXT($A$6),$A169,"Experiment",L$5,"date",L$6)=0,NA(),GETPIVOTDATA(_xlfn.VALUETOTEXT($A$4),'PREFILL-PIVOT'!$A$3,_xlfn.VALUETOTEXT($A$6),$A169,"Experiment",L$5,"date",L$6))</f>
        <v>#REF!</v>
      </c>
      <c r="M169" t="e">
        <f>IF(GETPIVOTDATA(_xlfn.VALUETOTEXT($A$4),'PREFILL-PIVOT'!$A$3,_xlfn.VALUETOTEXT($A$6),$A169,"Experiment",M$5,"date",M$6)=0,NA(),GETPIVOTDATA(_xlfn.VALUETOTEXT($A$4),'PREFILL-PIVOT'!$A$3,_xlfn.VALUETOTEXT($A$6),$A169,"Experiment",M$5,"date",M$6))</f>
        <v>#REF!</v>
      </c>
    </row>
    <row r="170" spans="1:13" x14ac:dyDescent="0.25">
      <c r="A170" s="222" t="e">
        <f>IF('PREFILL-PIVOT'!A168=0,NA(),'PREFILL-PIVOT'!A168)</f>
        <v>#N/A</v>
      </c>
      <c r="B170" t="e">
        <f>IF(GETPIVOTDATA(_xlfn.VALUETOTEXT($A$4),'PREFILL-PIVOT'!$A$3,_xlfn.VALUETOTEXT($A$6),$A170,"Experiment",B$5,"date",B$6)=0,NA(),GETPIVOTDATA(_xlfn.VALUETOTEXT($A$4),'PREFILL-PIVOT'!$A$3,_xlfn.VALUETOTEXT($A$6),$A170,"Experiment",B$5,"date",B$6))</f>
        <v>#REF!</v>
      </c>
      <c r="C170" t="e">
        <f>IF(GETPIVOTDATA(_xlfn.VALUETOTEXT($A$4),'PREFILL-PIVOT'!$A$3,_xlfn.VALUETOTEXT($A$6),$A170,"Experiment",C$5,"date",C$6)=0,NA(),GETPIVOTDATA(_xlfn.VALUETOTEXT($A$4),'PREFILL-PIVOT'!$A$3,_xlfn.VALUETOTEXT($A$6),$A170,"Experiment",C$5,"date",C$6))</f>
        <v>#REF!</v>
      </c>
      <c r="D170" t="e">
        <f>IF(GETPIVOTDATA(_xlfn.VALUETOTEXT($A$4),'PREFILL-PIVOT'!$A$3,_xlfn.VALUETOTEXT($A$6),$A170,"Experiment",D$5,"date",D$6)=0,NA(),GETPIVOTDATA(_xlfn.VALUETOTEXT($A$4),'PREFILL-PIVOT'!$A$3,_xlfn.VALUETOTEXT($A$6),$A170,"Experiment",D$5,"date",D$6))</f>
        <v>#REF!</v>
      </c>
      <c r="E170" t="e">
        <f>IF(GETPIVOTDATA(_xlfn.VALUETOTEXT($A$4),'PREFILL-PIVOT'!$A$3,_xlfn.VALUETOTEXT($A$6),$A170,"Experiment",E$5,"date",E$6)=0,NA(),GETPIVOTDATA(_xlfn.VALUETOTEXT($A$4),'PREFILL-PIVOT'!$A$3,_xlfn.VALUETOTEXT($A$6),$A170,"Experiment",E$5,"date",E$6))</f>
        <v>#REF!</v>
      </c>
      <c r="F170" t="e">
        <f>IF(GETPIVOTDATA(_xlfn.VALUETOTEXT($A$4),'PREFILL-PIVOT'!$A$3,_xlfn.VALUETOTEXT($A$6),$A170,"Experiment",F$5,"date",F$6)=0,NA(),GETPIVOTDATA(_xlfn.VALUETOTEXT($A$4),'PREFILL-PIVOT'!$A$3,_xlfn.VALUETOTEXT($A$6),$A170,"Experiment",F$5,"date",F$6))</f>
        <v>#REF!</v>
      </c>
      <c r="G170" t="e">
        <f>IF(GETPIVOTDATA(_xlfn.VALUETOTEXT($A$4),'PREFILL-PIVOT'!$A$3,_xlfn.VALUETOTEXT($A$6),$A170,"Experiment",G$5,"date",G$6)=0,NA(),GETPIVOTDATA(_xlfn.VALUETOTEXT($A$4),'PREFILL-PIVOT'!$A$3,_xlfn.VALUETOTEXT($A$6),$A170,"Experiment",G$5,"date",G$6))</f>
        <v>#REF!</v>
      </c>
      <c r="H170" t="e">
        <f>IF(GETPIVOTDATA(_xlfn.VALUETOTEXT($A$4),'PREFILL-PIVOT'!$A$3,_xlfn.VALUETOTEXT($A$6),$A170,"Experiment",H$5,"date",H$6)=0,NA(),GETPIVOTDATA(_xlfn.VALUETOTEXT($A$4),'PREFILL-PIVOT'!$A$3,_xlfn.VALUETOTEXT($A$6),$A170,"Experiment",H$5,"date",H$6))</f>
        <v>#REF!</v>
      </c>
      <c r="I170" t="e">
        <f>IF(GETPIVOTDATA(_xlfn.VALUETOTEXT($A$4),'PREFILL-PIVOT'!$A$3,_xlfn.VALUETOTEXT($A$6),$A170,"Experiment",I$5,"date",I$6)=0,NA(),GETPIVOTDATA(_xlfn.VALUETOTEXT($A$4),'PREFILL-PIVOT'!$A$3,_xlfn.VALUETOTEXT($A$6),$A170,"Experiment",I$5,"date",I$6))</f>
        <v>#REF!</v>
      </c>
      <c r="J170" t="e">
        <f>IF(GETPIVOTDATA(_xlfn.VALUETOTEXT($A$4),'PREFILL-PIVOT'!$A$3,_xlfn.VALUETOTEXT($A$6),$A170,"Experiment",J$5,"date",J$6)=0,NA(),GETPIVOTDATA(_xlfn.VALUETOTEXT($A$4),'PREFILL-PIVOT'!$A$3,_xlfn.VALUETOTEXT($A$6),$A170,"Experiment",J$5,"date",J$6))</f>
        <v>#REF!</v>
      </c>
      <c r="K170" t="e">
        <f>IF(GETPIVOTDATA(_xlfn.VALUETOTEXT($A$4),'PREFILL-PIVOT'!$A$3,_xlfn.VALUETOTEXT($A$6),$A170,"Experiment",K$5,"date",K$6)=0,NA(),GETPIVOTDATA(_xlfn.VALUETOTEXT($A$4),'PREFILL-PIVOT'!$A$3,_xlfn.VALUETOTEXT($A$6),$A170,"Experiment",K$5,"date",K$6))</f>
        <v>#REF!</v>
      </c>
      <c r="L170" t="e">
        <f>IF(GETPIVOTDATA(_xlfn.VALUETOTEXT($A$4),'PREFILL-PIVOT'!$A$3,_xlfn.VALUETOTEXT($A$6),$A170,"Experiment",L$5,"date",L$6)=0,NA(),GETPIVOTDATA(_xlfn.VALUETOTEXT($A$4),'PREFILL-PIVOT'!$A$3,_xlfn.VALUETOTEXT($A$6),$A170,"Experiment",L$5,"date",L$6))</f>
        <v>#REF!</v>
      </c>
      <c r="M170" t="e">
        <f>IF(GETPIVOTDATA(_xlfn.VALUETOTEXT($A$4),'PREFILL-PIVOT'!$A$3,_xlfn.VALUETOTEXT($A$6),$A170,"Experiment",M$5,"date",M$6)=0,NA(),GETPIVOTDATA(_xlfn.VALUETOTEXT($A$4),'PREFILL-PIVOT'!$A$3,_xlfn.VALUETOTEXT($A$6),$A170,"Experiment",M$5,"date",M$6))</f>
        <v>#REF!</v>
      </c>
    </row>
    <row r="171" spans="1:13" x14ac:dyDescent="0.25">
      <c r="A171" s="222" t="e">
        <f>IF('PREFILL-PIVOT'!A169=0,NA(),'PREFILL-PIVOT'!A169)</f>
        <v>#N/A</v>
      </c>
      <c r="B171" t="e">
        <f>IF(GETPIVOTDATA(_xlfn.VALUETOTEXT($A$4),'PREFILL-PIVOT'!$A$3,_xlfn.VALUETOTEXT($A$6),$A171,"Experiment",B$5,"date",B$6)=0,NA(),GETPIVOTDATA(_xlfn.VALUETOTEXT($A$4),'PREFILL-PIVOT'!$A$3,_xlfn.VALUETOTEXT($A$6),$A171,"Experiment",B$5,"date",B$6))</f>
        <v>#REF!</v>
      </c>
      <c r="C171" t="e">
        <f>IF(GETPIVOTDATA(_xlfn.VALUETOTEXT($A$4),'PREFILL-PIVOT'!$A$3,_xlfn.VALUETOTEXT($A$6),$A171,"Experiment",C$5,"date",C$6)=0,NA(),GETPIVOTDATA(_xlfn.VALUETOTEXT($A$4),'PREFILL-PIVOT'!$A$3,_xlfn.VALUETOTEXT($A$6),$A171,"Experiment",C$5,"date",C$6))</f>
        <v>#REF!</v>
      </c>
      <c r="D171" t="e">
        <f>IF(GETPIVOTDATA(_xlfn.VALUETOTEXT($A$4),'PREFILL-PIVOT'!$A$3,_xlfn.VALUETOTEXT($A$6),$A171,"Experiment",D$5,"date",D$6)=0,NA(),GETPIVOTDATA(_xlfn.VALUETOTEXT($A$4),'PREFILL-PIVOT'!$A$3,_xlfn.VALUETOTEXT($A$6),$A171,"Experiment",D$5,"date",D$6))</f>
        <v>#REF!</v>
      </c>
      <c r="E171" t="e">
        <f>IF(GETPIVOTDATA(_xlfn.VALUETOTEXT($A$4),'PREFILL-PIVOT'!$A$3,_xlfn.VALUETOTEXT($A$6),$A171,"Experiment",E$5,"date",E$6)=0,NA(),GETPIVOTDATA(_xlfn.VALUETOTEXT($A$4),'PREFILL-PIVOT'!$A$3,_xlfn.VALUETOTEXT($A$6),$A171,"Experiment",E$5,"date",E$6))</f>
        <v>#REF!</v>
      </c>
      <c r="F171" t="e">
        <f>IF(GETPIVOTDATA(_xlfn.VALUETOTEXT($A$4),'PREFILL-PIVOT'!$A$3,_xlfn.VALUETOTEXT($A$6),$A171,"Experiment",F$5,"date",F$6)=0,NA(),GETPIVOTDATA(_xlfn.VALUETOTEXT($A$4),'PREFILL-PIVOT'!$A$3,_xlfn.VALUETOTEXT($A$6),$A171,"Experiment",F$5,"date",F$6))</f>
        <v>#REF!</v>
      </c>
      <c r="G171" t="e">
        <f>IF(GETPIVOTDATA(_xlfn.VALUETOTEXT($A$4),'PREFILL-PIVOT'!$A$3,_xlfn.VALUETOTEXT($A$6),$A171,"Experiment",G$5,"date",G$6)=0,NA(),GETPIVOTDATA(_xlfn.VALUETOTEXT($A$4),'PREFILL-PIVOT'!$A$3,_xlfn.VALUETOTEXT($A$6),$A171,"Experiment",G$5,"date",G$6))</f>
        <v>#REF!</v>
      </c>
      <c r="H171" t="e">
        <f>IF(GETPIVOTDATA(_xlfn.VALUETOTEXT($A$4),'PREFILL-PIVOT'!$A$3,_xlfn.VALUETOTEXT($A$6),$A171,"Experiment",H$5,"date",H$6)=0,NA(),GETPIVOTDATA(_xlfn.VALUETOTEXT($A$4),'PREFILL-PIVOT'!$A$3,_xlfn.VALUETOTEXT($A$6),$A171,"Experiment",H$5,"date",H$6))</f>
        <v>#REF!</v>
      </c>
      <c r="I171" t="e">
        <f>IF(GETPIVOTDATA(_xlfn.VALUETOTEXT($A$4),'PREFILL-PIVOT'!$A$3,_xlfn.VALUETOTEXT($A$6),$A171,"Experiment",I$5,"date",I$6)=0,NA(),GETPIVOTDATA(_xlfn.VALUETOTEXT($A$4),'PREFILL-PIVOT'!$A$3,_xlfn.VALUETOTEXT($A$6),$A171,"Experiment",I$5,"date",I$6))</f>
        <v>#REF!</v>
      </c>
      <c r="J171" t="e">
        <f>IF(GETPIVOTDATA(_xlfn.VALUETOTEXT($A$4),'PREFILL-PIVOT'!$A$3,_xlfn.VALUETOTEXT($A$6),$A171,"Experiment",J$5,"date",J$6)=0,NA(),GETPIVOTDATA(_xlfn.VALUETOTEXT($A$4),'PREFILL-PIVOT'!$A$3,_xlfn.VALUETOTEXT($A$6),$A171,"Experiment",J$5,"date",J$6))</f>
        <v>#REF!</v>
      </c>
      <c r="K171" t="e">
        <f>IF(GETPIVOTDATA(_xlfn.VALUETOTEXT($A$4),'PREFILL-PIVOT'!$A$3,_xlfn.VALUETOTEXT($A$6),$A171,"Experiment",K$5,"date",K$6)=0,NA(),GETPIVOTDATA(_xlfn.VALUETOTEXT($A$4),'PREFILL-PIVOT'!$A$3,_xlfn.VALUETOTEXT($A$6),$A171,"Experiment",K$5,"date",K$6))</f>
        <v>#REF!</v>
      </c>
      <c r="L171" t="e">
        <f>IF(GETPIVOTDATA(_xlfn.VALUETOTEXT($A$4),'PREFILL-PIVOT'!$A$3,_xlfn.VALUETOTEXT($A$6),$A171,"Experiment",L$5,"date",L$6)=0,NA(),GETPIVOTDATA(_xlfn.VALUETOTEXT($A$4),'PREFILL-PIVOT'!$A$3,_xlfn.VALUETOTEXT($A$6),$A171,"Experiment",L$5,"date",L$6))</f>
        <v>#REF!</v>
      </c>
      <c r="M171" t="e">
        <f>IF(GETPIVOTDATA(_xlfn.VALUETOTEXT($A$4),'PREFILL-PIVOT'!$A$3,_xlfn.VALUETOTEXT($A$6),$A171,"Experiment",M$5,"date",M$6)=0,NA(),GETPIVOTDATA(_xlfn.VALUETOTEXT($A$4),'PREFILL-PIVOT'!$A$3,_xlfn.VALUETOTEXT($A$6),$A171,"Experiment",M$5,"date",M$6))</f>
        <v>#REF!</v>
      </c>
    </row>
    <row r="172" spans="1:13" x14ac:dyDescent="0.25">
      <c r="A172" s="222" t="e">
        <f>IF('PREFILL-PIVOT'!A170=0,NA(),'PREFILL-PIVOT'!A170)</f>
        <v>#N/A</v>
      </c>
      <c r="B172" t="e">
        <f>IF(GETPIVOTDATA(_xlfn.VALUETOTEXT($A$4),'PREFILL-PIVOT'!$A$3,_xlfn.VALUETOTEXT($A$6),$A172,"Experiment",B$5,"date",B$6)=0,NA(),GETPIVOTDATA(_xlfn.VALUETOTEXT($A$4),'PREFILL-PIVOT'!$A$3,_xlfn.VALUETOTEXT($A$6),$A172,"Experiment",B$5,"date",B$6))</f>
        <v>#REF!</v>
      </c>
      <c r="C172" t="e">
        <f>IF(GETPIVOTDATA(_xlfn.VALUETOTEXT($A$4),'PREFILL-PIVOT'!$A$3,_xlfn.VALUETOTEXT($A$6),$A172,"Experiment",C$5,"date",C$6)=0,NA(),GETPIVOTDATA(_xlfn.VALUETOTEXT($A$4),'PREFILL-PIVOT'!$A$3,_xlfn.VALUETOTEXT($A$6),$A172,"Experiment",C$5,"date",C$6))</f>
        <v>#REF!</v>
      </c>
      <c r="D172" t="e">
        <f>IF(GETPIVOTDATA(_xlfn.VALUETOTEXT($A$4),'PREFILL-PIVOT'!$A$3,_xlfn.VALUETOTEXT($A$6),$A172,"Experiment",D$5,"date",D$6)=0,NA(),GETPIVOTDATA(_xlfn.VALUETOTEXT($A$4),'PREFILL-PIVOT'!$A$3,_xlfn.VALUETOTEXT($A$6),$A172,"Experiment",D$5,"date",D$6))</f>
        <v>#REF!</v>
      </c>
      <c r="E172" t="e">
        <f>IF(GETPIVOTDATA(_xlfn.VALUETOTEXT($A$4),'PREFILL-PIVOT'!$A$3,_xlfn.VALUETOTEXT($A$6),$A172,"Experiment",E$5,"date",E$6)=0,NA(),GETPIVOTDATA(_xlfn.VALUETOTEXT($A$4),'PREFILL-PIVOT'!$A$3,_xlfn.VALUETOTEXT($A$6),$A172,"Experiment",E$5,"date",E$6))</f>
        <v>#REF!</v>
      </c>
      <c r="F172" t="e">
        <f>IF(GETPIVOTDATA(_xlfn.VALUETOTEXT($A$4),'PREFILL-PIVOT'!$A$3,_xlfn.VALUETOTEXT($A$6),$A172,"Experiment",F$5,"date",F$6)=0,NA(),GETPIVOTDATA(_xlfn.VALUETOTEXT($A$4),'PREFILL-PIVOT'!$A$3,_xlfn.VALUETOTEXT($A$6),$A172,"Experiment",F$5,"date",F$6))</f>
        <v>#REF!</v>
      </c>
      <c r="G172" t="e">
        <f>IF(GETPIVOTDATA(_xlfn.VALUETOTEXT($A$4),'PREFILL-PIVOT'!$A$3,_xlfn.VALUETOTEXT($A$6),$A172,"Experiment",G$5,"date",G$6)=0,NA(),GETPIVOTDATA(_xlfn.VALUETOTEXT($A$4),'PREFILL-PIVOT'!$A$3,_xlfn.VALUETOTEXT($A$6),$A172,"Experiment",G$5,"date",G$6))</f>
        <v>#REF!</v>
      </c>
      <c r="H172" t="e">
        <f>IF(GETPIVOTDATA(_xlfn.VALUETOTEXT($A$4),'PREFILL-PIVOT'!$A$3,_xlfn.VALUETOTEXT($A$6),$A172,"Experiment",H$5,"date",H$6)=0,NA(),GETPIVOTDATA(_xlfn.VALUETOTEXT($A$4),'PREFILL-PIVOT'!$A$3,_xlfn.VALUETOTEXT($A$6),$A172,"Experiment",H$5,"date",H$6))</f>
        <v>#REF!</v>
      </c>
      <c r="I172" t="e">
        <f>IF(GETPIVOTDATA(_xlfn.VALUETOTEXT($A$4),'PREFILL-PIVOT'!$A$3,_xlfn.VALUETOTEXT($A$6),$A172,"Experiment",I$5,"date",I$6)=0,NA(),GETPIVOTDATA(_xlfn.VALUETOTEXT($A$4),'PREFILL-PIVOT'!$A$3,_xlfn.VALUETOTEXT($A$6),$A172,"Experiment",I$5,"date",I$6))</f>
        <v>#REF!</v>
      </c>
      <c r="J172" t="e">
        <f>IF(GETPIVOTDATA(_xlfn.VALUETOTEXT($A$4),'PREFILL-PIVOT'!$A$3,_xlfn.VALUETOTEXT($A$6),$A172,"Experiment",J$5,"date",J$6)=0,NA(),GETPIVOTDATA(_xlfn.VALUETOTEXT($A$4),'PREFILL-PIVOT'!$A$3,_xlfn.VALUETOTEXT($A$6),$A172,"Experiment",J$5,"date",J$6))</f>
        <v>#REF!</v>
      </c>
      <c r="K172" t="e">
        <f>IF(GETPIVOTDATA(_xlfn.VALUETOTEXT($A$4),'PREFILL-PIVOT'!$A$3,_xlfn.VALUETOTEXT($A$6),$A172,"Experiment",K$5,"date",K$6)=0,NA(),GETPIVOTDATA(_xlfn.VALUETOTEXT($A$4),'PREFILL-PIVOT'!$A$3,_xlfn.VALUETOTEXT($A$6),$A172,"Experiment",K$5,"date",K$6))</f>
        <v>#REF!</v>
      </c>
      <c r="L172" t="e">
        <f>IF(GETPIVOTDATA(_xlfn.VALUETOTEXT($A$4),'PREFILL-PIVOT'!$A$3,_xlfn.VALUETOTEXT($A$6),$A172,"Experiment",L$5,"date",L$6)=0,NA(),GETPIVOTDATA(_xlfn.VALUETOTEXT($A$4),'PREFILL-PIVOT'!$A$3,_xlfn.VALUETOTEXT($A$6),$A172,"Experiment",L$5,"date",L$6))</f>
        <v>#REF!</v>
      </c>
      <c r="M172" t="e">
        <f>IF(GETPIVOTDATA(_xlfn.VALUETOTEXT($A$4),'PREFILL-PIVOT'!$A$3,_xlfn.VALUETOTEXT($A$6),$A172,"Experiment",M$5,"date",M$6)=0,NA(),GETPIVOTDATA(_xlfn.VALUETOTEXT($A$4),'PREFILL-PIVOT'!$A$3,_xlfn.VALUETOTEXT($A$6),$A172,"Experiment",M$5,"date",M$6))</f>
        <v>#REF!</v>
      </c>
    </row>
    <row r="173" spans="1:13" x14ac:dyDescent="0.25">
      <c r="A173" s="222" t="e">
        <f>IF('PREFILL-PIVOT'!A171=0,NA(),'PREFILL-PIVOT'!A171)</f>
        <v>#N/A</v>
      </c>
      <c r="B173" t="e">
        <f>IF(GETPIVOTDATA(_xlfn.VALUETOTEXT($A$4),'PREFILL-PIVOT'!$A$3,_xlfn.VALUETOTEXT($A$6),$A173,"Experiment",B$5,"date",B$6)=0,NA(),GETPIVOTDATA(_xlfn.VALUETOTEXT($A$4),'PREFILL-PIVOT'!$A$3,_xlfn.VALUETOTEXT($A$6),$A173,"Experiment",B$5,"date",B$6))</f>
        <v>#REF!</v>
      </c>
      <c r="C173" t="e">
        <f>IF(GETPIVOTDATA(_xlfn.VALUETOTEXT($A$4),'PREFILL-PIVOT'!$A$3,_xlfn.VALUETOTEXT($A$6),$A173,"Experiment",C$5,"date",C$6)=0,NA(),GETPIVOTDATA(_xlfn.VALUETOTEXT($A$4),'PREFILL-PIVOT'!$A$3,_xlfn.VALUETOTEXT($A$6),$A173,"Experiment",C$5,"date",C$6))</f>
        <v>#REF!</v>
      </c>
      <c r="D173" t="e">
        <f>IF(GETPIVOTDATA(_xlfn.VALUETOTEXT($A$4),'PREFILL-PIVOT'!$A$3,_xlfn.VALUETOTEXT($A$6),$A173,"Experiment",D$5,"date",D$6)=0,NA(),GETPIVOTDATA(_xlfn.VALUETOTEXT($A$4),'PREFILL-PIVOT'!$A$3,_xlfn.VALUETOTEXT($A$6),$A173,"Experiment",D$5,"date",D$6))</f>
        <v>#REF!</v>
      </c>
      <c r="E173" t="e">
        <f>IF(GETPIVOTDATA(_xlfn.VALUETOTEXT($A$4),'PREFILL-PIVOT'!$A$3,_xlfn.VALUETOTEXT($A$6),$A173,"Experiment",E$5,"date",E$6)=0,NA(),GETPIVOTDATA(_xlfn.VALUETOTEXT($A$4),'PREFILL-PIVOT'!$A$3,_xlfn.VALUETOTEXT($A$6),$A173,"Experiment",E$5,"date",E$6))</f>
        <v>#REF!</v>
      </c>
      <c r="F173" t="e">
        <f>IF(GETPIVOTDATA(_xlfn.VALUETOTEXT($A$4),'PREFILL-PIVOT'!$A$3,_xlfn.VALUETOTEXT($A$6),$A173,"Experiment",F$5,"date",F$6)=0,NA(),GETPIVOTDATA(_xlfn.VALUETOTEXT($A$4),'PREFILL-PIVOT'!$A$3,_xlfn.VALUETOTEXT($A$6),$A173,"Experiment",F$5,"date",F$6))</f>
        <v>#REF!</v>
      </c>
      <c r="G173" t="e">
        <f>IF(GETPIVOTDATA(_xlfn.VALUETOTEXT($A$4),'PREFILL-PIVOT'!$A$3,_xlfn.VALUETOTEXT($A$6),$A173,"Experiment",G$5,"date",G$6)=0,NA(),GETPIVOTDATA(_xlfn.VALUETOTEXT($A$4),'PREFILL-PIVOT'!$A$3,_xlfn.VALUETOTEXT($A$6),$A173,"Experiment",G$5,"date",G$6))</f>
        <v>#REF!</v>
      </c>
      <c r="H173" t="e">
        <f>IF(GETPIVOTDATA(_xlfn.VALUETOTEXT($A$4),'PREFILL-PIVOT'!$A$3,_xlfn.VALUETOTEXT($A$6),$A173,"Experiment",H$5,"date",H$6)=0,NA(),GETPIVOTDATA(_xlfn.VALUETOTEXT($A$4),'PREFILL-PIVOT'!$A$3,_xlfn.VALUETOTEXT($A$6),$A173,"Experiment",H$5,"date",H$6))</f>
        <v>#REF!</v>
      </c>
      <c r="I173" t="e">
        <f>IF(GETPIVOTDATA(_xlfn.VALUETOTEXT($A$4),'PREFILL-PIVOT'!$A$3,_xlfn.VALUETOTEXT($A$6),$A173,"Experiment",I$5,"date",I$6)=0,NA(),GETPIVOTDATA(_xlfn.VALUETOTEXT($A$4),'PREFILL-PIVOT'!$A$3,_xlfn.VALUETOTEXT($A$6),$A173,"Experiment",I$5,"date",I$6))</f>
        <v>#REF!</v>
      </c>
      <c r="J173" t="e">
        <f>IF(GETPIVOTDATA(_xlfn.VALUETOTEXT($A$4),'PREFILL-PIVOT'!$A$3,_xlfn.VALUETOTEXT($A$6),$A173,"Experiment",J$5,"date",J$6)=0,NA(),GETPIVOTDATA(_xlfn.VALUETOTEXT($A$4),'PREFILL-PIVOT'!$A$3,_xlfn.VALUETOTEXT($A$6),$A173,"Experiment",J$5,"date",J$6))</f>
        <v>#REF!</v>
      </c>
      <c r="K173" t="e">
        <f>IF(GETPIVOTDATA(_xlfn.VALUETOTEXT($A$4),'PREFILL-PIVOT'!$A$3,_xlfn.VALUETOTEXT($A$6),$A173,"Experiment",K$5,"date",K$6)=0,NA(),GETPIVOTDATA(_xlfn.VALUETOTEXT($A$4),'PREFILL-PIVOT'!$A$3,_xlfn.VALUETOTEXT($A$6),$A173,"Experiment",K$5,"date",K$6))</f>
        <v>#REF!</v>
      </c>
      <c r="L173" t="e">
        <f>IF(GETPIVOTDATA(_xlfn.VALUETOTEXT($A$4),'PREFILL-PIVOT'!$A$3,_xlfn.VALUETOTEXT($A$6),$A173,"Experiment",L$5,"date",L$6)=0,NA(),GETPIVOTDATA(_xlfn.VALUETOTEXT($A$4),'PREFILL-PIVOT'!$A$3,_xlfn.VALUETOTEXT($A$6),$A173,"Experiment",L$5,"date",L$6))</f>
        <v>#REF!</v>
      </c>
      <c r="M173" t="e">
        <f>IF(GETPIVOTDATA(_xlfn.VALUETOTEXT($A$4),'PREFILL-PIVOT'!$A$3,_xlfn.VALUETOTEXT($A$6),$A173,"Experiment",M$5,"date",M$6)=0,NA(),GETPIVOTDATA(_xlfn.VALUETOTEXT($A$4),'PREFILL-PIVOT'!$A$3,_xlfn.VALUETOTEXT($A$6),$A173,"Experiment",M$5,"date",M$6))</f>
        <v>#REF!</v>
      </c>
    </row>
    <row r="174" spans="1:13" x14ac:dyDescent="0.25">
      <c r="A174" s="222" t="e">
        <f>IF('PREFILL-PIVOT'!A172=0,NA(),'PREFILL-PIVOT'!A172)</f>
        <v>#N/A</v>
      </c>
      <c r="B174" t="e">
        <f>IF(GETPIVOTDATA(_xlfn.VALUETOTEXT($A$4),'PREFILL-PIVOT'!$A$3,_xlfn.VALUETOTEXT($A$6),$A174,"Experiment",B$5,"date",B$6)=0,NA(),GETPIVOTDATA(_xlfn.VALUETOTEXT($A$4),'PREFILL-PIVOT'!$A$3,_xlfn.VALUETOTEXT($A$6),$A174,"Experiment",B$5,"date",B$6))</f>
        <v>#REF!</v>
      </c>
      <c r="C174" t="e">
        <f>IF(GETPIVOTDATA(_xlfn.VALUETOTEXT($A$4),'PREFILL-PIVOT'!$A$3,_xlfn.VALUETOTEXT($A$6),$A174,"Experiment",C$5,"date",C$6)=0,NA(),GETPIVOTDATA(_xlfn.VALUETOTEXT($A$4),'PREFILL-PIVOT'!$A$3,_xlfn.VALUETOTEXT($A$6),$A174,"Experiment",C$5,"date",C$6))</f>
        <v>#REF!</v>
      </c>
      <c r="D174" t="e">
        <f>IF(GETPIVOTDATA(_xlfn.VALUETOTEXT($A$4),'PREFILL-PIVOT'!$A$3,_xlfn.VALUETOTEXT($A$6),$A174,"Experiment",D$5,"date",D$6)=0,NA(),GETPIVOTDATA(_xlfn.VALUETOTEXT($A$4),'PREFILL-PIVOT'!$A$3,_xlfn.VALUETOTEXT($A$6),$A174,"Experiment",D$5,"date",D$6))</f>
        <v>#REF!</v>
      </c>
      <c r="E174" t="e">
        <f>IF(GETPIVOTDATA(_xlfn.VALUETOTEXT($A$4),'PREFILL-PIVOT'!$A$3,_xlfn.VALUETOTEXT($A$6),$A174,"Experiment",E$5,"date",E$6)=0,NA(),GETPIVOTDATA(_xlfn.VALUETOTEXT($A$4),'PREFILL-PIVOT'!$A$3,_xlfn.VALUETOTEXT($A$6),$A174,"Experiment",E$5,"date",E$6))</f>
        <v>#REF!</v>
      </c>
      <c r="F174" t="e">
        <f>IF(GETPIVOTDATA(_xlfn.VALUETOTEXT($A$4),'PREFILL-PIVOT'!$A$3,_xlfn.VALUETOTEXT($A$6),$A174,"Experiment",F$5,"date",F$6)=0,NA(),GETPIVOTDATA(_xlfn.VALUETOTEXT($A$4),'PREFILL-PIVOT'!$A$3,_xlfn.VALUETOTEXT($A$6),$A174,"Experiment",F$5,"date",F$6))</f>
        <v>#REF!</v>
      </c>
      <c r="G174" t="e">
        <f>IF(GETPIVOTDATA(_xlfn.VALUETOTEXT($A$4),'PREFILL-PIVOT'!$A$3,_xlfn.VALUETOTEXT($A$6),$A174,"Experiment",G$5,"date",G$6)=0,NA(),GETPIVOTDATA(_xlfn.VALUETOTEXT($A$4),'PREFILL-PIVOT'!$A$3,_xlfn.VALUETOTEXT($A$6),$A174,"Experiment",G$5,"date",G$6))</f>
        <v>#REF!</v>
      </c>
      <c r="H174" t="e">
        <f>IF(GETPIVOTDATA(_xlfn.VALUETOTEXT($A$4),'PREFILL-PIVOT'!$A$3,_xlfn.VALUETOTEXT($A$6),$A174,"Experiment",H$5,"date",H$6)=0,NA(),GETPIVOTDATA(_xlfn.VALUETOTEXT($A$4),'PREFILL-PIVOT'!$A$3,_xlfn.VALUETOTEXT($A$6),$A174,"Experiment",H$5,"date",H$6))</f>
        <v>#REF!</v>
      </c>
      <c r="I174" t="e">
        <f>IF(GETPIVOTDATA(_xlfn.VALUETOTEXT($A$4),'PREFILL-PIVOT'!$A$3,_xlfn.VALUETOTEXT($A$6),$A174,"Experiment",I$5,"date",I$6)=0,NA(),GETPIVOTDATA(_xlfn.VALUETOTEXT($A$4),'PREFILL-PIVOT'!$A$3,_xlfn.VALUETOTEXT($A$6),$A174,"Experiment",I$5,"date",I$6))</f>
        <v>#REF!</v>
      </c>
      <c r="J174" t="e">
        <f>IF(GETPIVOTDATA(_xlfn.VALUETOTEXT($A$4),'PREFILL-PIVOT'!$A$3,_xlfn.VALUETOTEXT($A$6),$A174,"Experiment",J$5,"date",J$6)=0,NA(),GETPIVOTDATA(_xlfn.VALUETOTEXT($A$4),'PREFILL-PIVOT'!$A$3,_xlfn.VALUETOTEXT($A$6),$A174,"Experiment",J$5,"date",J$6))</f>
        <v>#REF!</v>
      </c>
      <c r="K174" t="e">
        <f>IF(GETPIVOTDATA(_xlfn.VALUETOTEXT($A$4),'PREFILL-PIVOT'!$A$3,_xlfn.VALUETOTEXT($A$6),$A174,"Experiment",K$5,"date",K$6)=0,NA(),GETPIVOTDATA(_xlfn.VALUETOTEXT($A$4),'PREFILL-PIVOT'!$A$3,_xlfn.VALUETOTEXT($A$6),$A174,"Experiment",K$5,"date",K$6))</f>
        <v>#REF!</v>
      </c>
      <c r="L174" t="e">
        <f>IF(GETPIVOTDATA(_xlfn.VALUETOTEXT($A$4),'PREFILL-PIVOT'!$A$3,_xlfn.VALUETOTEXT($A$6),$A174,"Experiment",L$5,"date",L$6)=0,NA(),GETPIVOTDATA(_xlfn.VALUETOTEXT($A$4),'PREFILL-PIVOT'!$A$3,_xlfn.VALUETOTEXT($A$6),$A174,"Experiment",L$5,"date",L$6))</f>
        <v>#REF!</v>
      </c>
      <c r="M174" t="e">
        <f>IF(GETPIVOTDATA(_xlfn.VALUETOTEXT($A$4),'PREFILL-PIVOT'!$A$3,_xlfn.VALUETOTEXT($A$6),$A174,"Experiment",M$5,"date",M$6)=0,NA(),GETPIVOTDATA(_xlfn.VALUETOTEXT($A$4),'PREFILL-PIVOT'!$A$3,_xlfn.VALUETOTEXT($A$6),$A174,"Experiment",M$5,"date",M$6))</f>
        <v>#REF!</v>
      </c>
    </row>
    <row r="175" spans="1:13" x14ac:dyDescent="0.25">
      <c r="A175" s="222" t="e">
        <f>IF('PREFILL-PIVOT'!A173=0,NA(),'PREFILL-PIVOT'!A173)</f>
        <v>#N/A</v>
      </c>
      <c r="B175" t="e">
        <f>IF(GETPIVOTDATA(_xlfn.VALUETOTEXT($A$4),'PREFILL-PIVOT'!$A$3,_xlfn.VALUETOTEXT($A$6),$A175,"Experiment",B$5,"date",B$6)=0,NA(),GETPIVOTDATA(_xlfn.VALUETOTEXT($A$4),'PREFILL-PIVOT'!$A$3,_xlfn.VALUETOTEXT($A$6),$A175,"Experiment",B$5,"date",B$6))</f>
        <v>#REF!</v>
      </c>
      <c r="C175" t="e">
        <f>IF(GETPIVOTDATA(_xlfn.VALUETOTEXT($A$4),'PREFILL-PIVOT'!$A$3,_xlfn.VALUETOTEXT($A$6),$A175,"Experiment",C$5,"date",C$6)=0,NA(),GETPIVOTDATA(_xlfn.VALUETOTEXT($A$4),'PREFILL-PIVOT'!$A$3,_xlfn.VALUETOTEXT($A$6),$A175,"Experiment",C$5,"date",C$6))</f>
        <v>#REF!</v>
      </c>
      <c r="D175" t="e">
        <f>IF(GETPIVOTDATA(_xlfn.VALUETOTEXT($A$4),'PREFILL-PIVOT'!$A$3,_xlfn.VALUETOTEXT($A$6),$A175,"Experiment",D$5,"date",D$6)=0,NA(),GETPIVOTDATA(_xlfn.VALUETOTEXT($A$4),'PREFILL-PIVOT'!$A$3,_xlfn.VALUETOTEXT($A$6),$A175,"Experiment",D$5,"date",D$6))</f>
        <v>#REF!</v>
      </c>
      <c r="E175" t="e">
        <f>IF(GETPIVOTDATA(_xlfn.VALUETOTEXT($A$4),'PREFILL-PIVOT'!$A$3,_xlfn.VALUETOTEXT($A$6),$A175,"Experiment",E$5,"date",E$6)=0,NA(),GETPIVOTDATA(_xlfn.VALUETOTEXT($A$4),'PREFILL-PIVOT'!$A$3,_xlfn.VALUETOTEXT($A$6),$A175,"Experiment",E$5,"date",E$6))</f>
        <v>#REF!</v>
      </c>
      <c r="F175" t="e">
        <f>IF(GETPIVOTDATA(_xlfn.VALUETOTEXT($A$4),'PREFILL-PIVOT'!$A$3,_xlfn.VALUETOTEXT($A$6),$A175,"Experiment",F$5,"date",F$6)=0,NA(),GETPIVOTDATA(_xlfn.VALUETOTEXT($A$4),'PREFILL-PIVOT'!$A$3,_xlfn.VALUETOTEXT($A$6),$A175,"Experiment",F$5,"date",F$6))</f>
        <v>#REF!</v>
      </c>
      <c r="G175" t="e">
        <f>IF(GETPIVOTDATA(_xlfn.VALUETOTEXT($A$4),'PREFILL-PIVOT'!$A$3,_xlfn.VALUETOTEXT($A$6),$A175,"Experiment",G$5,"date",G$6)=0,NA(),GETPIVOTDATA(_xlfn.VALUETOTEXT($A$4),'PREFILL-PIVOT'!$A$3,_xlfn.VALUETOTEXT($A$6),$A175,"Experiment",G$5,"date",G$6))</f>
        <v>#REF!</v>
      </c>
      <c r="H175" t="e">
        <f>IF(GETPIVOTDATA(_xlfn.VALUETOTEXT($A$4),'PREFILL-PIVOT'!$A$3,_xlfn.VALUETOTEXT($A$6),$A175,"Experiment",H$5,"date",H$6)=0,NA(),GETPIVOTDATA(_xlfn.VALUETOTEXT($A$4),'PREFILL-PIVOT'!$A$3,_xlfn.VALUETOTEXT($A$6),$A175,"Experiment",H$5,"date",H$6))</f>
        <v>#REF!</v>
      </c>
      <c r="I175" t="e">
        <f>IF(GETPIVOTDATA(_xlfn.VALUETOTEXT($A$4),'PREFILL-PIVOT'!$A$3,_xlfn.VALUETOTEXT($A$6),$A175,"Experiment",I$5,"date",I$6)=0,NA(),GETPIVOTDATA(_xlfn.VALUETOTEXT($A$4),'PREFILL-PIVOT'!$A$3,_xlfn.VALUETOTEXT($A$6),$A175,"Experiment",I$5,"date",I$6))</f>
        <v>#REF!</v>
      </c>
      <c r="J175" t="e">
        <f>IF(GETPIVOTDATA(_xlfn.VALUETOTEXT($A$4),'PREFILL-PIVOT'!$A$3,_xlfn.VALUETOTEXT($A$6),$A175,"Experiment",J$5,"date",J$6)=0,NA(),GETPIVOTDATA(_xlfn.VALUETOTEXT($A$4),'PREFILL-PIVOT'!$A$3,_xlfn.VALUETOTEXT($A$6),$A175,"Experiment",J$5,"date",J$6))</f>
        <v>#REF!</v>
      </c>
      <c r="K175" t="e">
        <f>IF(GETPIVOTDATA(_xlfn.VALUETOTEXT($A$4),'PREFILL-PIVOT'!$A$3,_xlfn.VALUETOTEXT($A$6),$A175,"Experiment",K$5,"date",K$6)=0,NA(),GETPIVOTDATA(_xlfn.VALUETOTEXT($A$4),'PREFILL-PIVOT'!$A$3,_xlfn.VALUETOTEXT($A$6),$A175,"Experiment",K$5,"date",K$6))</f>
        <v>#REF!</v>
      </c>
      <c r="L175" t="e">
        <f>IF(GETPIVOTDATA(_xlfn.VALUETOTEXT($A$4),'PREFILL-PIVOT'!$A$3,_xlfn.VALUETOTEXT($A$6),$A175,"Experiment",L$5,"date",L$6)=0,NA(),GETPIVOTDATA(_xlfn.VALUETOTEXT($A$4),'PREFILL-PIVOT'!$A$3,_xlfn.VALUETOTEXT($A$6),$A175,"Experiment",L$5,"date",L$6))</f>
        <v>#REF!</v>
      </c>
      <c r="M175" t="e">
        <f>IF(GETPIVOTDATA(_xlfn.VALUETOTEXT($A$4),'PREFILL-PIVOT'!$A$3,_xlfn.VALUETOTEXT($A$6),$A175,"Experiment",M$5,"date",M$6)=0,NA(),GETPIVOTDATA(_xlfn.VALUETOTEXT($A$4),'PREFILL-PIVOT'!$A$3,_xlfn.VALUETOTEXT($A$6),$A175,"Experiment",M$5,"date",M$6))</f>
        <v>#REF!</v>
      </c>
    </row>
    <row r="176" spans="1:13" x14ac:dyDescent="0.25">
      <c r="A176" s="222" t="e">
        <f>IF('PREFILL-PIVOT'!A174=0,NA(),'PREFILL-PIVOT'!A174)</f>
        <v>#N/A</v>
      </c>
      <c r="B176" t="e">
        <f>IF(GETPIVOTDATA(_xlfn.VALUETOTEXT($A$4),'PREFILL-PIVOT'!$A$3,_xlfn.VALUETOTEXT($A$6),$A176,"Experiment",B$5,"date",B$6)=0,NA(),GETPIVOTDATA(_xlfn.VALUETOTEXT($A$4),'PREFILL-PIVOT'!$A$3,_xlfn.VALUETOTEXT($A$6),$A176,"Experiment",B$5,"date",B$6))</f>
        <v>#REF!</v>
      </c>
      <c r="C176" t="e">
        <f>IF(GETPIVOTDATA(_xlfn.VALUETOTEXT($A$4),'PREFILL-PIVOT'!$A$3,_xlfn.VALUETOTEXT($A$6),$A176,"Experiment",C$5,"date",C$6)=0,NA(),GETPIVOTDATA(_xlfn.VALUETOTEXT($A$4),'PREFILL-PIVOT'!$A$3,_xlfn.VALUETOTEXT($A$6),$A176,"Experiment",C$5,"date",C$6))</f>
        <v>#REF!</v>
      </c>
      <c r="D176" t="e">
        <f>IF(GETPIVOTDATA(_xlfn.VALUETOTEXT($A$4),'PREFILL-PIVOT'!$A$3,_xlfn.VALUETOTEXT($A$6),$A176,"Experiment",D$5,"date",D$6)=0,NA(),GETPIVOTDATA(_xlfn.VALUETOTEXT($A$4),'PREFILL-PIVOT'!$A$3,_xlfn.VALUETOTEXT($A$6),$A176,"Experiment",D$5,"date",D$6))</f>
        <v>#REF!</v>
      </c>
      <c r="E176" t="e">
        <f>IF(GETPIVOTDATA(_xlfn.VALUETOTEXT($A$4),'PREFILL-PIVOT'!$A$3,_xlfn.VALUETOTEXT($A$6),$A176,"Experiment",E$5,"date",E$6)=0,NA(),GETPIVOTDATA(_xlfn.VALUETOTEXT($A$4),'PREFILL-PIVOT'!$A$3,_xlfn.VALUETOTEXT($A$6),$A176,"Experiment",E$5,"date",E$6))</f>
        <v>#REF!</v>
      </c>
      <c r="F176" t="e">
        <f>IF(GETPIVOTDATA(_xlfn.VALUETOTEXT($A$4),'PREFILL-PIVOT'!$A$3,_xlfn.VALUETOTEXT($A$6),$A176,"Experiment",F$5,"date",F$6)=0,NA(),GETPIVOTDATA(_xlfn.VALUETOTEXT($A$4),'PREFILL-PIVOT'!$A$3,_xlfn.VALUETOTEXT($A$6),$A176,"Experiment",F$5,"date",F$6))</f>
        <v>#REF!</v>
      </c>
      <c r="G176" t="e">
        <f>IF(GETPIVOTDATA(_xlfn.VALUETOTEXT($A$4),'PREFILL-PIVOT'!$A$3,_xlfn.VALUETOTEXT($A$6),$A176,"Experiment",G$5,"date",G$6)=0,NA(),GETPIVOTDATA(_xlfn.VALUETOTEXT($A$4),'PREFILL-PIVOT'!$A$3,_xlfn.VALUETOTEXT($A$6),$A176,"Experiment",G$5,"date",G$6))</f>
        <v>#REF!</v>
      </c>
      <c r="H176" t="e">
        <f>IF(GETPIVOTDATA(_xlfn.VALUETOTEXT($A$4),'PREFILL-PIVOT'!$A$3,_xlfn.VALUETOTEXT($A$6),$A176,"Experiment",H$5,"date",H$6)=0,NA(),GETPIVOTDATA(_xlfn.VALUETOTEXT($A$4),'PREFILL-PIVOT'!$A$3,_xlfn.VALUETOTEXT($A$6),$A176,"Experiment",H$5,"date",H$6))</f>
        <v>#REF!</v>
      </c>
      <c r="I176" t="e">
        <f>IF(GETPIVOTDATA(_xlfn.VALUETOTEXT($A$4),'PREFILL-PIVOT'!$A$3,_xlfn.VALUETOTEXT($A$6),$A176,"Experiment",I$5,"date",I$6)=0,NA(),GETPIVOTDATA(_xlfn.VALUETOTEXT($A$4),'PREFILL-PIVOT'!$A$3,_xlfn.VALUETOTEXT($A$6),$A176,"Experiment",I$5,"date",I$6))</f>
        <v>#REF!</v>
      </c>
      <c r="J176" t="e">
        <f>IF(GETPIVOTDATA(_xlfn.VALUETOTEXT($A$4),'PREFILL-PIVOT'!$A$3,_xlfn.VALUETOTEXT($A$6),$A176,"Experiment",J$5,"date",J$6)=0,NA(),GETPIVOTDATA(_xlfn.VALUETOTEXT($A$4),'PREFILL-PIVOT'!$A$3,_xlfn.VALUETOTEXT($A$6),$A176,"Experiment",J$5,"date",J$6))</f>
        <v>#REF!</v>
      </c>
      <c r="K176" t="e">
        <f>IF(GETPIVOTDATA(_xlfn.VALUETOTEXT($A$4),'PREFILL-PIVOT'!$A$3,_xlfn.VALUETOTEXT($A$6),$A176,"Experiment",K$5,"date",K$6)=0,NA(),GETPIVOTDATA(_xlfn.VALUETOTEXT($A$4),'PREFILL-PIVOT'!$A$3,_xlfn.VALUETOTEXT($A$6),$A176,"Experiment",K$5,"date",K$6))</f>
        <v>#REF!</v>
      </c>
      <c r="L176" t="e">
        <f>IF(GETPIVOTDATA(_xlfn.VALUETOTEXT($A$4),'PREFILL-PIVOT'!$A$3,_xlfn.VALUETOTEXT($A$6),$A176,"Experiment",L$5,"date",L$6)=0,NA(),GETPIVOTDATA(_xlfn.VALUETOTEXT($A$4),'PREFILL-PIVOT'!$A$3,_xlfn.VALUETOTEXT($A$6),$A176,"Experiment",L$5,"date",L$6))</f>
        <v>#REF!</v>
      </c>
      <c r="M176" t="e">
        <f>IF(GETPIVOTDATA(_xlfn.VALUETOTEXT($A$4),'PREFILL-PIVOT'!$A$3,_xlfn.VALUETOTEXT($A$6),$A176,"Experiment",M$5,"date",M$6)=0,NA(),GETPIVOTDATA(_xlfn.VALUETOTEXT($A$4),'PREFILL-PIVOT'!$A$3,_xlfn.VALUETOTEXT($A$6),$A176,"Experiment",M$5,"date",M$6))</f>
        <v>#REF!</v>
      </c>
    </row>
    <row r="177" spans="1:13" x14ac:dyDescent="0.25">
      <c r="A177" s="222" t="e">
        <f>IF('PREFILL-PIVOT'!A175=0,NA(),'PREFILL-PIVOT'!A175)</f>
        <v>#N/A</v>
      </c>
      <c r="B177" t="e">
        <f>IF(GETPIVOTDATA(_xlfn.VALUETOTEXT($A$4),'PREFILL-PIVOT'!$A$3,_xlfn.VALUETOTEXT($A$6),$A177,"Experiment",B$5,"date",B$6)=0,NA(),GETPIVOTDATA(_xlfn.VALUETOTEXT($A$4),'PREFILL-PIVOT'!$A$3,_xlfn.VALUETOTEXT($A$6),$A177,"Experiment",B$5,"date",B$6))</f>
        <v>#REF!</v>
      </c>
      <c r="C177" t="e">
        <f>IF(GETPIVOTDATA(_xlfn.VALUETOTEXT($A$4),'PREFILL-PIVOT'!$A$3,_xlfn.VALUETOTEXT($A$6),$A177,"Experiment",C$5,"date",C$6)=0,NA(),GETPIVOTDATA(_xlfn.VALUETOTEXT($A$4),'PREFILL-PIVOT'!$A$3,_xlfn.VALUETOTEXT($A$6),$A177,"Experiment",C$5,"date",C$6))</f>
        <v>#REF!</v>
      </c>
      <c r="D177" t="e">
        <f>IF(GETPIVOTDATA(_xlfn.VALUETOTEXT($A$4),'PREFILL-PIVOT'!$A$3,_xlfn.VALUETOTEXT($A$6),$A177,"Experiment",D$5,"date",D$6)=0,NA(),GETPIVOTDATA(_xlfn.VALUETOTEXT($A$4),'PREFILL-PIVOT'!$A$3,_xlfn.VALUETOTEXT($A$6),$A177,"Experiment",D$5,"date",D$6))</f>
        <v>#REF!</v>
      </c>
      <c r="E177" t="e">
        <f>IF(GETPIVOTDATA(_xlfn.VALUETOTEXT($A$4),'PREFILL-PIVOT'!$A$3,_xlfn.VALUETOTEXT($A$6),$A177,"Experiment",E$5,"date",E$6)=0,NA(),GETPIVOTDATA(_xlfn.VALUETOTEXT($A$4),'PREFILL-PIVOT'!$A$3,_xlfn.VALUETOTEXT($A$6),$A177,"Experiment",E$5,"date",E$6))</f>
        <v>#REF!</v>
      </c>
      <c r="F177" t="e">
        <f>IF(GETPIVOTDATA(_xlfn.VALUETOTEXT($A$4),'PREFILL-PIVOT'!$A$3,_xlfn.VALUETOTEXT($A$6),$A177,"Experiment",F$5,"date",F$6)=0,NA(),GETPIVOTDATA(_xlfn.VALUETOTEXT($A$4),'PREFILL-PIVOT'!$A$3,_xlfn.VALUETOTEXT($A$6),$A177,"Experiment",F$5,"date",F$6))</f>
        <v>#REF!</v>
      </c>
      <c r="G177" t="e">
        <f>IF(GETPIVOTDATA(_xlfn.VALUETOTEXT($A$4),'PREFILL-PIVOT'!$A$3,_xlfn.VALUETOTEXT($A$6),$A177,"Experiment",G$5,"date",G$6)=0,NA(),GETPIVOTDATA(_xlfn.VALUETOTEXT($A$4),'PREFILL-PIVOT'!$A$3,_xlfn.VALUETOTEXT($A$6),$A177,"Experiment",G$5,"date",G$6))</f>
        <v>#REF!</v>
      </c>
      <c r="H177" t="e">
        <f>IF(GETPIVOTDATA(_xlfn.VALUETOTEXT($A$4),'PREFILL-PIVOT'!$A$3,_xlfn.VALUETOTEXT($A$6),$A177,"Experiment",H$5,"date",H$6)=0,NA(),GETPIVOTDATA(_xlfn.VALUETOTEXT($A$4),'PREFILL-PIVOT'!$A$3,_xlfn.VALUETOTEXT($A$6),$A177,"Experiment",H$5,"date",H$6))</f>
        <v>#REF!</v>
      </c>
      <c r="I177" t="e">
        <f>IF(GETPIVOTDATA(_xlfn.VALUETOTEXT($A$4),'PREFILL-PIVOT'!$A$3,_xlfn.VALUETOTEXT($A$6),$A177,"Experiment",I$5,"date",I$6)=0,NA(),GETPIVOTDATA(_xlfn.VALUETOTEXT($A$4),'PREFILL-PIVOT'!$A$3,_xlfn.VALUETOTEXT($A$6),$A177,"Experiment",I$5,"date",I$6))</f>
        <v>#REF!</v>
      </c>
      <c r="J177" t="e">
        <f>IF(GETPIVOTDATA(_xlfn.VALUETOTEXT($A$4),'PREFILL-PIVOT'!$A$3,_xlfn.VALUETOTEXT($A$6),$A177,"Experiment",J$5,"date",J$6)=0,NA(),GETPIVOTDATA(_xlfn.VALUETOTEXT($A$4),'PREFILL-PIVOT'!$A$3,_xlfn.VALUETOTEXT($A$6),$A177,"Experiment",J$5,"date",J$6))</f>
        <v>#REF!</v>
      </c>
      <c r="K177" t="e">
        <f>IF(GETPIVOTDATA(_xlfn.VALUETOTEXT($A$4),'PREFILL-PIVOT'!$A$3,_xlfn.VALUETOTEXT($A$6),$A177,"Experiment",K$5,"date",K$6)=0,NA(),GETPIVOTDATA(_xlfn.VALUETOTEXT($A$4),'PREFILL-PIVOT'!$A$3,_xlfn.VALUETOTEXT($A$6),$A177,"Experiment",K$5,"date",K$6))</f>
        <v>#REF!</v>
      </c>
      <c r="L177" t="e">
        <f>IF(GETPIVOTDATA(_xlfn.VALUETOTEXT($A$4),'PREFILL-PIVOT'!$A$3,_xlfn.VALUETOTEXT($A$6),$A177,"Experiment",L$5,"date",L$6)=0,NA(),GETPIVOTDATA(_xlfn.VALUETOTEXT($A$4),'PREFILL-PIVOT'!$A$3,_xlfn.VALUETOTEXT($A$6),$A177,"Experiment",L$5,"date",L$6))</f>
        <v>#REF!</v>
      </c>
      <c r="M177" t="e">
        <f>IF(GETPIVOTDATA(_xlfn.VALUETOTEXT($A$4),'PREFILL-PIVOT'!$A$3,_xlfn.VALUETOTEXT($A$6),$A177,"Experiment",M$5,"date",M$6)=0,NA(),GETPIVOTDATA(_xlfn.VALUETOTEXT($A$4),'PREFILL-PIVOT'!$A$3,_xlfn.VALUETOTEXT($A$6),$A177,"Experiment",M$5,"date",M$6))</f>
        <v>#REF!</v>
      </c>
    </row>
    <row r="178" spans="1:13" x14ac:dyDescent="0.25">
      <c r="A178" s="222" t="e">
        <f>IF('PREFILL-PIVOT'!A176=0,NA(),'PREFILL-PIVOT'!A176)</f>
        <v>#N/A</v>
      </c>
      <c r="B178" t="e">
        <f>IF(GETPIVOTDATA(_xlfn.VALUETOTEXT($A$4),'PREFILL-PIVOT'!$A$3,_xlfn.VALUETOTEXT($A$6),$A178,"Experiment",B$5,"date",B$6)=0,NA(),GETPIVOTDATA(_xlfn.VALUETOTEXT($A$4),'PREFILL-PIVOT'!$A$3,_xlfn.VALUETOTEXT($A$6),$A178,"Experiment",B$5,"date",B$6))</f>
        <v>#REF!</v>
      </c>
      <c r="C178" t="e">
        <f>IF(GETPIVOTDATA(_xlfn.VALUETOTEXT($A$4),'PREFILL-PIVOT'!$A$3,_xlfn.VALUETOTEXT($A$6),$A178,"Experiment",C$5,"date",C$6)=0,NA(),GETPIVOTDATA(_xlfn.VALUETOTEXT($A$4),'PREFILL-PIVOT'!$A$3,_xlfn.VALUETOTEXT($A$6),$A178,"Experiment",C$5,"date",C$6))</f>
        <v>#REF!</v>
      </c>
      <c r="D178" t="e">
        <f>IF(GETPIVOTDATA(_xlfn.VALUETOTEXT($A$4),'PREFILL-PIVOT'!$A$3,_xlfn.VALUETOTEXT($A$6),$A178,"Experiment",D$5,"date",D$6)=0,NA(),GETPIVOTDATA(_xlfn.VALUETOTEXT($A$4),'PREFILL-PIVOT'!$A$3,_xlfn.VALUETOTEXT($A$6),$A178,"Experiment",D$5,"date",D$6))</f>
        <v>#REF!</v>
      </c>
      <c r="E178" t="e">
        <f>IF(GETPIVOTDATA(_xlfn.VALUETOTEXT($A$4),'PREFILL-PIVOT'!$A$3,_xlfn.VALUETOTEXT($A$6),$A178,"Experiment",E$5,"date",E$6)=0,NA(),GETPIVOTDATA(_xlfn.VALUETOTEXT($A$4),'PREFILL-PIVOT'!$A$3,_xlfn.VALUETOTEXT($A$6),$A178,"Experiment",E$5,"date",E$6))</f>
        <v>#REF!</v>
      </c>
      <c r="F178" t="e">
        <f>IF(GETPIVOTDATA(_xlfn.VALUETOTEXT($A$4),'PREFILL-PIVOT'!$A$3,_xlfn.VALUETOTEXT($A$6),$A178,"Experiment",F$5,"date",F$6)=0,NA(),GETPIVOTDATA(_xlfn.VALUETOTEXT($A$4),'PREFILL-PIVOT'!$A$3,_xlfn.VALUETOTEXT($A$6),$A178,"Experiment",F$5,"date",F$6))</f>
        <v>#REF!</v>
      </c>
      <c r="G178" t="e">
        <f>IF(GETPIVOTDATA(_xlfn.VALUETOTEXT($A$4),'PREFILL-PIVOT'!$A$3,_xlfn.VALUETOTEXT($A$6),$A178,"Experiment",G$5,"date",G$6)=0,NA(),GETPIVOTDATA(_xlfn.VALUETOTEXT($A$4),'PREFILL-PIVOT'!$A$3,_xlfn.VALUETOTEXT($A$6),$A178,"Experiment",G$5,"date",G$6))</f>
        <v>#REF!</v>
      </c>
      <c r="H178" t="e">
        <f>IF(GETPIVOTDATA(_xlfn.VALUETOTEXT($A$4),'PREFILL-PIVOT'!$A$3,_xlfn.VALUETOTEXT($A$6),$A178,"Experiment",H$5,"date",H$6)=0,NA(),GETPIVOTDATA(_xlfn.VALUETOTEXT($A$4),'PREFILL-PIVOT'!$A$3,_xlfn.VALUETOTEXT($A$6),$A178,"Experiment",H$5,"date",H$6))</f>
        <v>#REF!</v>
      </c>
      <c r="I178" t="e">
        <f>IF(GETPIVOTDATA(_xlfn.VALUETOTEXT($A$4),'PREFILL-PIVOT'!$A$3,_xlfn.VALUETOTEXT($A$6),$A178,"Experiment",I$5,"date",I$6)=0,NA(),GETPIVOTDATA(_xlfn.VALUETOTEXT($A$4),'PREFILL-PIVOT'!$A$3,_xlfn.VALUETOTEXT($A$6),$A178,"Experiment",I$5,"date",I$6))</f>
        <v>#REF!</v>
      </c>
      <c r="J178" t="e">
        <f>IF(GETPIVOTDATA(_xlfn.VALUETOTEXT($A$4),'PREFILL-PIVOT'!$A$3,_xlfn.VALUETOTEXT($A$6),$A178,"Experiment",J$5,"date",J$6)=0,NA(),GETPIVOTDATA(_xlfn.VALUETOTEXT($A$4),'PREFILL-PIVOT'!$A$3,_xlfn.VALUETOTEXT($A$6),$A178,"Experiment",J$5,"date",J$6))</f>
        <v>#REF!</v>
      </c>
      <c r="K178" t="e">
        <f>IF(GETPIVOTDATA(_xlfn.VALUETOTEXT($A$4),'PREFILL-PIVOT'!$A$3,_xlfn.VALUETOTEXT($A$6),$A178,"Experiment",K$5,"date",K$6)=0,NA(),GETPIVOTDATA(_xlfn.VALUETOTEXT($A$4),'PREFILL-PIVOT'!$A$3,_xlfn.VALUETOTEXT($A$6),$A178,"Experiment",K$5,"date",K$6))</f>
        <v>#REF!</v>
      </c>
      <c r="L178" t="e">
        <f>IF(GETPIVOTDATA(_xlfn.VALUETOTEXT($A$4),'PREFILL-PIVOT'!$A$3,_xlfn.VALUETOTEXT($A$6),$A178,"Experiment",L$5,"date",L$6)=0,NA(),GETPIVOTDATA(_xlfn.VALUETOTEXT($A$4),'PREFILL-PIVOT'!$A$3,_xlfn.VALUETOTEXT($A$6),$A178,"Experiment",L$5,"date",L$6))</f>
        <v>#REF!</v>
      </c>
      <c r="M178" t="e">
        <f>IF(GETPIVOTDATA(_xlfn.VALUETOTEXT($A$4),'PREFILL-PIVOT'!$A$3,_xlfn.VALUETOTEXT($A$6),$A178,"Experiment",M$5,"date",M$6)=0,NA(),GETPIVOTDATA(_xlfn.VALUETOTEXT($A$4),'PREFILL-PIVOT'!$A$3,_xlfn.VALUETOTEXT($A$6),$A178,"Experiment",M$5,"date",M$6))</f>
        <v>#REF!</v>
      </c>
    </row>
    <row r="179" spans="1:13" x14ac:dyDescent="0.25">
      <c r="A179" s="222" t="e">
        <f>IF('PREFILL-PIVOT'!A177=0,NA(),'PREFILL-PIVOT'!A177)</f>
        <v>#N/A</v>
      </c>
      <c r="B179" t="e">
        <f>IF(GETPIVOTDATA(_xlfn.VALUETOTEXT($A$4),'PREFILL-PIVOT'!$A$3,_xlfn.VALUETOTEXT($A$6),$A179,"Experiment",B$5,"date",B$6)=0,NA(),GETPIVOTDATA(_xlfn.VALUETOTEXT($A$4),'PREFILL-PIVOT'!$A$3,_xlfn.VALUETOTEXT($A$6),$A179,"Experiment",B$5,"date",B$6))</f>
        <v>#REF!</v>
      </c>
      <c r="C179" t="e">
        <f>IF(GETPIVOTDATA(_xlfn.VALUETOTEXT($A$4),'PREFILL-PIVOT'!$A$3,_xlfn.VALUETOTEXT($A$6),$A179,"Experiment",C$5,"date",C$6)=0,NA(),GETPIVOTDATA(_xlfn.VALUETOTEXT($A$4),'PREFILL-PIVOT'!$A$3,_xlfn.VALUETOTEXT($A$6),$A179,"Experiment",C$5,"date",C$6))</f>
        <v>#REF!</v>
      </c>
      <c r="D179" t="e">
        <f>IF(GETPIVOTDATA(_xlfn.VALUETOTEXT($A$4),'PREFILL-PIVOT'!$A$3,_xlfn.VALUETOTEXT($A$6),$A179,"Experiment",D$5,"date",D$6)=0,NA(),GETPIVOTDATA(_xlfn.VALUETOTEXT($A$4),'PREFILL-PIVOT'!$A$3,_xlfn.VALUETOTEXT($A$6),$A179,"Experiment",D$5,"date",D$6))</f>
        <v>#REF!</v>
      </c>
      <c r="E179" t="e">
        <f>IF(GETPIVOTDATA(_xlfn.VALUETOTEXT($A$4),'PREFILL-PIVOT'!$A$3,_xlfn.VALUETOTEXT($A$6),$A179,"Experiment",E$5,"date",E$6)=0,NA(),GETPIVOTDATA(_xlfn.VALUETOTEXT($A$4),'PREFILL-PIVOT'!$A$3,_xlfn.VALUETOTEXT($A$6),$A179,"Experiment",E$5,"date",E$6))</f>
        <v>#REF!</v>
      </c>
      <c r="F179" t="e">
        <f>IF(GETPIVOTDATA(_xlfn.VALUETOTEXT($A$4),'PREFILL-PIVOT'!$A$3,_xlfn.VALUETOTEXT($A$6),$A179,"Experiment",F$5,"date",F$6)=0,NA(),GETPIVOTDATA(_xlfn.VALUETOTEXT($A$4),'PREFILL-PIVOT'!$A$3,_xlfn.VALUETOTEXT($A$6),$A179,"Experiment",F$5,"date",F$6))</f>
        <v>#REF!</v>
      </c>
      <c r="G179" t="e">
        <f>IF(GETPIVOTDATA(_xlfn.VALUETOTEXT($A$4),'PREFILL-PIVOT'!$A$3,_xlfn.VALUETOTEXT($A$6),$A179,"Experiment",G$5,"date",G$6)=0,NA(),GETPIVOTDATA(_xlfn.VALUETOTEXT($A$4),'PREFILL-PIVOT'!$A$3,_xlfn.VALUETOTEXT($A$6),$A179,"Experiment",G$5,"date",G$6))</f>
        <v>#REF!</v>
      </c>
      <c r="H179" t="e">
        <f>IF(GETPIVOTDATA(_xlfn.VALUETOTEXT($A$4),'PREFILL-PIVOT'!$A$3,_xlfn.VALUETOTEXT($A$6),$A179,"Experiment",H$5,"date",H$6)=0,NA(),GETPIVOTDATA(_xlfn.VALUETOTEXT($A$4),'PREFILL-PIVOT'!$A$3,_xlfn.VALUETOTEXT($A$6),$A179,"Experiment",H$5,"date",H$6))</f>
        <v>#REF!</v>
      </c>
      <c r="I179" t="e">
        <f>IF(GETPIVOTDATA(_xlfn.VALUETOTEXT($A$4),'PREFILL-PIVOT'!$A$3,_xlfn.VALUETOTEXT($A$6),$A179,"Experiment",I$5,"date",I$6)=0,NA(),GETPIVOTDATA(_xlfn.VALUETOTEXT($A$4),'PREFILL-PIVOT'!$A$3,_xlfn.VALUETOTEXT($A$6),$A179,"Experiment",I$5,"date",I$6))</f>
        <v>#REF!</v>
      </c>
      <c r="J179" t="e">
        <f>IF(GETPIVOTDATA(_xlfn.VALUETOTEXT($A$4),'PREFILL-PIVOT'!$A$3,_xlfn.VALUETOTEXT($A$6),$A179,"Experiment",J$5,"date",J$6)=0,NA(),GETPIVOTDATA(_xlfn.VALUETOTEXT($A$4),'PREFILL-PIVOT'!$A$3,_xlfn.VALUETOTEXT($A$6),$A179,"Experiment",J$5,"date",J$6))</f>
        <v>#REF!</v>
      </c>
      <c r="K179" t="e">
        <f>IF(GETPIVOTDATA(_xlfn.VALUETOTEXT($A$4),'PREFILL-PIVOT'!$A$3,_xlfn.VALUETOTEXT($A$6),$A179,"Experiment",K$5,"date",K$6)=0,NA(),GETPIVOTDATA(_xlfn.VALUETOTEXT($A$4),'PREFILL-PIVOT'!$A$3,_xlfn.VALUETOTEXT($A$6),$A179,"Experiment",K$5,"date",K$6))</f>
        <v>#REF!</v>
      </c>
      <c r="L179" t="e">
        <f>IF(GETPIVOTDATA(_xlfn.VALUETOTEXT($A$4),'PREFILL-PIVOT'!$A$3,_xlfn.VALUETOTEXT($A$6),$A179,"Experiment",L$5,"date",L$6)=0,NA(),GETPIVOTDATA(_xlfn.VALUETOTEXT($A$4),'PREFILL-PIVOT'!$A$3,_xlfn.VALUETOTEXT($A$6),$A179,"Experiment",L$5,"date",L$6))</f>
        <v>#REF!</v>
      </c>
      <c r="M179" t="e">
        <f>IF(GETPIVOTDATA(_xlfn.VALUETOTEXT($A$4),'PREFILL-PIVOT'!$A$3,_xlfn.VALUETOTEXT($A$6),$A179,"Experiment",M$5,"date",M$6)=0,NA(),GETPIVOTDATA(_xlfn.VALUETOTEXT($A$4),'PREFILL-PIVOT'!$A$3,_xlfn.VALUETOTEXT($A$6),$A179,"Experiment",M$5,"date",M$6))</f>
        <v>#REF!</v>
      </c>
    </row>
    <row r="180" spans="1:13" x14ac:dyDescent="0.25">
      <c r="A180" s="222" t="e">
        <f>IF('PREFILL-PIVOT'!A178=0,NA(),'PREFILL-PIVOT'!A178)</f>
        <v>#N/A</v>
      </c>
      <c r="B180" t="e">
        <f>IF(GETPIVOTDATA(_xlfn.VALUETOTEXT($A$4),'PREFILL-PIVOT'!$A$3,_xlfn.VALUETOTEXT($A$6),$A180,"Experiment",B$5,"date",B$6)=0,NA(),GETPIVOTDATA(_xlfn.VALUETOTEXT($A$4),'PREFILL-PIVOT'!$A$3,_xlfn.VALUETOTEXT($A$6),$A180,"Experiment",B$5,"date",B$6))</f>
        <v>#REF!</v>
      </c>
      <c r="C180" t="e">
        <f>IF(GETPIVOTDATA(_xlfn.VALUETOTEXT($A$4),'PREFILL-PIVOT'!$A$3,_xlfn.VALUETOTEXT($A$6),$A180,"Experiment",C$5,"date",C$6)=0,NA(),GETPIVOTDATA(_xlfn.VALUETOTEXT($A$4),'PREFILL-PIVOT'!$A$3,_xlfn.VALUETOTEXT($A$6),$A180,"Experiment",C$5,"date",C$6))</f>
        <v>#REF!</v>
      </c>
      <c r="D180" t="e">
        <f>IF(GETPIVOTDATA(_xlfn.VALUETOTEXT($A$4),'PREFILL-PIVOT'!$A$3,_xlfn.VALUETOTEXT($A$6),$A180,"Experiment",D$5,"date",D$6)=0,NA(),GETPIVOTDATA(_xlfn.VALUETOTEXT($A$4),'PREFILL-PIVOT'!$A$3,_xlfn.VALUETOTEXT($A$6),$A180,"Experiment",D$5,"date",D$6))</f>
        <v>#REF!</v>
      </c>
      <c r="E180" t="e">
        <f>IF(GETPIVOTDATA(_xlfn.VALUETOTEXT($A$4),'PREFILL-PIVOT'!$A$3,_xlfn.VALUETOTEXT($A$6),$A180,"Experiment",E$5,"date",E$6)=0,NA(),GETPIVOTDATA(_xlfn.VALUETOTEXT($A$4),'PREFILL-PIVOT'!$A$3,_xlfn.VALUETOTEXT($A$6),$A180,"Experiment",E$5,"date",E$6))</f>
        <v>#REF!</v>
      </c>
      <c r="F180" t="e">
        <f>IF(GETPIVOTDATA(_xlfn.VALUETOTEXT($A$4),'PREFILL-PIVOT'!$A$3,_xlfn.VALUETOTEXT($A$6),$A180,"Experiment",F$5,"date",F$6)=0,NA(),GETPIVOTDATA(_xlfn.VALUETOTEXT($A$4),'PREFILL-PIVOT'!$A$3,_xlfn.VALUETOTEXT($A$6),$A180,"Experiment",F$5,"date",F$6))</f>
        <v>#REF!</v>
      </c>
      <c r="G180" t="e">
        <f>IF(GETPIVOTDATA(_xlfn.VALUETOTEXT($A$4),'PREFILL-PIVOT'!$A$3,_xlfn.VALUETOTEXT($A$6),$A180,"Experiment",G$5,"date",G$6)=0,NA(),GETPIVOTDATA(_xlfn.VALUETOTEXT($A$4),'PREFILL-PIVOT'!$A$3,_xlfn.VALUETOTEXT($A$6),$A180,"Experiment",G$5,"date",G$6))</f>
        <v>#REF!</v>
      </c>
      <c r="H180" t="e">
        <f>IF(GETPIVOTDATA(_xlfn.VALUETOTEXT($A$4),'PREFILL-PIVOT'!$A$3,_xlfn.VALUETOTEXT($A$6),$A180,"Experiment",H$5,"date",H$6)=0,NA(),GETPIVOTDATA(_xlfn.VALUETOTEXT($A$4),'PREFILL-PIVOT'!$A$3,_xlfn.VALUETOTEXT($A$6),$A180,"Experiment",H$5,"date",H$6))</f>
        <v>#REF!</v>
      </c>
      <c r="I180" t="e">
        <f>IF(GETPIVOTDATA(_xlfn.VALUETOTEXT($A$4),'PREFILL-PIVOT'!$A$3,_xlfn.VALUETOTEXT($A$6),$A180,"Experiment",I$5,"date",I$6)=0,NA(),GETPIVOTDATA(_xlfn.VALUETOTEXT($A$4),'PREFILL-PIVOT'!$A$3,_xlfn.VALUETOTEXT($A$6),$A180,"Experiment",I$5,"date",I$6))</f>
        <v>#REF!</v>
      </c>
      <c r="J180" t="e">
        <f>IF(GETPIVOTDATA(_xlfn.VALUETOTEXT($A$4),'PREFILL-PIVOT'!$A$3,_xlfn.VALUETOTEXT($A$6),$A180,"Experiment",J$5,"date",J$6)=0,NA(),GETPIVOTDATA(_xlfn.VALUETOTEXT($A$4),'PREFILL-PIVOT'!$A$3,_xlfn.VALUETOTEXT($A$6),$A180,"Experiment",J$5,"date",J$6))</f>
        <v>#REF!</v>
      </c>
      <c r="K180" t="e">
        <f>IF(GETPIVOTDATA(_xlfn.VALUETOTEXT($A$4),'PREFILL-PIVOT'!$A$3,_xlfn.VALUETOTEXT($A$6),$A180,"Experiment",K$5,"date",K$6)=0,NA(),GETPIVOTDATA(_xlfn.VALUETOTEXT($A$4),'PREFILL-PIVOT'!$A$3,_xlfn.VALUETOTEXT($A$6),$A180,"Experiment",K$5,"date",K$6))</f>
        <v>#REF!</v>
      </c>
      <c r="L180" t="e">
        <f>IF(GETPIVOTDATA(_xlfn.VALUETOTEXT($A$4),'PREFILL-PIVOT'!$A$3,_xlfn.VALUETOTEXT($A$6),$A180,"Experiment",L$5,"date",L$6)=0,NA(),GETPIVOTDATA(_xlfn.VALUETOTEXT($A$4),'PREFILL-PIVOT'!$A$3,_xlfn.VALUETOTEXT($A$6),$A180,"Experiment",L$5,"date",L$6))</f>
        <v>#REF!</v>
      </c>
      <c r="M180" t="e">
        <f>IF(GETPIVOTDATA(_xlfn.VALUETOTEXT($A$4),'PREFILL-PIVOT'!$A$3,_xlfn.VALUETOTEXT($A$6),$A180,"Experiment",M$5,"date",M$6)=0,NA(),GETPIVOTDATA(_xlfn.VALUETOTEXT($A$4),'PREFILL-PIVOT'!$A$3,_xlfn.VALUETOTEXT($A$6),$A180,"Experiment",M$5,"date",M$6))</f>
        <v>#REF!</v>
      </c>
    </row>
    <row r="181" spans="1:13" x14ac:dyDescent="0.25">
      <c r="A181" s="222" t="e">
        <f>IF('PREFILL-PIVOT'!A179=0,NA(),'PREFILL-PIVOT'!A179)</f>
        <v>#N/A</v>
      </c>
      <c r="B181" t="e">
        <f>IF(GETPIVOTDATA(_xlfn.VALUETOTEXT($A$4),'PREFILL-PIVOT'!$A$3,_xlfn.VALUETOTEXT($A$6),$A181,"Experiment",B$5,"date",B$6)=0,NA(),GETPIVOTDATA(_xlfn.VALUETOTEXT($A$4),'PREFILL-PIVOT'!$A$3,_xlfn.VALUETOTEXT($A$6),$A181,"Experiment",B$5,"date",B$6))</f>
        <v>#REF!</v>
      </c>
      <c r="C181" t="e">
        <f>IF(GETPIVOTDATA(_xlfn.VALUETOTEXT($A$4),'PREFILL-PIVOT'!$A$3,_xlfn.VALUETOTEXT($A$6),$A181,"Experiment",C$5,"date",C$6)=0,NA(),GETPIVOTDATA(_xlfn.VALUETOTEXT($A$4),'PREFILL-PIVOT'!$A$3,_xlfn.VALUETOTEXT($A$6),$A181,"Experiment",C$5,"date",C$6))</f>
        <v>#REF!</v>
      </c>
      <c r="D181" t="e">
        <f>IF(GETPIVOTDATA(_xlfn.VALUETOTEXT($A$4),'PREFILL-PIVOT'!$A$3,_xlfn.VALUETOTEXT($A$6),$A181,"Experiment",D$5,"date",D$6)=0,NA(),GETPIVOTDATA(_xlfn.VALUETOTEXT($A$4),'PREFILL-PIVOT'!$A$3,_xlfn.VALUETOTEXT($A$6),$A181,"Experiment",D$5,"date",D$6))</f>
        <v>#REF!</v>
      </c>
      <c r="E181" t="e">
        <f>IF(GETPIVOTDATA(_xlfn.VALUETOTEXT($A$4),'PREFILL-PIVOT'!$A$3,_xlfn.VALUETOTEXT($A$6),$A181,"Experiment",E$5,"date",E$6)=0,NA(),GETPIVOTDATA(_xlfn.VALUETOTEXT($A$4),'PREFILL-PIVOT'!$A$3,_xlfn.VALUETOTEXT($A$6),$A181,"Experiment",E$5,"date",E$6))</f>
        <v>#REF!</v>
      </c>
      <c r="F181" t="e">
        <f>IF(GETPIVOTDATA(_xlfn.VALUETOTEXT($A$4),'PREFILL-PIVOT'!$A$3,_xlfn.VALUETOTEXT($A$6),$A181,"Experiment",F$5,"date",F$6)=0,NA(),GETPIVOTDATA(_xlfn.VALUETOTEXT($A$4),'PREFILL-PIVOT'!$A$3,_xlfn.VALUETOTEXT($A$6),$A181,"Experiment",F$5,"date",F$6))</f>
        <v>#REF!</v>
      </c>
      <c r="G181" t="e">
        <f>IF(GETPIVOTDATA(_xlfn.VALUETOTEXT($A$4),'PREFILL-PIVOT'!$A$3,_xlfn.VALUETOTEXT($A$6),$A181,"Experiment",G$5,"date",G$6)=0,NA(),GETPIVOTDATA(_xlfn.VALUETOTEXT($A$4),'PREFILL-PIVOT'!$A$3,_xlfn.VALUETOTEXT($A$6),$A181,"Experiment",G$5,"date",G$6))</f>
        <v>#REF!</v>
      </c>
      <c r="H181" t="e">
        <f>IF(GETPIVOTDATA(_xlfn.VALUETOTEXT($A$4),'PREFILL-PIVOT'!$A$3,_xlfn.VALUETOTEXT($A$6),$A181,"Experiment",H$5,"date",H$6)=0,NA(),GETPIVOTDATA(_xlfn.VALUETOTEXT($A$4),'PREFILL-PIVOT'!$A$3,_xlfn.VALUETOTEXT($A$6),$A181,"Experiment",H$5,"date",H$6))</f>
        <v>#REF!</v>
      </c>
      <c r="I181" t="e">
        <f>IF(GETPIVOTDATA(_xlfn.VALUETOTEXT($A$4),'PREFILL-PIVOT'!$A$3,_xlfn.VALUETOTEXT($A$6),$A181,"Experiment",I$5,"date",I$6)=0,NA(),GETPIVOTDATA(_xlfn.VALUETOTEXT($A$4),'PREFILL-PIVOT'!$A$3,_xlfn.VALUETOTEXT($A$6),$A181,"Experiment",I$5,"date",I$6))</f>
        <v>#REF!</v>
      </c>
      <c r="J181" t="e">
        <f>IF(GETPIVOTDATA(_xlfn.VALUETOTEXT($A$4),'PREFILL-PIVOT'!$A$3,_xlfn.VALUETOTEXT($A$6),$A181,"Experiment",J$5,"date",J$6)=0,NA(),GETPIVOTDATA(_xlfn.VALUETOTEXT($A$4),'PREFILL-PIVOT'!$A$3,_xlfn.VALUETOTEXT($A$6),$A181,"Experiment",J$5,"date",J$6))</f>
        <v>#REF!</v>
      </c>
      <c r="K181" t="e">
        <f>IF(GETPIVOTDATA(_xlfn.VALUETOTEXT($A$4),'PREFILL-PIVOT'!$A$3,_xlfn.VALUETOTEXT($A$6),$A181,"Experiment",K$5,"date",K$6)=0,NA(),GETPIVOTDATA(_xlfn.VALUETOTEXT($A$4),'PREFILL-PIVOT'!$A$3,_xlfn.VALUETOTEXT($A$6),$A181,"Experiment",K$5,"date",K$6))</f>
        <v>#REF!</v>
      </c>
      <c r="L181" t="e">
        <f>IF(GETPIVOTDATA(_xlfn.VALUETOTEXT($A$4),'PREFILL-PIVOT'!$A$3,_xlfn.VALUETOTEXT($A$6),$A181,"Experiment",L$5,"date",L$6)=0,NA(),GETPIVOTDATA(_xlfn.VALUETOTEXT($A$4),'PREFILL-PIVOT'!$A$3,_xlfn.VALUETOTEXT($A$6),$A181,"Experiment",L$5,"date",L$6))</f>
        <v>#REF!</v>
      </c>
      <c r="M181" t="e">
        <f>IF(GETPIVOTDATA(_xlfn.VALUETOTEXT($A$4),'PREFILL-PIVOT'!$A$3,_xlfn.VALUETOTEXT($A$6),$A181,"Experiment",M$5,"date",M$6)=0,NA(),GETPIVOTDATA(_xlfn.VALUETOTEXT($A$4),'PREFILL-PIVOT'!$A$3,_xlfn.VALUETOTEXT($A$6),$A181,"Experiment",M$5,"date",M$6))</f>
        <v>#REF!</v>
      </c>
    </row>
    <row r="182" spans="1:13" x14ac:dyDescent="0.25">
      <c r="A182" s="222" t="e">
        <f>IF('PREFILL-PIVOT'!A180=0,NA(),'PREFILL-PIVOT'!A180)</f>
        <v>#N/A</v>
      </c>
      <c r="B182" t="e">
        <f>IF(GETPIVOTDATA(_xlfn.VALUETOTEXT($A$4),'PREFILL-PIVOT'!$A$3,_xlfn.VALUETOTEXT($A$6),$A182,"Experiment",B$5,"date",B$6)=0,NA(),GETPIVOTDATA(_xlfn.VALUETOTEXT($A$4),'PREFILL-PIVOT'!$A$3,_xlfn.VALUETOTEXT($A$6),$A182,"Experiment",B$5,"date",B$6))</f>
        <v>#REF!</v>
      </c>
      <c r="C182" t="e">
        <f>IF(GETPIVOTDATA(_xlfn.VALUETOTEXT($A$4),'PREFILL-PIVOT'!$A$3,_xlfn.VALUETOTEXT($A$6),$A182,"Experiment",C$5,"date",C$6)=0,NA(),GETPIVOTDATA(_xlfn.VALUETOTEXT($A$4),'PREFILL-PIVOT'!$A$3,_xlfn.VALUETOTEXT($A$6),$A182,"Experiment",C$5,"date",C$6))</f>
        <v>#REF!</v>
      </c>
      <c r="D182" t="e">
        <f>IF(GETPIVOTDATA(_xlfn.VALUETOTEXT($A$4),'PREFILL-PIVOT'!$A$3,_xlfn.VALUETOTEXT($A$6),$A182,"Experiment",D$5,"date",D$6)=0,NA(),GETPIVOTDATA(_xlfn.VALUETOTEXT($A$4),'PREFILL-PIVOT'!$A$3,_xlfn.VALUETOTEXT($A$6),$A182,"Experiment",D$5,"date",D$6))</f>
        <v>#REF!</v>
      </c>
      <c r="E182" t="e">
        <f>IF(GETPIVOTDATA(_xlfn.VALUETOTEXT($A$4),'PREFILL-PIVOT'!$A$3,_xlfn.VALUETOTEXT($A$6),$A182,"Experiment",E$5,"date",E$6)=0,NA(),GETPIVOTDATA(_xlfn.VALUETOTEXT($A$4),'PREFILL-PIVOT'!$A$3,_xlfn.VALUETOTEXT($A$6),$A182,"Experiment",E$5,"date",E$6))</f>
        <v>#REF!</v>
      </c>
      <c r="F182" t="e">
        <f>IF(GETPIVOTDATA(_xlfn.VALUETOTEXT($A$4),'PREFILL-PIVOT'!$A$3,_xlfn.VALUETOTEXT($A$6),$A182,"Experiment",F$5,"date",F$6)=0,NA(),GETPIVOTDATA(_xlfn.VALUETOTEXT($A$4),'PREFILL-PIVOT'!$A$3,_xlfn.VALUETOTEXT($A$6),$A182,"Experiment",F$5,"date",F$6))</f>
        <v>#REF!</v>
      </c>
      <c r="G182" t="e">
        <f>IF(GETPIVOTDATA(_xlfn.VALUETOTEXT($A$4),'PREFILL-PIVOT'!$A$3,_xlfn.VALUETOTEXT($A$6),$A182,"Experiment",G$5,"date",G$6)=0,NA(),GETPIVOTDATA(_xlfn.VALUETOTEXT($A$4),'PREFILL-PIVOT'!$A$3,_xlfn.VALUETOTEXT($A$6),$A182,"Experiment",G$5,"date",G$6))</f>
        <v>#REF!</v>
      </c>
      <c r="H182" t="e">
        <f>IF(GETPIVOTDATA(_xlfn.VALUETOTEXT($A$4),'PREFILL-PIVOT'!$A$3,_xlfn.VALUETOTEXT($A$6),$A182,"Experiment",H$5,"date",H$6)=0,NA(),GETPIVOTDATA(_xlfn.VALUETOTEXT($A$4),'PREFILL-PIVOT'!$A$3,_xlfn.VALUETOTEXT($A$6),$A182,"Experiment",H$5,"date",H$6))</f>
        <v>#REF!</v>
      </c>
      <c r="I182" t="e">
        <f>IF(GETPIVOTDATA(_xlfn.VALUETOTEXT($A$4),'PREFILL-PIVOT'!$A$3,_xlfn.VALUETOTEXT($A$6),$A182,"Experiment",I$5,"date",I$6)=0,NA(),GETPIVOTDATA(_xlfn.VALUETOTEXT($A$4),'PREFILL-PIVOT'!$A$3,_xlfn.VALUETOTEXT($A$6),$A182,"Experiment",I$5,"date",I$6))</f>
        <v>#REF!</v>
      </c>
      <c r="J182" t="e">
        <f>IF(GETPIVOTDATA(_xlfn.VALUETOTEXT($A$4),'PREFILL-PIVOT'!$A$3,_xlfn.VALUETOTEXT($A$6),$A182,"Experiment",J$5,"date",J$6)=0,NA(),GETPIVOTDATA(_xlfn.VALUETOTEXT($A$4),'PREFILL-PIVOT'!$A$3,_xlfn.VALUETOTEXT($A$6),$A182,"Experiment",J$5,"date",J$6))</f>
        <v>#REF!</v>
      </c>
      <c r="K182" t="e">
        <f>IF(GETPIVOTDATA(_xlfn.VALUETOTEXT($A$4),'PREFILL-PIVOT'!$A$3,_xlfn.VALUETOTEXT($A$6),$A182,"Experiment",K$5,"date",K$6)=0,NA(),GETPIVOTDATA(_xlfn.VALUETOTEXT($A$4),'PREFILL-PIVOT'!$A$3,_xlfn.VALUETOTEXT($A$6),$A182,"Experiment",K$5,"date",K$6))</f>
        <v>#REF!</v>
      </c>
      <c r="L182" t="e">
        <f>IF(GETPIVOTDATA(_xlfn.VALUETOTEXT($A$4),'PREFILL-PIVOT'!$A$3,_xlfn.VALUETOTEXT($A$6),$A182,"Experiment",L$5,"date",L$6)=0,NA(),GETPIVOTDATA(_xlfn.VALUETOTEXT($A$4),'PREFILL-PIVOT'!$A$3,_xlfn.VALUETOTEXT($A$6),$A182,"Experiment",L$5,"date",L$6))</f>
        <v>#REF!</v>
      </c>
      <c r="M182" t="e">
        <f>IF(GETPIVOTDATA(_xlfn.VALUETOTEXT($A$4),'PREFILL-PIVOT'!$A$3,_xlfn.VALUETOTEXT($A$6),$A182,"Experiment",M$5,"date",M$6)=0,NA(),GETPIVOTDATA(_xlfn.VALUETOTEXT($A$4),'PREFILL-PIVOT'!$A$3,_xlfn.VALUETOTEXT($A$6),$A182,"Experiment",M$5,"date",M$6))</f>
        <v>#REF!</v>
      </c>
    </row>
    <row r="183" spans="1:13" x14ac:dyDescent="0.25">
      <c r="A183" s="222" t="e">
        <f>IF('PREFILL-PIVOT'!A181=0,NA(),'PREFILL-PIVOT'!A181)</f>
        <v>#N/A</v>
      </c>
      <c r="B183" t="e">
        <f>IF(GETPIVOTDATA(_xlfn.VALUETOTEXT($A$4),'PREFILL-PIVOT'!$A$3,_xlfn.VALUETOTEXT($A$6),$A183,"Experiment",B$5,"date",B$6)=0,NA(),GETPIVOTDATA(_xlfn.VALUETOTEXT($A$4),'PREFILL-PIVOT'!$A$3,_xlfn.VALUETOTEXT($A$6),$A183,"Experiment",B$5,"date",B$6))</f>
        <v>#REF!</v>
      </c>
      <c r="C183" t="e">
        <f>IF(GETPIVOTDATA(_xlfn.VALUETOTEXT($A$4),'PREFILL-PIVOT'!$A$3,_xlfn.VALUETOTEXT($A$6),$A183,"Experiment",C$5,"date",C$6)=0,NA(),GETPIVOTDATA(_xlfn.VALUETOTEXT($A$4),'PREFILL-PIVOT'!$A$3,_xlfn.VALUETOTEXT($A$6),$A183,"Experiment",C$5,"date",C$6))</f>
        <v>#REF!</v>
      </c>
      <c r="D183" t="e">
        <f>IF(GETPIVOTDATA(_xlfn.VALUETOTEXT($A$4),'PREFILL-PIVOT'!$A$3,_xlfn.VALUETOTEXT($A$6),$A183,"Experiment",D$5,"date",D$6)=0,NA(),GETPIVOTDATA(_xlfn.VALUETOTEXT($A$4),'PREFILL-PIVOT'!$A$3,_xlfn.VALUETOTEXT($A$6),$A183,"Experiment",D$5,"date",D$6))</f>
        <v>#REF!</v>
      </c>
      <c r="E183" t="e">
        <f>IF(GETPIVOTDATA(_xlfn.VALUETOTEXT($A$4),'PREFILL-PIVOT'!$A$3,_xlfn.VALUETOTEXT($A$6),$A183,"Experiment",E$5,"date",E$6)=0,NA(),GETPIVOTDATA(_xlfn.VALUETOTEXT($A$4),'PREFILL-PIVOT'!$A$3,_xlfn.VALUETOTEXT($A$6),$A183,"Experiment",E$5,"date",E$6))</f>
        <v>#REF!</v>
      </c>
      <c r="F183" t="e">
        <f>IF(GETPIVOTDATA(_xlfn.VALUETOTEXT($A$4),'PREFILL-PIVOT'!$A$3,_xlfn.VALUETOTEXT($A$6),$A183,"Experiment",F$5,"date",F$6)=0,NA(),GETPIVOTDATA(_xlfn.VALUETOTEXT($A$4),'PREFILL-PIVOT'!$A$3,_xlfn.VALUETOTEXT($A$6),$A183,"Experiment",F$5,"date",F$6))</f>
        <v>#REF!</v>
      </c>
      <c r="G183" t="e">
        <f>IF(GETPIVOTDATA(_xlfn.VALUETOTEXT($A$4),'PREFILL-PIVOT'!$A$3,_xlfn.VALUETOTEXT($A$6),$A183,"Experiment",G$5,"date",G$6)=0,NA(),GETPIVOTDATA(_xlfn.VALUETOTEXT($A$4),'PREFILL-PIVOT'!$A$3,_xlfn.VALUETOTEXT($A$6),$A183,"Experiment",G$5,"date",G$6))</f>
        <v>#REF!</v>
      </c>
      <c r="H183" t="e">
        <f>IF(GETPIVOTDATA(_xlfn.VALUETOTEXT($A$4),'PREFILL-PIVOT'!$A$3,_xlfn.VALUETOTEXT($A$6),$A183,"Experiment",H$5,"date",H$6)=0,NA(),GETPIVOTDATA(_xlfn.VALUETOTEXT($A$4),'PREFILL-PIVOT'!$A$3,_xlfn.VALUETOTEXT($A$6),$A183,"Experiment",H$5,"date",H$6))</f>
        <v>#REF!</v>
      </c>
      <c r="I183" t="e">
        <f>IF(GETPIVOTDATA(_xlfn.VALUETOTEXT($A$4),'PREFILL-PIVOT'!$A$3,_xlfn.VALUETOTEXT($A$6),$A183,"Experiment",I$5,"date",I$6)=0,NA(),GETPIVOTDATA(_xlfn.VALUETOTEXT($A$4),'PREFILL-PIVOT'!$A$3,_xlfn.VALUETOTEXT($A$6),$A183,"Experiment",I$5,"date",I$6))</f>
        <v>#REF!</v>
      </c>
      <c r="J183" t="e">
        <f>IF(GETPIVOTDATA(_xlfn.VALUETOTEXT($A$4),'PREFILL-PIVOT'!$A$3,_xlfn.VALUETOTEXT($A$6),$A183,"Experiment",J$5,"date",J$6)=0,NA(),GETPIVOTDATA(_xlfn.VALUETOTEXT($A$4),'PREFILL-PIVOT'!$A$3,_xlfn.VALUETOTEXT($A$6),$A183,"Experiment",J$5,"date",J$6))</f>
        <v>#REF!</v>
      </c>
      <c r="K183" t="e">
        <f>IF(GETPIVOTDATA(_xlfn.VALUETOTEXT($A$4),'PREFILL-PIVOT'!$A$3,_xlfn.VALUETOTEXT($A$6),$A183,"Experiment",K$5,"date",K$6)=0,NA(),GETPIVOTDATA(_xlfn.VALUETOTEXT($A$4),'PREFILL-PIVOT'!$A$3,_xlfn.VALUETOTEXT($A$6),$A183,"Experiment",K$5,"date",K$6))</f>
        <v>#REF!</v>
      </c>
      <c r="L183" t="e">
        <f>IF(GETPIVOTDATA(_xlfn.VALUETOTEXT($A$4),'PREFILL-PIVOT'!$A$3,_xlfn.VALUETOTEXT($A$6),$A183,"Experiment",L$5,"date",L$6)=0,NA(),GETPIVOTDATA(_xlfn.VALUETOTEXT($A$4),'PREFILL-PIVOT'!$A$3,_xlfn.VALUETOTEXT($A$6),$A183,"Experiment",L$5,"date",L$6))</f>
        <v>#REF!</v>
      </c>
      <c r="M183" t="e">
        <f>IF(GETPIVOTDATA(_xlfn.VALUETOTEXT($A$4),'PREFILL-PIVOT'!$A$3,_xlfn.VALUETOTEXT($A$6),$A183,"Experiment",M$5,"date",M$6)=0,NA(),GETPIVOTDATA(_xlfn.VALUETOTEXT($A$4),'PREFILL-PIVOT'!$A$3,_xlfn.VALUETOTEXT($A$6),$A183,"Experiment",M$5,"date",M$6))</f>
        <v>#REF!</v>
      </c>
    </row>
    <row r="184" spans="1:13" x14ac:dyDescent="0.25">
      <c r="A184" s="222" t="e">
        <f>IF('PREFILL-PIVOT'!A182=0,NA(),'PREFILL-PIVOT'!A182)</f>
        <v>#N/A</v>
      </c>
      <c r="B184" t="e">
        <f>IF(GETPIVOTDATA(_xlfn.VALUETOTEXT($A$4),'PREFILL-PIVOT'!$A$3,_xlfn.VALUETOTEXT($A$6),$A184,"Experiment",B$5,"date",B$6)=0,NA(),GETPIVOTDATA(_xlfn.VALUETOTEXT($A$4),'PREFILL-PIVOT'!$A$3,_xlfn.VALUETOTEXT($A$6),$A184,"Experiment",B$5,"date",B$6))</f>
        <v>#REF!</v>
      </c>
      <c r="C184" t="e">
        <f>IF(GETPIVOTDATA(_xlfn.VALUETOTEXT($A$4),'PREFILL-PIVOT'!$A$3,_xlfn.VALUETOTEXT($A$6),$A184,"Experiment",C$5,"date",C$6)=0,NA(),GETPIVOTDATA(_xlfn.VALUETOTEXT($A$4),'PREFILL-PIVOT'!$A$3,_xlfn.VALUETOTEXT($A$6),$A184,"Experiment",C$5,"date",C$6))</f>
        <v>#REF!</v>
      </c>
      <c r="D184" t="e">
        <f>IF(GETPIVOTDATA(_xlfn.VALUETOTEXT($A$4),'PREFILL-PIVOT'!$A$3,_xlfn.VALUETOTEXT($A$6),$A184,"Experiment",D$5,"date",D$6)=0,NA(),GETPIVOTDATA(_xlfn.VALUETOTEXT($A$4),'PREFILL-PIVOT'!$A$3,_xlfn.VALUETOTEXT($A$6),$A184,"Experiment",D$5,"date",D$6))</f>
        <v>#REF!</v>
      </c>
      <c r="E184" t="e">
        <f>IF(GETPIVOTDATA(_xlfn.VALUETOTEXT($A$4),'PREFILL-PIVOT'!$A$3,_xlfn.VALUETOTEXT($A$6),$A184,"Experiment",E$5,"date",E$6)=0,NA(),GETPIVOTDATA(_xlfn.VALUETOTEXT($A$4),'PREFILL-PIVOT'!$A$3,_xlfn.VALUETOTEXT($A$6),$A184,"Experiment",E$5,"date",E$6))</f>
        <v>#REF!</v>
      </c>
      <c r="F184" t="e">
        <f>IF(GETPIVOTDATA(_xlfn.VALUETOTEXT($A$4),'PREFILL-PIVOT'!$A$3,_xlfn.VALUETOTEXT($A$6),$A184,"Experiment",F$5,"date",F$6)=0,NA(),GETPIVOTDATA(_xlfn.VALUETOTEXT($A$4),'PREFILL-PIVOT'!$A$3,_xlfn.VALUETOTEXT($A$6),$A184,"Experiment",F$5,"date",F$6))</f>
        <v>#REF!</v>
      </c>
      <c r="G184" t="e">
        <f>IF(GETPIVOTDATA(_xlfn.VALUETOTEXT($A$4),'PREFILL-PIVOT'!$A$3,_xlfn.VALUETOTEXT($A$6),$A184,"Experiment",G$5,"date",G$6)=0,NA(),GETPIVOTDATA(_xlfn.VALUETOTEXT($A$4),'PREFILL-PIVOT'!$A$3,_xlfn.VALUETOTEXT($A$6),$A184,"Experiment",G$5,"date",G$6))</f>
        <v>#REF!</v>
      </c>
      <c r="H184" t="e">
        <f>IF(GETPIVOTDATA(_xlfn.VALUETOTEXT($A$4),'PREFILL-PIVOT'!$A$3,_xlfn.VALUETOTEXT($A$6),$A184,"Experiment",H$5,"date",H$6)=0,NA(),GETPIVOTDATA(_xlfn.VALUETOTEXT($A$4),'PREFILL-PIVOT'!$A$3,_xlfn.VALUETOTEXT($A$6),$A184,"Experiment",H$5,"date",H$6))</f>
        <v>#REF!</v>
      </c>
      <c r="I184" t="e">
        <f>IF(GETPIVOTDATA(_xlfn.VALUETOTEXT($A$4),'PREFILL-PIVOT'!$A$3,_xlfn.VALUETOTEXT($A$6),$A184,"Experiment",I$5,"date",I$6)=0,NA(),GETPIVOTDATA(_xlfn.VALUETOTEXT($A$4),'PREFILL-PIVOT'!$A$3,_xlfn.VALUETOTEXT($A$6),$A184,"Experiment",I$5,"date",I$6))</f>
        <v>#REF!</v>
      </c>
      <c r="J184" t="e">
        <f>IF(GETPIVOTDATA(_xlfn.VALUETOTEXT($A$4),'PREFILL-PIVOT'!$A$3,_xlfn.VALUETOTEXT($A$6),$A184,"Experiment",J$5,"date",J$6)=0,NA(),GETPIVOTDATA(_xlfn.VALUETOTEXT($A$4),'PREFILL-PIVOT'!$A$3,_xlfn.VALUETOTEXT($A$6),$A184,"Experiment",J$5,"date",J$6))</f>
        <v>#REF!</v>
      </c>
      <c r="K184" t="e">
        <f>IF(GETPIVOTDATA(_xlfn.VALUETOTEXT($A$4),'PREFILL-PIVOT'!$A$3,_xlfn.VALUETOTEXT($A$6),$A184,"Experiment",K$5,"date",K$6)=0,NA(),GETPIVOTDATA(_xlfn.VALUETOTEXT($A$4),'PREFILL-PIVOT'!$A$3,_xlfn.VALUETOTEXT($A$6),$A184,"Experiment",K$5,"date",K$6))</f>
        <v>#REF!</v>
      </c>
      <c r="L184" t="e">
        <f>IF(GETPIVOTDATA(_xlfn.VALUETOTEXT($A$4),'PREFILL-PIVOT'!$A$3,_xlfn.VALUETOTEXT($A$6),$A184,"Experiment",L$5,"date",L$6)=0,NA(),GETPIVOTDATA(_xlfn.VALUETOTEXT($A$4),'PREFILL-PIVOT'!$A$3,_xlfn.VALUETOTEXT($A$6),$A184,"Experiment",L$5,"date",L$6))</f>
        <v>#REF!</v>
      </c>
      <c r="M184" t="e">
        <f>IF(GETPIVOTDATA(_xlfn.VALUETOTEXT($A$4),'PREFILL-PIVOT'!$A$3,_xlfn.VALUETOTEXT($A$6),$A184,"Experiment",M$5,"date",M$6)=0,NA(),GETPIVOTDATA(_xlfn.VALUETOTEXT($A$4),'PREFILL-PIVOT'!$A$3,_xlfn.VALUETOTEXT($A$6),$A184,"Experiment",M$5,"date",M$6))</f>
        <v>#REF!</v>
      </c>
    </row>
    <row r="185" spans="1:13" x14ac:dyDescent="0.25">
      <c r="A185" s="222" t="e">
        <f>IF('PREFILL-PIVOT'!A183=0,NA(),'PREFILL-PIVOT'!A183)</f>
        <v>#N/A</v>
      </c>
      <c r="B185" t="e">
        <f>IF(GETPIVOTDATA(_xlfn.VALUETOTEXT($A$4),'PREFILL-PIVOT'!$A$3,_xlfn.VALUETOTEXT($A$6),$A185,"Experiment",B$5,"date",B$6)=0,NA(),GETPIVOTDATA(_xlfn.VALUETOTEXT($A$4),'PREFILL-PIVOT'!$A$3,_xlfn.VALUETOTEXT($A$6),$A185,"Experiment",B$5,"date",B$6))</f>
        <v>#REF!</v>
      </c>
      <c r="C185" t="e">
        <f>IF(GETPIVOTDATA(_xlfn.VALUETOTEXT($A$4),'PREFILL-PIVOT'!$A$3,_xlfn.VALUETOTEXT($A$6),$A185,"Experiment",C$5,"date",C$6)=0,NA(),GETPIVOTDATA(_xlfn.VALUETOTEXT($A$4),'PREFILL-PIVOT'!$A$3,_xlfn.VALUETOTEXT($A$6),$A185,"Experiment",C$5,"date",C$6))</f>
        <v>#REF!</v>
      </c>
      <c r="D185" t="e">
        <f>IF(GETPIVOTDATA(_xlfn.VALUETOTEXT($A$4),'PREFILL-PIVOT'!$A$3,_xlfn.VALUETOTEXT($A$6),$A185,"Experiment",D$5,"date",D$6)=0,NA(),GETPIVOTDATA(_xlfn.VALUETOTEXT($A$4),'PREFILL-PIVOT'!$A$3,_xlfn.VALUETOTEXT($A$6),$A185,"Experiment",D$5,"date",D$6))</f>
        <v>#REF!</v>
      </c>
      <c r="E185" t="e">
        <f>IF(GETPIVOTDATA(_xlfn.VALUETOTEXT($A$4),'PREFILL-PIVOT'!$A$3,_xlfn.VALUETOTEXT($A$6),$A185,"Experiment",E$5,"date",E$6)=0,NA(),GETPIVOTDATA(_xlfn.VALUETOTEXT($A$4),'PREFILL-PIVOT'!$A$3,_xlfn.VALUETOTEXT($A$6),$A185,"Experiment",E$5,"date",E$6))</f>
        <v>#REF!</v>
      </c>
      <c r="F185" t="e">
        <f>IF(GETPIVOTDATA(_xlfn.VALUETOTEXT($A$4),'PREFILL-PIVOT'!$A$3,_xlfn.VALUETOTEXT($A$6),$A185,"Experiment",F$5,"date",F$6)=0,NA(),GETPIVOTDATA(_xlfn.VALUETOTEXT($A$4),'PREFILL-PIVOT'!$A$3,_xlfn.VALUETOTEXT($A$6),$A185,"Experiment",F$5,"date",F$6))</f>
        <v>#REF!</v>
      </c>
      <c r="G185" t="e">
        <f>IF(GETPIVOTDATA(_xlfn.VALUETOTEXT($A$4),'PREFILL-PIVOT'!$A$3,_xlfn.VALUETOTEXT($A$6),$A185,"Experiment",G$5,"date",G$6)=0,NA(),GETPIVOTDATA(_xlfn.VALUETOTEXT($A$4),'PREFILL-PIVOT'!$A$3,_xlfn.VALUETOTEXT($A$6),$A185,"Experiment",G$5,"date",G$6))</f>
        <v>#REF!</v>
      </c>
      <c r="H185" t="e">
        <f>IF(GETPIVOTDATA(_xlfn.VALUETOTEXT($A$4),'PREFILL-PIVOT'!$A$3,_xlfn.VALUETOTEXT($A$6),$A185,"Experiment",H$5,"date",H$6)=0,NA(),GETPIVOTDATA(_xlfn.VALUETOTEXT($A$4),'PREFILL-PIVOT'!$A$3,_xlfn.VALUETOTEXT($A$6),$A185,"Experiment",H$5,"date",H$6))</f>
        <v>#REF!</v>
      </c>
      <c r="I185" t="e">
        <f>IF(GETPIVOTDATA(_xlfn.VALUETOTEXT($A$4),'PREFILL-PIVOT'!$A$3,_xlfn.VALUETOTEXT($A$6),$A185,"Experiment",I$5,"date",I$6)=0,NA(),GETPIVOTDATA(_xlfn.VALUETOTEXT($A$4),'PREFILL-PIVOT'!$A$3,_xlfn.VALUETOTEXT($A$6),$A185,"Experiment",I$5,"date",I$6))</f>
        <v>#REF!</v>
      </c>
      <c r="J185" t="e">
        <f>IF(GETPIVOTDATA(_xlfn.VALUETOTEXT($A$4),'PREFILL-PIVOT'!$A$3,_xlfn.VALUETOTEXT($A$6),$A185,"Experiment",J$5,"date",J$6)=0,NA(),GETPIVOTDATA(_xlfn.VALUETOTEXT($A$4),'PREFILL-PIVOT'!$A$3,_xlfn.VALUETOTEXT($A$6),$A185,"Experiment",J$5,"date",J$6))</f>
        <v>#REF!</v>
      </c>
      <c r="K185" t="e">
        <f>IF(GETPIVOTDATA(_xlfn.VALUETOTEXT($A$4),'PREFILL-PIVOT'!$A$3,_xlfn.VALUETOTEXT($A$6),$A185,"Experiment",K$5,"date",K$6)=0,NA(),GETPIVOTDATA(_xlfn.VALUETOTEXT($A$4),'PREFILL-PIVOT'!$A$3,_xlfn.VALUETOTEXT($A$6),$A185,"Experiment",K$5,"date",K$6))</f>
        <v>#REF!</v>
      </c>
      <c r="L185" t="e">
        <f>IF(GETPIVOTDATA(_xlfn.VALUETOTEXT($A$4),'PREFILL-PIVOT'!$A$3,_xlfn.VALUETOTEXT($A$6),$A185,"Experiment",L$5,"date",L$6)=0,NA(),GETPIVOTDATA(_xlfn.VALUETOTEXT($A$4),'PREFILL-PIVOT'!$A$3,_xlfn.VALUETOTEXT($A$6),$A185,"Experiment",L$5,"date",L$6))</f>
        <v>#REF!</v>
      </c>
      <c r="M185" t="e">
        <f>IF(GETPIVOTDATA(_xlfn.VALUETOTEXT($A$4),'PREFILL-PIVOT'!$A$3,_xlfn.VALUETOTEXT($A$6),$A185,"Experiment",M$5,"date",M$6)=0,NA(),GETPIVOTDATA(_xlfn.VALUETOTEXT($A$4),'PREFILL-PIVOT'!$A$3,_xlfn.VALUETOTEXT($A$6),$A185,"Experiment",M$5,"date",M$6))</f>
        <v>#REF!</v>
      </c>
    </row>
    <row r="186" spans="1:13" x14ac:dyDescent="0.25">
      <c r="A186" s="222" t="e">
        <f>IF('PREFILL-PIVOT'!A184=0,NA(),'PREFILL-PIVOT'!A184)</f>
        <v>#N/A</v>
      </c>
      <c r="B186" t="e">
        <f>IF(GETPIVOTDATA(_xlfn.VALUETOTEXT($A$4),'PREFILL-PIVOT'!$A$3,_xlfn.VALUETOTEXT($A$6),$A186,"Experiment",B$5,"date",B$6)=0,NA(),GETPIVOTDATA(_xlfn.VALUETOTEXT($A$4),'PREFILL-PIVOT'!$A$3,_xlfn.VALUETOTEXT($A$6),$A186,"Experiment",B$5,"date",B$6))</f>
        <v>#REF!</v>
      </c>
      <c r="C186" t="e">
        <f>IF(GETPIVOTDATA(_xlfn.VALUETOTEXT($A$4),'PREFILL-PIVOT'!$A$3,_xlfn.VALUETOTEXT($A$6),$A186,"Experiment",C$5,"date",C$6)=0,NA(),GETPIVOTDATA(_xlfn.VALUETOTEXT($A$4),'PREFILL-PIVOT'!$A$3,_xlfn.VALUETOTEXT($A$6),$A186,"Experiment",C$5,"date",C$6))</f>
        <v>#REF!</v>
      </c>
      <c r="D186" t="e">
        <f>IF(GETPIVOTDATA(_xlfn.VALUETOTEXT($A$4),'PREFILL-PIVOT'!$A$3,_xlfn.VALUETOTEXT($A$6),$A186,"Experiment",D$5,"date",D$6)=0,NA(),GETPIVOTDATA(_xlfn.VALUETOTEXT($A$4),'PREFILL-PIVOT'!$A$3,_xlfn.VALUETOTEXT($A$6),$A186,"Experiment",D$5,"date",D$6))</f>
        <v>#REF!</v>
      </c>
      <c r="E186" t="e">
        <f>IF(GETPIVOTDATA(_xlfn.VALUETOTEXT($A$4),'PREFILL-PIVOT'!$A$3,_xlfn.VALUETOTEXT($A$6),$A186,"Experiment",E$5,"date",E$6)=0,NA(),GETPIVOTDATA(_xlfn.VALUETOTEXT($A$4),'PREFILL-PIVOT'!$A$3,_xlfn.VALUETOTEXT($A$6),$A186,"Experiment",E$5,"date",E$6))</f>
        <v>#REF!</v>
      </c>
      <c r="F186" t="e">
        <f>IF(GETPIVOTDATA(_xlfn.VALUETOTEXT($A$4),'PREFILL-PIVOT'!$A$3,_xlfn.VALUETOTEXT($A$6),$A186,"Experiment",F$5,"date",F$6)=0,NA(),GETPIVOTDATA(_xlfn.VALUETOTEXT($A$4),'PREFILL-PIVOT'!$A$3,_xlfn.VALUETOTEXT($A$6),$A186,"Experiment",F$5,"date",F$6))</f>
        <v>#REF!</v>
      </c>
      <c r="G186" t="e">
        <f>IF(GETPIVOTDATA(_xlfn.VALUETOTEXT($A$4),'PREFILL-PIVOT'!$A$3,_xlfn.VALUETOTEXT($A$6),$A186,"Experiment",G$5,"date",G$6)=0,NA(),GETPIVOTDATA(_xlfn.VALUETOTEXT($A$4),'PREFILL-PIVOT'!$A$3,_xlfn.VALUETOTEXT($A$6),$A186,"Experiment",G$5,"date",G$6))</f>
        <v>#REF!</v>
      </c>
      <c r="H186" t="e">
        <f>IF(GETPIVOTDATA(_xlfn.VALUETOTEXT($A$4),'PREFILL-PIVOT'!$A$3,_xlfn.VALUETOTEXT($A$6),$A186,"Experiment",H$5,"date",H$6)=0,NA(),GETPIVOTDATA(_xlfn.VALUETOTEXT($A$4),'PREFILL-PIVOT'!$A$3,_xlfn.VALUETOTEXT($A$6),$A186,"Experiment",H$5,"date",H$6))</f>
        <v>#REF!</v>
      </c>
      <c r="I186" t="e">
        <f>IF(GETPIVOTDATA(_xlfn.VALUETOTEXT($A$4),'PREFILL-PIVOT'!$A$3,_xlfn.VALUETOTEXT($A$6),$A186,"Experiment",I$5,"date",I$6)=0,NA(),GETPIVOTDATA(_xlfn.VALUETOTEXT($A$4),'PREFILL-PIVOT'!$A$3,_xlfn.VALUETOTEXT($A$6),$A186,"Experiment",I$5,"date",I$6))</f>
        <v>#REF!</v>
      </c>
      <c r="J186" t="e">
        <f>IF(GETPIVOTDATA(_xlfn.VALUETOTEXT($A$4),'PREFILL-PIVOT'!$A$3,_xlfn.VALUETOTEXT($A$6),$A186,"Experiment",J$5,"date",J$6)=0,NA(),GETPIVOTDATA(_xlfn.VALUETOTEXT($A$4),'PREFILL-PIVOT'!$A$3,_xlfn.VALUETOTEXT($A$6),$A186,"Experiment",J$5,"date",J$6))</f>
        <v>#REF!</v>
      </c>
      <c r="K186" t="e">
        <f>IF(GETPIVOTDATA(_xlfn.VALUETOTEXT($A$4),'PREFILL-PIVOT'!$A$3,_xlfn.VALUETOTEXT($A$6),$A186,"Experiment",K$5,"date",K$6)=0,NA(),GETPIVOTDATA(_xlfn.VALUETOTEXT($A$4),'PREFILL-PIVOT'!$A$3,_xlfn.VALUETOTEXT($A$6),$A186,"Experiment",K$5,"date",K$6))</f>
        <v>#REF!</v>
      </c>
      <c r="L186" t="e">
        <f>IF(GETPIVOTDATA(_xlfn.VALUETOTEXT($A$4),'PREFILL-PIVOT'!$A$3,_xlfn.VALUETOTEXT($A$6),$A186,"Experiment",L$5,"date",L$6)=0,NA(),GETPIVOTDATA(_xlfn.VALUETOTEXT($A$4),'PREFILL-PIVOT'!$A$3,_xlfn.VALUETOTEXT($A$6),$A186,"Experiment",L$5,"date",L$6))</f>
        <v>#REF!</v>
      </c>
      <c r="M186" t="e">
        <f>IF(GETPIVOTDATA(_xlfn.VALUETOTEXT($A$4),'PREFILL-PIVOT'!$A$3,_xlfn.VALUETOTEXT($A$6),$A186,"Experiment",M$5,"date",M$6)=0,NA(),GETPIVOTDATA(_xlfn.VALUETOTEXT($A$4),'PREFILL-PIVOT'!$A$3,_xlfn.VALUETOTEXT($A$6),$A186,"Experiment",M$5,"date",M$6))</f>
        <v>#REF!</v>
      </c>
    </row>
    <row r="187" spans="1:13" x14ac:dyDescent="0.25">
      <c r="A187" s="222" t="e">
        <f>IF('PREFILL-PIVOT'!A185=0,NA(),'PREFILL-PIVOT'!A185)</f>
        <v>#N/A</v>
      </c>
      <c r="B187" t="e">
        <f>IF(GETPIVOTDATA(_xlfn.VALUETOTEXT($A$4),'PREFILL-PIVOT'!$A$3,_xlfn.VALUETOTEXT($A$6),$A187,"Experiment",B$5,"date",B$6)=0,NA(),GETPIVOTDATA(_xlfn.VALUETOTEXT($A$4),'PREFILL-PIVOT'!$A$3,_xlfn.VALUETOTEXT($A$6),$A187,"Experiment",B$5,"date",B$6))</f>
        <v>#REF!</v>
      </c>
      <c r="C187" t="e">
        <f>IF(GETPIVOTDATA(_xlfn.VALUETOTEXT($A$4),'PREFILL-PIVOT'!$A$3,_xlfn.VALUETOTEXT($A$6),$A187,"Experiment",C$5,"date",C$6)=0,NA(),GETPIVOTDATA(_xlfn.VALUETOTEXT($A$4),'PREFILL-PIVOT'!$A$3,_xlfn.VALUETOTEXT($A$6),$A187,"Experiment",C$5,"date",C$6))</f>
        <v>#REF!</v>
      </c>
      <c r="D187" t="e">
        <f>IF(GETPIVOTDATA(_xlfn.VALUETOTEXT($A$4),'PREFILL-PIVOT'!$A$3,_xlfn.VALUETOTEXT($A$6),$A187,"Experiment",D$5,"date",D$6)=0,NA(),GETPIVOTDATA(_xlfn.VALUETOTEXT($A$4),'PREFILL-PIVOT'!$A$3,_xlfn.VALUETOTEXT($A$6),$A187,"Experiment",D$5,"date",D$6))</f>
        <v>#REF!</v>
      </c>
      <c r="E187" t="e">
        <f>IF(GETPIVOTDATA(_xlfn.VALUETOTEXT($A$4),'PREFILL-PIVOT'!$A$3,_xlfn.VALUETOTEXT($A$6),$A187,"Experiment",E$5,"date",E$6)=0,NA(),GETPIVOTDATA(_xlfn.VALUETOTEXT($A$4),'PREFILL-PIVOT'!$A$3,_xlfn.VALUETOTEXT($A$6),$A187,"Experiment",E$5,"date",E$6))</f>
        <v>#REF!</v>
      </c>
      <c r="F187" t="e">
        <f>IF(GETPIVOTDATA(_xlfn.VALUETOTEXT($A$4),'PREFILL-PIVOT'!$A$3,_xlfn.VALUETOTEXT($A$6),$A187,"Experiment",F$5,"date",F$6)=0,NA(),GETPIVOTDATA(_xlfn.VALUETOTEXT($A$4),'PREFILL-PIVOT'!$A$3,_xlfn.VALUETOTEXT($A$6),$A187,"Experiment",F$5,"date",F$6))</f>
        <v>#REF!</v>
      </c>
      <c r="G187" t="e">
        <f>IF(GETPIVOTDATA(_xlfn.VALUETOTEXT($A$4),'PREFILL-PIVOT'!$A$3,_xlfn.VALUETOTEXT($A$6),$A187,"Experiment",G$5,"date",G$6)=0,NA(),GETPIVOTDATA(_xlfn.VALUETOTEXT($A$4),'PREFILL-PIVOT'!$A$3,_xlfn.VALUETOTEXT($A$6),$A187,"Experiment",G$5,"date",G$6))</f>
        <v>#REF!</v>
      </c>
      <c r="H187" t="e">
        <f>IF(GETPIVOTDATA(_xlfn.VALUETOTEXT($A$4),'PREFILL-PIVOT'!$A$3,_xlfn.VALUETOTEXT($A$6),$A187,"Experiment",H$5,"date",H$6)=0,NA(),GETPIVOTDATA(_xlfn.VALUETOTEXT($A$4),'PREFILL-PIVOT'!$A$3,_xlfn.VALUETOTEXT($A$6),$A187,"Experiment",H$5,"date",H$6))</f>
        <v>#REF!</v>
      </c>
      <c r="I187" t="e">
        <f>IF(GETPIVOTDATA(_xlfn.VALUETOTEXT($A$4),'PREFILL-PIVOT'!$A$3,_xlfn.VALUETOTEXT($A$6),$A187,"Experiment",I$5,"date",I$6)=0,NA(),GETPIVOTDATA(_xlfn.VALUETOTEXT($A$4),'PREFILL-PIVOT'!$A$3,_xlfn.VALUETOTEXT($A$6),$A187,"Experiment",I$5,"date",I$6))</f>
        <v>#REF!</v>
      </c>
      <c r="J187" t="e">
        <f>IF(GETPIVOTDATA(_xlfn.VALUETOTEXT($A$4),'PREFILL-PIVOT'!$A$3,_xlfn.VALUETOTEXT($A$6),$A187,"Experiment",J$5,"date",J$6)=0,NA(),GETPIVOTDATA(_xlfn.VALUETOTEXT($A$4),'PREFILL-PIVOT'!$A$3,_xlfn.VALUETOTEXT($A$6),$A187,"Experiment",J$5,"date",J$6))</f>
        <v>#REF!</v>
      </c>
      <c r="K187" t="e">
        <f>IF(GETPIVOTDATA(_xlfn.VALUETOTEXT($A$4),'PREFILL-PIVOT'!$A$3,_xlfn.VALUETOTEXT($A$6),$A187,"Experiment",K$5,"date",K$6)=0,NA(),GETPIVOTDATA(_xlfn.VALUETOTEXT($A$4),'PREFILL-PIVOT'!$A$3,_xlfn.VALUETOTEXT($A$6),$A187,"Experiment",K$5,"date",K$6))</f>
        <v>#REF!</v>
      </c>
      <c r="L187" t="e">
        <f>IF(GETPIVOTDATA(_xlfn.VALUETOTEXT($A$4),'PREFILL-PIVOT'!$A$3,_xlfn.VALUETOTEXT($A$6),$A187,"Experiment",L$5,"date",L$6)=0,NA(),GETPIVOTDATA(_xlfn.VALUETOTEXT($A$4),'PREFILL-PIVOT'!$A$3,_xlfn.VALUETOTEXT($A$6),$A187,"Experiment",L$5,"date",L$6))</f>
        <v>#REF!</v>
      </c>
      <c r="M187" t="e">
        <f>IF(GETPIVOTDATA(_xlfn.VALUETOTEXT($A$4),'PREFILL-PIVOT'!$A$3,_xlfn.VALUETOTEXT($A$6),$A187,"Experiment",M$5,"date",M$6)=0,NA(),GETPIVOTDATA(_xlfn.VALUETOTEXT($A$4),'PREFILL-PIVOT'!$A$3,_xlfn.VALUETOTEXT($A$6),$A187,"Experiment",M$5,"date",M$6))</f>
        <v>#REF!</v>
      </c>
    </row>
    <row r="188" spans="1:13" x14ac:dyDescent="0.25">
      <c r="A188" s="222" t="e">
        <f>IF('PREFILL-PIVOT'!A186=0,NA(),'PREFILL-PIVOT'!A186)</f>
        <v>#N/A</v>
      </c>
      <c r="B188" t="e">
        <f>IF(GETPIVOTDATA(_xlfn.VALUETOTEXT($A$4),'PREFILL-PIVOT'!$A$3,_xlfn.VALUETOTEXT($A$6),$A188,"Experiment",B$5,"date",B$6)=0,NA(),GETPIVOTDATA(_xlfn.VALUETOTEXT($A$4),'PREFILL-PIVOT'!$A$3,_xlfn.VALUETOTEXT($A$6),$A188,"Experiment",B$5,"date",B$6))</f>
        <v>#REF!</v>
      </c>
      <c r="C188" t="e">
        <f>IF(GETPIVOTDATA(_xlfn.VALUETOTEXT($A$4),'PREFILL-PIVOT'!$A$3,_xlfn.VALUETOTEXT($A$6),$A188,"Experiment",C$5,"date",C$6)=0,NA(),GETPIVOTDATA(_xlfn.VALUETOTEXT($A$4),'PREFILL-PIVOT'!$A$3,_xlfn.VALUETOTEXT($A$6),$A188,"Experiment",C$5,"date",C$6))</f>
        <v>#REF!</v>
      </c>
      <c r="D188" t="e">
        <f>IF(GETPIVOTDATA(_xlfn.VALUETOTEXT($A$4),'PREFILL-PIVOT'!$A$3,_xlfn.VALUETOTEXT($A$6),$A188,"Experiment",D$5,"date",D$6)=0,NA(),GETPIVOTDATA(_xlfn.VALUETOTEXT($A$4),'PREFILL-PIVOT'!$A$3,_xlfn.VALUETOTEXT($A$6),$A188,"Experiment",D$5,"date",D$6))</f>
        <v>#REF!</v>
      </c>
      <c r="E188" t="e">
        <f>IF(GETPIVOTDATA(_xlfn.VALUETOTEXT($A$4),'PREFILL-PIVOT'!$A$3,_xlfn.VALUETOTEXT($A$6),$A188,"Experiment",E$5,"date",E$6)=0,NA(),GETPIVOTDATA(_xlfn.VALUETOTEXT($A$4),'PREFILL-PIVOT'!$A$3,_xlfn.VALUETOTEXT($A$6),$A188,"Experiment",E$5,"date",E$6))</f>
        <v>#REF!</v>
      </c>
      <c r="F188" t="e">
        <f>IF(GETPIVOTDATA(_xlfn.VALUETOTEXT($A$4),'PREFILL-PIVOT'!$A$3,_xlfn.VALUETOTEXT($A$6),$A188,"Experiment",F$5,"date",F$6)=0,NA(),GETPIVOTDATA(_xlfn.VALUETOTEXT($A$4),'PREFILL-PIVOT'!$A$3,_xlfn.VALUETOTEXT($A$6),$A188,"Experiment",F$5,"date",F$6))</f>
        <v>#REF!</v>
      </c>
      <c r="G188" t="e">
        <f>IF(GETPIVOTDATA(_xlfn.VALUETOTEXT($A$4),'PREFILL-PIVOT'!$A$3,_xlfn.VALUETOTEXT($A$6),$A188,"Experiment",G$5,"date",G$6)=0,NA(),GETPIVOTDATA(_xlfn.VALUETOTEXT($A$4),'PREFILL-PIVOT'!$A$3,_xlfn.VALUETOTEXT($A$6),$A188,"Experiment",G$5,"date",G$6))</f>
        <v>#REF!</v>
      </c>
      <c r="H188" t="e">
        <f>IF(GETPIVOTDATA(_xlfn.VALUETOTEXT($A$4),'PREFILL-PIVOT'!$A$3,_xlfn.VALUETOTEXT($A$6),$A188,"Experiment",H$5,"date",H$6)=0,NA(),GETPIVOTDATA(_xlfn.VALUETOTEXT($A$4),'PREFILL-PIVOT'!$A$3,_xlfn.VALUETOTEXT($A$6),$A188,"Experiment",H$5,"date",H$6))</f>
        <v>#REF!</v>
      </c>
      <c r="I188" t="e">
        <f>IF(GETPIVOTDATA(_xlfn.VALUETOTEXT($A$4),'PREFILL-PIVOT'!$A$3,_xlfn.VALUETOTEXT($A$6),$A188,"Experiment",I$5,"date",I$6)=0,NA(),GETPIVOTDATA(_xlfn.VALUETOTEXT($A$4),'PREFILL-PIVOT'!$A$3,_xlfn.VALUETOTEXT($A$6),$A188,"Experiment",I$5,"date",I$6))</f>
        <v>#REF!</v>
      </c>
      <c r="J188" t="e">
        <f>IF(GETPIVOTDATA(_xlfn.VALUETOTEXT($A$4),'PREFILL-PIVOT'!$A$3,_xlfn.VALUETOTEXT($A$6),$A188,"Experiment",J$5,"date",J$6)=0,NA(),GETPIVOTDATA(_xlfn.VALUETOTEXT($A$4),'PREFILL-PIVOT'!$A$3,_xlfn.VALUETOTEXT($A$6),$A188,"Experiment",J$5,"date",J$6))</f>
        <v>#REF!</v>
      </c>
      <c r="K188" t="e">
        <f>IF(GETPIVOTDATA(_xlfn.VALUETOTEXT($A$4),'PREFILL-PIVOT'!$A$3,_xlfn.VALUETOTEXT($A$6),$A188,"Experiment",K$5,"date",K$6)=0,NA(),GETPIVOTDATA(_xlfn.VALUETOTEXT($A$4),'PREFILL-PIVOT'!$A$3,_xlfn.VALUETOTEXT($A$6),$A188,"Experiment",K$5,"date",K$6))</f>
        <v>#REF!</v>
      </c>
      <c r="L188" t="e">
        <f>IF(GETPIVOTDATA(_xlfn.VALUETOTEXT($A$4),'PREFILL-PIVOT'!$A$3,_xlfn.VALUETOTEXT($A$6),$A188,"Experiment",L$5,"date",L$6)=0,NA(),GETPIVOTDATA(_xlfn.VALUETOTEXT($A$4),'PREFILL-PIVOT'!$A$3,_xlfn.VALUETOTEXT($A$6),$A188,"Experiment",L$5,"date",L$6))</f>
        <v>#REF!</v>
      </c>
      <c r="M188" t="e">
        <f>IF(GETPIVOTDATA(_xlfn.VALUETOTEXT($A$4),'PREFILL-PIVOT'!$A$3,_xlfn.VALUETOTEXT($A$6),$A188,"Experiment",M$5,"date",M$6)=0,NA(),GETPIVOTDATA(_xlfn.VALUETOTEXT($A$4),'PREFILL-PIVOT'!$A$3,_xlfn.VALUETOTEXT($A$6),$A188,"Experiment",M$5,"date",M$6))</f>
        <v>#REF!</v>
      </c>
    </row>
    <row r="189" spans="1:13" x14ac:dyDescent="0.25">
      <c r="A189" s="222" t="e">
        <f>IF('PREFILL-PIVOT'!A187=0,NA(),'PREFILL-PIVOT'!A187)</f>
        <v>#N/A</v>
      </c>
      <c r="B189" t="e">
        <f>IF(GETPIVOTDATA(_xlfn.VALUETOTEXT($A$4),'PREFILL-PIVOT'!$A$3,_xlfn.VALUETOTEXT($A$6),$A189,"Experiment",B$5,"date",B$6)=0,NA(),GETPIVOTDATA(_xlfn.VALUETOTEXT($A$4),'PREFILL-PIVOT'!$A$3,_xlfn.VALUETOTEXT($A$6),$A189,"Experiment",B$5,"date",B$6))</f>
        <v>#REF!</v>
      </c>
      <c r="C189" t="e">
        <f>IF(GETPIVOTDATA(_xlfn.VALUETOTEXT($A$4),'PREFILL-PIVOT'!$A$3,_xlfn.VALUETOTEXT($A$6),$A189,"Experiment",C$5,"date",C$6)=0,NA(),GETPIVOTDATA(_xlfn.VALUETOTEXT($A$4),'PREFILL-PIVOT'!$A$3,_xlfn.VALUETOTEXT($A$6),$A189,"Experiment",C$5,"date",C$6))</f>
        <v>#REF!</v>
      </c>
      <c r="D189" t="e">
        <f>IF(GETPIVOTDATA(_xlfn.VALUETOTEXT($A$4),'PREFILL-PIVOT'!$A$3,_xlfn.VALUETOTEXT($A$6),$A189,"Experiment",D$5,"date",D$6)=0,NA(),GETPIVOTDATA(_xlfn.VALUETOTEXT($A$4),'PREFILL-PIVOT'!$A$3,_xlfn.VALUETOTEXT($A$6),$A189,"Experiment",D$5,"date",D$6))</f>
        <v>#REF!</v>
      </c>
      <c r="E189" t="e">
        <f>IF(GETPIVOTDATA(_xlfn.VALUETOTEXT($A$4),'PREFILL-PIVOT'!$A$3,_xlfn.VALUETOTEXT($A$6),$A189,"Experiment",E$5,"date",E$6)=0,NA(),GETPIVOTDATA(_xlfn.VALUETOTEXT($A$4),'PREFILL-PIVOT'!$A$3,_xlfn.VALUETOTEXT($A$6),$A189,"Experiment",E$5,"date",E$6))</f>
        <v>#REF!</v>
      </c>
      <c r="F189" t="e">
        <f>IF(GETPIVOTDATA(_xlfn.VALUETOTEXT($A$4),'PREFILL-PIVOT'!$A$3,_xlfn.VALUETOTEXT($A$6),$A189,"Experiment",F$5,"date",F$6)=0,NA(),GETPIVOTDATA(_xlfn.VALUETOTEXT($A$4),'PREFILL-PIVOT'!$A$3,_xlfn.VALUETOTEXT($A$6),$A189,"Experiment",F$5,"date",F$6))</f>
        <v>#REF!</v>
      </c>
      <c r="G189" t="e">
        <f>IF(GETPIVOTDATA(_xlfn.VALUETOTEXT($A$4),'PREFILL-PIVOT'!$A$3,_xlfn.VALUETOTEXT($A$6),$A189,"Experiment",G$5,"date",G$6)=0,NA(),GETPIVOTDATA(_xlfn.VALUETOTEXT($A$4),'PREFILL-PIVOT'!$A$3,_xlfn.VALUETOTEXT($A$6),$A189,"Experiment",G$5,"date",G$6))</f>
        <v>#REF!</v>
      </c>
      <c r="H189" t="e">
        <f>IF(GETPIVOTDATA(_xlfn.VALUETOTEXT($A$4),'PREFILL-PIVOT'!$A$3,_xlfn.VALUETOTEXT($A$6),$A189,"Experiment",H$5,"date",H$6)=0,NA(),GETPIVOTDATA(_xlfn.VALUETOTEXT($A$4),'PREFILL-PIVOT'!$A$3,_xlfn.VALUETOTEXT($A$6),$A189,"Experiment",H$5,"date",H$6))</f>
        <v>#REF!</v>
      </c>
      <c r="I189" t="e">
        <f>IF(GETPIVOTDATA(_xlfn.VALUETOTEXT($A$4),'PREFILL-PIVOT'!$A$3,_xlfn.VALUETOTEXT($A$6),$A189,"Experiment",I$5,"date",I$6)=0,NA(),GETPIVOTDATA(_xlfn.VALUETOTEXT($A$4),'PREFILL-PIVOT'!$A$3,_xlfn.VALUETOTEXT($A$6),$A189,"Experiment",I$5,"date",I$6))</f>
        <v>#REF!</v>
      </c>
      <c r="J189" t="e">
        <f>IF(GETPIVOTDATA(_xlfn.VALUETOTEXT($A$4),'PREFILL-PIVOT'!$A$3,_xlfn.VALUETOTEXT($A$6),$A189,"Experiment",J$5,"date",J$6)=0,NA(),GETPIVOTDATA(_xlfn.VALUETOTEXT($A$4),'PREFILL-PIVOT'!$A$3,_xlfn.VALUETOTEXT($A$6),$A189,"Experiment",J$5,"date",J$6))</f>
        <v>#REF!</v>
      </c>
      <c r="K189" t="e">
        <f>IF(GETPIVOTDATA(_xlfn.VALUETOTEXT($A$4),'PREFILL-PIVOT'!$A$3,_xlfn.VALUETOTEXT($A$6),$A189,"Experiment",K$5,"date",K$6)=0,NA(),GETPIVOTDATA(_xlfn.VALUETOTEXT($A$4),'PREFILL-PIVOT'!$A$3,_xlfn.VALUETOTEXT($A$6),$A189,"Experiment",K$5,"date",K$6))</f>
        <v>#REF!</v>
      </c>
      <c r="L189" t="e">
        <f>IF(GETPIVOTDATA(_xlfn.VALUETOTEXT($A$4),'PREFILL-PIVOT'!$A$3,_xlfn.VALUETOTEXT($A$6),$A189,"Experiment",L$5,"date",L$6)=0,NA(),GETPIVOTDATA(_xlfn.VALUETOTEXT($A$4),'PREFILL-PIVOT'!$A$3,_xlfn.VALUETOTEXT($A$6),$A189,"Experiment",L$5,"date",L$6))</f>
        <v>#REF!</v>
      </c>
      <c r="M189" t="e">
        <f>IF(GETPIVOTDATA(_xlfn.VALUETOTEXT($A$4),'PREFILL-PIVOT'!$A$3,_xlfn.VALUETOTEXT($A$6),$A189,"Experiment",M$5,"date",M$6)=0,NA(),GETPIVOTDATA(_xlfn.VALUETOTEXT($A$4),'PREFILL-PIVOT'!$A$3,_xlfn.VALUETOTEXT($A$6),$A189,"Experiment",M$5,"date",M$6))</f>
        <v>#REF!</v>
      </c>
    </row>
    <row r="190" spans="1:13" x14ac:dyDescent="0.25">
      <c r="A190" s="222" t="e">
        <f>IF('PREFILL-PIVOT'!A188=0,NA(),'PREFILL-PIVOT'!A188)</f>
        <v>#N/A</v>
      </c>
      <c r="B190" t="e">
        <f>IF(GETPIVOTDATA(_xlfn.VALUETOTEXT($A$4),'PREFILL-PIVOT'!$A$3,_xlfn.VALUETOTEXT($A$6),$A190,"Experiment",B$5,"date",B$6)=0,NA(),GETPIVOTDATA(_xlfn.VALUETOTEXT($A$4),'PREFILL-PIVOT'!$A$3,_xlfn.VALUETOTEXT($A$6),$A190,"Experiment",B$5,"date",B$6))</f>
        <v>#REF!</v>
      </c>
      <c r="C190" t="e">
        <f>IF(GETPIVOTDATA(_xlfn.VALUETOTEXT($A$4),'PREFILL-PIVOT'!$A$3,_xlfn.VALUETOTEXT($A$6),$A190,"Experiment",C$5,"date",C$6)=0,NA(),GETPIVOTDATA(_xlfn.VALUETOTEXT($A$4),'PREFILL-PIVOT'!$A$3,_xlfn.VALUETOTEXT($A$6),$A190,"Experiment",C$5,"date",C$6))</f>
        <v>#REF!</v>
      </c>
      <c r="D190" t="e">
        <f>IF(GETPIVOTDATA(_xlfn.VALUETOTEXT($A$4),'PREFILL-PIVOT'!$A$3,_xlfn.VALUETOTEXT($A$6),$A190,"Experiment",D$5,"date",D$6)=0,NA(),GETPIVOTDATA(_xlfn.VALUETOTEXT($A$4),'PREFILL-PIVOT'!$A$3,_xlfn.VALUETOTEXT($A$6),$A190,"Experiment",D$5,"date",D$6))</f>
        <v>#REF!</v>
      </c>
      <c r="E190" t="e">
        <f>IF(GETPIVOTDATA(_xlfn.VALUETOTEXT($A$4),'PREFILL-PIVOT'!$A$3,_xlfn.VALUETOTEXT($A$6),$A190,"Experiment",E$5,"date",E$6)=0,NA(),GETPIVOTDATA(_xlfn.VALUETOTEXT($A$4),'PREFILL-PIVOT'!$A$3,_xlfn.VALUETOTEXT($A$6),$A190,"Experiment",E$5,"date",E$6))</f>
        <v>#REF!</v>
      </c>
      <c r="F190" t="e">
        <f>IF(GETPIVOTDATA(_xlfn.VALUETOTEXT($A$4),'PREFILL-PIVOT'!$A$3,_xlfn.VALUETOTEXT($A$6),$A190,"Experiment",F$5,"date",F$6)=0,NA(),GETPIVOTDATA(_xlfn.VALUETOTEXT($A$4),'PREFILL-PIVOT'!$A$3,_xlfn.VALUETOTEXT($A$6),$A190,"Experiment",F$5,"date",F$6))</f>
        <v>#REF!</v>
      </c>
      <c r="G190" t="e">
        <f>IF(GETPIVOTDATA(_xlfn.VALUETOTEXT($A$4),'PREFILL-PIVOT'!$A$3,_xlfn.VALUETOTEXT($A$6),$A190,"Experiment",G$5,"date",G$6)=0,NA(),GETPIVOTDATA(_xlfn.VALUETOTEXT($A$4),'PREFILL-PIVOT'!$A$3,_xlfn.VALUETOTEXT($A$6),$A190,"Experiment",G$5,"date",G$6))</f>
        <v>#REF!</v>
      </c>
      <c r="H190" t="e">
        <f>IF(GETPIVOTDATA(_xlfn.VALUETOTEXT($A$4),'PREFILL-PIVOT'!$A$3,_xlfn.VALUETOTEXT($A$6),$A190,"Experiment",H$5,"date",H$6)=0,NA(),GETPIVOTDATA(_xlfn.VALUETOTEXT($A$4),'PREFILL-PIVOT'!$A$3,_xlfn.VALUETOTEXT($A$6),$A190,"Experiment",H$5,"date",H$6))</f>
        <v>#REF!</v>
      </c>
      <c r="I190" t="e">
        <f>IF(GETPIVOTDATA(_xlfn.VALUETOTEXT($A$4),'PREFILL-PIVOT'!$A$3,_xlfn.VALUETOTEXT($A$6),$A190,"Experiment",I$5,"date",I$6)=0,NA(),GETPIVOTDATA(_xlfn.VALUETOTEXT($A$4),'PREFILL-PIVOT'!$A$3,_xlfn.VALUETOTEXT($A$6),$A190,"Experiment",I$5,"date",I$6))</f>
        <v>#REF!</v>
      </c>
      <c r="J190" t="e">
        <f>IF(GETPIVOTDATA(_xlfn.VALUETOTEXT($A$4),'PREFILL-PIVOT'!$A$3,_xlfn.VALUETOTEXT($A$6),$A190,"Experiment",J$5,"date",J$6)=0,NA(),GETPIVOTDATA(_xlfn.VALUETOTEXT($A$4),'PREFILL-PIVOT'!$A$3,_xlfn.VALUETOTEXT($A$6),$A190,"Experiment",J$5,"date",J$6))</f>
        <v>#REF!</v>
      </c>
      <c r="K190" t="e">
        <f>IF(GETPIVOTDATA(_xlfn.VALUETOTEXT($A$4),'PREFILL-PIVOT'!$A$3,_xlfn.VALUETOTEXT($A$6),$A190,"Experiment",K$5,"date",K$6)=0,NA(),GETPIVOTDATA(_xlfn.VALUETOTEXT($A$4),'PREFILL-PIVOT'!$A$3,_xlfn.VALUETOTEXT($A$6),$A190,"Experiment",K$5,"date",K$6))</f>
        <v>#REF!</v>
      </c>
      <c r="L190" t="e">
        <f>IF(GETPIVOTDATA(_xlfn.VALUETOTEXT($A$4),'PREFILL-PIVOT'!$A$3,_xlfn.VALUETOTEXT($A$6),$A190,"Experiment",L$5,"date",L$6)=0,NA(),GETPIVOTDATA(_xlfn.VALUETOTEXT($A$4),'PREFILL-PIVOT'!$A$3,_xlfn.VALUETOTEXT($A$6),$A190,"Experiment",L$5,"date",L$6))</f>
        <v>#REF!</v>
      </c>
      <c r="M190" t="e">
        <f>IF(GETPIVOTDATA(_xlfn.VALUETOTEXT($A$4),'PREFILL-PIVOT'!$A$3,_xlfn.VALUETOTEXT($A$6),$A190,"Experiment",M$5,"date",M$6)=0,NA(),GETPIVOTDATA(_xlfn.VALUETOTEXT($A$4),'PREFILL-PIVOT'!$A$3,_xlfn.VALUETOTEXT($A$6),$A190,"Experiment",M$5,"date",M$6))</f>
        <v>#REF!</v>
      </c>
    </row>
    <row r="191" spans="1:13" x14ac:dyDescent="0.25">
      <c r="A191" s="222" t="e">
        <f>IF('PREFILL-PIVOT'!A189=0,NA(),'PREFILL-PIVOT'!A189)</f>
        <v>#N/A</v>
      </c>
      <c r="B191" t="e">
        <f>IF(GETPIVOTDATA(_xlfn.VALUETOTEXT($A$4),'PREFILL-PIVOT'!$A$3,_xlfn.VALUETOTEXT($A$6),$A191,"Experiment",B$5,"date",B$6)=0,NA(),GETPIVOTDATA(_xlfn.VALUETOTEXT($A$4),'PREFILL-PIVOT'!$A$3,_xlfn.VALUETOTEXT($A$6),$A191,"Experiment",B$5,"date",B$6))</f>
        <v>#REF!</v>
      </c>
      <c r="C191" t="e">
        <f>IF(GETPIVOTDATA(_xlfn.VALUETOTEXT($A$4),'PREFILL-PIVOT'!$A$3,_xlfn.VALUETOTEXT($A$6),$A191,"Experiment",C$5,"date",C$6)=0,NA(),GETPIVOTDATA(_xlfn.VALUETOTEXT($A$4),'PREFILL-PIVOT'!$A$3,_xlfn.VALUETOTEXT($A$6),$A191,"Experiment",C$5,"date",C$6))</f>
        <v>#REF!</v>
      </c>
      <c r="D191" t="e">
        <f>IF(GETPIVOTDATA(_xlfn.VALUETOTEXT($A$4),'PREFILL-PIVOT'!$A$3,_xlfn.VALUETOTEXT($A$6),$A191,"Experiment",D$5,"date",D$6)=0,NA(),GETPIVOTDATA(_xlfn.VALUETOTEXT($A$4),'PREFILL-PIVOT'!$A$3,_xlfn.VALUETOTEXT($A$6),$A191,"Experiment",D$5,"date",D$6))</f>
        <v>#REF!</v>
      </c>
      <c r="E191" t="e">
        <f>IF(GETPIVOTDATA(_xlfn.VALUETOTEXT($A$4),'PREFILL-PIVOT'!$A$3,_xlfn.VALUETOTEXT($A$6),$A191,"Experiment",E$5,"date",E$6)=0,NA(),GETPIVOTDATA(_xlfn.VALUETOTEXT($A$4),'PREFILL-PIVOT'!$A$3,_xlfn.VALUETOTEXT($A$6),$A191,"Experiment",E$5,"date",E$6))</f>
        <v>#REF!</v>
      </c>
      <c r="F191" t="e">
        <f>IF(GETPIVOTDATA(_xlfn.VALUETOTEXT($A$4),'PREFILL-PIVOT'!$A$3,_xlfn.VALUETOTEXT($A$6),$A191,"Experiment",F$5,"date",F$6)=0,NA(),GETPIVOTDATA(_xlfn.VALUETOTEXT($A$4),'PREFILL-PIVOT'!$A$3,_xlfn.VALUETOTEXT($A$6),$A191,"Experiment",F$5,"date",F$6))</f>
        <v>#REF!</v>
      </c>
      <c r="G191" t="e">
        <f>IF(GETPIVOTDATA(_xlfn.VALUETOTEXT($A$4),'PREFILL-PIVOT'!$A$3,_xlfn.VALUETOTEXT($A$6),$A191,"Experiment",G$5,"date",G$6)=0,NA(),GETPIVOTDATA(_xlfn.VALUETOTEXT($A$4),'PREFILL-PIVOT'!$A$3,_xlfn.VALUETOTEXT($A$6),$A191,"Experiment",G$5,"date",G$6))</f>
        <v>#REF!</v>
      </c>
      <c r="H191" t="e">
        <f>IF(GETPIVOTDATA(_xlfn.VALUETOTEXT($A$4),'PREFILL-PIVOT'!$A$3,_xlfn.VALUETOTEXT($A$6),$A191,"Experiment",H$5,"date",H$6)=0,NA(),GETPIVOTDATA(_xlfn.VALUETOTEXT($A$4),'PREFILL-PIVOT'!$A$3,_xlfn.VALUETOTEXT($A$6),$A191,"Experiment",H$5,"date",H$6))</f>
        <v>#REF!</v>
      </c>
      <c r="I191" t="e">
        <f>IF(GETPIVOTDATA(_xlfn.VALUETOTEXT($A$4),'PREFILL-PIVOT'!$A$3,_xlfn.VALUETOTEXT($A$6),$A191,"Experiment",I$5,"date",I$6)=0,NA(),GETPIVOTDATA(_xlfn.VALUETOTEXT($A$4),'PREFILL-PIVOT'!$A$3,_xlfn.VALUETOTEXT($A$6),$A191,"Experiment",I$5,"date",I$6))</f>
        <v>#REF!</v>
      </c>
      <c r="J191" t="e">
        <f>IF(GETPIVOTDATA(_xlfn.VALUETOTEXT($A$4),'PREFILL-PIVOT'!$A$3,_xlfn.VALUETOTEXT($A$6),$A191,"Experiment",J$5,"date",J$6)=0,NA(),GETPIVOTDATA(_xlfn.VALUETOTEXT($A$4),'PREFILL-PIVOT'!$A$3,_xlfn.VALUETOTEXT($A$6),$A191,"Experiment",J$5,"date",J$6))</f>
        <v>#REF!</v>
      </c>
      <c r="K191" t="e">
        <f>IF(GETPIVOTDATA(_xlfn.VALUETOTEXT($A$4),'PREFILL-PIVOT'!$A$3,_xlfn.VALUETOTEXT($A$6),$A191,"Experiment",K$5,"date",K$6)=0,NA(),GETPIVOTDATA(_xlfn.VALUETOTEXT($A$4),'PREFILL-PIVOT'!$A$3,_xlfn.VALUETOTEXT($A$6),$A191,"Experiment",K$5,"date",K$6))</f>
        <v>#REF!</v>
      </c>
      <c r="L191" t="e">
        <f>IF(GETPIVOTDATA(_xlfn.VALUETOTEXT($A$4),'PREFILL-PIVOT'!$A$3,_xlfn.VALUETOTEXT($A$6),$A191,"Experiment",L$5,"date",L$6)=0,NA(),GETPIVOTDATA(_xlfn.VALUETOTEXT($A$4),'PREFILL-PIVOT'!$A$3,_xlfn.VALUETOTEXT($A$6),$A191,"Experiment",L$5,"date",L$6))</f>
        <v>#REF!</v>
      </c>
      <c r="M191" t="e">
        <f>IF(GETPIVOTDATA(_xlfn.VALUETOTEXT($A$4),'PREFILL-PIVOT'!$A$3,_xlfn.VALUETOTEXT($A$6),$A191,"Experiment",M$5,"date",M$6)=0,NA(),GETPIVOTDATA(_xlfn.VALUETOTEXT($A$4),'PREFILL-PIVOT'!$A$3,_xlfn.VALUETOTEXT($A$6),$A191,"Experiment",M$5,"date",M$6))</f>
        <v>#REF!</v>
      </c>
    </row>
    <row r="192" spans="1:13" x14ac:dyDescent="0.25">
      <c r="A192" s="222" t="e">
        <f>IF('PREFILL-PIVOT'!A190=0,NA(),'PREFILL-PIVOT'!A190)</f>
        <v>#N/A</v>
      </c>
      <c r="B192" t="e">
        <f>IF(GETPIVOTDATA(_xlfn.VALUETOTEXT($A$4),'PREFILL-PIVOT'!$A$3,_xlfn.VALUETOTEXT($A$6),$A192,"Experiment",B$5,"date",B$6)=0,NA(),GETPIVOTDATA(_xlfn.VALUETOTEXT($A$4),'PREFILL-PIVOT'!$A$3,_xlfn.VALUETOTEXT($A$6),$A192,"Experiment",B$5,"date",B$6))</f>
        <v>#REF!</v>
      </c>
      <c r="C192" t="e">
        <f>IF(GETPIVOTDATA(_xlfn.VALUETOTEXT($A$4),'PREFILL-PIVOT'!$A$3,_xlfn.VALUETOTEXT($A$6),$A192,"Experiment",C$5,"date",C$6)=0,NA(),GETPIVOTDATA(_xlfn.VALUETOTEXT($A$4),'PREFILL-PIVOT'!$A$3,_xlfn.VALUETOTEXT($A$6),$A192,"Experiment",C$5,"date",C$6))</f>
        <v>#REF!</v>
      </c>
      <c r="D192" t="e">
        <f>IF(GETPIVOTDATA(_xlfn.VALUETOTEXT($A$4),'PREFILL-PIVOT'!$A$3,_xlfn.VALUETOTEXT($A$6),$A192,"Experiment",D$5,"date",D$6)=0,NA(),GETPIVOTDATA(_xlfn.VALUETOTEXT($A$4),'PREFILL-PIVOT'!$A$3,_xlfn.VALUETOTEXT($A$6),$A192,"Experiment",D$5,"date",D$6))</f>
        <v>#REF!</v>
      </c>
      <c r="E192" t="e">
        <f>IF(GETPIVOTDATA(_xlfn.VALUETOTEXT($A$4),'PREFILL-PIVOT'!$A$3,_xlfn.VALUETOTEXT($A$6),$A192,"Experiment",E$5,"date",E$6)=0,NA(),GETPIVOTDATA(_xlfn.VALUETOTEXT($A$4),'PREFILL-PIVOT'!$A$3,_xlfn.VALUETOTEXT($A$6),$A192,"Experiment",E$5,"date",E$6))</f>
        <v>#REF!</v>
      </c>
      <c r="F192" t="e">
        <f>IF(GETPIVOTDATA(_xlfn.VALUETOTEXT($A$4),'PREFILL-PIVOT'!$A$3,_xlfn.VALUETOTEXT($A$6),$A192,"Experiment",F$5,"date",F$6)=0,NA(),GETPIVOTDATA(_xlfn.VALUETOTEXT($A$4),'PREFILL-PIVOT'!$A$3,_xlfn.VALUETOTEXT($A$6),$A192,"Experiment",F$5,"date",F$6))</f>
        <v>#REF!</v>
      </c>
      <c r="G192" t="e">
        <f>IF(GETPIVOTDATA(_xlfn.VALUETOTEXT($A$4),'PREFILL-PIVOT'!$A$3,_xlfn.VALUETOTEXT($A$6),$A192,"Experiment",G$5,"date",G$6)=0,NA(),GETPIVOTDATA(_xlfn.VALUETOTEXT($A$4),'PREFILL-PIVOT'!$A$3,_xlfn.VALUETOTEXT($A$6),$A192,"Experiment",G$5,"date",G$6))</f>
        <v>#REF!</v>
      </c>
      <c r="H192" t="e">
        <f>IF(GETPIVOTDATA(_xlfn.VALUETOTEXT($A$4),'PREFILL-PIVOT'!$A$3,_xlfn.VALUETOTEXT($A$6),$A192,"Experiment",H$5,"date",H$6)=0,NA(),GETPIVOTDATA(_xlfn.VALUETOTEXT($A$4),'PREFILL-PIVOT'!$A$3,_xlfn.VALUETOTEXT($A$6),$A192,"Experiment",H$5,"date",H$6))</f>
        <v>#REF!</v>
      </c>
      <c r="I192" t="e">
        <f>IF(GETPIVOTDATA(_xlfn.VALUETOTEXT($A$4),'PREFILL-PIVOT'!$A$3,_xlfn.VALUETOTEXT($A$6),$A192,"Experiment",I$5,"date",I$6)=0,NA(),GETPIVOTDATA(_xlfn.VALUETOTEXT($A$4),'PREFILL-PIVOT'!$A$3,_xlfn.VALUETOTEXT($A$6),$A192,"Experiment",I$5,"date",I$6))</f>
        <v>#REF!</v>
      </c>
      <c r="J192" t="e">
        <f>IF(GETPIVOTDATA(_xlfn.VALUETOTEXT($A$4),'PREFILL-PIVOT'!$A$3,_xlfn.VALUETOTEXT($A$6),$A192,"Experiment",J$5,"date",J$6)=0,NA(),GETPIVOTDATA(_xlfn.VALUETOTEXT($A$4),'PREFILL-PIVOT'!$A$3,_xlfn.VALUETOTEXT($A$6),$A192,"Experiment",J$5,"date",J$6))</f>
        <v>#REF!</v>
      </c>
      <c r="K192" t="e">
        <f>IF(GETPIVOTDATA(_xlfn.VALUETOTEXT($A$4),'PREFILL-PIVOT'!$A$3,_xlfn.VALUETOTEXT($A$6),$A192,"Experiment",K$5,"date",K$6)=0,NA(),GETPIVOTDATA(_xlfn.VALUETOTEXT($A$4),'PREFILL-PIVOT'!$A$3,_xlfn.VALUETOTEXT($A$6),$A192,"Experiment",K$5,"date",K$6))</f>
        <v>#REF!</v>
      </c>
      <c r="L192" t="e">
        <f>IF(GETPIVOTDATA(_xlfn.VALUETOTEXT($A$4),'PREFILL-PIVOT'!$A$3,_xlfn.VALUETOTEXT($A$6),$A192,"Experiment",L$5,"date",L$6)=0,NA(),GETPIVOTDATA(_xlfn.VALUETOTEXT($A$4),'PREFILL-PIVOT'!$A$3,_xlfn.VALUETOTEXT($A$6),$A192,"Experiment",L$5,"date",L$6))</f>
        <v>#REF!</v>
      </c>
      <c r="M192" t="e">
        <f>IF(GETPIVOTDATA(_xlfn.VALUETOTEXT($A$4),'PREFILL-PIVOT'!$A$3,_xlfn.VALUETOTEXT($A$6),$A192,"Experiment",M$5,"date",M$6)=0,NA(),GETPIVOTDATA(_xlfn.VALUETOTEXT($A$4),'PREFILL-PIVOT'!$A$3,_xlfn.VALUETOTEXT($A$6),$A192,"Experiment",M$5,"date",M$6))</f>
        <v>#REF!</v>
      </c>
    </row>
    <row r="193" spans="1:13" x14ac:dyDescent="0.25">
      <c r="A193" s="222" t="e">
        <f>IF('PREFILL-PIVOT'!A191=0,NA(),'PREFILL-PIVOT'!A191)</f>
        <v>#N/A</v>
      </c>
      <c r="B193" t="e">
        <f>IF(GETPIVOTDATA(_xlfn.VALUETOTEXT($A$4),'PREFILL-PIVOT'!$A$3,_xlfn.VALUETOTEXT($A$6),$A193,"Experiment",B$5,"date",B$6)=0,NA(),GETPIVOTDATA(_xlfn.VALUETOTEXT($A$4),'PREFILL-PIVOT'!$A$3,_xlfn.VALUETOTEXT($A$6),$A193,"Experiment",B$5,"date",B$6))</f>
        <v>#REF!</v>
      </c>
      <c r="C193" t="e">
        <f>IF(GETPIVOTDATA(_xlfn.VALUETOTEXT($A$4),'PREFILL-PIVOT'!$A$3,_xlfn.VALUETOTEXT($A$6),$A193,"Experiment",C$5,"date",C$6)=0,NA(),GETPIVOTDATA(_xlfn.VALUETOTEXT($A$4),'PREFILL-PIVOT'!$A$3,_xlfn.VALUETOTEXT($A$6),$A193,"Experiment",C$5,"date",C$6))</f>
        <v>#REF!</v>
      </c>
      <c r="D193" t="e">
        <f>IF(GETPIVOTDATA(_xlfn.VALUETOTEXT($A$4),'PREFILL-PIVOT'!$A$3,_xlfn.VALUETOTEXT($A$6),$A193,"Experiment",D$5,"date",D$6)=0,NA(),GETPIVOTDATA(_xlfn.VALUETOTEXT($A$4),'PREFILL-PIVOT'!$A$3,_xlfn.VALUETOTEXT($A$6),$A193,"Experiment",D$5,"date",D$6))</f>
        <v>#REF!</v>
      </c>
      <c r="E193" t="e">
        <f>IF(GETPIVOTDATA(_xlfn.VALUETOTEXT($A$4),'PREFILL-PIVOT'!$A$3,_xlfn.VALUETOTEXT($A$6),$A193,"Experiment",E$5,"date",E$6)=0,NA(),GETPIVOTDATA(_xlfn.VALUETOTEXT($A$4),'PREFILL-PIVOT'!$A$3,_xlfn.VALUETOTEXT($A$6),$A193,"Experiment",E$5,"date",E$6))</f>
        <v>#REF!</v>
      </c>
      <c r="F193" t="e">
        <f>IF(GETPIVOTDATA(_xlfn.VALUETOTEXT($A$4),'PREFILL-PIVOT'!$A$3,_xlfn.VALUETOTEXT($A$6),$A193,"Experiment",F$5,"date",F$6)=0,NA(),GETPIVOTDATA(_xlfn.VALUETOTEXT($A$4),'PREFILL-PIVOT'!$A$3,_xlfn.VALUETOTEXT($A$6),$A193,"Experiment",F$5,"date",F$6))</f>
        <v>#REF!</v>
      </c>
      <c r="G193" t="e">
        <f>IF(GETPIVOTDATA(_xlfn.VALUETOTEXT($A$4),'PREFILL-PIVOT'!$A$3,_xlfn.VALUETOTEXT($A$6),$A193,"Experiment",G$5,"date",G$6)=0,NA(),GETPIVOTDATA(_xlfn.VALUETOTEXT($A$4),'PREFILL-PIVOT'!$A$3,_xlfn.VALUETOTEXT($A$6),$A193,"Experiment",G$5,"date",G$6))</f>
        <v>#REF!</v>
      </c>
      <c r="H193" t="e">
        <f>IF(GETPIVOTDATA(_xlfn.VALUETOTEXT($A$4),'PREFILL-PIVOT'!$A$3,_xlfn.VALUETOTEXT($A$6),$A193,"Experiment",H$5,"date",H$6)=0,NA(),GETPIVOTDATA(_xlfn.VALUETOTEXT($A$4),'PREFILL-PIVOT'!$A$3,_xlfn.VALUETOTEXT($A$6),$A193,"Experiment",H$5,"date",H$6))</f>
        <v>#REF!</v>
      </c>
      <c r="I193" t="e">
        <f>IF(GETPIVOTDATA(_xlfn.VALUETOTEXT($A$4),'PREFILL-PIVOT'!$A$3,_xlfn.VALUETOTEXT($A$6),$A193,"Experiment",I$5,"date",I$6)=0,NA(),GETPIVOTDATA(_xlfn.VALUETOTEXT($A$4),'PREFILL-PIVOT'!$A$3,_xlfn.VALUETOTEXT($A$6),$A193,"Experiment",I$5,"date",I$6))</f>
        <v>#REF!</v>
      </c>
      <c r="J193" t="e">
        <f>IF(GETPIVOTDATA(_xlfn.VALUETOTEXT($A$4),'PREFILL-PIVOT'!$A$3,_xlfn.VALUETOTEXT($A$6),$A193,"Experiment",J$5,"date",J$6)=0,NA(),GETPIVOTDATA(_xlfn.VALUETOTEXT($A$4),'PREFILL-PIVOT'!$A$3,_xlfn.VALUETOTEXT($A$6),$A193,"Experiment",J$5,"date",J$6))</f>
        <v>#REF!</v>
      </c>
      <c r="K193" t="e">
        <f>IF(GETPIVOTDATA(_xlfn.VALUETOTEXT($A$4),'PREFILL-PIVOT'!$A$3,_xlfn.VALUETOTEXT($A$6),$A193,"Experiment",K$5,"date",K$6)=0,NA(),GETPIVOTDATA(_xlfn.VALUETOTEXT($A$4),'PREFILL-PIVOT'!$A$3,_xlfn.VALUETOTEXT($A$6),$A193,"Experiment",K$5,"date",K$6))</f>
        <v>#REF!</v>
      </c>
      <c r="L193" t="e">
        <f>IF(GETPIVOTDATA(_xlfn.VALUETOTEXT($A$4),'PREFILL-PIVOT'!$A$3,_xlfn.VALUETOTEXT($A$6),$A193,"Experiment",L$5,"date",L$6)=0,NA(),GETPIVOTDATA(_xlfn.VALUETOTEXT($A$4),'PREFILL-PIVOT'!$A$3,_xlfn.VALUETOTEXT($A$6),$A193,"Experiment",L$5,"date",L$6))</f>
        <v>#REF!</v>
      </c>
      <c r="M193" t="e">
        <f>IF(GETPIVOTDATA(_xlfn.VALUETOTEXT($A$4),'PREFILL-PIVOT'!$A$3,_xlfn.VALUETOTEXT($A$6),$A193,"Experiment",M$5,"date",M$6)=0,NA(),GETPIVOTDATA(_xlfn.VALUETOTEXT($A$4),'PREFILL-PIVOT'!$A$3,_xlfn.VALUETOTEXT($A$6),$A193,"Experiment",M$5,"date",M$6))</f>
        <v>#REF!</v>
      </c>
    </row>
    <row r="194" spans="1:13" x14ac:dyDescent="0.25">
      <c r="A194" s="222" t="e">
        <f>IF('PREFILL-PIVOT'!A192=0,NA(),'PREFILL-PIVOT'!A192)</f>
        <v>#N/A</v>
      </c>
      <c r="B194" t="e">
        <f>IF(GETPIVOTDATA(_xlfn.VALUETOTEXT($A$4),'PREFILL-PIVOT'!$A$3,_xlfn.VALUETOTEXT($A$6),$A194,"Experiment",B$5,"date",B$6)=0,NA(),GETPIVOTDATA(_xlfn.VALUETOTEXT($A$4),'PREFILL-PIVOT'!$A$3,_xlfn.VALUETOTEXT($A$6),$A194,"Experiment",B$5,"date",B$6))</f>
        <v>#REF!</v>
      </c>
      <c r="C194" t="e">
        <f>IF(GETPIVOTDATA(_xlfn.VALUETOTEXT($A$4),'PREFILL-PIVOT'!$A$3,_xlfn.VALUETOTEXT($A$6),$A194,"Experiment",C$5,"date",C$6)=0,NA(),GETPIVOTDATA(_xlfn.VALUETOTEXT($A$4),'PREFILL-PIVOT'!$A$3,_xlfn.VALUETOTEXT($A$6),$A194,"Experiment",C$5,"date",C$6))</f>
        <v>#REF!</v>
      </c>
      <c r="D194" t="e">
        <f>IF(GETPIVOTDATA(_xlfn.VALUETOTEXT($A$4),'PREFILL-PIVOT'!$A$3,_xlfn.VALUETOTEXT($A$6),$A194,"Experiment",D$5,"date",D$6)=0,NA(),GETPIVOTDATA(_xlfn.VALUETOTEXT($A$4),'PREFILL-PIVOT'!$A$3,_xlfn.VALUETOTEXT($A$6),$A194,"Experiment",D$5,"date",D$6))</f>
        <v>#REF!</v>
      </c>
      <c r="E194" t="e">
        <f>IF(GETPIVOTDATA(_xlfn.VALUETOTEXT($A$4),'PREFILL-PIVOT'!$A$3,_xlfn.VALUETOTEXT($A$6),$A194,"Experiment",E$5,"date",E$6)=0,NA(),GETPIVOTDATA(_xlfn.VALUETOTEXT($A$4),'PREFILL-PIVOT'!$A$3,_xlfn.VALUETOTEXT($A$6),$A194,"Experiment",E$5,"date",E$6))</f>
        <v>#REF!</v>
      </c>
      <c r="F194" t="e">
        <f>IF(GETPIVOTDATA(_xlfn.VALUETOTEXT($A$4),'PREFILL-PIVOT'!$A$3,_xlfn.VALUETOTEXT($A$6),$A194,"Experiment",F$5,"date",F$6)=0,NA(),GETPIVOTDATA(_xlfn.VALUETOTEXT($A$4),'PREFILL-PIVOT'!$A$3,_xlfn.VALUETOTEXT($A$6),$A194,"Experiment",F$5,"date",F$6))</f>
        <v>#REF!</v>
      </c>
      <c r="G194" t="e">
        <f>IF(GETPIVOTDATA(_xlfn.VALUETOTEXT($A$4),'PREFILL-PIVOT'!$A$3,_xlfn.VALUETOTEXT($A$6),$A194,"Experiment",G$5,"date",G$6)=0,NA(),GETPIVOTDATA(_xlfn.VALUETOTEXT($A$4),'PREFILL-PIVOT'!$A$3,_xlfn.VALUETOTEXT($A$6),$A194,"Experiment",G$5,"date",G$6))</f>
        <v>#REF!</v>
      </c>
      <c r="H194" t="e">
        <f>IF(GETPIVOTDATA(_xlfn.VALUETOTEXT($A$4),'PREFILL-PIVOT'!$A$3,_xlfn.VALUETOTEXT($A$6),$A194,"Experiment",H$5,"date",H$6)=0,NA(),GETPIVOTDATA(_xlfn.VALUETOTEXT($A$4),'PREFILL-PIVOT'!$A$3,_xlfn.VALUETOTEXT($A$6),$A194,"Experiment",H$5,"date",H$6))</f>
        <v>#REF!</v>
      </c>
      <c r="I194" t="e">
        <f>IF(GETPIVOTDATA(_xlfn.VALUETOTEXT($A$4),'PREFILL-PIVOT'!$A$3,_xlfn.VALUETOTEXT($A$6),$A194,"Experiment",I$5,"date",I$6)=0,NA(),GETPIVOTDATA(_xlfn.VALUETOTEXT($A$4),'PREFILL-PIVOT'!$A$3,_xlfn.VALUETOTEXT($A$6),$A194,"Experiment",I$5,"date",I$6))</f>
        <v>#REF!</v>
      </c>
      <c r="J194" t="e">
        <f>IF(GETPIVOTDATA(_xlfn.VALUETOTEXT($A$4),'PREFILL-PIVOT'!$A$3,_xlfn.VALUETOTEXT($A$6),$A194,"Experiment",J$5,"date",J$6)=0,NA(),GETPIVOTDATA(_xlfn.VALUETOTEXT($A$4),'PREFILL-PIVOT'!$A$3,_xlfn.VALUETOTEXT($A$6),$A194,"Experiment",J$5,"date",J$6))</f>
        <v>#REF!</v>
      </c>
      <c r="K194" t="e">
        <f>IF(GETPIVOTDATA(_xlfn.VALUETOTEXT($A$4),'PREFILL-PIVOT'!$A$3,_xlfn.VALUETOTEXT($A$6),$A194,"Experiment",K$5,"date",K$6)=0,NA(),GETPIVOTDATA(_xlfn.VALUETOTEXT($A$4),'PREFILL-PIVOT'!$A$3,_xlfn.VALUETOTEXT($A$6),$A194,"Experiment",K$5,"date",K$6))</f>
        <v>#REF!</v>
      </c>
      <c r="L194" t="e">
        <f>IF(GETPIVOTDATA(_xlfn.VALUETOTEXT($A$4),'PREFILL-PIVOT'!$A$3,_xlfn.VALUETOTEXT($A$6),$A194,"Experiment",L$5,"date",L$6)=0,NA(),GETPIVOTDATA(_xlfn.VALUETOTEXT($A$4),'PREFILL-PIVOT'!$A$3,_xlfn.VALUETOTEXT($A$6),$A194,"Experiment",L$5,"date",L$6))</f>
        <v>#REF!</v>
      </c>
      <c r="M194" t="e">
        <f>IF(GETPIVOTDATA(_xlfn.VALUETOTEXT($A$4),'PREFILL-PIVOT'!$A$3,_xlfn.VALUETOTEXT($A$6),$A194,"Experiment",M$5,"date",M$6)=0,NA(),GETPIVOTDATA(_xlfn.VALUETOTEXT($A$4),'PREFILL-PIVOT'!$A$3,_xlfn.VALUETOTEXT($A$6),$A194,"Experiment",M$5,"date",M$6))</f>
        <v>#REF!</v>
      </c>
    </row>
    <row r="195" spans="1:13" x14ac:dyDescent="0.25">
      <c r="A195" s="222" t="e">
        <f>IF('PREFILL-PIVOT'!A193=0,NA(),'PREFILL-PIVOT'!A193)</f>
        <v>#N/A</v>
      </c>
      <c r="B195" t="e">
        <f>IF(GETPIVOTDATA(_xlfn.VALUETOTEXT($A$4),'PREFILL-PIVOT'!$A$3,_xlfn.VALUETOTEXT($A$6),$A195,"Experiment",B$5,"date",B$6)=0,NA(),GETPIVOTDATA(_xlfn.VALUETOTEXT($A$4),'PREFILL-PIVOT'!$A$3,_xlfn.VALUETOTEXT($A$6),$A195,"Experiment",B$5,"date",B$6))</f>
        <v>#REF!</v>
      </c>
      <c r="C195" t="e">
        <f>IF(GETPIVOTDATA(_xlfn.VALUETOTEXT($A$4),'PREFILL-PIVOT'!$A$3,_xlfn.VALUETOTEXT($A$6),$A195,"Experiment",C$5,"date",C$6)=0,NA(),GETPIVOTDATA(_xlfn.VALUETOTEXT($A$4),'PREFILL-PIVOT'!$A$3,_xlfn.VALUETOTEXT($A$6),$A195,"Experiment",C$5,"date",C$6))</f>
        <v>#REF!</v>
      </c>
      <c r="D195" t="e">
        <f>IF(GETPIVOTDATA(_xlfn.VALUETOTEXT($A$4),'PREFILL-PIVOT'!$A$3,_xlfn.VALUETOTEXT($A$6),$A195,"Experiment",D$5,"date",D$6)=0,NA(),GETPIVOTDATA(_xlfn.VALUETOTEXT($A$4),'PREFILL-PIVOT'!$A$3,_xlfn.VALUETOTEXT($A$6),$A195,"Experiment",D$5,"date",D$6))</f>
        <v>#REF!</v>
      </c>
      <c r="E195" t="e">
        <f>IF(GETPIVOTDATA(_xlfn.VALUETOTEXT($A$4),'PREFILL-PIVOT'!$A$3,_xlfn.VALUETOTEXT($A$6),$A195,"Experiment",E$5,"date",E$6)=0,NA(),GETPIVOTDATA(_xlfn.VALUETOTEXT($A$4),'PREFILL-PIVOT'!$A$3,_xlfn.VALUETOTEXT($A$6),$A195,"Experiment",E$5,"date",E$6))</f>
        <v>#REF!</v>
      </c>
      <c r="F195" t="e">
        <f>IF(GETPIVOTDATA(_xlfn.VALUETOTEXT($A$4),'PREFILL-PIVOT'!$A$3,_xlfn.VALUETOTEXT($A$6),$A195,"Experiment",F$5,"date",F$6)=0,NA(),GETPIVOTDATA(_xlfn.VALUETOTEXT($A$4),'PREFILL-PIVOT'!$A$3,_xlfn.VALUETOTEXT($A$6),$A195,"Experiment",F$5,"date",F$6))</f>
        <v>#REF!</v>
      </c>
      <c r="G195" t="e">
        <f>IF(GETPIVOTDATA(_xlfn.VALUETOTEXT($A$4),'PREFILL-PIVOT'!$A$3,_xlfn.VALUETOTEXT($A$6),$A195,"Experiment",G$5,"date",G$6)=0,NA(),GETPIVOTDATA(_xlfn.VALUETOTEXT($A$4),'PREFILL-PIVOT'!$A$3,_xlfn.VALUETOTEXT($A$6),$A195,"Experiment",G$5,"date",G$6))</f>
        <v>#REF!</v>
      </c>
      <c r="H195" t="e">
        <f>IF(GETPIVOTDATA(_xlfn.VALUETOTEXT($A$4),'PREFILL-PIVOT'!$A$3,_xlfn.VALUETOTEXT($A$6),$A195,"Experiment",H$5,"date",H$6)=0,NA(),GETPIVOTDATA(_xlfn.VALUETOTEXT($A$4),'PREFILL-PIVOT'!$A$3,_xlfn.VALUETOTEXT($A$6),$A195,"Experiment",H$5,"date",H$6))</f>
        <v>#REF!</v>
      </c>
      <c r="I195" t="e">
        <f>IF(GETPIVOTDATA(_xlfn.VALUETOTEXT($A$4),'PREFILL-PIVOT'!$A$3,_xlfn.VALUETOTEXT($A$6),$A195,"Experiment",I$5,"date",I$6)=0,NA(),GETPIVOTDATA(_xlfn.VALUETOTEXT($A$4),'PREFILL-PIVOT'!$A$3,_xlfn.VALUETOTEXT($A$6),$A195,"Experiment",I$5,"date",I$6))</f>
        <v>#REF!</v>
      </c>
      <c r="J195" t="e">
        <f>IF(GETPIVOTDATA(_xlfn.VALUETOTEXT($A$4),'PREFILL-PIVOT'!$A$3,_xlfn.VALUETOTEXT($A$6),$A195,"Experiment",J$5,"date",J$6)=0,NA(),GETPIVOTDATA(_xlfn.VALUETOTEXT($A$4),'PREFILL-PIVOT'!$A$3,_xlfn.VALUETOTEXT($A$6),$A195,"Experiment",J$5,"date",J$6))</f>
        <v>#REF!</v>
      </c>
      <c r="K195" t="e">
        <f>IF(GETPIVOTDATA(_xlfn.VALUETOTEXT($A$4),'PREFILL-PIVOT'!$A$3,_xlfn.VALUETOTEXT($A$6),$A195,"Experiment",K$5,"date",K$6)=0,NA(),GETPIVOTDATA(_xlfn.VALUETOTEXT($A$4),'PREFILL-PIVOT'!$A$3,_xlfn.VALUETOTEXT($A$6),$A195,"Experiment",K$5,"date",K$6))</f>
        <v>#REF!</v>
      </c>
      <c r="L195" t="e">
        <f>IF(GETPIVOTDATA(_xlfn.VALUETOTEXT($A$4),'PREFILL-PIVOT'!$A$3,_xlfn.VALUETOTEXT($A$6),$A195,"Experiment",L$5,"date",L$6)=0,NA(),GETPIVOTDATA(_xlfn.VALUETOTEXT($A$4),'PREFILL-PIVOT'!$A$3,_xlfn.VALUETOTEXT($A$6),$A195,"Experiment",L$5,"date",L$6))</f>
        <v>#REF!</v>
      </c>
      <c r="M195" t="e">
        <f>IF(GETPIVOTDATA(_xlfn.VALUETOTEXT($A$4),'PREFILL-PIVOT'!$A$3,_xlfn.VALUETOTEXT($A$6),$A195,"Experiment",M$5,"date",M$6)=0,NA(),GETPIVOTDATA(_xlfn.VALUETOTEXT($A$4),'PREFILL-PIVOT'!$A$3,_xlfn.VALUETOTEXT($A$6),$A195,"Experiment",M$5,"date",M$6))</f>
        <v>#REF!</v>
      </c>
    </row>
    <row r="196" spans="1:13" x14ac:dyDescent="0.25">
      <c r="A196" s="222" t="e">
        <f>IF('PREFILL-PIVOT'!A194=0,NA(),'PREFILL-PIVOT'!A194)</f>
        <v>#N/A</v>
      </c>
      <c r="B196" t="e">
        <f>IF(GETPIVOTDATA(_xlfn.VALUETOTEXT($A$4),'PREFILL-PIVOT'!$A$3,_xlfn.VALUETOTEXT($A$6),$A196,"Experiment",B$5,"date",B$6)=0,NA(),GETPIVOTDATA(_xlfn.VALUETOTEXT($A$4),'PREFILL-PIVOT'!$A$3,_xlfn.VALUETOTEXT($A$6),$A196,"Experiment",B$5,"date",B$6))</f>
        <v>#REF!</v>
      </c>
      <c r="C196" t="e">
        <f>IF(GETPIVOTDATA(_xlfn.VALUETOTEXT($A$4),'PREFILL-PIVOT'!$A$3,_xlfn.VALUETOTEXT($A$6),$A196,"Experiment",C$5,"date",C$6)=0,NA(),GETPIVOTDATA(_xlfn.VALUETOTEXT($A$4),'PREFILL-PIVOT'!$A$3,_xlfn.VALUETOTEXT($A$6),$A196,"Experiment",C$5,"date",C$6))</f>
        <v>#REF!</v>
      </c>
      <c r="D196" t="e">
        <f>IF(GETPIVOTDATA(_xlfn.VALUETOTEXT($A$4),'PREFILL-PIVOT'!$A$3,_xlfn.VALUETOTEXT($A$6),$A196,"Experiment",D$5,"date",D$6)=0,NA(),GETPIVOTDATA(_xlfn.VALUETOTEXT($A$4),'PREFILL-PIVOT'!$A$3,_xlfn.VALUETOTEXT($A$6),$A196,"Experiment",D$5,"date",D$6))</f>
        <v>#REF!</v>
      </c>
      <c r="E196" t="e">
        <f>IF(GETPIVOTDATA(_xlfn.VALUETOTEXT($A$4),'PREFILL-PIVOT'!$A$3,_xlfn.VALUETOTEXT($A$6),$A196,"Experiment",E$5,"date",E$6)=0,NA(),GETPIVOTDATA(_xlfn.VALUETOTEXT($A$4),'PREFILL-PIVOT'!$A$3,_xlfn.VALUETOTEXT($A$6),$A196,"Experiment",E$5,"date",E$6))</f>
        <v>#REF!</v>
      </c>
      <c r="F196" t="e">
        <f>IF(GETPIVOTDATA(_xlfn.VALUETOTEXT($A$4),'PREFILL-PIVOT'!$A$3,_xlfn.VALUETOTEXT($A$6),$A196,"Experiment",F$5,"date",F$6)=0,NA(),GETPIVOTDATA(_xlfn.VALUETOTEXT($A$4),'PREFILL-PIVOT'!$A$3,_xlfn.VALUETOTEXT($A$6),$A196,"Experiment",F$5,"date",F$6))</f>
        <v>#REF!</v>
      </c>
      <c r="G196" t="e">
        <f>IF(GETPIVOTDATA(_xlfn.VALUETOTEXT($A$4),'PREFILL-PIVOT'!$A$3,_xlfn.VALUETOTEXT($A$6),$A196,"Experiment",G$5,"date",G$6)=0,NA(),GETPIVOTDATA(_xlfn.VALUETOTEXT($A$4),'PREFILL-PIVOT'!$A$3,_xlfn.VALUETOTEXT($A$6),$A196,"Experiment",G$5,"date",G$6))</f>
        <v>#REF!</v>
      </c>
      <c r="H196" t="e">
        <f>IF(GETPIVOTDATA(_xlfn.VALUETOTEXT($A$4),'PREFILL-PIVOT'!$A$3,_xlfn.VALUETOTEXT($A$6),$A196,"Experiment",H$5,"date",H$6)=0,NA(),GETPIVOTDATA(_xlfn.VALUETOTEXT($A$4),'PREFILL-PIVOT'!$A$3,_xlfn.VALUETOTEXT($A$6),$A196,"Experiment",H$5,"date",H$6))</f>
        <v>#REF!</v>
      </c>
      <c r="I196" t="e">
        <f>IF(GETPIVOTDATA(_xlfn.VALUETOTEXT($A$4),'PREFILL-PIVOT'!$A$3,_xlfn.VALUETOTEXT($A$6),$A196,"Experiment",I$5,"date",I$6)=0,NA(),GETPIVOTDATA(_xlfn.VALUETOTEXT($A$4),'PREFILL-PIVOT'!$A$3,_xlfn.VALUETOTEXT($A$6),$A196,"Experiment",I$5,"date",I$6))</f>
        <v>#REF!</v>
      </c>
      <c r="J196" t="e">
        <f>IF(GETPIVOTDATA(_xlfn.VALUETOTEXT($A$4),'PREFILL-PIVOT'!$A$3,_xlfn.VALUETOTEXT($A$6),$A196,"Experiment",J$5,"date",J$6)=0,NA(),GETPIVOTDATA(_xlfn.VALUETOTEXT($A$4),'PREFILL-PIVOT'!$A$3,_xlfn.VALUETOTEXT($A$6),$A196,"Experiment",J$5,"date",J$6))</f>
        <v>#REF!</v>
      </c>
      <c r="K196" t="e">
        <f>IF(GETPIVOTDATA(_xlfn.VALUETOTEXT($A$4),'PREFILL-PIVOT'!$A$3,_xlfn.VALUETOTEXT($A$6),$A196,"Experiment",K$5,"date",K$6)=0,NA(),GETPIVOTDATA(_xlfn.VALUETOTEXT($A$4),'PREFILL-PIVOT'!$A$3,_xlfn.VALUETOTEXT($A$6),$A196,"Experiment",K$5,"date",K$6))</f>
        <v>#REF!</v>
      </c>
      <c r="L196" t="e">
        <f>IF(GETPIVOTDATA(_xlfn.VALUETOTEXT($A$4),'PREFILL-PIVOT'!$A$3,_xlfn.VALUETOTEXT($A$6),$A196,"Experiment",L$5,"date",L$6)=0,NA(),GETPIVOTDATA(_xlfn.VALUETOTEXT($A$4),'PREFILL-PIVOT'!$A$3,_xlfn.VALUETOTEXT($A$6),$A196,"Experiment",L$5,"date",L$6))</f>
        <v>#REF!</v>
      </c>
      <c r="M196" t="e">
        <f>IF(GETPIVOTDATA(_xlfn.VALUETOTEXT($A$4),'PREFILL-PIVOT'!$A$3,_xlfn.VALUETOTEXT($A$6),$A196,"Experiment",M$5,"date",M$6)=0,NA(),GETPIVOTDATA(_xlfn.VALUETOTEXT($A$4),'PREFILL-PIVOT'!$A$3,_xlfn.VALUETOTEXT($A$6),$A196,"Experiment",M$5,"date",M$6))</f>
        <v>#REF!</v>
      </c>
    </row>
    <row r="197" spans="1:13" x14ac:dyDescent="0.25">
      <c r="A197" s="222" t="e">
        <f>IF('PREFILL-PIVOT'!A195=0,NA(),'PREFILL-PIVOT'!A195)</f>
        <v>#N/A</v>
      </c>
      <c r="B197" t="e">
        <f>IF(GETPIVOTDATA(_xlfn.VALUETOTEXT($A$4),'PREFILL-PIVOT'!$A$3,_xlfn.VALUETOTEXT($A$6),$A197,"Experiment",B$5,"date",B$6)=0,NA(),GETPIVOTDATA(_xlfn.VALUETOTEXT($A$4),'PREFILL-PIVOT'!$A$3,_xlfn.VALUETOTEXT($A$6),$A197,"Experiment",B$5,"date",B$6))</f>
        <v>#REF!</v>
      </c>
      <c r="C197" t="e">
        <f>IF(GETPIVOTDATA(_xlfn.VALUETOTEXT($A$4),'PREFILL-PIVOT'!$A$3,_xlfn.VALUETOTEXT($A$6),$A197,"Experiment",C$5,"date",C$6)=0,NA(),GETPIVOTDATA(_xlfn.VALUETOTEXT($A$4),'PREFILL-PIVOT'!$A$3,_xlfn.VALUETOTEXT($A$6),$A197,"Experiment",C$5,"date",C$6))</f>
        <v>#REF!</v>
      </c>
      <c r="D197" t="e">
        <f>IF(GETPIVOTDATA(_xlfn.VALUETOTEXT($A$4),'PREFILL-PIVOT'!$A$3,_xlfn.VALUETOTEXT($A$6),$A197,"Experiment",D$5,"date",D$6)=0,NA(),GETPIVOTDATA(_xlfn.VALUETOTEXT($A$4),'PREFILL-PIVOT'!$A$3,_xlfn.VALUETOTEXT($A$6),$A197,"Experiment",D$5,"date",D$6))</f>
        <v>#REF!</v>
      </c>
      <c r="E197" t="e">
        <f>IF(GETPIVOTDATA(_xlfn.VALUETOTEXT($A$4),'PREFILL-PIVOT'!$A$3,_xlfn.VALUETOTEXT($A$6),$A197,"Experiment",E$5,"date",E$6)=0,NA(),GETPIVOTDATA(_xlfn.VALUETOTEXT($A$4),'PREFILL-PIVOT'!$A$3,_xlfn.VALUETOTEXT($A$6),$A197,"Experiment",E$5,"date",E$6))</f>
        <v>#REF!</v>
      </c>
      <c r="F197" t="e">
        <f>IF(GETPIVOTDATA(_xlfn.VALUETOTEXT($A$4),'PREFILL-PIVOT'!$A$3,_xlfn.VALUETOTEXT($A$6),$A197,"Experiment",F$5,"date",F$6)=0,NA(),GETPIVOTDATA(_xlfn.VALUETOTEXT($A$4),'PREFILL-PIVOT'!$A$3,_xlfn.VALUETOTEXT($A$6),$A197,"Experiment",F$5,"date",F$6))</f>
        <v>#REF!</v>
      </c>
      <c r="G197" t="e">
        <f>IF(GETPIVOTDATA(_xlfn.VALUETOTEXT($A$4),'PREFILL-PIVOT'!$A$3,_xlfn.VALUETOTEXT($A$6),$A197,"Experiment",G$5,"date",G$6)=0,NA(),GETPIVOTDATA(_xlfn.VALUETOTEXT($A$4),'PREFILL-PIVOT'!$A$3,_xlfn.VALUETOTEXT($A$6),$A197,"Experiment",G$5,"date",G$6))</f>
        <v>#REF!</v>
      </c>
      <c r="H197" t="e">
        <f>IF(GETPIVOTDATA(_xlfn.VALUETOTEXT($A$4),'PREFILL-PIVOT'!$A$3,_xlfn.VALUETOTEXT($A$6),$A197,"Experiment",H$5,"date",H$6)=0,NA(),GETPIVOTDATA(_xlfn.VALUETOTEXT($A$4),'PREFILL-PIVOT'!$A$3,_xlfn.VALUETOTEXT($A$6),$A197,"Experiment",H$5,"date",H$6))</f>
        <v>#REF!</v>
      </c>
      <c r="I197" t="e">
        <f>IF(GETPIVOTDATA(_xlfn.VALUETOTEXT($A$4),'PREFILL-PIVOT'!$A$3,_xlfn.VALUETOTEXT($A$6),$A197,"Experiment",I$5,"date",I$6)=0,NA(),GETPIVOTDATA(_xlfn.VALUETOTEXT($A$4),'PREFILL-PIVOT'!$A$3,_xlfn.VALUETOTEXT($A$6),$A197,"Experiment",I$5,"date",I$6))</f>
        <v>#REF!</v>
      </c>
      <c r="J197" t="e">
        <f>IF(GETPIVOTDATA(_xlfn.VALUETOTEXT($A$4),'PREFILL-PIVOT'!$A$3,_xlfn.VALUETOTEXT($A$6),$A197,"Experiment",J$5,"date",J$6)=0,NA(),GETPIVOTDATA(_xlfn.VALUETOTEXT($A$4),'PREFILL-PIVOT'!$A$3,_xlfn.VALUETOTEXT($A$6),$A197,"Experiment",J$5,"date",J$6))</f>
        <v>#REF!</v>
      </c>
      <c r="K197" t="e">
        <f>IF(GETPIVOTDATA(_xlfn.VALUETOTEXT($A$4),'PREFILL-PIVOT'!$A$3,_xlfn.VALUETOTEXT($A$6),$A197,"Experiment",K$5,"date",K$6)=0,NA(),GETPIVOTDATA(_xlfn.VALUETOTEXT($A$4),'PREFILL-PIVOT'!$A$3,_xlfn.VALUETOTEXT($A$6),$A197,"Experiment",K$5,"date",K$6))</f>
        <v>#REF!</v>
      </c>
      <c r="L197" t="e">
        <f>IF(GETPIVOTDATA(_xlfn.VALUETOTEXT($A$4),'PREFILL-PIVOT'!$A$3,_xlfn.VALUETOTEXT($A$6),$A197,"Experiment",L$5,"date",L$6)=0,NA(),GETPIVOTDATA(_xlfn.VALUETOTEXT($A$4),'PREFILL-PIVOT'!$A$3,_xlfn.VALUETOTEXT($A$6),$A197,"Experiment",L$5,"date",L$6))</f>
        <v>#REF!</v>
      </c>
      <c r="M197" t="e">
        <f>IF(GETPIVOTDATA(_xlfn.VALUETOTEXT($A$4),'PREFILL-PIVOT'!$A$3,_xlfn.VALUETOTEXT($A$6),$A197,"Experiment",M$5,"date",M$6)=0,NA(),GETPIVOTDATA(_xlfn.VALUETOTEXT($A$4),'PREFILL-PIVOT'!$A$3,_xlfn.VALUETOTEXT($A$6),$A197,"Experiment",M$5,"date",M$6))</f>
        <v>#REF!</v>
      </c>
    </row>
    <row r="198" spans="1:13" x14ac:dyDescent="0.25">
      <c r="A198" s="222" t="e">
        <f>IF('PREFILL-PIVOT'!A196=0,NA(),'PREFILL-PIVOT'!A196)</f>
        <v>#N/A</v>
      </c>
      <c r="B198" t="e">
        <f>IF(GETPIVOTDATA(_xlfn.VALUETOTEXT($A$4),'PREFILL-PIVOT'!$A$3,_xlfn.VALUETOTEXT($A$6),$A198,"Experiment",B$5,"date",B$6)=0,NA(),GETPIVOTDATA(_xlfn.VALUETOTEXT($A$4),'PREFILL-PIVOT'!$A$3,_xlfn.VALUETOTEXT($A$6),$A198,"Experiment",B$5,"date",B$6))</f>
        <v>#REF!</v>
      </c>
      <c r="C198" t="e">
        <f>IF(GETPIVOTDATA(_xlfn.VALUETOTEXT($A$4),'PREFILL-PIVOT'!$A$3,_xlfn.VALUETOTEXT($A$6),$A198,"Experiment",C$5,"date",C$6)=0,NA(),GETPIVOTDATA(_xlfn.VALUETOTEXT($A$4),'PREFILL-PIVOT'!$A$3,_xlfn.VALUETOTEXT($A$6),$A198,"Experiment",C$5,"date",C$6))</f>
        <v>#REF!</v>
      </c>
      <c r="D198" t="e">
        <f>IF(GETPIVOTDATA(_xlfn.VALUETOTEXT($A$4),'PREFILL-PIVOT'!$A$3,_xlfn.VALUETOTEXT($A$6),$A198,"Experiment",D$5,"date",D$6)=0,NA(),GETPIVOTDATA(_xlfn.VALUETOTEXT($A$4),'PREFILL-PIVOT'!$A$3,_xlfn.VALUETOTEXT($A$6),$A198,"Experiment",D$5,"date",D$6))</f>
        <v>#REF!</v>
      </c>
      <c r="E198" t="e">
        <f>IF(GETPIVOTDATA(_xlfn.VALUETOTEXT($A$4),'PREFILL-PIVOT'!$A$3,_xlfn.VALUETOTEXT($A$6),$A198,"Experiment",E$5,"date",E$6)=0,NA(),GETPIVOTDATA(_xlfn.VALUETOTEXT($A$4),'PREFILL-PIVOT'!$A$3,_xlfn.VALUETOTEXT($A$6),$A198,"Experiment",E$5,"date",E$6))</f>
        <v>#REF!</v>
      </c>
      <c r="F198" t="e">
        <f>IF(GETPIVOTDATA(_xlfn.VALUETOTEXT($A$4),'PREFILL-PIVOT'!$A$3,_xlfn.VALUETOTEXT($A$6),$A198,"Experiment",F$5,"date",F$6)=0,NA(),GETPIVOTDATA(_xlfn.VALUETOTEXT($A$4),'PREFILL-PIVOT'!$A$3,_xlfn.VALUETOTEXT($A$6),$A198,"Experiment",F$5,"date",F$6))</f>
        <v>#REF!</v>
      </c>
      <c r="G198" t="e">
        <f>IF(GETPIVOTDATA(_xlfn.VALUETOTEXT($A$4),'PREFILL-PIVOT'!$A$3,_xlfn.VALUETOTEXT($A$6),$A198,"Experiment",G$5,"date",G$6)=0,NA(),GETPIVOTDATA(_xlfn.VALUETOTEXT($A$4),'PREFILL-PIVOT'!$A$3,_xlfn.VALUETOTEXT($A$6),$A198,"Experiment",G$5,"date",G$6))</f>
        <v>#REF!</v>
      </c>
      <c r="H198" t="e">
        <f>IF(GETPIVOTDATA(_xlfn.VALUETOTEXT($A$4),'PREFILL-PIVOT'!$A$3,_xlfn.VALUETOTEXT($A$6),$A198,"Experiment",H$5,"date",H$6)=0,NA(),GETPIVOTDATA(_xlfn.VALUETOTEXT($A$4),'PREFILL-PIVOT'!$A$3,_xlfn.VALUETOTEXT($A$6),$A198,"Experiment",H$5,"date",H$6))</f>
        <v>#REF!</v>
      </c>
      <c r="I198" t="e">
        <f>IF(GETPIVOTDATA(_xlfn.VALUETOTEXT($A$4),'PREFILL-PIVOT'!$A$3,_xlfn.VALUETOTEXT($A$6),$A198,"Experiment",I$5,"date",I$6)=0,NA(),GETPIVOTDATA(_xlfn.VALUETOTEXT($A$4),'PREFILL-PIVOT'!$A$3,_xlfn.VALUETOTEXT($A$6),$A198,"Experiment",I$5,"date",I$6))</f>
        <v>#REF!</v>
      </c>
      <c r="J198" t="e">
        <f>IF(GETPIVOTDATA(_xlfn.VALUETOTEXT($A$4),'PREFILL-PIVOT'!$A$3,_xlfn.VALUETOTEXT($A$6),$A198,"Experiment",J$5,"date",J$6)=0,NA(),GETPIVOTDATA(_xlfn.VALUETOTEXT($A$4),'PREFILL-PIVOT'!$A$3,_xlfn.VALUETOTEXT($A$6),$A198,"Experiment",J$5,"date",J$6))</f>
        <v>#REF!</v>
      </c>
      <c r="K198" t="e">
        <f>IF(GETPIVOTDATA(_xlfn.VALUETOTEXT($A$4),'PREFILL-PIVOT'!$A$3,_xlfn.VALUETOTEXT($A$6),$A198,"Experiment",K$5,"date",K$6)=0,NA(),GETPIVOTDATA(_xlfn.VALUETOTEXT($A$4),'PREFILL-PIVOT'!$A$3,_xlfn.VALUETOTEXT($A$6),$A198,"Experiment",K$5,"date",K$6))</f>
        <v>#REF!</v>
      </c>
      <c r="L198" t="e">
        <f>IF(GETPIVOTDATA(_xlfn.VALUETOTEXT($A$4),'PREFILL-PIVOT'!$A$3,_xlfn.VALUETOTEXT($A$6),$A198,"Experiment",L$5,"date",L$6)=0,NA(),GETPIVOTDATA(_xlfn.VALUETOTEXT($A$4),'PREFILL-PIVOT'!$A$3,_xlfn.VALUETOTEXT($A$6),$A198,"Experiment",L$5,"date",L$6))</f>
        <v>#REF!</v>
      </c>
      <c r="M198" t="e">
        <f>IF(GETPIVOTDATA(_xlfn.VALUETOTEXT($A$4),'PREFILL-PIVOT'!$A$3,_xlfn.VALUETOTEXT($A$6),$A198,"Experiment",M$5,"date",M$6)=0,NA(),GETPIVOTDATA(_xlfn.VALUETOTEXT($A$4),'PREFILL-PIVOT'!$A$3,_xlfn.VALUETOTEXT($A$6),$A198,"Experiment",M$5,"date",M$6))</f>
        <v>#REF!</v>
      </c>
    </row>
    <row r="199" spans="1:13" x14ac:dyDescent="0.25">
      <c r="A199" s="222" t="e">
        <f>IF('PREFILL-PIVOT'!A197=0,NA(),'PREFILL-PIVOT'!A197)</f>
        <v>#N/A</v>
      </c>
      <c r="B199" t="e">
        <f>IF(GETPIVOTDATA(_xlfn.VALUETOTEXT($A$4),'PREFILL-PIVOT'!$A$3,_xlfn.VALUETOTEXT($A$6),$A199,"Experiment",B$5,"date",B$6)=0,NA(),GETPIVOTDATA(_xlfn.VALUETOTEXT($A$4),'PREFILL-PIVOT'!$A$3,_xlfn.VALUETOTEXT($A$6),$A199,"Experiment",B$5,"date",B$6))</f>
        <v>#REF!</v>
      </c>
      <c r="C199" t="e">
        <f>IF(GETPIVOTDATA(_xlfn.VALUETOTEXT($A$4),'PREFILL-PIVOT'!$A$3,_xlfn.VALUETOTEXT($A$6),$A199,"Experiment",C$5,"date",C$6)=0,NA(),GETPIVOTDATA(_xlfn.VALUETOTEXT($A$4),'PREFILL-PIVOT'!$A$3,_xlfn.VALUETOTEXT($A$6),$A199,"Experiment",C$5,"date",C$6))</f>
        <v>#REF!</v>
      </c>
      <c r="D199" t="e">
        <f>IF(GETPIVOTDATA(_xlfn.VALUETOTEXT($A$4),'PREFILL-PIVOT'!$A$3,_xlfn.VALUETOTEXT($A$6),$A199,"Experiment",D$5,"date",D$6)=0,NA(),GETPIVOTDATA(_xlfn.VALUETOTEXT($A$4),'PREFILL-PIVOT'!$A$3,_xlfn.VALUETOTEXT($A$6),$A199,"Experiment",D$5,"date",D$6))</f>
        <v>#REF!</v>
      </c>
      <c r="E199" t="e">
        <f>IF(GETPIVOTDATA(_xlfn.VALUETOTEXT($A$4),'PREFILL-PIVOT'!$A$3,_xlfn.VALUETOTEXT($A$6),$A199,"Experiment",E$5,"date",E$6)=0,NA(),GETPIVOTDATA(_xlfn.VALUETOTEXT($A$4),'PREFILL-PIVOT'!$A$3,_xlfn.VALUETOTEXT($A$6),$A199,"Experiment",E$5,"date",E$6))</f>
        <v>#REF!</v>
      </c>
      <c r="F199" t="e">
        <f>IF(GETPIVOTDATA(_xlfn.VALUETOTEXT($A$4),'PREFILL-PIVOT'!$A$3,_xlfn.VALUETOTEXT($A$6),$A199,"Experiment",F$5,"date",F$6)=0,NA(),GETPIVOTDATA(_xlfn.VALUETOTEXT($A$4),'PREFILL-PIVOT'!$A$3,_xlfn.VALUETOTEXT($A$6),$A199,"Experiment",F$5,"date",F$6))</f>
        <v>#REF!</v>
      </c>
      <c r="G199" t="e">
        <f>IF(GETPIVOTDATA(_xlfn.VALUETOTEXT($A$4),'PREFILL-PIVOT'!$A$3,_xlfn.VALUETOTEXT($A$6),$A199,"Experiment",G$5,"date",G$6)=0,NA(),GETPIVOTDATA(_xlfn.VALUETOTEXT($A$4),'PREFILL-PIVOT'!$A$3,_xlfn.VALUETOTEXT($A$6),$A199,"Experiment",G$5,"date",G$6))</f>
        <v>#REF!</v>
      </c>
      <c r="H199" t="e">
        <f>IF(GETPIVOTDATA(_xlfn.VALUETOTEXT($A$4),'PREFILL-PIVOT'!$A$3,_xlfn.VALUETOTEXT($A$6),$A199,"Experiment",H$5,"date",H$6)=0,NA(),GETPIVOTDATA(_xlfn.VALUETOTEXT($A$4),'PREFILL-PIVOT'!$A$3,_xlfn.VALUETOTEXT($A$6),$A199,"Experiment",H$5,"date",H$6))</f>
        <v>#REF!</v>
      </c>
      <c r="I199" t="e">
        <f>IF(GETPIVOTDATA(_xlfn.VALUETOTEXT($A$4),'PREFILL-PIVOT'!$A$3,_xlfn.VALUETOTEXT($A$6),$A199,"Experiment",I$5,"date",I$6)=0,NA(),GETPIVOTDATA(_xlfn.VALUETOTEXT($A$4),'PREFILL-PIVOT'!$A$3,_xlfn.VALUETOTEXT($A$6),$A199,"Experiment",I$5,"date",I$6))</f>
        <v>#REF!</v>
      </c>
      <c r="J199" t="e">
        <f>IF(GETPIVOTDATA(_xlfn.VALUETOTEXT($A$4),'PREFILL-PIVOT'!$A$3,_xlfn.VALUETOTEXT($A$6),$A199,"Experiment",J$5,"date",J$6)=0,NA(),GETPIVOTDATA(_xlfn.VALUETOTEXT($A$4),'PREFILL-PIVOT'!$A$3,_xlfn.VALUETOTEXT($A$6),$A199,"Experiment",J$5,"date",J$6))</f>
        <v>#REF!</v>
      </c>
      <c r="K199" t="e">
        <f>IF(GETPIVOTDATA(_xlfn.VALUETOTEXT($A$4),'PREFILL-PIVOT'!$A$3,_xlfn.VALUETOTEXT($A$6),$A199,"Experiment",K$5,"date",K$6)=0,NA(),GETPIVOTDATA(_xlfn.VALUETOTEXT($A$4),'PREFILL-PIVOT'!$A$3,_xlfn.VALUETOTEXT($A$6),$A199,"Experiment",K$5,"date",K$6))</f>
        <v>#REF!</v>
      </c>
      <c r="L199" t="e">
        <f>IF(GETPIVOTDATA(_xlfn.VALUETOTEXT($A$4),'PREFILL-PIVOT'!$A$3,_xlfn.VALUETOTEXT($A$6),$A199,"Experiment",L$5,"date",L$6)=0,NA(),GETPIVOTDATA(_xlfn.VALUETOTEXT($A$4),'PREFILL-PIVOT'!$A$3,_xlfn.VALUETOTEXT($A$6),$A199,"Experiment",L$5,"date",L$6))</f>
        <v>#REF!</v>
      </c>
      <c r="M199" t="e">
        <f>IF(GETPIVOTDATA(_xlfn.VALUETOTEXT($A$4),'PREFILL-PIVOT'!$A$3,_xlfn.VALUETOTEXT($A$6),$A199,"Experiment",M$5,"date",M$6)=0,NA(),GETPIVOTDATA(_xlfn.VALUETOTEXT($A$4),'PREFILL-PIVOT'!$A$3,_xlfn.VALUETOTEXT($A$6),$A199,"Experiment",M$5,"date",M$6))</f>
        <v>#REF!</v>
      </c>
    </row>
    <row r="200" spans="1:13" x14ac:dyDescent="0.25">
      <c r="A200" s="222" t="e">
        <f>IF('PREFILL-PIVOT'!A198=0,NA(),'PREFILL-PIVOT'!A198)</f>
        <v>#N/A</v>
      </c>
      <c r="B200" t="e">
        <f>IF(GETPIVOTDATA(_xlfn.VALUETOTEXT($A$4),'PREFILL-PIVOT'!$A$3,_xlfn.VALUETOTEXT($A$6),$A200,"Experiment",B$5,"date",B$6)=0,NA(),GETPIVOTDATA(_xlfn.VALUETOTEXT($A$4),'PREFILL-PIVOT'!$A$3,_xlfn.VALUETOTEXT($A$6),$A200,"Experiment",B$5,"date",B$6))</f>
        <v>#REF!</v>
      </c>
      <c r="C200" t="e">
        <f>IF(GETPIVOTDATA(_xlfn.VALUETOTEXT($A$4),'PREFILL-PIVOT'!$A$3,_xlfn.VALUETOTEXT($A$6),$A200,"Experiment",C$5,"date",C$6)=0,NA(),GETPIVOTDATA(_xlfn.VALUETOTEXT($A$4),'PREFILL-PIVOT'!$A$3,_xlfn.VALUETOTEXT($A$6),$A200,"Experiment",C$5,"date",C$6))</f>
        <v>#REF!</v>
      </c>
      <c r="D200" t="e">
        <f>IF(GETPIVOTDATA(_xlfn.VALUETOTEXT($A$4),'PREFILL-PIVOT'!$A$3,_xlfn.VALUETOTEXT($A$6),$A200,"Experiment",D$5,"date",D$6)=0,NA(),GETPIVOTDATA(_xlfn.VALUETOTEXT($A$4),'PREFILL-PIVOT'!$A$3,_xlfn.VALUETOTEXT($A$6),$A200,"Experiment",D$5,"date",D$6))</f>
        <v>#REF!</v>
      </c>
      <c r="E200" t="e">
        <f>IF(GETPIVOTDATA(_xlfn.VALUETOTEXT($A$4),'PREFILL-PIVOT'!$A$3,_xlfn.VALUETOTEXT($A$6),$A200,"Experiment",E$5,"date",E$6)=0,NA(),GETPIVOTDATA(_xlfn.VALUETOTEXT($A$4),'PREFILL-PIVOT'!$A$3,_xlfn.VALUETOTEXT($A$6),$A200,"Experiment",E$5,"date",E$6))</f>
        <v>#REF!</v>
      </c>
      <c r="F200" t="e">
        <f>IF(GETPIVOTDATA(_xlfn.VALUETOTEXT($A$4),'PREFILL-PIVOT'!$A$3,_xlfn.VALUETOTEXT($A$6),$A200,"Experiment",F$5,"date",F$6)=0,NA(),GETPIVOTDATA(_xlfn.VALUETOTEXT($A$4),'PREFILL-PIVOT'!$A$3,_xlfn.VALUETOTEXT($A$6),$A200,"Experiment",F$5,"date",F$6))</f>
        <v>#REF!</v>
      </c>
      <c r="G200" t="e">
        <f>IF(GETPIVOTDATA(_xlfn.VALUETOTEXT($A$4),'PREFILL-PIVOT'!$A$3,_xlfn.VALUETOTEXT($A$6),$A200,"Experiment",G$5,"date",G$6)=0,NA(),GETPIVOTDATA(_xlfn.VALUETOTEXT($A$4),'PREFILL-PIVOT'!$A$3,_xlfn.VALUETOTEXT($A$6),$A200,"Experiment",G$5,"date",G$6))</f>
        <v>#REF!</v>
      </c>
      <c r="H200" t="e">
        <f>IF(GETPIVOTDATA(_xlfn.VALUETOTEXT($A$4),'PREFILL-PIVOT'!$A$3,_xlfn.VALUETOTEXT($A$6),$A200,"Experiment",H$5,"date",H$6)=0,NA(),GETPIVOTDATA(_xlfn.VALUETOTEXT($A$4),'PREFILL-PIVOT'!$A$3,_xlfn.VALUETOTEXT($A$6),$A200,"Experiment",H$5,"date",H$6))</f>
        <v>#REF!</v>
      </c>
      <c r="I200" t="e">
        <f>IF(GETPIVOTDATA(_xlfn.VALUETOTEXT($A$4),'PREFILL-PIVOT'!$A$3,_xlfn.VALUETOTEXT($A$6),$A200,"Experiment",I$5,"date",I$6)=0,NA(),GETPIVOTDATA(_xlfn.VALUETOTEXT($A$4),'PREFILL-PIVOT'!$A$3,_xlfn.VALUETOTEXT($A$6),$A200,"Experiment",I$5,"date",I$6))</f>
        <v>#REF!</v>
      </c>
      <c r="J200" t="e">
        <f>IF(GETPIVOTDATA(_xlfn.VALUETOTEXT($A$4),'PREFILL-PIVOT'!$A$3,_xlfn.VALUETOTEXT($A$6),$A200,"Experiment",J$5,"date",J$6)=0,NA(),GETPIVOTDATA(_xlfn.VALUETOTEXT($A$4),'PREFILL-PIVOT'!$A$3,_xlfn.VALUETOTEXT($A$6),$A200,"Experiment",J$5,"date",J$6))</f>
        <v>#REF!</v>
      </c>
      <c r="K200" t="e">
        <f>IF(GETPIVOTDATA(_xlfn.VALUETOTEXT($A$4),'PREFILL-PIVOT'!$A$3,_xlfn.VALUETOTEXT($A$6),$A200,"Experiment",K$5,"date",K$6)=0,NA(),GETPIVOTDATA(_xlfn.VALUETOTEXT($A$4),'PREFILL-PIVOT'!$A$3,_xlfn.VALUETOTEXT($A$6),$A200,"Experiment",K$5,"date",K$6))</f>
        <v>#REF!</v>
      </c>
      <c r="L200" t="e">
        <f>IF(GETPIVOTDATA(_xlfn.VALUETOTEXT($A$4),'PREFILL-PIVOT'!$A$3,_xlfn.VALUETOTEXT($A$6),$A200,"Experiment",L$5,"date",L$6)=0,NA(),GETPIVOTDATA(_xlfn.VALUETOTEXT($A$4),'PREFILL-PIVOT'!$A$3,_xlfn.VALUETOTEXT($A$6),$A200,"Experiment",L$5,"date",L$6))</f>
        <v>#REF!</v>
      </c>
      <c r="M200" t="e">
        <f>IF(GETPIVOTDATA(_xlfn.VALUETOTEXT($A$4),'PREFILL-PIVOT'!$A$3,_xlfn.VALUETOTEXT($A$6),$A200,"Experiment",M$5,"date",M$6)=0,NA(),GETPIVOTDATA(_xlfn.VALUETOTEXT($A$4),'PREFILL-PIVOT'!$A$3,_xlfn.VALUETOTEXT($A$6),$A200,"Experiment",M$5,"date",M$6))</f>
        <v>#REF!</v>
      </c>
    </row>
    <row r="201" spans="1:13" x14ac:dyDescent="0.25">
      <c r="A201" s="222" t="e">
        <f>IF('PREFILL-PIVOT'!A199=0,NA(),'PREFILL-PIVOT'!A199)</f>
        <v>#N/A</v>
      </c>
      <c r="B201" t="e">
        <f>IF(GETPIVOTDATA(_xlfn.VALUETOTEXT($A$4),'PREFILL-PIVOT'!$A$3,_xlfn.VALUETOTEXT($A$6),$A201,"Experiment",B$5,"date",B$6)=0,NA(),GETPIVOTDATA(_xlfn.VALUETOTEXT($A$4),'PREFILL-PIVOT'!$A$3,_xlfn.VALUETOTEXT($A$6),$A201,"Experiment",B$5,"date",B$6))</f>
        <v>#REF!</v>
      </c>
      <c r="C201" t="e">
        <f>IF(GETPIVOTDATA(_xlfn.VALUETOTEXT($A$4),'PREFILL-PIVOT'!$A$3,_xlfn.VALUETOTEXT($A$6),$A201,"Experiment",C$5,"date",C$6)=0,NA(),GETPIVOTDATA(_xlfn.VALUETOTEXT($A$4),'PREFILL-PIVOT'!$A$3,_xlfn.VALUETOTEXT($A$6),$A201,"Experiment",C$5,"date",C$6))</f>
        <v>#REF!</v>
      </c>
      <c r="D201" t="e">
        <f>IF(GETPIVOTDATA(_xlfn.VALUETOTEXT($A$4),'PREFILL-PIVOT'!$A$3,_xlfn.VALUETOTEXT($A$6),$A201,"Experiment",D$5,"date",D$6)=0,NA(),GETPIVOTDATA(_xlfn.VALUETOTEXT($A$4),'PREFILL-PIVOT'!$A$3,_xlfn.VALUETOTEXT($A$6),$A201,"Experiment",D$5,"date",D$6))</f>
        <v>#REF!</v>
      </c>
      <c r="E201" t="e">
        <f>IF(GETPIVOTDATA(_xlfn.VALUETOTEXT($A$4),'PREFILL-PIVOT'!$A$3,_xlfn.VALUETOTEXT($A$6),$A201,"Experiment",E$5,"date",E$6)=0,NA(),GETPIVOTDATA(_xlfn.VALUETOTEXT($A$4),'PREFILL-PIVOT'!$A$3,_xlfn.VALUETOTEXT($A$6),$A201,"Experiment",E$5,"date",E$6))</f>
        <v>#REF!</v>
      </c>
      <c r="F201" t="e">
        <f>IF(GETPIVOTDATA(_xlfn.VALUETOTEXT($A$4),'PREFILL-PIVOT'!$A$3,_xlfn.VALUETOTEXT($A$6),$A201,"Experiment",F$5,"date",F$6)=0,NA(),GETPIVOTDATA(_xlfn.VALUETOTEXT($A$4),'PREFILL-PIVOT'!$A$3,_xlfn.VALUETOTEXT($A$6),$A201,"Experiment",F$5,"date",F$6))</f>
        <v>#REF!</v>
      </c>
      <c r="G201" t="e">
        <f>IF(GETPIVOTDATA(_xlfn.VALUETOTEXT($A$4),'PREFILL-PIVOT'!$A$3,_xlfn.VALUETOTEXT($A$6),$A201,"Experiment",G$5,"date",G$6)=0,NA(),GETPIVOTDATA(_xlfn.VALUETOTEXT($A$4),'PREFILL-PIVOT'!$A$3,_xlfn.VALUETOTEXT($A$6),$A201,"Experiment",G$5,"date",G$6))</f>
        <v>#REF!</v>
      </c>
      <c r="H201" t="e">
        <f>IF(GETPIVOTDATA(_xlfn.VALUETOTEXT($A$4),'PREFILL-PIVOT'!$A$3,_xlfn.VALUETOTEXT($A$6),$A201,"Experiment",H$5,"date",H$6)=0,NA(),GETPIVOTDATA(_xlfn.VALUETOTEXT($A$4),'PREFILL-PIVOT'!$A$3,_xlfn.VALUETOTEXT($A$6),$A201,"Experiment",H$5,"date",H$6))</f>
        <v>#REF!</v>
      </c>
      <c r="I201" t="e">
        <f>IF(GETPIVOTDATA(_xlfn.VALUETOTEXT($A$4),'PREFILL-PIVOT'!$A$3,_xlfn.VALUETOTEXT($A$6),$A201,"Experiment",I$5,"date",I$6)=0,NA(),GETPIVOTDATA(_xlfn.VALUETOTEXT($A$4),'PREFILL-PIVOT'!$A$3,_xlfn.VALUETOTEXT($A$6),$A201,"Experiment",I$5,"date",I$6))</f>
        <v>#REF!</v>
      </c>
      <c r="J201" t="e">
        <f>IF(GETPIVOTDATA(_xlfn.VALUETOTEXT($A$4),'PREFILL-PIVOT'!$A$3,_xlfn.VALUETOTEXT($A$6),$A201,"Experiment",J$5,"date",J$6)=0,NA(),GETPIVOTDATA(_xlfn.VALUETOTEXT($A$4),'PREFILL-PIVOT'!$A$3,_xlfn.VALUETOTEXT($A$6),$A201,"Experiment",J$5,"date",J$6))</f>
        <v>#REF!</v>
      </c>
      <c r="K201" t="e">
        <f>IF(GETPIVOTDATA(_xlfn.VALUETOTEXT($A$4),'PREFILL-PIVOT'!$A$3,_xlfn.VALUETOTEXT($A$6),$A201,"Experiment",K$5,"date",K$6)=0,NA(),GETPIVOTDATA(_xlfn.VALUETOTEXT($A$4),'PREFILL-PIVOT'!$A$3,_xlfn.VALUETOTEXT($A$6),$A201,"Experiment",K$5,"date",K$6))</f>
        <v>#REF!</v>
      </c>
      <c r="L201" t="e">
        <f>IF(GETPIVOTDATA(_xlfn.VALUETOTEXT($A$4),'PREFILL-PIVOT'!$A$3,_xlfn.VALUETOTEXT($A$6),$A201,"Experiment",L$5,"date",L$6)=0,NA(),GETPIVOTDATA(_xlfn.VALUETOTEXT($A$4),'PREFILL-PIVOT'!$A$3,_xlfn.VALUETOTEXT($A$6),$A201,"Experiment",L$5,"date",L$6))</f>
        <v>#REF!</v>
      </c>
      <c r="M201" t="e">
        <f>IF(GETPIVOTDATA(_xlfn.VALUETOTEXT($A$4),'PREFILL-PIVOT'!$A$3,_xlfn.VALUETOTEXT($A$6),$A201,"Experiment",M$5,"date",M$6)=0,NA(),GETPIVOTDATA(_xlfn.VALUETOTEXT($A$4),'PREFILL-PIVOT'!$A$3,_xlfn.VALUETOTEXT($A$6),$A201,"Experiment",M$5,"date",M$6))</f>
        <v>#REF!</v>
      </c>
    </row>
    <row r="202" spans="1:13" x14ac:dyDescent="0.25">
      <c r="A202" s="222" t="e">
        <f>IF('PREFILL-PIVOT'!A200=0,NA(),'PREFILL-PIVOT'!A200)</f>
        <v>#N/A</v>
      </c>
      <c r="B202" t="e">
        <f>IF(GETPIVOTDATA(_xlfn.VALUETOTEXT($A$4),'PREFILL-PIVOT'!$A$3,_xlfn.VALUETOTEXT($A$6),$A202,"Experiment",B$5,"date",B$6)=0,NA(),GETPIVOTDATA(_xlfn.VALUETOTEXT($A$4),'PREFILL-PIVOT'!$A$3,_xlfn.VALUETOTEXT($A$6),$A202,"Experiment",B$5,"date",B$6))</f>
        <v>#REF!</v>
      </c>
      <c r="C202" t="e">
        <f>IF(GETPIVOTDATA(_xlfn.VALUETOTEXT($A$4),'PREFILL-PIVOT'!$A$3,_xlfn.VALUETOTEXT($A$6),$A202,"Experiment",C$5,"date",C$6)=0,NA(),GETPIVOTDATA(_xlfn.VALUETOTEXT($A$4),'PREFILL-PIVOT'!$A$3,_xlfn.VALUETOTEXT($A$6),$A202,"Experiment",C$5,"date",C$6))</f>
        <v>#REF!</v>
      </c>
      <c r="D202" t="e">
        <f>IF(GETPIVOTDATA(_xlfn.VALUETOTEXT($A$4),'PREFILL-PIVOT'!$A$3,_xlfn.VALUETOTEXT($A$6),$A202,"Experiment",D$5,"date",D$6)=0,NA(),GETPIVOTDATA(_xlfn.VALUETOTEXT($A$4),'PREFILL-PIVOT'!$A$3,_xlfn.VALUETOTEXT($A$6),$A202,"Experiment",D$5,"date",D$6))</f>
        <v>#REF!</v>
      </c>
      <c r="E202" t="e">
        <f>IF(GETPIVOTDATA(_xlfn.VALUETOTEXT($A$4),'PREFILL-PIVOT'!$A$3,_xlfn.VALUETOTEXT($A$6),$A202,"Experiment",E$5,"date",E$6)=0,NA(),GETPIVOTDATA(_xlfn.VALUETOTEXT($A$4),'PREFILL-PIVOT'!$A$3,_xlfn.VALUETOTEXT($A$6),$A202,"Experiment",E$5,"date",E$6))</f>
        <v>#REF!</v>
      </c>
      <c r="F202" t="e">
        <f>IF(GETPIVOTDATA(_xlfn.VALUETOTEXT($A$4),'PREFILL-PIVOT'!$A$3,_xlfn.VALUETOTEXT($A$6),$A202,"Experiment",F$5,"date",F$6)=0,NA(),GETPIVOTDATA(_xlfn.VALUETOTEXT($A$4),'PREFILL-PIVOT'!$A$3,_xlfn.VALUETOTEXT($A$6),$A202,"Experiment",F$5,"date",F$6))</f>
        <v>#REF!</v>
      </c>
      <c r="G202" t="e">
        <f>IF(GETPIVOTDATA(_xlfn.VALUETOTEXT($A$4),'PREFILL-PIVOT'!$A$3,_xlfn.VALUETOTEXT($A$6),$A202,"Experiment",G$5,"date",G$6)=0,NA(),GETPIVOTDATA(_xlfn.VALUETOTEXT($A$4),'PREFILL-PIVOT'!$A$3,_xlfn.VALUETOTEXT($A$6),$A202,"Experiment",G$5,"date",G$6))</f>
        <v>#REF!</v>
      </c>
      <c r="H202" t="e">
        <f>IF(GETPIVOTDATA(_xlfn.VALUETOTEXT($A$4),'PREFILL-PIVOT'!$A$3,_xlfn.VALUETOTEXT($A$6),$A202,"Experiment",H$5,"date",H$6)=0,NA(),GETPIVOTDATA(_xlfn.VALUETOTEXT($A$4),'PREFILL-PIVOT'!$A$3,_xlfn.VALUETOTEXT($A$6),$A202,"Experiment",H$5,"date",H$6))</f>
        <v>#REF!</v>
      </c>
      <c r="I202" t="e">
        <f>IF(GETPIVOTDATA(_xlfn.VALUETOTEXT($A$4),'PREFILL-PIVOT'!$A$3,_xlfn.VALUETOTEXT($A$6),$A202,"Experiment",I$5,"date",I$6)=0,NA(),GETPIVOTDATA(_xlfn.VALUETOTEXT($A$4),'PREFILL-PIVOT'!$A$3,_xlfn.VALUETOTEXT($A$6),$A202,"Experiment",I$5,"date",I$6))</f>
        <v>#REF!</v>
      </c>
      <c r="J202" t="e">
        <f>IF(GETPIVOTDATA(_xlfn.VALUETOTEXT($A$4),'PREFILL-PIVOT'!$A$3,_xlfn.VALUETOTEXT($A$6),$A202,"Experiment",J$5,"date",J$6)=0,NA(),GETPIVOTDATA(_xlfn.VALUETOTEXT($A$4),'PREFILL-PIVOT'!$A$3,_xlfn.VALUETOTEXT($A$6),$A202,"Experiment",J$5,"date",J$6))</f>
        <v>#REF!</v>
      </c>
      <c r="K202" t="e">
        <f>IF(GETPIVOTDATA(_xlfn.VALUETOTEXT($A$4),'PREFILL-PIVOT'!$A$3,_xlfn.VALUETOTEXT($A$6),$A202,"Experiment",K$5,"date",K$6)=0,NA(),GETPIVOTDATA(_xlfn.VALUETOTEXT($A$4),'PREFILL-PIVOT'!$A$3,_xlfn.VALUETOTEXT($A$6),$A202,"Experiment",K$5,"date",K$6))</f>
        <v>#REF!</v>
      </c>
      <c r="L202" t="e">
        <f>IF(GETPIVOTDATA(_xlfn.VALUETOTEXT($A$4),'PREFILL-PIVOT'!$A$3,_xlfn.VALUETOTEXT($A$6),$A202,"Experiment",L$5,"date",L$6)=0,NA(),GETPIVOTDATA(_xlfn.VALUETOTEXT($A$4),'PREFILL-PIVOT'!$A$3,_xlfn.VALUETOTEXT($A$6),$A202,"Experiment",L$5,"date",L$6))</f>
        <v>#REF!</v>
      </c>
      <c r="M202" t="e">
        <f>IF(GETPIVOTDATA(_xlfn.VALUETOTEXT($A$4),'PREFILL-PIVOT'!$A$3,_xlfn.VALUETOTEXT($A$6),$A202,"Experiment",M$5,"date",M$6)=0,NA(),GETPIVOTDATA(_xlfn.VALUETOTEXT($A$4),'PREFILL-PIVOT'!$A$3,_xlfn.VALUETOTEXT($A$6),$A202,"Experiment",M$5,"date",M$6))</f>
        <v>#REF!</v>
      </c>
    </row>
    <row r="203" spans="1:13" x14ac:dyDescent="0.25">
      <c r="A203" s="222" t="e">
        <f>IF('PREFILL-PIVOT'!A201=0,NA(),'PREFILL-PIVOT'!A201)</f>
        <v>#N/A</v>
      </c>
      <c r="B203" t="e">
        <f>IF(GETPIVOTDATA(_xlfn.VALUETOTEXT($A$4),'PREFILL-PIVOT'!$A$3,_xlfn.VALUETOTEXT($A$6),$A203,"Experiment",B$5,"date",B$6)=0,NA(),GETPIVOTDATA(_xlfn.VALUETOTEXT($A$4),'PREFILL-PIVOT'!$A$3,_xlfn.VALUETOTEXT($A$6),$A203,"Experiment",B$5,"date",B$6))</f>
        <v>#REF!</v>
      </c>
      <c r="C203" t="e">
        <f>IF(GETPIVOTDATA(_xlfn.VALUETOTEXT($A$4),'PREFILL-PIVOT'!$A$3,_xlfn.VALUETOTEXT($A$6),$A203,"Experiment",C$5,"date",C$6)=0,NA(),GETPIVOTDATA(_xlfn.VALUETOTEXT($A$4),'PREFILL-PIVOT'!$A$3,_xlfn.VALUETOTEXT($A$6),$A203,"Experiment",C$5,"date",C$6))</f>
        <v>#REF!</v>
      </c>
      <c r="D203" t="e">
        <f>IF(GETPIVOTDATA(_xlfn.VALUETOTEXT($A$4),'PREFILL-PIVOT'!$A$3,_xlfn.VALUETOTEXT($A$6),$A203,"Experiment",D$5,"date",D$6)=0,NA(),GETPIVOTDATA(_xlfn.VALUETOTEXT($A$4),'PREFILL-PIVOT'!$A$3,_xlfn.VALUETOTEXT($A$6),$A203,"Experiment",D$5,"date",D$6))</f>
        <v>#REF!</v>
      </c>
      <c r="E203" t="e">
        <f>IF(GETPIVOTDATA(_xlfn.VALUETOTEXT($A$4),'PREFILL-PIVOT'!$A$3,_xlfn.VALUETOTEXT($A$6),$A203,"Experiment",E$5,"date",E$6)=0,NA(),GETPIVOTDATA(_xlfn.VALUETOTEXT($A$4),'PREFILL-PIVOT'!$A$3,_xlfn.VALUETOTEXT($A$6),$A203,"Experiment",E$5,"date",E$6))</f>
        <v>#REF!</v>
      </c>
      <c r="F203" t="e">
        <f>IF(GETPIVOTDATA(_xlfn.VALUETOTEXT($A$4),'PREFILL-PIVOT'!$A$3,_xlfn.VALUETOTEXT($A$6),$A203,"Experiment",F$5,"date",F$6)=0,NA(),GETPIVOTDATA(_xlfn.VALUETOTEXT($A$4),'PREFILL-PIVOT'!$A$3,_xlfn.VALUETOTEXT($A$6),$A203,"Experiment",F$5,"date",F$6))</f>
        <v>#REF!</v>
      </c>
      <c r="G203" t="e">
        <f>IF(GETPIVOTDATA(_xlfn.VALUETOTEXT($A$4),'PREFILL-PIVOT'!$A$3,_xlfn.VALUETOTEXT($A$6),$A203,"Experiment",G$5,"date",G$6)=0,NA(),GETPIVOTDATA(_xlfn.VALUETOTEXT($A$4),'PREFILL-PIVOT'!$A$3,_xlfn.VALUETOTEXT($A$6),$A203,"Experiment",G$5,"date",G$6))</f>
        <v>#REF!</v>
      </c>
      <c r="H203" t="e">
        <f>IF(GETPIVOTDATA(_xlfn.VALUETOTEXT($A$4),'PREFILL-PIVOT'!$A$3,_xlfn.VALUETOTEXT($A$6),$A203,"Experiment",H$5,"date",H$6)=0,NA(),GETPIVOTDATA(_xlfn.VALUETOTEXT($A$4),'PREFILL-PIVOT'!$A$3,_xlfn.VALUETOTEXT($A$6),$A203,"Experiment",H$5,"date",H$6))</f>
        <v>#REF!</v>
      </c>
      <c r="I203" t="e">
        <f>IF(GETPIVOTDATA(_xlfn.VALUETOTEXT($A$4),'PREFILL-PIVOT'!$A$3,_xlfn.VALUETOTEXT($A$6),$A203,"Experiment",I$5,"date",I$6)=0,NA(),GETPIVOTDATA(_xlfn.VALUETOTEXT($A$4),'PREFILL-PIVOT'!$A$3,_xlfn.VALUETOTEXT($A$6),$A203,"Experiment",I$5,"date",I$6))</f>
        <v>#REF!</v>
      </c>
      <c r="J203" t="e">
        <f>IF(GETPIVOTDATA(_xlfn.VALUETOTEXT($A$4),'PREFILL-PIVOT'!$A$3,_xlfn.VALUETOTEXT($A$6),$A203,"Experiment",J$5,"date",J$6)=0,NA(),GETPIVOTDATA(_xlfn.VALUETOTEXT($A$4),'PREFILL-PIVOT'!$A$3,_xlfn.VALUETOTEXT($A$6),$A203,"Experiment",J$5,"date",J$6))</f>
        <v>#REF!</v>
      </c>
      <c r="K203" t="e">
        <f>IF(GETPIVOTDATA(_xlfn.VALUETOTEXT($A$4),'PREFILL-PIVOT'!$A$3,_xlfn.VALUETOTEXT($A$6),$A203,"Experiment",K$5,"date",K$6)=0,NA(),GETPIVOTDATA(_xlfn.VALUETOTEXT($A$4),'PREFILL-PIVOT'!$A$3,_xlfn.VALUETOTEXT($A$6),$A203,"Experiment",K$5,"date",K$6))</f>
        <v>#REF!</v>
      </c>
      <c r="L203" t="e">
        <f>IF(GETPIVOTDATA(_xlfn.VALUETOTEXT($A$4),'PREFILL-PIVOT'!$A$3,_xlfn.VALUETOTEXT($A$6),$A203,"Experiment",L$5,"date",L$6)=0,NA(),GETPIVOTDATA(_xlfn.VALUETOTEXT($A$4),'PREFILL-PIVOT'!$A$3,_xlfn.VALUETOTEXT($A$6),$A203,"Experiment",L$5,"date",L$6))</f>
        <v>#REF!</v>
      </c>
      <c r="M203" t="e">
        <f>IF(GETPIVOTDATA(_xlfn.VALUETOTEXT($A$4),'PREFILL-PIVOT'!$A$3,_xlfn.VALUETOTEXT($A$6),$A203,"Experiment",M$5,"date",M$6)=0,NA(),GETPIVOTDATA(_xlfn.VALUETOTEXT($A$4),'PREFILL-PIVOT'!$A$3,_xlfn.VALUETOTEXT($A$6),$A203,"Experiment",M$5,"date",M$6))</f>
        <v>#REF!</v>
      </c>
    </row>
    <row r="204" spans="1:13" x14ac:dyDescent="0.25">
      <c r="A204" s="222" t="e">
        <f>IF('PREFILL-PIVOT'!A202=0,NA(),'PREFILL-PIVOT'!A202)</f>
        <v>#N/A</v>
      </c>
      <c r="B204" t="e">
        <f>IF(GETPIVOTDATA(_xlfn.VALUETOTEXT($A$4),'PREFILL-PIVOT'!$A$3,_xlfn.VALUETOTEXT($A$6),$A204,"Experiment",B$5,"date",B$6)=0,NA(),GETPIVOTDATA(_xlfn.VALUETOTEXT($A$4),'PREFILL-PIVOT'!$A$3,_xlfn.VALUETOTEXT($A$6),$A204,"Experiment",B$5,"date",B$6))</f>
        <v>#REF!</v>
      </c>
      <c r="C204" t="e">
        <f>IF(GETPIVOTDATA(_xlfn.VALUETOTEXT($A$4),'PREFILL-PIVOT'!$A$3,_xlfn.VALUETOTEXT($A$6),$A204,"Experiment",C$5,"date",C$6)=0,NA(),GETPIVOTDATA(_xlfn.VALUETOTEXT($A$4),'PREFILL-PIVOT'!$A$3,_xlfn.VALUETOTEXT($A$6),$A204,"Experiment",C$5,"date",C$6))</f>
        <v>#REF!</v>
      </c>
      <c r="D204" t="e">
        <f>IF(GETPIVOTDATA(_xlfn.VALUETOTEXT($A$4),'PREFILL-PIVOT'!$A$3,_xlfn.VALUETOTEXT($A$6),$A204,"Experiment",D$5,"date",D$6)=0,NA(),GETPIVOTDATA(_xlfn.VALUETOTEXT($A$4),'PREFILL-PIVOT'!$A$3,_xlfn.VALUETOTEXT($A$6),$A204,"Experiment",D$5,"date",D$6))</f>
        <v>#REF!</v>
      </c>
      <c r="E204" t="e">
        <f>IF(GETPIVOTDATA(_xlfn.VALUETOTEXT($A$4),'PREFILL-PIVOT'!$A$3,_xlfn.VALUETOTEXT($A$6),$A204,"Experiment",E$5,"date",E$6)=0,NA(),GETPIVOTDATA(_xlfn.VALUETOTEXT($A$4),'PREFILL-PIVOT'!$A$3,_xlfn.VALUETOTEXT($A$6),$A204,"Experiment",E$5,"date",E$6))</f>
        <v>#REF!</v>
      </c>
      <c r="F204" t="e">
        <f>IF(GETPIVOTDATA(_xlfn.VALUETOTEXT($A$4),'PREFILL-PIVOT'!$A$3,_xlfn.VALUETOTEXT($A$6),$A204,"Experiment",F$5,"date",F$6)=0,NA(),GETPIVOTDATA(_xlfn.VALUETOTEXT($A$4),'PREFILL-PIVOT'!$A$3,_xlfn.VALUETOTEXT($A$6),$A204,"Experiment",F$5,"date",F$6))</f>
        <v>#REF!</v>
      </c>
      <c r="G204" t="e">
        <f>IF(GETPIVOTDATA(_xlfn.VALUETOTEXT($A$4),'PREFILL-PIVOT'!$A$3,_xlfn.VALUETOTEXT($A$6),$A204,"Experiment",G$5,"date",G$6)=0,NA(),GETPIVOTDATA(_xlfn.VALUETOTEXT($A$4),'PREFILL-PIVOT'!$A$3,_xlfn.VALUETOTEXT($A$6),$A204,"Experiment",G$5,"date",G$6))</f>
        <v>#REF!</v>
      </c>
      <c r="H204" t="e">
        <f>IF(GETPIVOTDATA(_xlfn.VALUETOTEXT($A$4),'PREFILL-PIVOT'!$A$3,_xlfn.VALUETOTEXT($A$6),$A204,"Experiment",H$5,"date",H$6)=0,NA(),GETPIVOTDATA(_xlfn.VALUETOTEXT($A$4),'PREFILL-PIVOT'!$A$3,_xlfn.VALUETOTEXT($A$6),$A204,"Experiment",H$5,"date",H$6))</f>
        <v>#REF!</v>
      </c>
      <c r="I204" t="e">
        <f>IF(GETPIVOTDATA(_xlfn.VALUETOTEXT($A$4),'PREFILL-PIVOT'!$A$3,_xlfn.VALUETOTEXT($A$6),$A204,"Experiment",I$5,"date",I$6)=0,NA(),GETPIVOTDATA(_xlfn.VALUETOTEXT($A$4),'PREFILL-PIVOT'!$A$3,_xlfn.VALUETOTEXT($A$6),$A204,"Experiment",I$5,"date",I$6))</f>
        <v>#REF!</v>
      </c>
      <c r="J204" t="e">
        <f>IF(GETPIVOTDATA(_xlfn.VALUETOTEXT($A$4),'PREFILL-PIVOT'!$A$3,_xlfn.VALUETOTEXT($A$6),$A204,"Experiment",J$5,"date",J$6)=0,NA(),GETPIVOTDATA(_xlfn.VALUETOTEXT($A$4),'PREFILL-PIVOT'!$A$3,_xlfn.VALUETOTEXT($A$6),$A204,"Experiment",J$5,"date",J$6))</f>
        <v>#REF!</v>
      </c>
      <c r="K204" t="e">
        <f>IF(GETPIVOTDATA(_xlfn.VALUETOTEXT($A$4),'PREFILL-PIVOT'!$A$3,_xlfn.VALUETOTEXT($A$6),$A204,"Experiment",K$5,"date",K$6)=0,NA(),GETPIVOTDATA(_xlfn.VALUETOTEXT($A$4),'PREFILL-PIVOT'!$A$3,_xlfn.VALUETOTEXT($A$6),$A204,"Experiment",K$5,"date",K$6))</f>
        <v>#REF!</v>
      </c>
      <c r="L204" t="e">
        <f>IF(GETPIVOTDATA(_xlfn.VALUETOTEXT($A$4),'PREFILL-PIVOT'!$A$3,_xlfn.VALUETOTEXT($A$6),$A204,"Experiment",L$5,"date",L$6)=0,NA(),GETPIVOTDATA(_xlfn.VALUETOTEXT($A$4),'PREFILL-PIVOT'!$A$3,_xlfn.VALUETOTEXT($A$6),$A204,"Experiment",L$5,"date",L$6))</f>
        <v>#REF!</v>
      </c>
      <c r="M204" t="e">
        <f>IF(GETPIVOTDATA(_xlfn.VALUETOTEXT($A$4),'PREFILL-PIVOT'!$A$3,_xlfn.VALUETOTEXT($A$6),$A204,"Experiment",M$5,"date",M$6)=0,NA(),GETPIVOTDATA(_xlfn.VALUETOTEXT($A$4),'PREFILL-PIVOT'!$A$3,_xlfn.VALUETOTEXT($A$6),$A204,"Experiment",M$5,"date",M$6))</f>
        <v>#REF!</v>
      </c>
    </row>
    <row r="205" spans="1:13" x14ac:dyDescent="0.25">
      <c r="A205" s="222" t="e">
        <f>IF('PREFILL-PIVOT'!A203=0,NA(),'PREFILL-PIVOT'!A203)</f>
        <v>#N/A</v>
      </c>
      <c r="B205" t="e">
        <f>IF(GETPIVOTDATA(_xlfn.VALUETOTEXT($A$4),'PREFILL-PIVOT'!$A$3,_xlfn.VALUETOTEXT($A$6),$A205,"Experiment",B$5,"date",B$6)=0,NA(),GETPIVOTDATA(_xlfn.VALUETOTEXT($A$4),'PREFILL-PIVOT'!$A$3,_xlfn.VALUETOTEXT($A$6),$A205,"Experiment",B$5,"date",B$6))</f>
        <v>#REF!</v>
      </c>
      <c r="C205" t="e">
        <f>IF(GETPIVOTDATA(_xlfn.VALUETOTEXT($A$4),'PREFILL-PIVOT'!$A$3,_xlfn.VALUETOTEXT($A$6),$A205,"Experiment",C$5,"date",C$6)=0,NA(),GETPIVOTDATA(_xlfn.VALUETOTEXT($A$4),'PREFILL-PIVOT'!$A$3,_xlfn.VALUETOTEXT($A$6),$A205,"Experiment",C$5,"date",C$6))</f>
        <v>#REF!</v>
      </c>
      <c r="D205" t="e">
        <f>IF(GETPIVOTDATA(_xlfn.VALUETOTEXT($A$4),'PREFILL-PIVOT'!$A$3,_xlfn.VALUETOTEXT($A$6),$A205,"Experiment",D$5,"date",D$6)=0,NA(),GETPIVOTDATA(_xlfn.VALUETOTEXT($A$4),'PREFILL-PIVOT'!$A$3,_xlfn.VALUETOTEXT($A$6),$A205,"Experiment",D$5,"date",D$6))</f>
        <v>#REF!</v>
      </c>
      <c r="E205" t="e">
        <f>IF(GETPIVOTDATA(_xlfn.VALUETOTEXT($A$4),'PREFILL-PIVOT'!$A$3,_xlfn.VALUETOTEXT($A$6),$A205,"Experiment",E$5,"date",E$6)=0,NA(),GETPIVOTDATA(_xlfn.VALUETOTEXT($A$4),'PREFILL-PIVOT'!$A$3,_xlfn.VALUETOTEXT($A$6),$A205,"Experiment",E$5,"date",E$6))</f>
        <v>#REF!</v>
      </c>
      <c r="F205" t="e">
        <f>IF(GETPIVOTDATA(_xlfn.VALUETOTEXT($A$4),'PREFILL-PIVOT'!$A$3,_xlfn.VALUETOTEXT($A$6),$A205,"Experiment",F$5,"date",F$6)=0,NA(),GETPIVOTDATA(_xlfn.VALUETOTEXT($A$4),'PREFILL-PIVOT'!$A$3,_xlfn.VALUETOTEXT($A$6),$A205,"Experiment",F$5,"date",F$6))</f>
        <v>#REF!</v>
      </c>
      <c r="G205" t="e">
        <f>IF(GETPIVOTDATA(_xlfn.VALUETOTEXT($A$4),'PREFILL-PIVOT'!$A$3,_xlfn.VALUETOTEXT($A$6),$A205,"Experiment",G$5,"date",G$6)=0,NA(),GETPIVOTDATA(_xlfn.VALUETOTEXT($A$4),'PREFILL-PIVOT'!$A$3,_xlfn.VALUETOTEXT($A$6),$A205,"Experiment",G$5,"date",G$6))</f>
        <v>#REF!</v>
      </c>
      <c r="H205" t="e">
        <f>IF(GETPIVOTDATA(_xlfn.VALUETOTEXT($A$4),'PREFILL-PIVOT'!$A$3,_xlfn.VALUETOTEXT($A$6),$A205,"Experiment",H$5,"date",H$6)=0,NA(),GETPIVOTDATA(_xlfn.VALUETOTEXT($A$4),'PREFILL-PIVOT'!$A$3,_xlfn.VALUETOTEXT($A$6),$A205,"Experiment",H$5,"date",H$6))</f>
        <v>#REF!</v>
      </c>
      <c r="I205" t="e">
        <f>IF(GETPIVOTDATA(_xlfn.VALUETOTEXT($A$4),'PREFILL-PIVOT'!$A$3,_xlfn.VALUETOTEXT($A$6),$A205,"Experiment",I$5,"date",I$6)=0,NA(),GETPIVOTDATA(_xlfn.VALUETOTEXT($A$4),'PREFILL-PIVOT'!$A$3,_xlfn.VALUETOTEXT($A$6),$A205,"Experiment",I$5,"date",I$6))</f>
        <v>#REF!</v>
      </c>
      <c r="J205" t="e">
        <f>IF(GETPIVOTDATA(_xlfn.VALUETOTEXT($A$4),'PREFILL-PIVOT'!$A$3,_xlfn.VALUETOTEXT($A$6),$A205,"Experiment",J$5,"date",J$6)=0,NA(),GETPIVOTDATA(_xlfn.VALUETOTEXT($A$4),'PREFILL-PIVOT'!$A$3,_xlfn.VALUETOTEXT($A$6),$A205,"Experiment",J$5,"date",J$6))</f>
        <v>#REF!</v>
      </c>
      <c r="K205" t="e">
        <f>IF(GETPIVOTDATA(_xlfn.VALUETOTEXT($A$4),'PREFILL-PIVOT'!$A$3,_xlfn.VALUETOTEXT($A$6),$A205,"Experiment",K$5,"date",K$6)=0,NA(),GETPIVOTDATA(_xlfn.VALUETOTEXT($A$4),'PREFILL-PIVOT'!$A$3,_xlfn.VALUETOTEXT($A$6),$A205,"Experiment",K$5,"date",K$6))</f>
        <v>#REF!</v>
      </c>
      <c r="L205" t="e">
        <f>IF(GETPIVOTDATA(_xlfn.VALUETOTEXT($A$4),'PREFILL-PIVOT'!$A$3,_xlfn.VALUETOTEXT($A$6),$A205,"Experiment",L$5,"date",L$6)=0,NA(),GETPIVOTDATA(_xlfn.VALUETOTEXT($A$4),'PREFILL-PIVOT'!$A$3,_xlfn.VALUETOTEXT($A$6),$A205,"Experiment",L$5,"date",L$6))</f>
        <v>#REF!</v>
      </c>
      <c r="M205" t="e">
        <f>IF(GETPIVOTDATA(_xlfn.VALUETOTEXT($A$4),'PREFILL-PIVOT'!$A$3,_xlfn.VALUETOTEXT($A$6),$A205,"Experiment",M$5,"date",M$6)=0,NA(),GETPIVOTDATA(_xlfn.VALUETOTEXT($A$4),'PREFILL-PIVOT'!$A$3,_xlfn.VALUETOTEXT($A$6),$A205,"Experiment",M$5,"date",M$6))</f>
        <v>#REF!</v>
      </c>
    </row>
    <row r="206" spans="1:13" x14ac:dyDescent="0.25">
      <c r="A206" s="222" t="e">
        <f>IF('PREFILL-PIVOT'!A204=0,NA(),'PREFILL-PIVOT'!A204)</f>
        <v>#N/A</v>
      </c>
      <c r="B206" t="e">
        <f>IF(GETPIVOTDATA(_xlfn.VALUETOTEXT($A$4),'PREFILL-PIVOT'!$A$3,_xlfn.VALUETOTEXT($A$6),$A206,"Experiment",B$5,"date",B$6)=0,NA(),GETPIVOTDATA(_xlfn.VALUETOTEXT($A$4),'PREFILL-PIVOT'!$A$3,_xlfn.VALUETOTEXT($A$6),$A206,"Experiment",B$5,"date",B$6))</f>
        <v>#REF!</v>
      </c>
      <c r="C206" t="e">
        <f>IF(GETPIVOTDATA(_xlfn.VALUETOTEXT($A$4),'PREFILL-PIVOT'!$A$3,_xlfn.VALUETOTEXT($A$6),$A206,"Experiment",C$5,"date",C$6)=0,NA(),GETPIVOTDATA(_xlfn.VALUETOTEXT($A$4),'PREFILL-PIVOT'!$A$3,_xlfn.VALUETOTEXT($A$6),$A206,"Experiment",C$5,"date",C$6))</f>
        <v>#REF!</v>
      </c>
      <c r="D206" t="e">
        <f>IF(GETPIVOTDATA(_xlfn.VALUETOTEXT($A$4),'PREFILL-PIVOT'!$A$3,_xlfn.VALUETOTEXT($A$6),$A206,"Experiment",D$5,"date",D$6)=0,NA(),GETPIVOTDATA(_xlfn.VALUETOTEXT($A$4),'PREFILL-PIVOT'!$A$3,_xlfn.VALUETOTEXT($A$6),$A206,"Experiment",D$5,"date",D$6))</f>
        <v>#REF!</v>
      </c>
      <c r="E206" t="e">
        <f>IF(GETPIVOTDATA(_xlfn.VALUETOTEXT($A$4),'PREFILL-PIVOT'!$A$3,_xlfn.VALUETOTEXT($A$6),$A206,"Experiment",E$5,"date",E$6)=0,NA(),GETPIVOTDATA(_xlfn.VALUETOTEXT($A$4),'PREFILL-PIVOT'!$A$3,_xlfn.VALUETOTEXT($A$6),$A206,"Experiment",E$5,"date",E$6))</f>
        <v>#REF!</v>
      </c>
      <c r="F206" t="e">
        <f>IF(GETPIVOTDATA(_xlfn.VALUETOTEXT($A$4),'PREFILL-PIVOT'!$A$3,_xlfn.VALUETOTEXT($A$6),$A206,"Experiment",F$5,"date",F$6)=0,NA(),GETPIVOTDATA(_xlfn.VALUETOTEXT($A$4),'PREFILL-PIVOT'!$A$3,_xlfn.VALUETOTEXT($A$6),$A206,"Experiment",F$5,"date",F$6))</f>
        <v>#REF!</v>
      </c>
      <c r="G206" t="e">
        <f>IF(GETPIVOTDATA(_xlfn.VALUETOTEXT($A$4),'PREFILL-PIVOT'!$A$3,_xlfn.VALUETOTEXT($A$6),$A206,"Experiment",G$5,"date",G$6)=0,NA(),GETPIVOTDATA(_xlfn.VALUETOTEXT($A$4),'PREFILL-PIVOT'!$A$3,_xlfn.VALUETOTEXT($A$6),$A206,"Experiment",G$5,"date",G$6))</f>
        <v>#REF!</v>
      </c>
      <c r="H206" t="e">
        <f>IF(GETPIVOTDATA(_xlfn.VALUETOTEXT($A$4),'PREFILL-PIVOT'!$A$3,_xlfn.VALUETOTEXT($A$6),$A206,"Experiment",H$5,"date",H$6)=0,NA(),GETPIVOTDATA(_xlfn.VALUETOTEXT($A$4),'PREFILL-PIVOT'!$A$3,_xlfn.VALUETOTEXT($A$6),$A206,"Experiment",H$5,"date",H$6))</f>
        <v>#REF!</v>
      </c>
      <c r="I206" t="e">
        <f>IF(GETPIVOTDATA(_xlfn.VALUETOTEXT($A$4),'PREFILL-PIVOT'!$A$3,_xlfn.VALUETOTEXT($A$6),$A206,"Experiment",I$5,"date",I$6)=0,NA(),GETPIVOTDATA(_xlfn.VALUETOTEXT($A$4),'PREFILL-PIVOT'!$A$3,_xlfn.VALUETOTEXT($A$6),$A206,"Experiment",I$5,"date",I$6))</f>
        <v>#REF!</v>
      </c>
      <c r="J206" t="e">
        <f>IF(GETPIVOTDATA(_xlfn.VALUETOTEXT($A$4),'PREFILL-PIVOT'!$A$3,_xlfn.VALUETOTEXT($A$6),$A206,"Experiment",J$5,"date",J$6)=0,NA(),GETPIVOTDATA(_xlfn.VALUETOTEXT($A$4),'PREFILL-PIVOT'!$A$3,_xlfn.VALUETOTEXT($A$6),$A206,"Experiment",J$5,"date",J$6))</f>
        <v>#REF!</v>
      </c>
      <c r="K206" t="e">
        <f>IF(GETPIVOTDATA(_xlfn.VALUETOTEXT($A$4),'PREFILL-PIVOT'!$A$3,_xlfn.VALUETOTEXT($A$6),$A206,"Experiment",K$5,"date",K$6)=0,NA(),GETPIVOTDATA(_xlfn.VALUETOTEXT($A$4),'PREFILL-PIVOT'!$A$3,_xlfn.VALUETOTEXT($A$6),$A206,"Experiment",K$5,"date",K$6))</f>
        <v>#REF!</v>
      </c>
      <c r="L206" t="e">
        <f>IF(GETPIVOTDATA(_xlfn.VALUETOTEXT($A$4),'PREFILL-PIVOT'!$A$3,_xlfn.VALUETOTEXT($A$6),$A206,"Experiment",L$5,"date",L$6)=0,NA(),GETPIVOTDATA(_xlfn.VALUETOTEXT($A$4),'PREFILL-PIVOT'!$A$3,_xlfn.VALUETOTEXT($A$6),$A206,"Experiment",L$5,"date",L$6))</f>
        <v>#REF!</v>
      </c>
      <c r="M206" t="e">
        <f>IF(GETPIVOTDATA(_xlfn.VALUETOTEXT($A$4),'PREFILL-PIVOT'!$A$3,_xlfn.VALUETOTEXT($A$6),$A206,"Experiment",M$5,"date",M$6)=0,NA(),GETPIVOTDATA(_xlfn.VALUETOTEXT($A$4),'PREFILL-PIVOT'!$A$3,_xlfn.VALUETOTEXT($A$6),$A206,"Experiment",M$5,"date",M$6))</f>
        <v>#REF!</v>
      </c>
    </row>
    <row r="207" spans="1:13" x14ac:dyDescent="0.25">
      <c r="A207" s="222" t="e">
        <f>IF('PREFILL-PIVOT'!A205=0,NA(),'PREFILL-PIVOT'!A205)</f>
        <v>#N/A</v>
      </c>
      <c r="B207" t="e">
        <f>IF(GETPIVOTDATA(_xlfn.VALUETOTEXT($A$4),'PREFILL-PIVOT'!$A$3,_xlfn.VALUETOTEXT($A$6),$A207,"Experiment",B$5,"date",B$6)=0,NA(),GETPIVOTDATA(_xlfn.VALUETOTEXT($A$4),'PREFILL-PIVOT'!$A$3,_xlfn.VALUETOTEXT($A$6),$A207,"Experiment",B$5,"date",B$6))</f>
        <v>#REF!</v>
      </c>
      <c r="C207" t="e">
        <f>IF(GETPIVOTDATA(_xlfn.VALUETOTEXT($A$4),'PREFILL-PIVOT'!$A$3,_xlfn.VALUETOTEXT($A$6),$A207,"Experiment",C$5,"date",C$6)=0,NA(),GETPIVOTDATA(_xlfn.VALUETOTEXT($A$4),'PREFILL-PIVOT'!$A$3,_xlfn.VALUETOTEXT($A$6),$A207,"Experiment",C$5,"date",C$6))</f>
        <v>#REF!</v>
      </c>
      <c r="D207" t="e">
        <f>IF(GETPIVOTDATA(_xlfn.VALUETOTEXT($A$4),'PREFILL-PIVOT'!$A$3,_xlfn.VALUETOTEXT($A$6),$A207,"Experiment",D$5,"date",D$6)=0,NA(),GETPIVOTDATA(_xlfn.VALUETOTEXT($A$4),'PREFILL-PIVOT'!$A$3,_xlfn.VALUETOTEXT($A$6),$A207,"Experiment",D$5,"date",D$6))</f>
        <v>#REF!</v>
      </c>
      <c r="E207" t="e">
        <f>IF(GETPIVOTDATA(_xlfn.VALUETOTEXT($A$4),'PREFILL-PIVOT'!$A$3,_xlfn.VALUETOTEXT($A$6),$A207,"Experiment",E$5,"date",E$6)=0,NA(),GETPIVOTDATA(_xlfn.VALUETOTEXT($A$4),'PREFILL-PIVOT'!$A$3,_xlfn.VALUETOTEXT($A$6),$A207,"Experiment",E$5,"date",E$6))</f>
        <v>#REF!</v>
      </c>
      <c r="F207" t="e">
        <f>IF(GETPIVOTDATA(_xlfn.VALUETOTEXT($A$4),'PREFILL-PIVOT'!$A$3,_xlfn.VALUETOTEXT($A$6),$A207,"Experiment",F$5,"date",F$6)=0,NA(),GETPIVOTDATA(_xlfn.VALUETOTEXT($A$4),'PREFILL-PIVOT'!$A$3,_xlfn.VALUETOTEXT($A$6),$A207,"Experiment",F$5,"date",F$6))</f>
        <v>#REF!</v>
      </c>
      <c r="G207" t="e">
        <f>IF(GETPIVOTDATA(_xlfn.VALUETOTEXT($A$4),'PREFILL-PIVOT'!$A$3,_xlfn.VALUETOTEXT($A$6),$A207,"Experiment",G$5,"date",G$6)=0,NA(),GETPIVOTDATA(_xlfn.VALUETOTEXT($A$4),'PREFILL-PIVOT'!$A$3,_xlfn.VALUETOTEXT($A$6),$A207,"Experiment",G$5,"date",G$6))</f>
        <v>#REF!</v>
      </c>
      <c r="H207" t="e">
        <f>IF(GETPIVOTDATA(_xlfn.VALUETOTEXT($A$4),'PREFILL-PIVOT'!$A$3,_xlfn.VALUETOTEXT($A$6),$A207,"Experiment",H$5,"date",H$6)=0,NA(),GETPIVOTDATA(_xlfn.VALUETOTEXT($A$4),'PREFILL-PIVOT'!$A$3,_xlfn.VALUETOTEXT($A$6),$A207,"Experiment",H$5,"date",H$6))</f>
        <v>#REF!</v>
      </c>
      <c r="I207" t="e">
        <f>IF(GETPIVOTDATA(_xlfn.VALUETOTEXT($A$4),'PREFILL-PIVOT'!$A$3,_xlfn.VALUETOTEXT($A$6),$A207,"Experiment",I$5,"date",I$6)=0,NA(),GETPIVOTDATA(_xlfn.VALUETOTEXT($A$4),'PREFILL-PIVOT'!$A$3,_xlfn.VALUETOTEXT($A$6),$A207,"Experiment",I$5,"date",I$6))</f>
        <v>#REF!</v>
      </c>
      <c r="J207" t="e">
        <f>IF(GETPIVOTDATA(_xlfn.VALUETOTEXT($A$4),'PREFILL-PIVOT'!$A$3,_xlfn.VALUETOTEXT($A$6),$A207,"Experiment",J$5,"date",J$6)=0,NA(),GETPIVOTDATA(_xlfn.VALUETOTEXT($A$4),'PREFILL-PIVOT'!$A$3,_xlfn.VALUETOTEXT($A$6),$A207,"Experiment",J$5,"date",J$6))</f>
        <v>#REF!</v>
      </c>
      <c r="K207" t="e">
        <f>IF(GETPIVOTDATA(_xlfn.VALUETOTEXT($A$4),'PREFILL-PIVOT'!$A$3,_xlfn.VALUETOTEXT($A$6),$A207,"Experiment",K$5,"date",K$6)=0,NA(),GETPIVOTDATA(_xlfn.VALUETOTEXT($A$4),'PREFILL-PIVOT'!$A$3,_xlfn.VALUETOTEXT($A$6),$A207,"Experiment",K$5,"date",K$6))</f>
        <v>#REF!</v>
      </c>
      <c r="L207" t="e">
        <f>IF(GETPIVOTDATA(_xlfn.VALUETOTEXT($A$4),'PREFILL-PIVOT'!$A$3,_xlfn.VALUETOTEXT($A$6),$A207,"Experiment",L$5,"date",L$6)=0,NA(),GETPIVOTDATA(_xlfn.VALUETOTEXT($A$4),'PREFILL-PIVOT'!$A$3,_xlfn.VALUETOTEXT($A$6),$A207,"Experiment",L$5,"date",L$6))</f>
        <v>#REF!</v>
      </c>
      <c r="M207" t="e">
        <f>IF(GETPIVOTDATA(_xlfn.VALUETOTEXT($A$4),'PREFILL-PIVOT'!$A$3,_xlfn.VALUETOTEXT($A$6),$A207,"Experiment",M$5,"date",M$6)=0,NA(),GETPIVOTDATA(_xlfn.VALUETOTEXT($A$4),'PREFILL-PIVOT'!$A$3,_xlfn.VALUETOTEXT($A$6),$A207,"Experiment",M$5,"date",M$6))</f>
        <v>#REF!</v>
      </c>
    </row>
    <row r="208" spans="1:13" x14ac:dyDescent="0.25">
      <c r="A208" s="222" t="e">
        <f>IF('PREFILL-PIVOT'!A206=0,NA(),'PREFILL-PIVOT'!A206)</f>
        <v>#N/A</v>
      </c>
      <c r="B208" t="e">
        <f>IF(GETPIVOTDATA(_xlfn.VALUETOTEXT($A$4),'PREFILL-PIVOT'!$A$3,_xlfn.VALUETOTEXT($A$6),$A208,"Experiment",B$5,"date",B$6)=0,NA(),GETPIVOTDATA(_xlfn.VALUETOTEXT($A$4),'PREFILL-PIVOT'!$A$3,_xlfn.VALUETOTEXT($A$6),$A208,"Experiment",B$5,"date",B$6))</f>
        <v>#REF!</v>
      </c>
      <c r="C208" t="e">
        <f>IF(GETPIVOTDATA(_xlfn.VALUETOTEXT($A$4),'PREFILL-PIVOT'!$A$3,_xlfn.VALUETOTEXT($A$6),$A208,"Experiment",C$5,"date",C$6)=0,NA(),GETPIVOTDATA(_xlfn.VALUETOTEXT($A$4),'PREFILL-PIVOT'!$A$3,_xlfn.VALUETOTEXT($A$6),$A208,"Experiment",C$5,"date",C$6))</f>
        <v>#REF!</v>
      </c>
      <c r="D208" t="e">
        <f>IF(GETPIVOTDATA(_xlfn.VALUETOTEXT($A$4),'PREFILL-PIVOT'!$A$3,_xlfn.VALUETOTEXT($A$6),$A208,"Experiment",D$5,"date",D$6)=0,NA(),GETPIVOTDATA(_xlfn.VALUETOTEXT($A$4),'PREFILL-PIVOT'!$A$3,_xlfn.VALUETOTEXT($A$6),$A208,"Experiment",D$5,"date",D$6))</f>
        <v>#REF!</v>
      </c>
      <c r="E208" t="e">
        <f>IF(GETPIVOTDATA(_xlfn.VALUETOTEXT($A$4),'PREFILL-PIVOT'!$A$3,_xlfn.VALUETOTEXT($A$6),$A208,"Experiment",E$5,"date",E$6)=0,NA(),GETPIVOTDATA(_xlfn.VALUETOTEXT($A$4),'PREFILL-PIVOT'!$A$3,_xlfn.VALUETOTEXT($A$6),$A208,"Experiment",E$5,"date",E$6))</f>
        <v>#REF!</v>
      </c>
      <c r="F208" t="e">
        <f>IF(GETPIVOTDATA(_xlfn.VALUETOTEXT($A$4),'PREFILL-PIVOT'!$A$3,_xlfn.VALUETOTEXT($A$6),$A208,"Experiment",F$5,"date",F$6)=0,NA(),GETPIVOTDATA(_xlfn.VALUETOTEXT($A$4),'PREFILL-PIVOT'!$A$3,_xlfn.VALUETOTEXT($A$6),$A208,"Experiment",F$5,"date",F$6))</f>
        <v>#REF!</v>
      </c>
      <c r="G208" t="e">
        <f>IF(GETPIVOTDATA(_xlfn.VALUETOTEXT($A$4),'PREFILL-PIVOT'!$A$3,_xlfn.VALUETOTEXT($A$6),$A208,"Experiment",G$5,"date",G$6)=0,NA(),GETPIVOTDATA(_xlfn.VALUETOTEXT($A$4),'PREFILL-PIVOT'!$A$3,_xlfn.VALUETOTEXT($A$6),$A208,"Experiment",G$5,"date",G$6))</f>
        <v>#REF!</v>
      </c>
      <c r="H208" t="e">
        <f>IF(GETPIVOTDATA(_xlfn.VALUETOTEXT($A$4),'PREFILL-PIVOT'!$A$3,_xlfn.VALUETOTEXT($A$6),$A208,"Experiment",H$5,"date",H$6)=0,NA(),GETPIVOTDATA(_xlfn.VALUETOTEXT($A$4),'PREFILL-PIVOT'!$A$3,_xlfn.VALUETOTEXT($A$6),$A208,"Experiment",H$5,"date",H$6))</f>
        <v>#REF!</v>
      </c>
      <c r="I208" t="e">
        <f>IF(GETPIVOTDATA(_xlfn.VALUETOTEXT($A$4),'PREFILL-PIVOT'!$A$3,_xlfn.VALUETOTEXT($A$6),$A208,"Experiment",I$5,"date",I$6)=0,NA(),GETPIVOTDATA(_xlfn.VALUETOTEXT($A$4),'PREFILL-PIVOT'!$A$3,_xlfn.VALUETOTEXT($A$6),$A208,"Experiment",I$5,"date",I$6))</f>
        <v>#REF!</v>
      </c>
      <c r="J208" t="e">
        <f>IF(GETPIVOTDATA(_xlfn.VALUETOTEXT($A$4),'PREFILL-PIVOT'!$A$3,_xlfn.VALUETOTEXT($A$6),$A208,"Experiment",J$5,"date",J$6)=0,NA(),GETPIVOTDATA(_xlfn.VALUETOTEXT($A$4),'PREFILL-PIVOT'!$A$3,_xlfn.VALUETOTEXT($A$6),$A208,"Experiment",J$5,"date",J$6))</f>
        <v>#REF!</v>
      </c>
      <c r="K208" t="e">
        <f>IF(GETPIVOTDATA(_xlfn.VALUETOTEXT($A$4),'PREFILL-PIVOT'!$A$3,_xlfn.VALUETOTEXT($A$6),$A208,"Experiment",K$5,"date",K$6)=0,NA(),GETPIVOTDATA(_xlfn.VALUETOTEXT($A$4),'PREFILL-PIVOT'!$A$3,_xlfn.VALUETOTEXT($A$6),$A208,"Experiment",K$5,"date",K$6))</f>
        <v>#REF!</v>
      </c>
      <c r="L208" t="e">
        <f>IF(GETPIVOTDATA(_xlfn.VALUETOTEXT($A$4),'PREFILL-PIVOT'!$A$3,_xlfn.VALUETOTEXT($A$6),$A208,"Experiment",L$5,"date",L$6)=0,NA(),GETPIVOTDATA(_xlfn.VALUETOTEXT($A$4),'PREFILL-PIVOT'!$A$3,_xlfn.VALUETOTEXT($A$6),$A208,"Experiment",L$5,"date",L$6))</f>
        <v>#REF!</v>
      </c>
      <c r="M208" t="e">
        <f>IF(GETPIVOTDATA(_xlfn.VALUETOTEXT($A$4),'PREFILL-PIVOT'!$A$3,_xlfn.VALUETOTEXT($A$6),$A208,"Experiment",M$5,"date",M$6)=0,NA(),GETPIVOTDATA(_xlfn.VALUETOTEXT($A$4),'PREFILL-PIVOT'!$A$3,_xlfn.VALUETOTEXT($A$6),$A208,"Experiment",M$5,"date",M$6))</f>
        <v>#REF!</v>
      </c>
    </row>
    <row r="209" spans="1:13" x14ac:dyDescent="0.25">
      <c r="A209" s="222" t="e">
        <f>IF('PREFILL-PIVOT'!A207=0,NA(),'PREFILL-PIVOT'!A207)</f>
        <v>#N/A</v>
      </c>
      <c r="B209" t="e">
        <f>IF(GETPIVOTDATA(_xlfn.VALUETOTEXT($A$4),'PREFILL-PIVOT'!$A$3,_xlfn.VALUETOTEXT($A$6),$A209,"Experiment",B$5,"date",B$6)=0,NA(),GETPIVOTDATA(_xlfn.VALUETOTEXT($A$4),'PREFILL-PIVOT'!$A$3,_xlfn.VALUETOTEXT($A$6),$A209,"Experiment",B$5,"date",B$6))</f>
        <v>#REF!</v>
      </c>
      <c r="C209" t="e">
        <f>IF(GETPIVOTDATA(_xlfn.VALUETOTEXT($A$4),'PREFILL-PIVOT'!$A$3,_xlfn.VALUETOTEXT($A$6),$A209,"Experiment",C$5,"date",C$6)=0,NA(),GETPIVOTDATA(_xlfn.VALUETOTEXT($A$4),'PREFILL-PIVOT'!$A$3,_xlfn.VALUETOTEXT($A$6),$A209,"Experiment",C$5,"date",C$6))</f>
        <v>#REF!</v>
      </c>
      <c r="D209" t="e">
        <f>IF(GETPIVOTDATA(_xlfn.VALUETOTEXT($A$4),'PREFILL-PIVOT'!$A$3,_xlfn.VALUETOTEXT($A$6),$A209,"Experiment",D$5,"date",D$6)=0,NA(),GETPIVOTDATA(_xlfn.VALUETOTEXT($A$4),'PREFILL-PIVOT'!$A$3,_xlfn.VALUETOTEXT($A$6),$A209,"Experiment",D$5,"date",D$6))</f>
        <v>#REF!</v>
      </c>
      <c r="E209" t="e">
        <f>IF(GETPIVOTDATA(_xlfn.VALUETOTEXT($A$4),'PREFILL-PIVOT'!$A$3,_xlfn.VALUETOTEXT($A$6),$A209,"Experiment",E$5,"date",E$6)=0,NA(),GETPIVOTDATA(_xlfn.VALUETOTEXT($A$4),'PREFILL-PIVOT'!$A$3,_xlfn.VALUETOTEXT($A$6),$A209,"Experiment",E$5,"date",E$6))</f>
        <v>#REF!</v>
      </c>
      <c r="F209" t="e">
        <f>IF(GETPIVOTDATA(_xlfn.VALUETOTEXT($A$4),'PREFILL-PIVOT'!$A$3,_xlfn.VALUETOTEXT($A$6),$A209,"Experiment",F$5,"date",F$6)=0,NA(),GETPIVOTDATA(_xlfn.VALUETOTEXT($A$4),'PREFILL-PIVOT'!$A$3,_xlfn.VALUETOTEXT($A$6),$A209,"Experiment",F$5,"date",F$6))</f>
        <v>#REF!</v>
      </c>
      <c r="G209" t="e">
        <f>IF(GETPIVOTDATA(_xlfn.VALUETOTEXT($A$4),'PREFILL-PIVOT'!$A$3,_xlfn.VALUETOTEXT($A$6),$A209,"Experiment",G$5,"date",G$6)=0,NA(),GETPIVOTDATA(_xlfn.VALUETOTEXT($A$4),'PREFILL-PIVOT'!$A$3,_xlfn.VALUETOTEXT($A$6),$A209,"Experiment",G$5,"date",G$6))</f>
        <v>#REF!</v>
      </c>
      <c r="H209" t="e">
        <f>IF(GETPIVOTDATA(_xlfn.VALUETOTEXT($A$4),'PREFILL-PIVOT'!$A$3,_xlfn.VALUETOTEXT($A$6),$A209,"Experiment",H$5,"date",H$6)=0,NA(),GETPIVOTDATA(_xlfn.VALUETOTEXT($A$4),'PREFILL-PIVOT'!$A$3,_xlfn.VALUETOTEXT($A$6),$A209,"Experiment",H$5,"date",H$6))</f>
        <v>#REF!</v>
      </c>
      <c r="I209" t="e">
        <f>IF(GETPIVOTDATA(_xlfn.VALUETOTEXT($A$4),'PREFILL-PIVOT'!$A$3,_xlfn.VALUETOTEXT($A$6),$A209,"Experiment",I$5,"date",I$6)=0,NA(),GETPIVOTDATA(_xlfn.VALUETOTEXT($A$4),'PREFILL-PIVOT'!$A$3,_xlfn.VALUETOTEXT($A$6),$A209,"Experiment",I$5,"date",I$6))</f>
        <v>#REF!</v>
      </c>
      <c r="J209" t="e">
        <f>IF(GETPIVOTDATA(_xlfn.VALUETOTEXT($A$4),'PREFILL-PIVOT'!$A$3,_xlfn.VALUETOTEXT($A$6),$A209,"Experiment",J$5,"date",J$6)=0,NA(),GETPIVOTDATA(_xlfn.VALUETOTEXT($A$4),'PREFILL-PIVOT'!$A$3,_xlfn.VALUETOTEXT($A$6),$A209,"Experiment",J$5,"date",J$6))</f>
        <v>#REF!</v>
      </c>
      <c r="K209" t="e">
        <f>IF(GETPIVOTDATA(_xlfn.VALUETOTEXT($A$4),'PREFILL-PIVOT'!$A$3,_xlfn.VALUETOTEXT($A$6),$A209,"Experiment",K$5,"date",K$6)=0,NA(),GETPIVOTDATA(_xlfn.VALUETOTEXT($A$4),'PREFILL-PIVOT'!$A$3,_xlfn.VALUETOTEXT($A$6),$A209,"Experiment",K$5,"date",K$6))</f>
        <v>#REF!</v>
      </c>
      <c r="L209" t="e">
        <f>IF(GETPIVOTDATA(_xlfn.VALUETOTEXT($A$4),'PREFILL-PIVOT'!$A$3,_xlfn.VALUETOTEXT($A$6),$A209,"Experiment",L$5,"date",L$6)=0,NA(),GETPIVOTDATA(_xlfn.VALUETOTEXT($A$4),'PREFILL-PIVOT'!$A$3,_xlfn.VALUETOTEXT($A$6),$A209,"Experiment",L$5,"date",L$6))</f>
        <v>#REF!</v>
      </c>
      <c r="M209" t="e">
        <f>IF(GETPIVOTDATA(_xlfn.VALUETOTEXT($A$4),'PREFILL-PIVOT'!$A$3,_xlfn.VALUETOTEXT($A$6),$A209,"Experiment",M$5,"date",M$6)=0,NA(),GETPIVOTDATA(_xlfn.VALUETOTEXT($A$4),'PREFILL-PIVOT'!$A$3,_xlfn.VALUETOTEXT($A$6),$A209,"Experiment",M$5,"date",M$6))</f>
        <v>#REF!</v>
      </c>
    </row>
    <row r="210" spans="1:13" x14ac:dyDescent="0.25">
      <c r="A210" s="222" t="e">
        <f>IF('PREFILL-PIVOT'!A208=0,NA(),'PREFILL-PIVOT'!A208)</f>
        <v>#N/A</v>
      </c>
      <c r="B210" t="e">
        <f>IF(GETPIVOTDATA(_xlfn.VALUETOTEXT($A$4),'PREFILL-PIVOT'!$A$3,_xlfn.VALUETOTEXT($A$6),$A210,"Experiment",B$5,"date",B$6)=0,NA(),GETPIVOTDATA(_xlfn.VALUETOTEXT($A$4),'PREFILL-PIVOT'!$A$3,_xlfn.VALUETOTEXT($A$6),$A210,"Experiment",B$5,"date",B$6))</f>
        <v>#REF!</v>
      </c>
      <c r="C210" t="e">
        <f>IF(GETPIVOTDATA(_xlfn.VALUETOTEXT($A$4),'PREFILL-PIVOT'!$A$3,_xlfn.VALUETOTEXT($A$6),$A210,"Experiment",C$5,"date",C$6)=0,NA(),GETPIVOTDATA(_xlfn.VALUETOTEXT($A$4),'PREFILL-PIVOT'!$A$3,_xlfn.VALUETOTEXT($A$6),$A210,"Experiment",C$5,"date",C$6))</f>
        <v>#REF!</v>
      </c>
      <c r="D210" t="e">
        <f>IF(GETPIVOTDATA(_xlfn.VALUETOTEXT($A$4),'PREFILL-PIVOT'!$A$3,_xlfn.VALUETOTEXT($A$6),$A210,"Experiment",D$5,"date",D$6)=0,NA(),GETPIVOTDATA(_xlfn.VALUETOTEXT($A$4),'PREFILL-PIVOT'!$A$3,_xlfn.VALUETOTEXT($A$6),$A210,"Experiment",D$5,"date",D$6))</f>
        <v>#REF!</v>
      </c>
      <c r="E210" t="e">
        <f>IF(GETPIVOTDATA(_xlfn.VALUETOTEXT($A$4),'PREFILL-PIVOT'!$A$3,_xlfn.VALUETOTEXT($A$6),$A210,"Experiment",E$5,"date",E$6)=0,NA(),GETPIVOTDATA(_xlfn.VALUETOTEXT($A$4),'PREFILL-PIVOT'!$A$3,_xlfn.VALUETOTEXT($A$6),$A210,"Experiment",E$5,"date",E$6))</f>
        <v>#REF!</v>
      </c>
      <c r="F210" t="e">
        <f>IF(GETPIVOTDATA(_xlfn.VALUETOTEXT($A$4),'PREFILL-PIVOT'!$A$3,_xlfn.VALUETOTEXT($A$6),$A210,"Experiment",F$5,"date",F$6)=0,NA(),GETPIVOTDATA(_xlfn.VALUETOTEXT($A$4),'PREFILL-PIVOT'!$A$3,_xlfn.VALUETOTEXT($A$6),$A210,"Experiment",F$5,"date",F$6))</f>
        <v>#REF!</v>
      </c>
      <c r="G210" t="e">
        <f>IF(GETPIVOTDATA(_xlfn.VALUETOTEXT($A$4),'PREFILL-PIVOT'!$A$3,_xlfn.VALUETOTEXT($A$6),$A210,"Experiment",G$5,"date",G$6)=0,NA(),GETPIVOTDATA(_xlfn.VALUETOTEXT($A$4),'PREFILL-PIVOT'!$A$3,_xlfn.VALUETOTEXT($A$6),$A210,"Experiment",G$5,"date",G$6))</f>
        <v>#REF!</v>
      </c>
      <c r="H210" t="e">
        <f>IF(GETPIVOTDATA(_xlfn.VALUETOTEXT($A$4),'PREFILL-PIVOT'!$A$3,_xlfn.VALUETOTEXT($A$6),$A210,"Experiment",H$5,"date",H$6)=0,NA(),GETPIVOTDATA(_xlfn.VALUETOTEXT($A$4),'PREFILL-PIVOT'!$A$3,_xlfn.VALUETOTEXT($A$6),$A210,"Experiment",H$5,"date",H$6))</f>
        <v>#REF!</v>
      </c>
      <c r="I210" t="e">
        <f>IF(GETPIVOTDATA(_xlfn.VALUETOTEXT($A$4),'PREFILL-PIVOT'!$A$3,_xlfn.VALUETOTEXT($A$6),$A210,"Experiment",I$5,"date",I$6)=0,NA(),GETPIVOTDATA(_xlfn.VALUETOTEXT($A$4),'PREFILL-PIVOT'!$A$3,_xlfn.VALUETOTEXT($A$6),$A210,"Experiment",I$5,"date",I$6))</f>
        <v>#REF!</v>
      </c>
      <c r="J210" t="e">
        <f>IF(GETPIVOTDATA(_xlfn.VALUETOTEXT($A$4),'PREFILL-PIVOT'!$A$3,_xlfn.VALUETOTEXT($A$6),$A210,"Experiment",J$5,"date",J$6)=0,NA(),GETPIVOTDATA(_xlfn.VALUETOTEXT($A$4),'PREFILL-PIVOT'!$A$3,_xlfn.VALUETOTEXT($A$6),$A210,"Experiment",J$5,"date",J$6))</f>
        <v>#REF!</v>
      </c>
      <c r="K210" t="e">
        <f>IF(GETPIVOTDATA(_xlfn.VALUETOTEXT($A$4),'PREFILL-PIVOT'!$A$3,_xlfn.VALUETOTEXT($A$6),$A210,"Experiment",K$5,"date",K$6)=0,NA(),GETPIVOTDATA(_xlfn.VALUETOTEXT($A$4),'PREFILL-PIVOT'!$A$3,_xlfn.VALUETOTEXT($A$6),$A210,"Experiment",K$5,"date",K$6))</f>
        <v>#REF!</v>
      </c>
      <c r="L210" t="e">
        <f>IF(GETPIVOTDATA(_xlfn.VALUETOTEXT($A$4),'PREFILL-PIVOT'!$A$3,_xlfn.VALUETOTEXT($A$6),$A210,"Experiment",L$5,"date",L$6)=0,NA(),GETPIVOTDATA(_xlfn.VALUETOTEXT($A$4),'PREFILL-PIVOT'!$A$3,_xlfn.VALUETOTEXT($A$6),$A210,"Experiment",L$5,"date",L$6))</f>
        <v>#REF!</v>
      </c>
      <c r="M210" t="e">
        <f>IF(GETPIVOTDATA(_xlfn.VALUETOTEXT($A$4),'PREFILL-PIVOT'!$A$3,_xlfn.VALUETOTEXT($A$6),$A210,"Experiment",M$5,"date",M$6)=0,NA(),GETPIVOTDATA(_xlfn.VALUETOTEXT($A$4),'PREFILL-PIVOT'!$A$3,_xlfn.VALUETOTEXT($A$6),$A210,"Experiment",M$5,"date",M$6))</f>
        <v>#REF!</v>
      </c>
    </row>
    <row r="211" spans="1:13" x14ac:dyDescent="0.25">
      <c r="A211" s="222" t="e">
        <f>IF('PREFILL-PIVOT'!A209=0,NA(),'PREFILL-PIVOT'!A209)</f>
        <v>#N/A</v>
      </c>
      <c r="B211" t="e">
        <f>IF(GETPIVOTDATA(_xlfn.VALUETOTEXT($A$4),'PREFILL-PIVOT'!$A$3,_xlfn.VALUETOTEXT($A$6),$A211,"Experiment",B$5,"date",B$6)=0,NA(),GETPIVOTDATA(_xlfn.VALUETOTEXT($A$4),'PREFILL-PIVOT'!$A$3,_xlfn.VALUETOTEXT($A$6),$A211,"Experiment",B$5,"date",B$6))</f>
        <v>#REF!</v>
      </c>
      <c r="C211" t="e">
        <f>IF(GETPIVOTDATA(_xlfn.VALUETOTEXT($A$4),'PREFILL-PIVOT'!$A$3,_xlfn.VALUETOTEXT($A$6),$A211,"Experiment",C$5,"date",C$6)=0,NA(),GETPIVOTDATA(_xlfn.VALUETOTEXT($A$4),'PREFILL-PIVOT'!$A$3,_xlfn.VALUETOTEXT($A$6),$A211,"Experiment",C$5,"date",C$6))</f>
        <v>#REF!</v>
      </c>
      <c r="D211" t="e">
        <f>IF(GETPIVOTDATA(_xlfn.VALUETOTEXT($A$4),'PREFILL-PIVOT'!$A$3,_xlfn.VALUETOTEXT($A$6),$A211,"Experiment",D$5,"date",D$6)=0,NA(),GETPIVOTDATA(_xlfn.VALUETOTEXT($A$4),'PREFILL-PIVOT'!$A$3,_xlfn.VALUETOTEXT($A$6),$A211,"Experiment",D$5,"date",D$6))</f>
        <v>#REF!</v>
      </c>
      <c r="E211" t="e">
        <f>IF(GETPIVOTDATA(_xlfn.VALUETOTEXT($A$4),'PREFILL-PIVOT'!$A$3,_xlfn.VALUETOTEXT($A$6),$A211,"Experiment",E$5,"date",E$6)=0,NA(),GETPIVOTDATA(_xlfn.VALUETOTEXT($A$4),'PREFILL-PIVOT'!$A$3,_xlfn.VALUETOTEXT($A$6),$A211,"Experiment",E$5,"date",E$6))</f>
        <v>#REF!</v>
      </c>
      <c r="F211" t="e">
        <f>IF(GETPIVOTDATA(_xlfn.VALUETOTEXT($A$4),'PREFILL-PIVOT'!$A$3,_xlfn.VALUETOTEXT($A$6),$A211,"Experiment",F$5,"date",F$6)=0,NA(),GETPIVOTDATA(_xlfn.VALUETOTEXT($A$4),'PREFILL-PIVOT'!$A$3,_xlfn.VALUETOTEXT($A$6),$A211,"Experiment",F$5,"date",F$6))</f>
        <v>#REF!</v>
      </c>
      <c r="G211" t="e">
        <f>IF(GETPIVOTDATA(_xlfn.VALUETOTEXT($A$4),'PREFILL-PIVOT'!$A$3,_xlfn.VALUETOTEXT($A$6),$A211,"Experiment",G$5,"date",G$6)=0,NA(),GETPIVOTDATA(_xlfn.VALUETOTEXT($A$4),'PREFILL-PIVOT'!$A$3,_xlfn.VALUETOTEXT($A$6),$A211,"Experiment",G$5,"date",G$6))</f>
        <v>#REF!</v>
      </c>
      <c r="H211" t="e">
        <f>IF(GETPIVOTDATA(_xlfn.VALUETOTEXT($A$4),'PREFILL-PIVOT'!$A$3,_xlfn.VALUETOTEXT($A$6),$A211,"Experiment",H$5,"date",H$6)=0,NA(),GETPIVOTDATA(_xlfn.VALUETOTEXT($A$4),'PREFILL-PIVOT'!$A$3,_xlfn.VALUETOTEXT($A$6),$A211,"Experiment",H$5,"date",H$6))</f>
        <v>#REF!</v>
      </c>
      <c r="I211" t="e">
        <f>IF(GETPIVOTDATA(_xlfn.VALUETOTEXT($A$4),'PREFILL-PIVOT'!$A$3,_xlfn.VALUETOTEXT($A$6),$A211,"Experiment",I$5,"date",I$6)=0,NA(),GETPIVOTDATA(_xlfn.VALUETOTEXT($A$4),'PREFILL-PIVOT'!$A$3,_xlfn.VALUETOTEXT($A$6),$A211,"Experiment",I$5,"date",I$6))</f>
        <v>#REF!</v>
      </c>
      <c r="J211" t="e">
        <f>IF(GETPIVOTDATA(_xlfn.VALUETOTEXT($A$4),'PREFILL-PIVOT'!$A$3,_xlfn.VALUETOTEXT($A$6),$A211,"Experiment",J$5,"date",J$6)=0,NA(),GETPIVOTDATA(_xlfn.VALUETOTEXT($A$4),'PREFILL-PIVOT'!$A$3,_xlfn.VALUETOTEXT($A$6),$A211,"Experiment",J$5,"date",J$6))</f>
        <v>#REF!</v>
      </c>
      <c r="K211" t="e">
        <f>IF(GETPIVOTDATA(_xlfn.VALUETOTEXT($A$4),'PREFILL-PIVOT'!$A$3,_xlfn.VALUETOTEXT($A$6),$A211,"Experiment",K$5,"date",K$6)=0,NA(),GETPIVOTDATA(_xlfn.VALUETOTEXT($A$4),'PREFILL-PIVOT'!$A$3,_xlfn.VALUETOTEXT($A$6),$A211,"Experiment",K$5,"date",K$6))</f>
        <v>#REF!</v>
      </c>
      <c r="L211" t="e">
        <f>IF(GETPIVOTDATA(_xlfn.VALUETOTEXT($A$4),'PREFILL-PIVOT'!$A$3,_xlfn.VALUETOTEXT($A$6),$A211,"Experiment",L$5,"date",L$6)=0,NA(),GETPIVOTDATA(_xlfn.VALUETOTEXT($A$4),'PREFILL-PIVOT'!$A$3,_xlfn.VALUETOTEXT($A$6),$A211,"Experiment",L$5,"date",L$6))</f>
        <v>#REF!</v>
      </c>
      <c r="M211" t="e">
        <f>IF(GETPIVOTDATA(_xlfn.VALUETOTEXT($A$4),'PREFILL-PIVOT'!$A$3,_xlfn.VALUETOTEXT($A$6),$A211,"Experiment",M$5,"date",M$6)=0,NA(),GETPIVOTDATA(_xlfn.VALUETOTEXT($A$4),'PREFILL-PIVOT'!$A$3,_xlfn.VALUETOTEXT($A$6),$A211,"Experiment",M$5,"date",M$6))</f>
        <v>#REF!</v>
      </c>
    </row>
    <row r="212" spans="1:13" x14ac:dyDescent="0.25">
      <c r="A212" s="222" t="e">
        <f>IF('PREFILL-PIVOT'!A210=0,NA(),'PREFILL-PIVOT'!A210)</f>
        <v>#N/A</v>
      </c>
      <c r="B212" t="e">
        <f>IF(GETPIVOTDATA(_xlfn.VALUETOTEXT($A$4),'PREFILL-PIVOT'!$A$3,_xlfn.VALUETOTEXT($A$6),$A212,"Experiment",B$5,"date",B$6)=0,NA(),GETPIVOTDATA(_xlfn.VALUETOTEXT($A$4),'PREFILL-PIVOT'!$A$3,_xlfn.VALUETOTEXT($A$6),$A212,"Experiment",B$5,"date",B$6))</f>
        <v>#REF!</v>
      </c>
      <c r="C212" t="e">
        <f>IF(GETPIVOTDATA(_xlfn.VALUETOTEXT($A$4),'PREFILL-PIVOT'!$A$3,_xlfn.VALUETOTEXT($A$6),$A212,"Experiment",C$5,"date",C$6)=0,NA(),GETPIVOTDATA(_xlfn.VALUETOTEXT($A$4),'PREFILL-PIVOT'!$A$3,_xlfn.VALUETOTEXT($A$6),$A212,"Experiment",C$5,"date",C$6))</f>
        <v>#REF!</v>
      </c>
      <c r="D212" t="e">
        <f>IF(GETPIVOTDATA(_xlfn.VALUETOTEXT($A$4),'PREFILL-PIVOT'!$A$3,_xlfn.VALUETOTEXT($A$6),$A212,"Experiment",D$5,"date",D$6)=0,NA(),GETPIVOTDATA(_xlfn.VALUETOTEXT($A$4),'PREFILL-PIVOT'!$A$3,_xlfn.VALUETOTEXT($A$6),$A212,"Experiment",D$5,"date",D$6))</f>
        <v>#REF!</v>
      </c>
      <c r="E212" t="e">
        <f>IF(GETPIVOTDATA(_xlfn.VALUETOTEXT($A$4),'PREFILL-PIVOT'!$A$3,_xlfn.VALUETOTEXT($A$6),$A212,"Experiment",E$5,"date",E$6)=0,NA(),GETPIVOTDATA(_xlfn.VALUETOTEXT($A$4),'PREFILL-PIVOT'!$A$3,_xlfn.VALUETOTEXT($A$6),$A212,"Experiment",E$5,"date",E$6))</f>
        <v>#REF!</v>
      </c>
      <c r="F212" t="e">
        <f>IF(GETPIVOTDATA(_xlfn.VALUETOTEXT($A$4),'PREFILL-PIVOT'!$A$3,_xlfn.VALUETOTEXT($A$6),$A212,"Experiment",F$5,"date",F$6)=0,NA(),GETPIVOTDATA(_xlfn.VALUETOTEXT($A$4),'PREFILL-PIVOT'!$A$3,_xlfn.VALUETOTEXT($A$6),$A212,"Experiment",F$5,"date",F$6))</f>
        <v>#REF!</v>
      </c>
      <c r="G212" t="e">
        <f>IF(GETPIVOTDATA(_xlfn.VALUETOTEXT($A$4),'PREFILL-PIVOT'!$A$3,_xlfn.VALUETOTEXT($A$6),$A212,"Experiment",G$5,"date",G$6)=0,NA(),GETPIVOTDATA(_xlfn.VALUETOTEXT($A$4),'PREFILL-PIVOT'!$A$3,_xlfn.VALUETOTEXT($A$6),$A212,"Experiment",G$5,"date",G$6))</f>
        <v>#REF!</v>
      </c>
      <c r="H212" t="e">
        <f>IF(GETPIVOTDATA(_xlfn.VALUETOTEXT($A$4),'PREFILL-PIVOT'!$A$3,_xlfn.VALUETOTEXT($A$6),$A212,"Experiment",H$5,"date",H$6)=0,NA(),GETPIVOTDATA(_xlfn.VALUETOTEXT($A$4),'PREFILL-PIVOT'!$A$3,_xlfn.VALUETOTEXT($A$6),$A212,"Experiment",H$5,"date",H$6))</f>
        <v>#REF!</v>
      </c>
      <c r="I212" t="e">
        <f>IF(GETPIVOTDATA(_xlfn.VALUETOTEXT($A$4),'PREFILL-PIVOT'!$A$3,_xlfn.VALUETOTEXT($A$6),$A212,"Experiment",I$5,"date",I$6)=0,NA(),GETPIVOTDATA(_xlfn.VALUETOTEXT($A$4),'PREFILL-PIVOT'!$A$3,_xlfn.VALUETOTEXT($A$6),$A212,"Experiment",I$5,"date",I$6))</f>
        <v>#REF!</v>
      </c>
      <c r="J212" t="e">
        <f>IF(GETPIVOTDATA(_xlfn.VALUETOTEXT($A$4),'PREFILL-PIVOT'!$A$3,_xlfn.VALUETOTEXT($A$6),$A212,"Experiment",J$5,"date",J$6)=0,NA(),GETPIVOTDATA(_xlfn.VALUETOTEXT($A$4),'PREFILL-PIVOT'!$A$3,_xlfn.VALUETOTEXT($A$6),$A212,"Experiment",J$5,"date",J$6))</f>
        <v>#REF!</v>
      </c>
      <c r="K212" t="e">
        <f>IF(GETPIVOTDATA(_xlfn.VALUETOTEXT($A$4),'PREFILL-PIVOT'!$A$3,_xlfn.VALUETOTEXT($A$6),$A212,"Experiment",K$5,"date",K$6)=0,NA(),GETPIVOTDATA(_xlfn.VALUETOTEXT($A$4),'PREFILL-PIVOT'!$A$3,_xlfn.VALUETOTEXT($A$6),$A212,"Experiment",K$5,"date",K$6))</f>
        <v>#REF!</v>
      </c>
      <c r="L212" t="e">
        <f>IF(GETPIVOTDATA(_xlfn.VALUETOTEXT($A$4),'PREFILL-PIVOT'!$A$3,_xlfn.VALUETOTEXT($A$6),$A212,"Experiment",L$5,"date",L$6)=0,NA(),GETPIVOTDATA(_xlfn.VALUETOTEXT($A$4),'PREFILL-PIVOT'!$A$3,_xlfn.VALUETOTEXT($A$6),$A212,"Experiment",L$5,"date",L$6))</f>
        <v>#REF!</v>
      </c>
      <c r="M212" t="e">
        <f>IF(GETPIVOTDATA(_xlfn.VALUETOTEXT($A$4),'PREFILL-PIVOT'!$A$3,_xlfn.VALUETOTEXT($A$6),$A212,"Experiment",M$5,"date",M$6)=0,NA(),GETPIVOTDATA(_xlfn.VALUETOTEXT($A$4),'PREFILL-PIVOT'!$A$3,_xlfn.VALUETOTEXT($A$6),$A212,"Experiment",M$5,"date",M$6))</f>
        <v>#REF!</v>
      </c>
    </row>
    <row r="213" spans="1:13" x14ac:dyDescent="0.25">
      <c r="A213" s="222" t="e">
        <f>IF('PREFILL-PIVOT'!A211=0,NA(),'PREFILL-PIVOT'!A211)</f>
        <v>#N/A</v>
      </c>
      <c r="B213" t="e">
        <f>IF(GETPIVOTDATA(_xlfn.VALUETOTEXT($A$4),'PREFILL-PIVOT'!$A$3,_xlfn.VALUETOTEXT($A$6),$A213,"Experiment",B$5,"date",B$6)=0,NA(),GETPIVOTDATA(_xlfn.VALUETOTEXT($A$4),'PREFILL-PIVOT'!$A$3,_xlfn.VALUETOTEXT($A$6),$A213,"Experiment",B$5,"date",B$6))</f>
        <v>#REF!</v>
      </c>
      <c r="C213" t="e">
        <f>IF(GETPIVOTDATA(_xlfn.VALUETOTEXT($A$4),'PREFILL-PIVOT'!$A$3,_xlfn.VALUETOTEXT($A$6),$A213,"Experiment",C$5,"date",C$6)=0,NA(),GETPIVOTDATA(_xlfn.VALUETOTEXT($A$4),'PREFILL-PIVOT'!$A$3,_xlfn.VALUETOTEXT($A$6),$A213,"Experiment",C$5,"date",C$6))</f>
        <v>#REF!</v>
      </c>
      <c r="D213" t="e">
        <f>IF(GETPIVOTDATA(_xlfn.VALUETOTEXT($A$4),'PREFILL-PIVOT'!$A$3,_xlfn.VALUETOTEXT($A$6),$A213,"Experiment",D$5,"date",D$6)=0,NA(),GETPIVOTDATA(_xlfn.VALUETOTEXT($A$4),'PREFILL-PIVOT'!$A$3,_xlfn.VALUETOTEXT($A$6),$A213,"Experiment",D$5,"date",D$6))</f>
        <v>#REF!</v>
      </c>
      <c r="E213" t="e">
        <f>IF(GETPIVOTDATA(_xlfn.VALUETOTEXT($A$4),'PREFILL-PIVOT'!$A$3,_xlfn.VALUETOTEXT($A$6),$A213,"Experiment",E$5,"date",E$6)=0,NA(),GETPIVOTDATA(_xlfn.VALUETOTEXT($A$4),'PREFILL-PIVOT'!$A$3,_xlfn.VALUETOTEXT($A$6),$A213,"Experiment",E$5,"date",E$6))</f>
        <v>#REF!</v>
      </c>
      <c r="F213" t="e">
        <f>IF(GETPIVOTDATA(_xlfn.VALUETOTEXT($A$4),'PREFILL-PIVOT'!$A$3,_xlfn.VALUETOTEXT($A$6),$A213,"Experiment",F$5,"date",F$6)=0,NA(),GETPIVOTDATA(_xlfn.VALUETOTEXT($A$4),'PREFILL-PIVOT'!$A$3,_xlfn.VALUETOTEXT($A$6),$A213,"Experiment",F$5,"date",F$6))</f>
        <v>#REF!</v>
      </c>
      <c r="G213" t="e">
        <f>IF(GETPIVOTDATA(_xlfn.VALUETOTEXT($A$4),'PREFILL-PIVOT'!$A$3,_xlfn.VALUETOTEXT($A$6),$A213,"Experiment",G$5,"date",G$6)=0,NA(),GETPIVOTDATA(_xlfn.VALUETOTEXT($A$4),'PREFILL-PIVOT'!$A$3,_xlfn.VALUETOTEXT($A$6),$A213,"Experiment",G$5,"date",G$6))</f>
        <v>#REF!</v>
      </c>
      <c r="H213" t="e">
        <f>IF(GETPIVOTDATA(_xlfn.VALUETOTEXT($A$4),'PREFILL-PIVOT'!$A$3,_xlfn.VALUETOTEXT($A$6),$A213,"Experiment",H$5,"date",H$6)=0,NA(),GETPIVOTDATA(_xlfn.VALUETOTEXT($A$4),'PREFILL-PIVOT'!$A$3,_xlfn.VALUETOTEXT($A$6),$A213,"Experiment",H$5,"date",H$6))</f>
        <v>#REF!</v>
      </c>
      <c r="I213" t="e">
        <f>IF(GETPIVOTDATA(_xlfn.VALUETOTEXT($A$4),'PREFILL-PIVOT'!$A$3,_xlfn.VALUETOTEXT($A$6),$A213,"Experiment",I$5,"date",I$6)=0,NA(),GETPIVOTDATA(_xlfn.VALUETOTEXT($A$4),'PREFILL-PIVOT'!$A$3,_xlfn.VALUETOTEXT($A$6),$A213,"Experiment",I$5,"date",I$6))</f>
        <v>#REF!</v>
      </c>
      <c r="J213" t="e">
        <f>IF(GETPIVOTDATA(_xlfn.VALUETOTEXT($A$4),'PREFILL-PIVOT'!$A$3,_xlfn.VALUETOTEXT($A$6),$A213,"Experiment",J$5,"date",J$6)=0,NA(),GETPIVOTDATA(_xlfn.VALUETOTEXT($A$4),'PREFILL-PIVOT'!$A$3,_xlfn.VALUETOTEXT($A$6),$A213,"Experiment",J$5,"date",J$6))</f>
        <v>#REF!</v>
      </c>
      <c r="K213" t="e">
        <f>IF(GETPIVOTDATA(_xlfn.VALUETOTEXT($A$4),'PREFILL-PIVOT'!$A$3,_xlfn.VALUETOTEXT($A$6),$A213,"Experiment",K$5,"date",K$6)=0,NA(),GETPIVOTDATA(_xlfn.VALUETOTEXT($A$4),'PREFILL-PIVOT'!$A$3,_xlfn.VALUETOTEXT($A$6),$A213,"Experiment",K$5,"date",K$6))</f>
        <v>#REF!</v>
      </c>
      <c r="L213" t="e">
        <f>IF(GETPIVOTDATA(_xlfn.VALUETOTEXT($A$4),'PREFILL-PIVOT'!$A$3,_xlfn.VALUETOTEXT($A$6),$A213,"Experiment",L$5,"date",L$6)=0,NA(),GETPIVOTDATA(_xlfn.VALUETOTEXT($A$4),'PREFILL-PIVOT'!$A$3,_xlfn.VALUETOTEXT($A$6),$A213,"Experiment",L$5,"date",L$6))</f>
        <v>#REF!</v>
      </c>
      <c r="M213" t="e">
        <f>IF(GETPIVOTDATA(_xlfn.VALUETOTEXT($A$4),'PREFILL-PIVOT'!$A$3,_xlfn.VALUETOTEXT($A$6),$A213,"Experiment",M$5,"date",M$6)=0,NA(),GETPIVOTDATA(_xlfn.VALUETOTEXT($A$4),'PREFILL-PIVOT'!$A$3,_xlfn.VALUETOTEXT($A$6),$A213,"Experiment",M$5,"date",M$6))</f>
        <v>#REF!</v>
      </c>
    </row>
    <row r="214" spans="1:13" x14ac:dyDescent="0.25">
      <c r="A214" s="222" t="e">
        <f>IF('PREFILL-PIVOT'!A212=0,NA(),'PREFILL-PIVOT'!A212)</f>
        <v>#N/A</v>
      </c>
      <c r="B214" t="e">
        <f>IF(GETPIVOTDATA(_xlfn.VALUETOTEXT($A$4),'PREFILL-PIVOT'!$A$3,_xlfn.VALUETOTEXT($A$6),$A214,"Experiment",B$5,"date",B$6)=0,NA(),GETPIVOTDATA(_xlfn.VALUETOTEXT($A$4),'PREFILL-PIVOT'!$A$3,_xlfn.VALUETOTEXT($A$6),$A214,"Experiment",B$5,"date",B$6))</f>
        <v>#REF!</v>
      </c>
      <c r="C214" t="e">
        <f>IF(GETPIVOTDATA(_xlfn.VALUETOTEXT($A$4),'PREFILL-PIVOT'!$A$3,_xlfn.VALUETOTEXT($A$6),$A214,"Experiment",C$5,"date",C$6)=0,NA(),GETPIVOTDATA(_xlfn.VALUETOTEXT($A$4),'PREFILL-PIVOT'!$A$3,_xlfn.VALUETOTEXT($A$6),$A214,"Experiment",C$5,"date",C$6))</f>
        <v>#REF!</v>
      </c>
      <c r="D214" t="e">
        <f>IF(GETPIVOTDATA(_xlfn.VALUETOTEXT($A$4),'PREFILL-PIVOT'!$A$3,_xlfn.VALUETOTEXT($A$6),$A214,"Experiment",D$5,"date",D$6)=0,NA(),GETPIVOTDATA(_xlfn.VALUETOTEXT($A$4),'PREFILL-PIVOT'!$A$3,_xlfn.VALUETOTEXT($A$6),$A214,"Experiment",D$5,"date",D$6))</f>
        <v>#REF!</v>
      </c>
      <c r="E214" t="e">
        <f>IF(GETPIVOTDATA(_xlfn.VALUETOTEXT($A$4),'PREFILL-PIVOT'!$A$3,_xlfn.VALUETOTEXT($A$6),$A214,"Experiment",E$5,"date",E$6)=0,NA(),GETPIVOTDATA(_xlfn.VALUETOTEXT($A$4),'PREFILL-PIVOT'!$A$3,_xlfn.VALUETOTEXT($A$6),$A214,"Experiment",E$5,"date",E$6))</f>
        <v>#REF!</v>
      </c>
      <c r="F214" t="e">
        <f>IF(GETPIVOTDATA(_xlfn.VALUETOTEXT($A$4),'PREFILL-PIVOT'!$A$3,_xlfn.VALUETOTEXT($A$6),$A214,"Experiment",F$5,"date",F$6)=0,NA(),GETPIVOTDATA(_xlfn.VALUETOTEXT($A$4),'PREFILL-PIVOT'!$A$3,_xlfn.VALUETOTEXT($A$6),$A214,"Experiment",F$5,"date",F$6))</f>
        <v>#REF!</v>
      </c>
      <c r="G214" t="e">
        <f>IF(GETPIVOTDATA(_xlfn.VALUETOTEXT($A$4),'PREFILL-PIVOT'!$A$3,_xlfn.VALUETOTEXT($A$6),$A214,"Experiment",G$5,"date",G$6)=0,NA(),GETPIVOTDATA(_xlfn.VALUETOTEXT($A$4),'PREFILL-PIVOT'!$A$3,_xlfn.VALUETOTEXT($A$6),$A214,"Experiment",G$5,"date",G$6))</f>
        <v>#REF!</v>
      </c>
      <c r="H214" t="e">
        <f>IF(GETPIVOTDATA(_xlfn.VALUETOTEXT($A$4),'PREFILL-PIVOT'!$A$3,_xlfn.VALUETOTEXT($A$6),$A214,"Experiment",H$5,"date",H$6)=0,NA(),GETPIVOTDATA(_xlfn.VALUETOTEXT($A$4),'PREFILL-PIVOT'!$A$3,_xlfn.VALUETOTEXT($A$6),$A214,"Experiment",H$5,"date",H$6))</f>
        <v>#REF!</v>
      </c>
      <c r="I214" t="e">
        <f>IF(GETPIVOTDATA(_xlfn.VALUETOTEXT($A$4),'PREFILL-PIVOT'!$A$3,_xlfn.VALUETOTEXT($A$6),$A214,"Experiment",I$5,"date",I$6)=0,NA(),GETPIVOTDATA(_xlfn.VALUETOTEXT($A$4),'PREFILL-PIVOT'!$A$3,_xlfn.VALUETOTEXT($A$6),$A214,"Experiment",I$5,"date",I$6))</f>
        <v>#REF!</v>
      </c>
      <c r="J214" t="e">
        <f>IF(GETPIVOTDATA(_xlfn.VALUETOTEXT($A$4),'PREFILL-PIVOT'!$A$3,_xlfn.VALUETOTEXT($A$6),$A214,"Experiment",J$5,"date",J$6)=0,NA(),GETPIVOTDATA(_xlfn.VALUETOTEXT($A$4),'PREFILL-PIVOT'!$A$3,_xlfn.VALUETOTEXT($A$6),$A214,"Experiment",J$5,"date",J$6))</f>
        <v>#REF!</v>
      </c>
      <c r="K214" t="e">
        <f>IF(GETPIVOTDATA(_xlfn.VALUETOTEXT($A$4),'PREFILL-PIVOT'!$A$3,_xlfn.VALUETOTEXT($A$6),$A214,"Experiment",K$5,"date",K$6)=0,NA(),GETPIVOTDATA(_xlfn.VALUETOTEXT($A$4),'PREFILL-PIVOT'!$A$3,_xlfn.VALUETOTEXT($A$6),$A214,"Experiment",K$5,"date",K$6))</f>
        <v>#REF!</v>
      </c>
      <c r="L214" t="e">
        <f>IF(GETPIVOTDATA(_xlfn.VALUETOTEXT($A$4),'PREFILL-PIVOT'!$A$3,_xlfn.VALUETOTEXT($A$6),$A214,"Experiment",L$5,"date",L$6)=0,NA(),GETPIVOTDATA(_xlfn.VALUETOTEXT($A$4),'PREFILL-PIVOT'!$A$3,_xlfn.VALUETOTEXT($A$6),$A214,"Experiment",L$5,"date",L$6))</f>
        <v>#REF!</v>
      </c>
      <c r="M214" t="e">
        <f>IF(GETPIVOTDATA(_xlfn.VALUETOTEXT($A$4),'PREFILL-PIVOT'!$A$3,_xlfn.VALUETOTEXT($A$6),$A214,"Experiment",M$5,"date",M$6)=0,NA(),GETPIVOTDATA(_xlfn.VALUETOTEXT($A$4),'PREFILL-PIVOT'!$A$3,_xlfn.VALUETOTEXT($A$6),$A214,"Experiment",M$5,"date",M$6))</f>
        <v>#REF!</v>
      </c>
    </row>
    <row r="215" spans="1:13" x14ac:dyDescent="0.25">
      <c r="A215" s="222" t="e">
        <f>IF('PREFILL-PIVOT'!A213=0,NA(),'PREFILL-PIVOT'!A213)</f>
        <v>#N/A</v>
      </c>
      <c r="B215" t="e">
        <f>IF(GETPIVOTDATA(_xlfn.VALUETOTEXT($A$4),'PREFILL-PIVOT'!$A$3,_xlfn.VALUETOTEXT($A$6),$A215,"Experiment",B$5,"date",B$6)=0,NA(),GETPIVOTDATA(_xlfn.VALUETOTEXT($A$4),'PREFILL-PIVOT'!$A$3,_xlfn.VALUETOTEXT($A$6),$A215,"Experiment",B$5,"date",B$6))</f>
        <v>#REF!</v>
      </c>
      <c r="C215" t="e">
        <f>IF(GETPIVOTDATA(_xlfn.VALUETOTEXT($A$4),'PREFILL-PIVOT'!$A$3,_xlfn.VALUETOTEXT($A$6),$A215,"Experiment",C$5,"date",C$6)=0,NA(),GETPIVOTDATA(_xlfn.VALUETOTEXT($A$4),'PREFILL-PIVOT'!$A$3,_xlfn.VALUETOTEXT($A$6),$A215,"Experiment",C$5,"date",C$6))</f>
        <v>#REF!</v>
      </c>
      <c r="D215" t="e">
        <f>IF(GETPIVOTDATA(_xlfn.VALUETOTEXT($A$4),'PREFILL-PIVOT'!$A$3,_xlfn.VALUETOTEXT($A$6),$A215,"Experiment",D$5,"date",D$6)=0,NA(),GETPIVOTDATA(_xlfn.VALUETOTEXT($A$4),'PREFILL-PIVOT'!$A$3,_xlfn.VALUETOTEXT($A$6),$A215,"Experiment",D$5,"date",D$6))</f>
        <v>#REF!</v>
      </c>
      <c r="E215" t="e">
        <f>IF(GETPIVOTDATA(_xlfn.VALUETOTEXT($A$4),'PREFILL-PIVOT'!$A$3,_xlfn.VALUETOTEXT($A$6),$A215,"Experiment",E$5,"date",E$6)=0,NA(),GETPIVOTDATA(_xlfn.VALUETOTEXT($A$4),'PREFILL-PIVOT'!$A$3,_xlfn.VALUETOTEXT($A$6),$A215,"Experiment",E$5,"date",E$6))</f>
        <v>#REF!</v>
      </c>
      <c r="F215" t="e">
        <f>IF(GETPIVOTDATA(_xlfn.VALUETOTEXT($A$4),'PREFILL-PIVOT'!$A$3,_xlfn.VALUETOTEXT($A$6),$A215,"Experiment",F$5,"date",F$6)=0,NA(),GETPIVOTDATA(_xlfn.VALUETOTEXT($A$4),'PREFILL-PIVOT'!$A$3,_xlfn.VALUETOTEXT($A$6),$A215,"Experiment",F$5,"date",F$6))</f>
        <v>#REF!</v>
      </c>
      <c r="G215" t="e">
        <f>IF(GETPIVOTDATA(_xlfn.VALUETOTEXT($A$4),'PREFILL-PIVOT'!$A$3,_xlfn.VALUETOTEXT($A$6),$A215,"Experiment",G$5,"date",G$6)=0,NA(),GETPIVOTDATA(_xlfn.VALUETOTEXT($A$4),'PREFILL-PIVOT'!$A$3,_xlfn.VALUETOTEXT($A$6),$A215,"Experiment",G$5,"date",G$6))</f>
        <v>#REF!</v>
      </c>
      <c r="H215" t="e">
        <f>IF(GETPIVOTDATA(_xlfn.VALUETOTEXT($A$4),'PREFILL-PIVOT'!$A$3,_xlfn.VALUETOTEXT($A$6),$A215,"Experiment",H$5,"date",H$6)=0,NA(),GETPIVOTDATA(_xlfn.VALUETOTEXT($A$4),'PREFILL-PIVOT'!$A$3,_xlfn.VALUETOTEXT($A$6),$A215,"Experiment",H$5,"date",H$6))</f>
        <v>#REF!</v>
      </c>
      <c r="I215" t="e">
        <f>IF(GETPIVOTDATA(_xlfn.VALUETOTEXT($A$4),'PREFILL-PIVOT'!$A$3,_xlfn.VALUETOTEXT($A$6),$A215,"Experiment",I$5,"date",I$6)=0,NA(),GETPIVOTDATA(_xlfn.VALUETOTEXT($A$4),'PREFILL-PIVOT'!$A$3,_xlfn.VALUETOTEXT($A$6),$A215,"Experiment",I$5,"date",I$6))</f>
        <v>#REF!</v>
      </c>
      <c r="J215" t="e">
        <f>IF(GETPIVOTDATA(_xlfn.VALUETOTEXT($A$4),'PREFILL-PIVOT'!$A$3,_xlfn.VALUETOTEXT($A$6),$A215,"Experiment",J$5,"date",J$6)=0,NA(),GETPIVOTDATA(_xlfn.VALUETOTEXT($A$4),'PREFILL-PIVOT'!$A$3,_xlfn.VALUETOTEXT($A$6),$A215,"Experiment",J$5,"date",J$6))</f>
        <v>#REF!</v>
      </c>
      <c r="K215" t="e">
        <f>IF(GETPIVOTDATA(_xlfn.VALUETOTEXT($A$4),'PREFILL-PIVOT'!$A$3,_xlfn.VALUETOTEXT($A$6),$A215,"Experiment",K$5,"date",K$6)=0,NA(),GETPIVOTDATA(_xlfn.VALUETOTEXT($A$4),'PREFILL-PIVOT'!$A$3,_xlfn.VALUETOTEXT($A$6),$A215,"Experiment",K$5,"date",K$6))</f>
        <v>#REF!</v>
      </c>
      <c r="L215" t="e">
        <f>IF(GETPIVOTDATA(_xlfn.VALUETOTEXT($A$4),'PREFILL-PIVOT'!$A$3,_xlfn.VALUETOTEXT($A$6),$A215,"Experiment",L$5,"date",L$6)=0,NA(),GETPIVOTDATA(_xlfn.VALUETOTEXT($A$4),'PREFILL-PIVOT'!$A$3,_xlfn.VALUETOTEXT($A$6),$A215,"Experiment",L$5,"date",L$6))</f>
        <v>#REF!</v>
      </c>
      <c r="M215" t="e">
        <f>IF(GETPIVOTDATA(_xlfn.VALUETOTEXT($A$4),'PREFILL-PIVOT'!$A$3,_xlfn.VALUETOTEXT($A$6),$A215,"Experiment",M$5,"date",M$6)=0,NA(),GETPIVOTDATA(_xlfn.VALUETOTEXT($A$4),'PREFILL-PIVOT'!$A$3,_xlfn.VALUETOTEXT($A$6),$A215,"Experiment",M$5,"date",M$6))</f>
        <v>#REF!</v>
      </c>
    </row>
    <row r="216" spans="1:13" x14ac:dyDescent="0.25">
      <c r="A216" s="222" t="e">
        <f>IF('PREFILL-PIVOT'!A214=0,NA(),'PREFILL-PIVOT'!A214)</f>
        <v>#N/A</v>
      </c>
      <c r="B216" t="e">
        <f>IF(GETPIVOTDATA(_xlfn.VALUETOTEXT($A$4),'PREFILL-PIVOT'!$A$3,_xlfn.VALUETOTEXT($A$6),$A216,"Experiment",B$5,"date",B$6)=0,NA(),GETPIVOTDATA(_xlfn.VALUETOTEXT($A$4),'PREFILL-PIVOT'!$A$3,_xlfn.VALUETOTEXT($A$6),$A216,"Experiment",B$5,"date",B$6))</f>
        <v>#REF!</v>
      </c>
      <c r="C216" t="e">
        <f>IF(GETPIVOTDATA(_xlfn.VALUETOTEXT($A$4),'PREFILL-PIVOT'!$A$3,_xlfn.VALUETOTEXT($A$6),$A216,"Experiment",C$5,"date",C$6)=0,NA(),GETPIVOTDATA(_xlfn.VALUETOTEXT($A$4),'PREFILL-PIVOT'!$A$3,_xlfn.VALUETOTEXT($A$6),$A216,"Experiment",C$5,"date",C$6))</f>
        <v>#REF!</v>
      </c>
      <c r="D216" t="e">
        <f>IF(GETPIVOTDATA(_xlfn.VALUETOTEXT($A$4),'PREFILL-PIVOT'!$A$3,_xlfn.VALUETOTEXT($A$6),$A216,"Experiment",D$5,"date",D$6)=0,NA(),GETPIVOTDATA(_xlfn.VALUETOTEXT($A$4),'PREFILL-PIVOT'!$A$3,_xlfn.VALUETOTEXT($A$6),$A216,"Experiment",D$5,"date",D$6))</f>
        <v>#REF!</v>
      </c>
      <c r="E216" t="e">
        <f>IF(GETPIVOTDATA(_xlfn.VALUETOTEXT($A$4),'PREFILL-PIVOT'!$A$3,_xlfn.VALUETOTEXT($A$6),$A216,"Experiment",E$5,"date",E$6)=0,NA(),GETPIVOTDATA(_xlfn.VALUETOTEXT($A$4),'PREFILL-PIVOT'!$A$3,_xlfn.VALUETOTEXT($A$6),$A216,"Experiment",E$5,"date",E$6))</f>
        <v>#REF!</v>
      </c>
      <c r="F216" t="e">
        <f>IF(GETPIVOTDATA(_xlfn.VALUETOTEXT($A$4),'PREFILL-PIVOT'!$A$3,_xlfn.VALUETOTEXT($A$6),$A216,"Experiment",F$5,"date",F$6)=0,NA(),GETPIVOTDATA(_xlfn.VALUETOTEXT($A$4),'PREFILL-PIVOT'!$A$3,_xlfn.VALUETOTEXT($A$6),$A216,"Experiment",F$5,"date",F$6))</f>
        <v>#REF!</v>
      </c>
      <c r="G216" t="e">
        <f>IF(GETPIVOTDATA(_xlfn.VALUETOTEXT($A$4),'PREFILL-PIVOT'!$A$3,_xlfn.VALUETOTEXT($A$6),$A216,"Experiment",G$5,"date",G$6)=0,NA(),GETPIVOTDATA(_xlfn.VALUETOTEXT($A$4),'PREFILL-PIVOT'!$A$3,_xlfn.VALUETOTEXT($A$6),$A216,"Experiment",G$5,"date",G$6))</f>
        <v>#REF!</v>
      </c>
      <c r="H216" t="e">
        <f>IF(GETPIVOTDATA(_xlfn.VALUETOTEXT($A$4),'PREFILL-PIVOT'!$A$3,_xlfn.VALUETOTEXT($A$6),$A216,"Experiment",H$5,"date",H$6)=0,NA(),GETPIVOTDATA(_xlfn.VALUETOTEXT($A$4),'PREFILL-PIVOT'!$A$3,_xlfn.VALUETOTEXT($A$6),$A216,"Experiment",H$5,"date",H$6))</f>
        <v>#REF!</v>
      </c>
      <c r="I216" t="e">
        <f>IF(GETPIVOTDATA(_xlfn.VALUETOTEXT($A$4),'PREFILL-PIVOT'!$A$3,_xlfn.VALUETOTEXT($A$6),$A216,"Experiment",I$5,"date",I$6)=0,NA(),GETPIVOTDATA(_xlfn.VALUETOTEXT($A$4),'PREFILL-PIVOT'!$A$3,_xlfn.VALUETOTEXT($A$6),$A216,"Experiment",I$5,"date",I$6))</f>
        <v>#REF!</v>
      </c>
      <c r="J216" t="e">
        <f>IF(GETPIVOTDATA(_xlfn.VALUETOTEXT($A$4),'PREFILL-PIVOT'!$A$3,_xlfn.VALUETOTEXT($A$6),$A216,"Experiment",J$5,"date",J$6)=0,NA(),GETPIVOTDATA(_xlfn.VALUETOTEXT($A$4),'PREFILL-PIVOT'!$A$3,_xlfn.VALUETOTEXT($A$6),$A216,"Experiment",J$5,"date",J$6))</f>
        <v>#REF!</v>
      </c>
      <c r="K216" t="e">
        <f>IF(GETPIVOTDATA(_xlfn.VALUETOTEXT($A$4),'PREFILL-PIVOT'!$A$3,_xlfn.VALUETOTEXT($A$6),$A216,"Experiment",K$5,"date",K$6)=0,NA(),GETPIVOTDATA(_xlfn.VALUETOTEXT($A$4),'PREFILL-PIVOT'!$A$3,_xlfn.VALUETOTEXT($A$6),$A216,"Experiment",K$5,"date",K$6))</f>
        <v>#REF!</v>
      </c>
      <c r="L216" t="e">
        <f>IF(GETPIVOTDATA(_xlfn.VALUETOTEXT($A$4),'PREFILL-PIVOT'!$A$3,_xlfn.VALUETOTEXT($A$6),$A216,"Experiment",L$5,"date",L$6)=0,NA(),GETPIVOTDATA(_xlfn.VALUETOTEXT($A$4),'PREFILL-PIVOT'!$A$3,_xlfn.VALUETOTEXT($A$6),$A216,"Experiment",L$5,"date",L$6))</f>
        <v>#REF!</v>
      </c>
      <c r="M216" t="e">
        <f>IF(GETPIVOTDATA(_xlfn.VALUETOTEXT($A$4),'PREFILL-PIVOT'!$A$3,_xlfn.VALUETOTEXT($A$6),$A216,"Experiment",M$5,"date",M$6)=0,NA(),GETPIVOTDATA(_xlfn.VALUETOTEXT($A$4),'PREFILL-PIVOT'!$A$3,_xlfn.VALUETOTEXT($A$6),$A216,"Experiment",M$5,"date",M$6))</f>
        <v>#REF!</v>
      </c>
    </row>
    <row r="217" spans="1:13" x14ac:dyDescent="0.25">
      <c r="A217" s="222" t="e">
        <f>IF('PREFILL-PIVOT'!A215=0,NA(),'PREFILL-PIVOT'!A215)</f>
        <v>#N/A</v>
      </c>
      <c r="B217" t="e">
        <f>IF(GETPIVOTDATA(_xlfn.VALUETOTEXT($A$4),'PREFILL-PIVOT'!$A$3,_xlfn.VALUETOTEXT($A$6),$A217,"Experiment",B$5,"date",B$6)=0,NA(),GETPIVOTDATA(_xlfn.VALUETOTEXT($A$4),'PREFILL-PIVOT'!$A$3,_xlfn.VALUETOTEXT($A$6),$A217,"Experiment",B$5,"date",B$6))</f>
        <v>#REF!</v>
      </c>
      <c r="C217" t="e">
        <f>IF(GETPIVOTDATA(_xlfn.VALUETOTEXT($A$4),'PREFILL-PIVOT'!$A$3,_xlfn.VALUETOTEXT($A$6),$A217,"Experiment",C$5,"date",C$6)=0,NA(),GETPIVOTDATA(_xlfn.VALUETOTEXT($A$4),'PREFILL-PIVOT'!$A$3,_xlfn.VALUETOTEXT($A$6),$A217,"Experiment",C$5,"date",C$6))</f>
        <v>#REF!</v>
      </c>
      <c r="D217" t="e">
        <f>IF(GETPIVOTDATA(_xlfn.VALUETOTEXT($A$4),'PREFILL-PIVOT'!$A$3,_xlfn.VALUETOTEXT($A$6),$A217,"Experiment",D$5,"date",D$6)=0,NA(),GETPIVOTDATA(_xlfn.VALUETOTEXT($A$4),'PREFILL-PIVOT'!$A$3,_xlfn.VALUETOTEXT($A$6),$A217,"Experiment",D$5,"date",D$6))</f>
        <v>#REF!</v>
      </c>
      <c r="E217" t="e">
        <f>IF(GETPIVOTDATA(_xlfn.VALUETOTEXT($A$4),'PREFILL-PIVOT'!$A$3,_xlfn.VALUETOTEXT($A$6),$A217,"Experiment",E$5,"date",E$6)=0,NA(),GETPIVOTDATA(_xlfn.VALUETOTEXT($A$4),'PREFILL-PIVOT'!$A$3,_xlfn.VALUETOTEXT($A$6),$A217,"Experiment",E$5,"date",E$6))</f>
        <v>#REF!</v>
      </c>
      <c r="F217" t="e">
        <f>IF(GETPIVOTDATA(_xlfn.VALUETOTEXT($A$4),'PREFILL-PIVOT'!$A$3,_xlfn.VALUETOTEXT($A$6),$A217,"Experiment",F$5,"date",F$6)=0,NA(),GETPIVOTDATA(_xlfn.VALUETOTEXT($A$4),'PREFILL-PIVOT'!$A$3,_xlfn.VALUETOTEXT($A$6),$A217,"Experiment",F$5,"date",F$6))</f>
        <v>#REF!</v>
      </c>
      <c r="G217" t="e">
        <f>IF(GETPIVOTDATA(_xlfn.VALUETOTEXT($A$4),'PREFILL-PIVOT'!$A$3,_xlfn.VALUETOTEXT($A$6),$A217,"Experiment",G$5,"date",G$6)=0,NA(),GETPIVOTDATA(_xlfn.VALUETOTEXT($A$4),'PREFILL-PIVOT'!$A$3,_xlfn.VALUETOTEXT($A$6),$A217,"Experiment",G$5,"date",G$6))</f>
        <v>#REF!</v>
      </c>
      <c r="H217" t="e">
        <f>IF(GETPIVOTDATA(_xlfn.VALUETOTEXT($A$4),'PREFILL-PIVOT'!$A$3,_xlfn.VALUETOTEXT($A$6),$A217,"Experiment",H$5,"date",H$6)=0,NA(),GETPIVOTDATA(_xlfn.VALUETOTEXT($A$4),'PREFILL-PIVOT'!$A$3,_xlfn.VALUETOTEXT($A$6),$A217,"Experiment",H$5,"date",H$6))</f>
        <v>#REF!</v>
      </c>
      <c r="I217" t="e">
        <f>IF(GETPIVOTDATA(_xlfn.VALUETOTEXT($A$4),'PREFILL-PIVOT'!$A$3,_xlfn.VALUETOTEXT($A$6),$A217,"Experiment",I$5,"date",I$6)=0,NA(),GETPIVOTDATA(_xlfn.VALUETOTEXT($A$4),'PREFILL-PIVOT'!$A$3,_xlfn.VALUETOTEXT($A$6),$A217,"Experiment",I$5,"date",I$6))</f>
        <v>#REF!</v>
      </c>
      <c r="J217" t="e">
        <f>IF(GETPIVOTDATA(_xlfn.VALUETOTEXT($A$4),'PREFILL-PIVOT'!$A$3,_xlfn.VALUETOTEXT($A$6),$A217,"Experiment",J$5,"date",J$6)=0,NA(),GETPIVOTDATA(_xlfn.VALUETOTEXT($A$4),'PREFILL-PIVOT'!$A$3,_xlfn.VALUETOTEXT($A$6),$A217,"Experiment",J$5,"date",J$6))</f>
        <v>#REF!</v>
      </c>
      <c r="K217" t="e">
        <f>IF(GETPIVOTDATA(_xlfn.VALUETOTEXT($A$4),'PREFILL-PIVOT'!$A$3,_xlfn.VALUETOTEXT($A$6),$A217,"Experiment",K$5,"date",K$6)=0,NA(),GETPIVOTDATA(_xlfn.VALUETOTEXT($A$4),'PREFILL-PIVOT'!$A$3,_xlfn.VALUETOTEXT($A$6),$A217,"Experiment",K$5,"date",K$6))</f>
        <v>#REF!</v>
      </c>
      <c r="L217" t="e">
        <f>IF(GETPIVOTDATA(_xlfn.VALUETOTEXT($A$4),'PREFILL-PIVOT'!$A$3,_xlfn.VALUETOTEXT($A$6),$A217,"Experiment",L$5,"date",L$6)=0,NA(),GETPIVOTDATA(_xlfn.VALUETOTEXT($A$4),'PREFILL-PIVOT'!$A$3,_xlfn.VALUETOTEXT($A$6),$A217,"Experiment",L$5,"date",L$6))</f>
        <v>#REF!</v>
      </c>
      <c r="M217" t="e">
        <f>IF(GETPIVOTDATA(_xlfn.VALUETOTEXT($A$4),'PREFILL-PIVOT'!$A$3,_xlfn.VALUETOTEXT($A$6),$A217,"Experiment",M$5,"date",M$6)=0,NA(),GETPIVOTDATA(_xlfn.VALUETOTEXT($A$4),'PREFILL-PIVOT'!$A$3,_xlfn.VALUETOTEXT($A$6),$A217,"Experiment",M$5,"date",M$6))</f>
        <v>#REF!</v>
      </c>
    </row>
    <row r="218" spans="1:13" x14ac:dyDescent="0.25">
      <c r="A218" s="222" t="e">
        <f>IF('PREFILL-PIVOT'!A216=0,NA(),'PREFILL-PIVOT'!A216)</f>
        <v>#N/A</v>
      </c>
      <c r="B218" t="e">
        <f>IF(GETPIVOTDATA(_xlfn.VALUETOTEXT($A$4),'PREFILL-PIVOT'!$A$3,_xlfn.VALUETOTEXT($A$6),$A218,"Experiment",B$5,"date",B$6)=0,NA(),GETPIVOTDATA(_xlfn.VALUETOTEXT($A$4),'PREFILL-PIVOT'!$A$3,_xlfn.VALUETOTEXT($A$6),$A218,"Experiment",B$5,"date",B$6))</f>
        <v>#REF!</v>
      </c>
      <c r="C218" t="e">
        <f>IF(GETPIVOTDATA(_xlfn.VALUETOTEXT($A$4),'PREFILL-PIVOT'!$A$3,_xlfn.VALUETOTEXT($A$6),$A218,"Experiment",C$5,"date",C$6)=0,NA(),GETPIVOTDATA(_xlfn.VALUETOTEXT($A$4),'PREFILL-PIVOT'!$A$3,_xlfn.VALUETOTEXT($A$6),$A218,"Experiment",C$5,"date",C$6))</f>
        <v>#REF!</v>
      </c>
      <c r="D218" t="e">
        <f>IF(GETPIVOTDATA(_xlfn.VALUETOTEXT($A$4),'PREFILL-PIVOT'!$A$3,_xlfn.VALUETOTEXT($A$6),$A218,"Experiment",D$5,"date",D$6)=0,NA(),GETPIVOTDATA(_xlfn.VALUETOTEXT($A$4),'PREFILL-PIVOT'!$A$3,_xlfn.VALUETOTEXT($A$6),$A218,"Experiment",D$5,"date",D$6))</f>
        <v>#REF!</v>
      </c>
      <c r="E218" t="e">
        <f>IF(GETPIVOTDATA(_xlfn.VALUETOTEXT($A$4),'PREFILL-PIVOT'!$A$3,_xlfn.VALUETOTEXT($A$6),$A218,"Experiment",E$5,"date",E$6)=0,NA(),GETPIVOTDATA(_xlfn.VALUETOTEXT($A$4),'PREFILL-PIVOT'!$A$3,_xlfn.VALUETOTEXT($A$6),$A218,"Experiment",E$5,"date",E$6))</f>
        <v>#REF!</v>
      </c>
      <c r="F218" t="e">
        <f>IF(GETPIVOTDATA(_xlfn.VALUETOTEXT($A$4),'PREFILL-PIVOT'!$A$3,_xlfn.VALUETOTEXT($A$6),$A218,"Experiment",F$5,"date",F$6)=0,NA(),GETPIVOTDATA(_xlfn.VALUETOTEXT($A$4),'PREFILL-PIVOT'!$A$3,_xlfn.VALUETOTEXT($A$6),$A218,"Experiment",F$5,"date",F$6))</f>
        <v>#REF!</v>
      </c>
      <c r="G218" t="e">
        <f>IF(GETPIVOTDATA(_xlfn.VALUETOTEXT($A$4),'PREFILL-PIVOT'!$A$3,_xlfn.VALUETOTEXT($A$6),$A218,"Experiment",G$5,"date",G$6)=0,NA(),GETPIVOTDATA(_xlfn.VALUETOTEXT($A$4),'PREFILL-PIVOT'!$A$3,_xlfn.VALUETOTEXT($A$6),$A218,"Experiment",G$5,"date",G$6))</f>
        <v>#REF!</v>
      </c>
      <c r="H218" t="e">
        <f>IF(GETPIVOTDATA(_xlfn.VALUETOTEXT($A$4),'PREFILL-PIVOT'!$A$3,_xlfn.VALUETOTEXT($A$6),$A218,"Experiment",H$5,"date",H$6)=0,NA(),GETPIVOTDATA(_xlfn.VALUETOTEXT($A$4),'PREFILL-PIVOT'!$A$3,_xlfn.VALUETOTEXT($A$6),$A218,"Experiment",H$5,"date",H$6))</f>
        <v>#REF!</v>
      </c>
      <c r="I218" t="e">
        <f>IF(GETPIVOTDATA(_xlfn.VALUETOTEXT($A$4),'PREFILL-PIVOT'!$A$3,_xlfn.VALUETOTEXT($A$6),$A218,"Experiment",I$5,"date",I$6)=0,NA(),GETPIVOTDATA(_xlfn.VALUETOTEXT($A$4),'PREFILL-PIVOT'!$A$3,_xlfn.VALUETOTEXT($A$6),$A218,"Experiment",I$5,"date",I$6))</f>
        <v>#REF!</v>
      </c>
      <c r="J218" t="e">
        <f>IF(GETPIVOTDATA(_xlfn.VALUETOTEXT($A$4),'PREFILL-PIVOT'!$A$3,_xlfn.VALUETOTEXT($A$6),$A218,"Experiment",J$5,"date",J$6)=0,NA(),GETPIVOTDATA(_xlfn.VALUETOTEXT($A$4),'PREFILL-PIVOT'!$A$3,_xlfn.VALUETOTEXT($A$6),$A218,"Experiment",J$5,"date",J$6))</f>
        <v>#REF!</v>
      </c>
      <c r="K218" t="e">
        <f>IF(GETPIVOTDATA(_xlfn.VALUETOTEXT($A$4),'PREFILL-PIVOT'!$A$3,_xlfn.VALUETOTEXT($A$6),$A218,"Experiment",K$5,"date",K$6)=0,NA(),GETPIVOTDATA(_xlfn.VALUETOTEXT($A$4),'PREFILL-PIVOT'!$A$3,_xlfn.VALUETOTEXT($A$6),$A218,"Experiment",K$5,"date",K$6))</f>
        <v>#REF!</v>
      </c>
      <c r="L218" t="e">
        <f>IF(GETPIVOTDATA(_xlfn.VALUETOTEXT($A$4),'PREFILL-PIVOT'!$A$3,_xlfn.VALUETOTEXT($A$6),$A218,"Experiment",L$5,"date",L$6)=0,NA(),GETPIVOTDATA(_xlfn.VALUETOTEXT($A$4),'PREFILL-PIVOT'!$A$3,_xlfn.VALUETOTEXT($A$6),$A218,"Experiment",L$5,"date",L$6))</f>
        <v>#REF!</v>
      </c>
      <c r="M218" t="e">
        <f>IF(GETPIVOTDATA(_xlfn.VALUETOTEXT($A$4),'PREFILL-PIVOT'!$A$3,_xlfn.VALUETOTEXT($A$6),$A218,"Experiment",M$5,"date",M$6)=0,NA(),GETPIVOTDATA(_xlfn.VALUETOTEXT($A$4),'PREFILL-PIVOT'!$A$3,_xlfn.VALUETOTEXT($A$6),$A218,"Experiment",M$5,"date",M$6))</f>
        <v>#REF!</v>
      </c>
    </row>
    <row r="219" spans="1:13" x14ac:dyDescent="0.25">
      <c r="A219" s="222" t="e">
        <f>IF('PREFILL-PIVOT'!A217=0,NA(),'PREFILL-PIVOT'!A217)</f>
        <v>#N/A</v>
      </c>
      <c r="B219" t="e">
        <f>IF(GETPIVOTDATA(_xlfn.VALUETOTEXT($A$4),'PREFILL-PIVOT'!$A$3,_xlfn.VALUETOTEXT($A$6),$A219,"Experiment",B$5,"date",B$6)=0,NA(),GETPIVOTDATA(_xlfn.VALUETOTEXT($A$4),'PREFILL-PIVOT'!$A$3,_xlfn.VALUETOTEXT($A$6),$A219,"Experiment",B$5,"date",B$6))</f>
        <v>#REF!</v>
      </c>
      <c r="C219" t="e">
        <f>IF(GETPIVOTDATA(_xlfn.VALUETOTEXT($A$4),'PREFILL-PIVOT'!$A$3,_xlfn.VALUETOTEXT($A$6),$A219,"Experiment",C$5,"date",C$6)=0,NA(),GETPIVOTDATA(_xlfn.VALUETOTEXT($A$4),'PREFILL-PIVOT'!$A$3,_xlfn.VALUETOTEXT($A$6),$A219,"Experiment",C$5,"date",C$6))</f>
        <v>#REF!</v>
      </c>
      <c r="D219" t="e">
        <f>IF(GETPIVOTDATA(_xlfn.VALUETOTEXT($A$4),'PREFILL-PIVOT'!$A$3,_xlfn.VALUETOTEXT($A$6),$A219,"Experiment",D$5,"date",D$6)=0,NA(),GETPIVOTDATA(_xlfn.VALUETOTEXT($A$4),'PREFILL-PIVOT'!$A$3,_xlfn.VALUETOTEXT($A$6),$A219,"Experiment",D$5,"date",D$6))</f>
        <v>#REF!</v>
      </c>
      <c r="E219" t="e">
        <f>IF(GETPIVOTDATA(_xlfn.VALUETOTEXT($A$4),'PREFILL-PIVOT'!$A$3,_xlfn.VALUETOTEXT($A$6),$A219,"Experiment",E$5,"date",E$6)=0,NA(),GETPIVOTDATA(_xlfn.VALUETOTEXT($A$4),'PREFILL-PIVOT'!$A$3,_xlfn.VALUETOTEXT($A$6),$A219,"Experiment",E$5,"date",E$6))</f>
        <v>#REF!</v>
      </c>
      <c r="F219" t="e">
        <f>IF(GETPIVOTDATA(_xlfn.VALUETOTEXT($A$4),'PREFILL-PIVOT'!$A$3,_xlfn.VALUETOTEXT($A$6),$A219,"Experiment",F$5,"date",F$6)=0,NA(),GETPIVOTDATA(_xlfn.VALUETOTEXT($A$4),'PREFILL-PIVOT'!$A$3,_xlfn.VALUETOTEXT($A$6),$A219,"Experiment",F$5,"date",F$6))</f>
        <v>#REF!</v>
      </c>
      <c r="G219" t="e">
        <f>IF(GETPIVOTDATA(_xlfn.VALUETOTEXT($A$4),'PREFILL-PIVOT'!$A$3,_xlfn.VALUETOTEXT($A$6),$A219,"Experiment",G$5,"date",G$6)=0,NA(),GETPIVOTDATA(_xlfn.VALUETOTEXT($A$4),'PREFILL-PIVOT'!$A$3,_xlfn.VALUETOTEXT($A$6),$A219,"Experiment",G$5,"date",G$6))</f>
        <v>#REF!</v>
      </c>
      <c r="H219" t="e">
        <f>IF(GETPIVOTDATA(_xlfn.VALUETOTEXT($A$4),'PREFILL-PIVOT'!$A$3,_xlfn.VALUETOTEXT($A$6),$A219,"Experiment",H$5,"date",H$6)=0,NA(),GETPIVOTDATA(_xlfn.VALUETOTEXT($A$4),'PREFILL-PIVOT'!$A$3,_xlfn.VALUETOTEXT($A$6),$A219,"Experiment",H$5,"date",H$6))</f>
        <v>#REF!</v>
      </c>
      <c r="I219" t="e">
        <f>IF(GETPIVOTDATA(_xlfn.VALUETOTEXT($A$4),'PREFILL-PIVOT'!$A$3,_xlfn.VALUETOTEXT($A$6),$A219,"Experiment",I$5,"date",I$6)=0,NA(),GETPIVOTDATA(_xlfn.VALUETOTEXT($A$4),'PREFILL-PIVOT'!$A$3,_xlfn.VALUETOTEXT($A$6),$A219,"Experiment",I$5,"date",I$6))</f>
        <v>#REF!</v>
      </c>
      <c r="J219" t="e">
        <f>IF(GETPIVOTDATA(_xlfn.VALUETOTEXT($A$4),'PREFILL-PIVOT'!$A$3,_xlfn.VALUETOTEXT($A$6),$A219,"Experiment",J$5,"date",J$6)=0,NA(),GETPIVOTDATA(_xlfn.VALUETOTEXT($A$4),'PREFILL-PIVOT'!$A$3,_xlfn.VALUETOTEXT($A$6),$A219,"Experiment",J$5,"date",J$6))</f>
        <v>#REF!</v>
      </c>
      <c r="K219" t="e">
        <f>IF(GETPIVOTDATA(_xlfn.VALUETOTEXT($A$4),'PREFILL-PIVOT'!$A$3,_xlfn.VALUETOTEXT($A$6),$A219,"Experiment",K$5,"date",K$6)=0,NA(),GETPIVOTDATA(_xlfn.VALUETOTEXT($A$4),'PREFILL-PIVOT'!$A$3,_xlfn.VALUETOTEXT($A$6),$A219,"Experiment",K$5,"date",K$6))</f>
        <v>#REF!</v>
      </c>
      <c r="L219" t="e">
        <f>IF(GETPIVOTDATA(_xlfn.VALUETOTEXT($A$4),'PREFILL-PIVOT'!$A$3,_xlfn.VALUETOTEXT($A$6),$A219,"Experiment",L$5,"date",L$6)=0,NA(),GETPIVOTDATA(_xlfn.VALUETOTEXT($A$4),'PREFILL-PIVOT'!$A$3,_xlfn.VALUETOTEXT($A$6),$A219,"Experiment",L$5,"date",L$6))</f>
        <v>#REF!</v>
      </c>
      <c r="M219" t="e">
        <f>IF(GETPIVOTDATA(_xlfn.VALUETOTEXT($A$4),'PREFILL-PIVOT'!$A$3,_xlfn.VALUETOTEXT($A$6),$A219,"Experiment",M$5,"date",M$6)=0,NA(),GETPIVOTDATA(_xlfn.VALUETOTEXT($A$4),'PREFILL-PIVOT'!$A$3,_xlfn.VALUETOTEXT($A$6),$A219,"Experiment",M$5,"date",M$6))</f>
        <v>#REF!</v>
      </c>
    </row>
    <row r="220" spans="1:13" x14ac:dyDescent="0.25">
      <c r="A220" s="222" t="e">
        <f>IF('PREFILL-PIVOT'!A218=0,NA(),'PREFILL-PIVOT'!A218)</f>
        <v>#N/A</v>
      </c>
      <c r="B220" t="e">
        <f>IF(GETPIVOTDATA(_xlfn.VALUETOTEXT($A$4),'PREFILL-PIVOT'!$A$3,_xlfn.VALUETOTEXT($A$6),$A220,"Experiment",B$5,"date",B$6)=0,NA(),GETPIVOTDATA(_xlfn.VALUETOTEXT($A$4),'PREFILL-PIVOT'!$A$3,_xlfn.VALUETOTEXT($A$6),$A220,"Experiment",B$5,"date",B$6))</f>
        <v>#REF!</v>
      </c>
      <c r="C220" t="e">
        <f>IF(GETPIVOTDATA(_xlfn.VALUETOTEXT($A$4),'PREFILL-PIVOT'!$A$3,_xlfn.VALUETOTEXT($A$6),$A220,"Experiment",C$5,"date",C$6)=0,NA(),GETPIVOTDATA(_xlfn.VALUETOTEXT($A$4),'PREFILL-PIVOT'!$A$3,_xlfn.VALUETOTEXT($A$6),$A220,"Experiment",C$5,"date",C$6))</f>
        <v>#REF!</v>
      </c>
      <c r="D220" t="e">
        <f>IF(GETPIVOTDATA(_xlfn.VALUETOTEXT($A$4),'PREFILL-PIVOT'!$A$3,_xlfn.VALUETOTEXT($A$6),$A220,"Experiment",D$5,"date",D$6)=0,NA(),GETPIVOTDATA(_xlfn.VALUETOTEXT($A$4),'PREFILL-PIVOT'!$A$3,_xlfn.VALUETOTEXT($A$6),$A220,"Experiment",D$5,"date",D$6))</f>
        <v>#REF!</v>
      </c>
      <c r="E220" t="e">
        <f>IF(GETPIVOTDATA(_xlfn.VALUETOTEXT($A$4),'PREFILL-PIVOT'!$A$3,_xlfn.VALUETOTEXT($A$6),$A220,"Experiment",E$5,"date",E$6)=0,NA(),GETPIVOTDATA(_xlfn.VALUETOTEXT($A$4),'PREFILL-PIVOT'!$A$3,_xlfn.VALUETOTEXT($A$6),$A220,"Experiment",E$5,"date",E$6))</f>
        <v>#REF!</v>
      </c>
      <c r="F220" t="e">
        <f>IF(GETPIVOTDATA(_xlfn.VALUETOTEXT($A$4),'PREFILL-PIVOT'!$A$3,_xlfn.VALUETOTEXT($A$6),$A220,"Experiment",F$5,"date",F$6)=0,NA(),GETPIVOTDATA(_xlfn.VALUETOTEXT($A$4),'PREFILL-PIVOT'!$A$3,_xlfn.VALUETOTEXT($A$6),$A220,"Experiment",F$5,"date",F$6))</f>
        <v>#REF!</v>
      </c>
      <c r="G220" t="e">
        <f>IF(GETPIVOTDATA(_xlfn.VALUETOTEXT($A$4),'PREFILL-PIVOT'!$A$3,_xlfn.VALUETOTEXT($A$6),$A220,"Experiment",G$5,"date",G$6)=0,NA(),GETPIVOTDATA(_xlfn.VALUETOTEXT($A$4),'PREFILL-PIVOT'!$A$3,_xlfn.VALUETOTEXT($A$6),$A220,"Experiment",G$5,"date",G$6))</f>
        <v>#REF!</v>
      </c>
      <c r="H220" t="e">
        <f>IF(GETPIVOTDATA(_xlfn.VALUETOTEXT($A$4),'PREFILL-PIVOT'!$A$3,_xlfn.VALUETOTEXT($A$6),$A220,"Experiment",H$5,"date",H$6)=0,NA(),GETPIVOTDATA(_xlfn.VALUETOTEXT($A$4),'PREFILL-PIVOT'!$A$3,_xlfn.VALUETOTEXT($A$6),$A220,"Experiment",H$5,"date",H$6))</f>
        <v>#REF!</v>
      </c>
      <c r="I220" t="e">
        <f>IF(GETPIVOTDATA(_xlfn.VALUETOTEXT($A$4),'PREFILL-PIVOT'!$A$3,_xlfn.VALUETOTEXT($A$6),$A220,"Experiment",I$5,"date",I$6)=0,NA(),GETPIVOTDATA(_xlfn.VALUETOTEXT($A$4),'PREFILL-PIVOT'!$A$3,_xlfn.VALUETOTEXT($A$6),$A220,"Experiment",I$5,"date",I$6))</f>
        <v>#REF!</v>
      </c>
      <c r="J220" t="e">
        <f>IF(GETPIVOTDATA(_xlfn.VALUETOTEXT($A$4),'PREFILL-PIVOT'!$A$3,_xlfn.VALUETOTEXT($A$6),$A220,"Experiment",J$5,"date",J$6)=0,NA(),GETPIVOTDATA(_xlfn.VALUETOTEXT($A$4),'PREFILL-PIVOT'!$A$3,_xlfn.VALUETOTEXT($A$6),$A220,"Experiment",J$5,"date",J$6))</f>
        <v>#REF!</v>
      </c>
      <c r="K220" t="e">
        <f>IF(GETPIVOTDATA(_xlfn.VALUETOTEXT($A$4),'PREFILL-PIVOT'!$A$3,_xlfn.VALUETOTEXT($A$6),$A220,"Experiment",K$5,"date",K$6)=0,NA(),GETPIVOTDATA(_xlfn.VALUETOTEXT($A$4),'PREFILL-PIVOT'!$A$3,_xlfn.VALUETOTEXT($A$6),$A220,"Experiment",K$5,"date",K$6))</f>
        <v>#REF!</v>
      </c>
      <c r="L220" t="e">
        <f>IF(GETPIVOTDATA(_xlfn.VALUETOTEXT($A$4),'PREFILL-PIVOT'!$A$3,_xlfn.VALUETOTEXT($A$6),$A220,"Experiment",L$5,"date",L$6)=0,NA(),GETPIVOTDATA(_xlfn.VALUETOTEXT($A$4),'PREFILL-PIVOT'!$A$3,_xlfn.VALUETOTEXT($A$6),$A220,"Experiment",L$5,"date",L$6))</f>
        <v>#REF!</v>
      </c>
      <c r="M220" t="e">
        <f>IF(GETPIVOTDATA(_xlfn.VALUETOTEXT($A$4),'PREFILL-PIVOT'!$A$3,_xlfn.VALUETOTEXT($A$6),$A220,"Experiment",M$5,"date",M$6)=0,NA(),GETPIVOTDATA(_xlfn.VALUETOTEXT($A$4),'PREFILL-PIVOT'!$A$3,_xlfn.VALUETOTEXT($A$6),$A220,"Experiment",M$5,"date",M$6))</f>
        <v>#REF!</v>
      </c>
    </row>
    <row r="221" spans="1:13" x14ac:dyDescent="0.25">
      <c r="A221" s="222" t="e">
        <f>IF('PREFILL-PIVOT'!A219=0,NA(),'PREFILL-PIVOT'!A219)</f>
        <v>#N/A</v>
      </c>
      <c r="B221" t="e">
        <f>IF(GETPIVOTDATA(_xlfn.VALUETOTEXT($A$4),'PREFILL-PIVOT'!$A$3,_xlfn.VALUETOTEXT($A$6),$A221,"Experiment",B$5,"date",B$6)=0,NA(),GETPIVOTDATA(_xlfn.VALUETOTEXT($A$4),'PREFILL-PIVOT'!$A$3,_xlfn.VALUETOTEXT($A$6),$A221,"Experiment",B$5,"date",B$6))</f>
        <v>#REF!</v>
      </c>
      <c r="C221" t="e">
        <f>IF(GETPIVOTDATA(_xlfn.VALUETOTEXT($A$4),'PREFILL-PIVOT'!$A$3,_xlfn.VALUETOTEXT($A$6),$A221,"Experiment",C$5,"date",C$6)=0,NA(),GETPIVOTDATA(_xlfn.VALUETOTEXT($A$4),'PREFILL-PIVOT'!$A$3,_xlfn.VALUETOTEXT($A$6),$A221,"Experiment",C$5,"date",C$6))</f>
        <v>#REF!</v>
      </c>
      <c r="D221" t="e">
        <f>IF(GETPIVOTDATA(_xlfn.VALUETOTEXT($A$4),'PREFILL-PIVOT'!$A$3,_xlfn.VALUETOTEXT($A$6),$A221,"Experiment",D$5,"date",D$6)=0,NA(),GETPIVOTDATA(_xlfn.VALUETOTEXT($A$4),'PREFILL-PIVOT'!$A$3,_xlfn.VALUETOTEXT($A$6),$A221,"Experiment",D$5,"date",D$6))</f>
        <v>#REF!</v>
      </c>
      <c r="E221" t="e">
        <f>IF(GETPIVOTDATA(_xlfn.VALUETOTEXT($A$4),'PREFILL-PIVOT'!$A$3,_xlfn.VALUETOTEXT($A$6),$A221,"Experiment",E$5,"date",E$6)=0,NA(),GETPIVOTDATA(_xlfn.VALUETOTEXT($A$4),'PREFILL-PIVOT'!$A$3,_xlfn.VALUETOTEXT($A$6),$A221,"Experiment",E$5,"date",E$6))</f>
        <v>#REF!</v>
      </c>
      <c r="F221" t="e">
        <f>IF(GETPIVOTDATA(_xlfn.VALUETOTEXT($A$4),'PREFILL-PIVOT'!$A$3,_xlfn.VALUETOTEXT($A$6),$A221,"Experiment",F$5,"date",F$6)=0,NA(),GETPIVOTDATA(_xlfn.VALUETOTEXT($A$4),'PREFILL-PIVOT'!$A$3,_xlfn.VALUETOTEXT($A$6),$A221,"Experiment",F$5,"date",F$6))</f>
        <v>#REF!</v>
      </c>
      <c r="G221" t="e">
        <f>IF(GETPIVOTDATA(_xlfn.VALUETOTEXT($A$4),'PREFILL-PIVOT'!$A$3,_xlfn.VALUETOTEXT($A$6),$A221,"Experiment",G$5,"date",G$6)=0,NA(),GETPIVOTDATA(_xlfn.VALUETOTEXT($A$4),'PREFILL-PIVOT'!$A$3,_xlfn.VALUETOTEXT($A$6),$A221,"Experiment",G$5,"date",G$6))</f>
        <v>#REF!</v>
      </c>
      <c r="H221" t="e">
        <f>IF(GETPIVOTDATA(_xlfn.VALUETOTEXT($A$4),'PREFILL-PIVOT'!$A$3,_xlfn.VALUETOTEXT($A$6),$A221,"Experiment",H$5,"date",H$6)=0,NA(),GETPIVOTDATA(_xlfn.VALUETOTEXT($A$4),'PREFILL-PIVOT'!$A$3,_xlfn.VALUETOTEXT($A$6),$A221,"Experiment",H$5,"date",H$6))</f>
        <v>#REF!</v>
      </c>
      <c r="I221" t="e">
        <f>IF(GETPIVOTDATA(_xlfn.VALUETOTEXT($A$4),'PREFILL-PIVOT'!$A$3,_xlfn.VALUETOTEXT($A$6),$A221,"Experiment",I$5,"date",I$6)=0,NA(),GETPIVOTDATA(_xlfn.VALUETOTEXT($A$4),'PREFILL-PIVOT'!$A$3,_xlfn.VALUETOTEXT($A$6),$A221,"Experiment",I$5,"date",I$6))</f>
        <v>#REF!</v>
      </c>
      <c r="J221" t="e">
        <f>IF(GETPIVOTDATA(_xlfn.VALUETOTEXT($A$4),'PREFILL-PIVOT'!$A$3,_xlfn.VALUETOTEXT($A$6),$A221,"Experiment",J$5,"date",J$6)=0,NA(),GETPIVOTDATA(_xlfn.VALUETOTEXT($A$4),'PREFILL-PIVOT'!$A$3,_xlfn.VALUETOTEXT($A$6),$A221,"Experiment",J$5,"date",J$6))</f>
        <v>#REF!</v>
      </c>
      <c r="K221" t="e">
        <f>IF(GETPIVOTDATA(_xlfn.VALUETOTEXT($A$4),'PREFILL-PIVOT'!$A$3,_xlfn.VALUETOTEXT($A$6),$A221,"Experiment",K$5,"date",K$6)=0,NA(),GETPIVOTDATA(_xlfn.VALUETOTEXT($A$4),'PREFILL-PIVOT'!$A$3,_xlfn.VALUETOTEXT($A$6),$A221,"Experiment",K$5,"date",K$6))</f>
        <v>#REF!</v>
      </c>
      <c r="L221" t="e">
        <f>IF(GETPIVOTDATA(_xlfn.VALUETOTEXT($A$4),'PREFILL-PIVOT'!$A$3,_xlfn.VALUETOTEXT($A$6),$A221,"Experiment",L$5,"date",L$6)=0,NA(),GETPIVOTDATA(_xlfn.VALUETOTEXT($A$4),'PREFILL-PIVOT'!$A$3,_xlfn.VALUETOTEXT($A$6),$A221,"Experiment",L$5,"date",L$6))</f>
        <v>#REF!</v>
      </c>
      <c r="M221" t="e">
        <f>IF(GETPIVOTDATA(_xlfn.VALUETOTEXT($A$4),'PREFILL-PIVOT'!$A$3,_xlfn.VALUETOTEXT($A$6),$A221,"Experiment",M$5,"date",M$6)=0,NA(),GETPIVOTDATA(_xlfn.VALUETOTEXT($A$4),'PREFILL-PIVOT'!$A$3,_xlfn.VALUETOTEXT($A$6),$A221,"Experiment",M$5,"date",M$6))</f>
        <v>#REF!</v>
      </c>
    </row>
    <row r="222" spans="1:13" x14ac:dyDescent="0.25">
      <c r="A222" s="222" t="e">
        <f>IF('PREFILL-PIVOT'!A220=0,NA(),'PREFILL-PIVOT'!A220)</f>
        <v>#N/A</v>
      </c>
      <c r="B222" t="e">
        <f>IF(GETPIVOTDATA(_xlfn.VALUETOTEXT($A$4),'PREFILL-PIVOT'!$A$3,_xlfn.VALUETOTEXT($A$6),$A222,"Experiment",B$5,"date",B$6)=0,NA(),GETPIVOTDATA(_xlfn.VALUETOTEXT($A$4),'PREFILL-PIVOT'!$A$3,_xlfn.VALUETOTEXT($A$6),$A222,"Experiment",B$5,"date",B$6))</f>
        <v>#REF!</v>
      </c>
      <c r="C222" t="e">
        <f>IF(GETPIVOTDATA(_xlfn.VALUETOTEXT($A$4),'PREFILL-PIVOT'!$A$3,_xlfn.VALUETOTEXT($A$6),$A222,"Experiment",C$5,"date",C$6)=0,NA(),GETPIVOTDATA(_xlfn.VALUETOTEXT($A$4),'PREFILL-PIVOT'!$A$3,_xlfn.VALUETOTEXT($A$6),$A222,"Experiment",C$5,"date",C$6))</f>
        <v>#REF!</v>
      </c>
      <c r="D222" t="e">
        <f>IF(GETPIVOTDATA(_xlfn.VALUETOTEXT($A$4),'PREFILL-PIVOT'!$A$3,_xlfn.VALUETOTEXT($A$6),$A222,"Experiment",D$5,"date",D$6)=0,NA(),GETPIVOTDATA(_xlfn.VALUETOTEXT($A$4),'PREFILL-PIVOT'!$A$3,_xlfn.VALUETOTEXT($A$6),$A222,"Experiment",D$5,"date",D$6))</f>
        <v>#REF!</v>
      </c>
      <c r="E222" t="e">
        <f>IF(GETPIVOTDATA(_xlfn.VALUETOTEXT($A$4),'PREFILL-PIVOT'!$A$3,_xlfn.VALUETOTEXT($A$6),$A222,"Experiment",E$5,"date",E$6)=0,NA(),GETPIVOTDATA(_xlfn.VALUETOTEXT($A$4),'PREFILL-PIVOT'!$A$3,_xlfn.VALUETOTEXT($A$6),$A222,"Experiment",E$5,"date",E$6))</f>
        <v>#REF!</v>
      </c>
      <c r="F222" t="e">
        <f>IF(GETPIVOTDATA(_xlfn.VALUETOTEXT($A$4),'PREFILL-PIVOT'!$A$3,_xlfn.VALUETOTEXT($A$6),$A222,"Experiment",F$5,"date",F$6)=0,NA(),GETPIVOTDATA(_xlfn.VALUETOTEXT($A$4),'PREFILL-PIVOT'!$A$3,_xlfn.VALUETOTEXT($A$6),$A222,"Experiment",F$5,"date",F$6))</f>
        <v>#REF!</v>
      </c>
      <c r="G222" t="e">
        <f>IF(GETPIVOTDATA(_xlfn.VALUETOTEXT($A$4),'PREFILL-PIVOT'!$A$3,_xlfn.VALUETOTEXT($A$6),$A222,"Experiment",G$5,"date",G$6)=0,NA(),GETPIVOTDATA(_xlfn.VALUETOTEXT($A$4),'PREFILL-PIVOT'!$A$3,_xlfn.VALUETOTEXT($A$6),$A222,"Experiment",G$5,"date",G$6))</f>
        <v>#REF!</v>
      </c>
      <c r="H222" t="e">
        <f>IF(GETPIVOTDATA(_xlfn.VALUETOTEXT($A$4),'PREFILL-PIVOT'!$A$3,_xlfn.VALUETOTEXT($A$6),$A222,"Experiment",H$5,"date",H$6)=0,NA(),GETPIVOTDATA(_xlfn.VALUETOTEXT($A$4),'PREFILL-PIVOT'!$A$3,_xlfn.VALUETOTEXT($A$6),$A222,"Experiment",H$5,"date",H$6))</f>
        <v>#REF!</v>
      </c>
      <c r="I222" t="e">
        <f>IF(GETPIVOTDATA(_xlfn.VALUETOTEXT($A$4),'PREFILL-PIVOT'!$A$3,_xlfn.VALUETOTEXT($A$6),$A222,"Experiment",I$5,"date",I$6)=0,NA(),GETPIVOTDATA(_xlfn.VALUETOTEXT($A$4),'PREFILL-PIVOT'!$A$3,_xlfn.VALUETOTEXT($A$6),$A222,"Experiment",I$5,"date",I$6))</f>
        <v>#REF!</v>
      </c>
      <c r="J222" t="e">
        <f>IF(GETPIVOTDATA(_xlfn.VALUETOTEXT($A$4),'PREFILL-PIVOT'!$A$3,_xlfn.VALUETOTEXT($A$6),$A222,"Experiment",J$5,"date",J$6)=0,NA(),GETPIVOTDATA(_xlfn.VALUETOTEXT($A$4),'PREFILL-PIVOT'!$A$3,_xlfn.VALUETOTEXT($A$6),$A222,"Experiment",J$5,"date",J$6))</f>
        <v>#REF!</v>
      </c>
      <c r="K222" t="e">
        <f>IF(GETPIVOTDATA(_xlfn.VALUETOTEXT($A$4),'PREFILL-PIVOT'!$A$3,_xlfn.VALUETOTEXT($A$6),$A222,"Experiment",K$5,"date",K$6)=0,NA(),GETPIVOTDATA(_xlfn.VALUETOTEXT($A$4),'PREFILL-PIVOT'!$A$3,_xlfn.VALUETOTEXT($A$6),$A222,"Experiment",K$5,"date",K$6))</f>
        <v>#REF!</v>
      </c>
      <c r="L222" t="e">
        <f>IF(GETPIVOTDATA(_xlfn.VALUETOTEXT($A$4),'PREFILL-PIVOT'!$A$3,_xlfn.VALUETOTEXT($A$6),$A222,"Experiment",L$5,"date",L$6)=0,NA(),GETPIVOTDATA(_xlfn.VALUETOTEXT($A$4),'PREFILL-PIVOT'!$A$3,_xlfn.VALUETOTEXT($A$6),$A222,"Experiment",L$5,"date",L$6))</f>
        <v>#REF!</v>
      </c>
      <c r="M222" t="e">
        <f>IF(GETPIVOTDATA(_xlfn.VALUETOTEXT($A$4),'PREFILL-PIVOT'!$A$3,_xlfn.VALUETOTEXT($A$6),$A222,"Experiment",M$5,"date",M$6)=0,NA(),GETPIVOTDATA(_xlfn.VALUETOTEXT($A$4),'PREFILL-PIVOT'!$A$3,_xlfn.VALUETOTEXT($A$6),$A222,"Experiment",M$5,"date",M$6))</f>
        <v>#REF!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0AD1-DCA2-4536-8D08-6BEE677AFCF6}">
  <dimension ref="A1:AV35"/>
  <sheetViews>
    <sheetView topLeftCell="A4" workbookViewId="0">
      <selection activeCell="A3" sqref="A3"/>
    </sheetView>
  </sheetViews>
  <sheetFormatPr defaultRowHeight="15" x14ac:dyDescent="0.25"/>
  <cols>
    <col min="2" max="2" width="16.28515625" bestFit="1" customWidth="1"/>
    <col min="3" max="3" width="16.140625" bestFit="1" customWidth="1"/>
    <col min="4" max="39" width="16.140625" customWidth="1"/>
    <col min="40" max="41" width="18.42578125" bestFit="1" customWidth="1"/>
    <col min="42" max="42" width="18.28515625" bestFit="1" customWidth="1"/>
    <col min="43" max="43" width="12.5703125" bestFit="1" customWidth="1"/>
    <col min="44" max="44" width="13.5703125" style="226" bestFit="1" customWidth="1"/>
    <col min="45" max="45" width="13.42578125" bestFit="1" customWidth="1"/>
    <col min="46" max="47" width="13.5703125" bestFit="1" customWidth="1"/>
    <col min="48" max="48" width="13.42578125" bestFit="1" customWidth="1"/>
    <col min="49" max="49" width="13.5703125" bestFit="1" customWidth="1"/>
  </cols>
  <sheetData>
    <row r="1" spans="1:48" x14ac:dyDescent="0.25">
      <c r="A1" t="s">
        <v>9</v>
      </c>
    </row>
    <row r="2" spans="1:48" x14ac:dyDescent="0.25">
      <c r="A2" t="s">
        <v>81</v>
      </c>
      <c r="B2" t="s">
        <v>136</v>
      </c>
      <c r="C2" t="s">
        <v>157</v>
      </c>
    </row>
    <row r="3" spans="1:48" x14ac:dyDescent="0.25">
      <c r="A3" s="60" t="str" cm="1">
        <f t="array" aca="1" ref="A3:C35" ca="1">_xlfn.PIVOTBY(
  INDIRECT("Table1[[" &amp; A$2 &amp; "]]"),
  INDIRECT("Table1[[" &amp; B$2 &amp; "]]") &amp; CHAR(10) &amp; _xlfn.MAP(INDIRECT("Table1[[" &amp; C$2 &amp; "]]"), _xlfn.LAMBDA(_xlpm.d, TEXT(_xlpm.d, "dd/mm"))),
  INDIRECT("Table1[[" &amp; A$1 &amp; "]]"),
  _xleta.AVERAGE,
  3, 0, 1, 0, ,
  _xlfn.BYROW(INDIRECT("Table1[[" &amp; A$2 &amp; "]]"), _xlfn.LAMBDA(_xlpm.r, SUBTOTAL(3, _xlpm.r)))
)</f>
        <v/>
      </c>
      <c r="B3" t="str">
        <f ca="1"/>
        <v>1-15K,300
11/03</v>
      </c>
      <c r="C3" t="str">
        <f ca="1"/>
        <v/>
      </c>
      <c r="AA3" t="str" cm="1">
        <f t="array" aca="1" ref="AA3:AC35" ca="1">_xlfn.LET(
    _xlpm.data, _xlfn.PIVOTBY(
  INDIRECT("Table1[[" &amp; A$2 &amp; "]]"),
  INDIRECT("Table1[[" &amp; B$2 &amp; "]]") &amp; CHAR(10) &amp; _xlfn.MAP(INDIRECT("Table1[[" &amp; C$2 &amp; "]]"), _xlfn.LAMBDA(_xlpm.d, TEXT(_xlpm.d, "dd/mm"))),
  INDIRECT("Table1[[" &amp; A$1 &amp; "]]"),
  _xleta.AVERAGE,
  3, 0, 1, 0, ,
  _xlfn.BYROW(INDIRECT("Table1[[" &amp; A$2 &amp; "]]"), _xlfn.LAMBDA(_xlpm.r, SUBTOTAL(3, _xlpm.r)))
),
    _xlpm.headerRow, INDEX(_xlpm.data, 1, 0),
    _xlpm.dataRows, _xlfn.DROP(_xlpm.data, 1),
    _xlpm.cleanData, IF(_xlpm.dataRows="", #N/A, _xlpm.dataRows),
    _xlfn.VSTACK(_xlpm.headerRow, _xlpm.cleanData)
)</f>
        <v/>
      </c>
      <c r="AB3" t="str">
        <f ca="1"/>
        <v>1-15K,300
11/03</v>
      </c>
      <c r="AC3" t="str">
        <f ca="1"/>
        <v/>
      </c>
    </row>
    <row r="4" spans="1:48" s="226" customFormat="1" ht="30" x14ac:dyDescent="0.25">
      <c r="A4" s="226" t="str">
        <f ca="1"/>
        <v/>
      </c>
      <c r="B4" s="226" t="str">
        <f ca="1"/>
        <v>5K,1K
11/03</v>
      </c>
      <c r="C4" s="226" t="str">
        <f ca="1"/>
        <v>6K,100
11/03</v>
      </c>
      <c r="AA4" s="226" t="e">
        <f ca="1"/>
        <v>#N/A</v>
      </c>
      <c r="AB4" s="226" t="str">
        <f ca="1"/>
        <v>5K,1K
11/03</v>
      </c>
      <c r="AC4" s="226" t="str">
        <f ca="1"/>
        <v>6K,100
11/03</v>
      </c>
      <c r="AN4" s="59"/>
      <c r="AO4" s="59"/>
      <c r="AP4" s="59"/>
      <c r="AQ4" s="59"/>
      <c r="AR4" s="59"/>
      <c r="AS4" s="59"/>
      <c r="AV4" s="226" t="e" cm="1">
        <f t="array" ref="AV4">_xlfn.PIVOTBY(_xlfn.ANCHORARRAY(AN5),_xlfn.ANCHORARRAY(AQ5),_xlfn.ANCHORARRAY(AO5),_xleta.AVERAGE,0,0,1,0,1,_xlfn.ANCHORARRAY(AS5))</f>
        <v>#REF!</v>
      </c>
    </row>
    <row r="5" spans="1:48" x14ac:dyDescent="0.25">
      <c r="A5">
        <f ca="1"/>
        <v>1.0150557507719928E-2</v>
      </c>
      <c r="B5">
        <f ca="1"/>
        <v>6.596198861928409E-3</v>
      </c>
      <c r="C5">
        <f ca="1"/>
        <v>6.596198861928409E-3</v>
      </c>
      <c r="AA5">
        <f ca="1"/>
        <v>1.0150557507719928E-2</v>
      </c>
      <c r="AB5">
        <f ca="1"/>
        <v>6.596198861928409E-3</v>
      </c>
      <c r="AC5">
        <f ca="1"/>
        <v>6.596198861928409E-3</v>
      </c>
      <c r="AN5" s="199"/>
      <c r="AO5" s="73"/>
      <c r="AP5" s="73"/>
      <c r="AQ5" s="73"/>
    </row>
    <row r="6" spans="1:48" x14ac:dyDescent="0.25">
      <c r="A6">
        <f ca="1"/>
        <v>4.4642703215240054E-2</v>
      </c>
      <c r="B6" t="str">
        <f ca="1"/>
        <v/>
      </c>
      <c r="C6">
        <f ca="1"/>
        <v>1.1061016764952936E-2</v>
      </c>
      <c r="AA6">
        <f ca="1"/>
        <v>4.4642703215240054E-2</v>
      </c>
      <c r="AB6" t="e">
        <f ca="1"/>
        <v>#N/A</v>
      </c>
      <c r="AC6">
        <f ca="1"/>
        <v>1.1061016764952936E-2</v>
      </c>
    </row>
    <row r="7" spans="1:48" x14ac:dyDescent="0.25">
      <c r="A7">
        <f ca="1"/>
        <v>4.6332212740281015E-2</v>
      </c>
      <c r="B7" t="str">
        <f ca="1"/>
        <v/>
      </c>
      <c r="C7">
        <f ca="1"/>
        <v>1.1654574736677229E-2</v>
      </c>
      <c r="AA7">
        <f ca="1"/>
        <v>4.6332212740281015E-2</v>
      </c>
      <c r="AB7" t="e">
        <f ca="1"/>
        <v>#N/A</v>
      </c>
      <c r="AC7">
        <f ca="1"/>
        <v>1.1654574736677229E-2</v>
      </c>
    </row>
    <row r="8" spans="1:48" x14ac:dyDescent="0.25">
      <c r="A8">
        <f ca="1"/>
        <v>5.5009625606987904E-2</v>
      </c>
      <c r="B8" t="str">
        <f ca="1"/>
        <v/>
      </c>
      <c r="C8">
        <f ca="1"/>
        <v>1.8346191558481693E-2</v>
      </c>
      <c r="AA8">
        <f ca="1"/>
        <v>5.5009625606987904E-2</v>
      </c>
      <c r="AB8" t="e">
        <f ca="1"/>
        <v>#N/A</v>
      </c>
      <c r="AC8">
        <f ca="1"/>
        <v>1.8346191558481693E-2</v>
      </c>
    </row>
    <row r="9" spans="1:48" x14ac:dyDescent="0.25">
      <c r="A9">
        <f ca="1"/>
        <v>5.9106973536764078E-2</v>
      </c>
      <c r="B9" t="str">
        <f ca="1"/>
        <v/>
      </c>
      <c r="C9">
        <f ca="1"/>
        <v>1.3275207717987576E-2</v>
      </c>
      <c r="AA9">
        <f ca="1"/>
        <v>5.9106973536764078E-2</v>
      </c>
      <c r="AB9" t="e">
        <f ca="1"/>
        <v>#N/A</v>
      </c>
      <c r="AC9">
        <f ca="1"/>
        <v>1.3275207717987576E-2</v>
      </c>
    </row>
    <row r="10" spans="1:48" x14ac:dyDescent="0.25">
      <c r="A10">
        <f ca="1"/>
        <v>6.8267103410625515E-2</v>
      </c>
      <c r="B10" t="str">
        <f ca="1"/>
        <v/>
      </c>
      <c r="C10">
        <f ca="1"/>
        <v>1.4768636010278974E-2</v>
      </c>
      <c r="AA10">
        <f ca="1"/>
        <v>6.8267103410625515E-2</v>
      </c>
      <c r="AB10" t="e">
        <f ca="1"/>
        <v>#N/A</v>
      </c>
      <c r="AC10">
        <f ca="1"/>
        <v>1.4768636010278974E-2</v>
      </c>
    </row>
    <row r="11" spans="1:48" x14ac:dyDescent="0.25">
      <c r="A11">
        <f ca="1"/>
        <v>7.9329368157917426E-2</v>
      </c>
      <c r="B11" t="str">
        <f ca="1"/>
        <v/>
      </c>
      <c r="C11">
        <f ca="1"/>
        <v>1.5918493463828256E-2</v>
      </c>
      <c r="AA11">
        <f ca="1"/>
        <v>7.9329368157917426E-2</v>
      </c>
      <c r="AB11" t="e">
        <f ca="1"/>
        <v>#N/A</v>
      </c>
      <c r="AC11">
        <f ca="1"/>
        <v>1.5918493463828256E-2</v>
      </c>
    </row>
    <row r="12" spans="1:48" x14ac:dyDescent="0.25">
      <c r="A12">
        <f ca="1"/>
        <v>8.0536160675803811E-2</v>
      </c>
      <c r="B12" t="str">
        <f ca="1"/>
        <v/>
      </c>
      <c r="C12">
        <f ca="1"/>
        <v>1.5086350243453263E-2</v>
      </c>
      <c r="AA12">
        <f ca="1"/>
        <v>8.0536160675803811E-2</v>
      </c>
      <c r="AB12" t="e">
        <f ca="1"/>
        <v>#N/A</v>
      </c>
      <c r="AC12">
        <f ca="1"/>
        <v>1.5086350243453263E-2</v>
      </c>
    </row>
    <row r="13" spans="1:48" x14ac:dyDescent="0.25">
      <c r="A13">
        <f ca="1"/>
        <v>0.13848806137401951</v>
      </c>
      <c r="B13" t="str">
        <f ca="1"/>
        <v/>
      </c>
      <c r="C13">
        <f ca="1"/>
        <v>2.2143876234593563E-2</v>
      </c>
      <c r="AA13">
        <f ca="1"/>
        <v>0.13848806137401951</v>
      </c>
      <c r="AB13" t="e">
        <f ca="1"/>
        <v>#N/A</v>
      </c>
      <c r="AC13">
        <f ca="1"/>
        <v>2.2143876234593563E-2</v>
      </c>
    </row>
    <row r="14" spans="1:48" x14ac:dyDescent="0.25">
      <c r="A14">
        <f ca="1"/>
        <v>0.15521075769330225</v>
      </c>
      <c r="B14" t="str">
        <f ca="1"/>
        <v/>
      </c>
      <c r="C14">
        <f ca="1"/>
        <v>2.4129971595228988E-2</v>
      </c>
      <c r="AA14">
        <f ca="1"/>
        <v>0.15521075769330225</v>
      </c>
      <c r="AB14" t="e">
        <f ca="1"/>
        <v>#N/A</v>
      </c>
      <c r="AC14">
        <f ca="1"/>
        <v>2.4129971595228988E-2</v>
      </c>
    </row>
    <row r="15" spans="1:48" x14ac:dyDescent="0.25">
      <c r="A15">
        <f ca="1"/>
        <v>0.2027382696893946</v>
      </c>
      <c r="B15" t="str">
        <f ca="1"/>
        <v/>
      </c>
      <c r="C15">
        <f ca="1"/>
        <v>3.164305115443973E-2</v>
      </c>
      <c r="AA15">
        <f ca="1"/>
        <v>0.2027382696893946</v>
      </c>
      <c r="AB15" t="e">
        <f ca="1"/>
        <v>#N/A</v>
      </c>
      <c r="AC15">
        <f ca="1"/>
        <v>3.164305115443973E-2</v>
      </c>
    </row>
    <row r="16" spans="1:48" x14ac:dyDescent="0.25">
      <c r="A16">
        <f ca="1"/>
        <v>0.21213113812027698</v>
      </c>
      <c r="B16" t="str">
        <f ca="1"/>
        <v/>
      </c>
      <c r="C16">
        <f ca="1"/>
        <v>3.5378277627620171E-2</v>
      </c>
      <c r="AA16">
        <f ca="1"/>
        <v>0.21213113812027698</v>
      </c>
      <c r="AB16" t="e">
        <f ca="1"/>
        <v>#N/A</v>
      </c>
      <c r="AC16">
        <f ca="1"/>
        <v>3.5378277627620171E-2</v>
      </c>
    </row>
    <row r="17" spans="1:29" x14ac:dyDescent="0.25">
      <c r="A17">
        <f ca="1"/>
        <v>0.23186219578771949</v>
      </c>
      <c r="B17" t="str">
        <f ca="1"/>
        <v/>
      </c>
      <c r="C17">
        <f ca="1"/>
        <v>3.8194114817827314E-2</v>
      </c>
      <c r="AA17">
        <f ca="1"/>
        <v>0.23186219578771949</v>
      </c>
      <c r="AB17" t="e">
        <f ca="1"/>
        <v>#N/A</v>
      </c>
      <c r="AC17">
        <f ca="1"/>
        <v>3.8194114817827314E-2</v>
      </c>
    </row>
    <row r="18" spans="1:29" x14ac:dyDescent="0.25">
      <c r="A18">
        <f ca="1"/>
        <v>0.32849179668419387</v>
      </c>
      <c r="B18" t="str">
        <f ca="1"/>
        <v/>
      </c>
      <c r="C18">
        <f ca="1"/>
        <v>4.5377523930434899E-2</v>
      </c>
      <c r="AA18">
        <f ca="1"/>
        <v>0.32849179668419387</v>
      </c>
      <c r="AB18" t="e">
        <f ca="1"/>
        <v>#N/A</v>
      </c>
      <c r="AC18">
        <f ca="1"/>
        <v>4.5377523930434899E-2</v>
      </c>
    </row>
    <row r="19" spans="1:29" x14ac:dyDescent="0.25">
      <c r="A19">
        <f ca="1"/>
        <v>0.39190299686808611</v>
      </c>
      <c r="B19" t="str">
        <f ca="1"/>
        <v/>
      </c>
      <c r="C19">
        <f ca="1"/>
        <v>5.6983425120598952E-2</v>
      </c>
      <c r="AA19">
        <f ca="1"/>
        <v>0.39190299686808611</v>
      </c>
      <c r="AB19" t="e">
        <f ca="1"/>
        <v>#N/A</v>
      </c>
      <c r="AC19">
        <f ca="1"/>
        <v>5.6983425120598952E-2</v>
      </c>
    </row>
    <row r="20" spans="1:29" x14ac:dyDescent="0.25">
      <c r="A20">
        <f ca="1"/>
        <v>0.40995029164152513</v>
      </c>
      <c r="B20" t="str">
        <f ca="1"/>
        <v/>
      </c>
      <c r="C20">
        <f ca="1"/>
        <v>5.5761778610436331E-2</v>
      </c>
      <c r="AA20">
        <f ca="1"/>
        <v>0.40995029164152513</v>
      </c>
      <c r="AB20" t="e">
        <f ca="1"/>
        <v>#N/A</v>
      </c>
      <c r="AC20">
        <f ca="1"/>
        <v>5.5761778610436331E-2</v>
      </c>
    </row>
    <row r="21" spans="1:29" x14ac:dyDescent="0.25">
      <c r="A21">
        <f ca="1"/>
        <v>0.41702999741401603</v>
      </c>
      <c r="B21">
        <f ca="1"/>
        <v>1.9820489445293736E-2</v>
      </c>
      <c r="C21" t="str">
        <f ca="1"/>
        <v/>
      </c>
      <c r="AA21">
        <f ca="1"/>
        <v>0.41702999741401603</v>
      </c>
      <c r="AB21">
        <f ca="1"/>
        <v>1.9820489445293736E-2</v>
      </c>
      <c r="AC21" t="e">
        <f ca="1"/>
        <v>#N/A</v>
      </c>
    </row>
    <row r="22" spans="1:29" x14ac:dyDescent="0.25">
      <c r="A22">
        <f ca="1"/>
        <v>0.53462057868574553</v>
      </c>
      <c r="B22" t="str">
        <f ca="1"/>
        <v/>
      </c>
      <c r="C22">
        <f ca="1"/>
        <v>7.0172334482096241E-2</v>
      </c>
      <c r="AA22">
        <f ca="1"/>
        <v>0.53462057868574553</v>
      </c>
      <c r="AB22" t="e">
        <f ca="1"/>
        <v>#N/A</v>
      </c>
      <c r="AC22">
        <f ca="1"/>
        <v>7.0172334482096241E-2</v>
      </c>
    </row>
    <row r="23" spans="1:29" x14ac:dyDescent="0.25">
      <c r="A23">
        <f ca="1"/>
        <v>0.54082065739406704</v>
      </c>
      <c r="B23">
        <f ca="1"/>
        <v>2.21166259454268E-2</v>
      </c>
      <c r="C23" t="str">
        <f ca="1"/>
        <v/>
      </c>
      <c r="AA23">
        <f ca="1"/>
        <v>0.54082065739406704</v>
      </c>
      <c r="AB23">
        <f ca="1"/>
        <v>2.21166259454268E-2</v>
      </c>
      <c r="AC23" t="e">
        <f ca="1"/>
        <v>#N/A</v>
      </c>
    </row>
    <row r="24" spans="1:29" x14ac:dyDescent="0.25">
      <c r="A24">
        <f ca="1"/>
        <v>0.56045971252478244</v>
      </c>
      <c r="B24">
        <f ca="1"/>
        <v>2.3147635654410761E-2</v>
      </c>
      <c r="C24" t="str">
        <f ca="1"/>
        <v/>
      </c>
      <c r="AA24">
        <f ca="1"/>
        <v>0.56045971252478244</v>
      </c>
      <c r="AB24">
        <f ca="1"/>
        <v>2.3147635654410761E-2</v>
      </c>
      <c r="AC24" t="e">
        <f ca="1"/>
        <v>#N/A</v>
      </c>
    </row>
    <row r="25" spans="1:29" x14ac:dyDescent="0.25">
      <c r="A25">
        <f ca="1"/>
        <v>0.65109408671666236</v>
      </c>
      <c r="B25">
        <f ca="1"/>
        <v>2.7029909332638716E-2</v>
      </c>
      <c r="C25" t="str">
        <f ca="1"/>
        <v/>
      </c>
      <c r="AA25">
        <f ca="1"/>
        <v>0.65109408671666236</v>
      </c>
      <c r="AB25">
        <f ca="1"/>
        <v>2.7029909332638716E-2</v>
      </c>
      <c r="AC25" t="e">
        <f ca="1"/>
        <v>#N/A</v>
      </c>
    </row>
    <row r="26" spans="1:29" x14ac:dyDescent="0.25">
      <c r="A26">
        <f ca="1"/>
        <v>0.67199419769847424</v>
      </c>
      <c r="B26">
        <f ca="1"/>
        <v>2.7770829411846651E-2</v>
      </c>
      <c r="C26" t="str">
        <f ca="1"/>
        <v/>
      </c>
      <c r="AA26">
        <f ca="1"/>
        <v>0.67199419769847424</v>
      </c>
      <c r="AB26">
        <f ca="1"/>
        <v>2.7770829411846651E-2</v>
      </c>
      <c r="AC26" t="e">
        <f ca="1"/>
        <v>#N/A</v>
      </c>
    </row>
    <row r="27" spans="1:29" x14ac:dyDescent="0.25">
      <c r="A27">
        <f ca="1"/>
        <v>0.69155535181136429</v>
      </c>
      <c r="B27">
        <f ca="1"/>
        <v>2.8225682364917449E-2</v>
      </c>
      <c r="C27" t="str">
        <f ca="1"/>
        <v/>
      </c>
      <c r="AA27">
        <f ca="1"/>
        <v>0.69155535181136429</v>
      </c>
      <c r="AB27">
        <f ca="1"/>
        <v>2.8225682364917449E-2</v>
      </c>
      <c r="AC27" t="e">
        <f ca="1"/>
        <v>#N/A</v>
      </c>
    </row>
    <row r="28" spans="1:29" x14ac:dyDescent="0.25">
      <c r="A28">
        <f ca="1"/>
        <v>0.69932189753756857</v>
      </c>
      <c r="B28" t="str">
        <f ca="1"/>
        <v/>
      </c>
      <c r="C28">
        <f ca="1"/>
        <v>8.4682442355198839E-2</v>
      </c>
      <c r="AA28">
        <f ca="1"/>
        <v>0.69932189753756857</v>
      </c>
      <c r="AB28" t="e">
        <f ca="1"/>
        <v>#N/A</v>
      </c>
      <c r="AC28">
        <f ca="1"/>
        <v>8.4682442355198839E-2</v>
      </c>
    </row>
    <row r="29" spans="1:29" x14ac:dyDescent="0.25">
      <c r="A29">
        <f ca="1"/>
        <v>0.71633479872424777</v>
      </c>
      <c r="B29" t="str">
        <f ca="1"/>
        <v/>
      </c>
      <c r="C29">
        <f ca="1"/>
        <v>9.0844476588396894E-2</v>
      </c>
      <c r="AA29">
        <f ca="1"/>
        <v>0.71633479872424777</v>
      </c>
      <c r="AB29" t="e">
        <f ca="1"/>
        <v>#N/A</v>
      </c>
      <c r="AC29">
        <f ca="1"/>
        <v>9.0844476588396894E-2</v>
      </c>
    </row>
    <row r="30" spans="1:29" x14ac:dyDescent="0.25">
      <c r="A30">
        <f ca="1"/>
        <v>0.73818061661351031</v>
      </c>
      <c r="B30" t="str">
        <f ca="1"/>
        <v/>
      </c>
      <c r="C30">
        <f ca="1"/>
        <v>9.7520763342730118E-2</v>
      </c>
      <c r="AA30">
        <f ca="1"/>
        <v>0.73818061661351031</v>
      </c>
      <c r="AB30" t="e">
        <f ca="1"/>
        <v>#N/A</v>
      </c>
      <c r="AC30">
        <f ca="1"/>
        <v>9.7520763342730118E-2</v>
      </c>
    </row>
    <row r="31" spans="1:29" x14ac:dyDescent="0.25">
      <c r="A31">
        <f ca="1"/>
        <v>0.7583958279458668</v>
      </c>
      <c r="B31" t="str">
        <f ca="1"/>
        <v/>
      </c>
      <c r="C31">
        <f ca="1"/>
        <v>0.10462679664851991</v>
      </c>
      <c r="AA31">
        <f ca="1"/>
        <v>0.7583958279458668</v>
      </c>
      <c r="AB31" t="e">
        <f ca="1"/>
        <v>#N/A</v>
      </c>
      <c r="AC31">
        <f ca="1"/>
        <v>0.10462679664851991</v>
      </c>
    </row>
    <row r="32" spans="1:29" x14ac:dyDescent="0.25">
      <c r="A32">
        <f ca="1"/>
        <v>0.76341579748872235</v>
      </c>
      <c r="B32" t="str">
        <f ca="1"/>
        <v/>
      </c>
      <c r="C32">
        <f ca="1"/>
        <v>0.10106962356492293</v>
      </c>
      <c r="AA32">
        <f ca="1"/>
        <v>0.76341579748872235</v>
      </c>
      <c r="AB32" t="e">
        <f ca="1"/>
        <v>#N/A</v>
      </c>
      <c r="AC32">
        <f ca="1"/>
        <v>0.10106962356492293</v>
      </c>
    </row>
    <row r="33" spans="1:29" x14ac:dyDescent="0.25">
      <c r="A33">
        <f ca="1"/>
        <v>0.78210499094905606</v>
      </c>
      <c r="B33" t="str">
        <f ca="1"/>
        <v/>
      </c>
      <c r="C33">
        <f ca="1"/>
        <v>9.6583568567583281E-2</v>
      </c>
      <c r="AA33">
        <f ca="1"/>
        <v>0.78210499094905606</v>
      </c>
      <c r="AB33" t="e">
        <f ca="1"/>
        <v>#N/A</v>
      </c>
      <c r="AC33">
        <f ca="1"/>
        <v>9.6583568567583281E-2</v>
      </c>
    </row>
    <row r="34" spans="1:29" x14ac:dyDescent="0.25">
      <c r="A34">
        <f ca="1"/>
        <v>0.79698991466252911</v>
      </c>
      <c r="B34" t="str">
        <f ca="1"/>
        <v/>
      </c>
      <c r="C34">
        <f ca="1"/>
        <v>0.10782964884424413</v>
      </c>
      <c r="AA34">
        <f ca="1"/>
        <v>0.79698991466252911</v>
      </c>
      <c r="AB34" t="e">
        <f ca="1"/>
        <v>#N/A</v>
      </c>
      <c r="AC34">
        <f ca="1"/>
        <v>0.10782964884424413</v>
      </c>
    </row>
    <row r="35" spans="1:29" x14ac:dyDescent="0.25">
      <c r="A35">
        <f ca="1"/>
        <v>0.84485906387380394</v>
      </c>
      <c r="B35" t="str">
        <f ca="1"/>
        <v/>
      </c>
      <c r="C35">
        <f ca="1"/>
        <v>0.11063943531066119</v>
      </c>
      <c r="AA35">
        <f ca="1"/>
        <v>0.84485906387380394</v>
      </c>
      <c r="AB35" t="e">
        <f ca="1"/>
        <v>#N/A</v>
      </c>
      <c r="AC35">
        <f ca="1"/>
        <v>0.11063943531066119</v>
      </c>
    </row>
  </sheetData>
  <dataValidations count="1">
    <dataValidation type="list" allowBlank="1" showInputMessage="1" showErrorMessage="1" sqref="A2:XFD2 A1" xr:uid="{691FAC5C-CD3E-472C-9449-C0BC730FCE08}">
      <formula1>dataheaders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pivot-ITL</vt:lpstr>
      <vt:lpstr>ITL</vt:lpstr>
      <vt:lpstr>pivot-prefill</vt:lpstr>
      <vt:lpstr>ITL-PIVOT</vt:lpstr>
      <vt:lpstr>ITL-PLOT</vt:lpstr>
      <vt:lpstr>data</vt:lpstr>
      <vt:lpstr>scatter</vt:lpstr>
      <vt:lpstr>Sheet2</vt:lpstr>
      <vt:lpstr>Sheet4</vt:lpstr>
      <vt:lpstr>PREFILL-PIVOT</vt:lpstr>
      <vt:lpstr>PREFILL-PLOT</vt:lpstr>
      <vt:lpstr>dynamic</vt:lpstr>
      <vt:lpstr>AvgOutLoad</vt:lpstr>
      <vt:lpstr>dataheaders</vt:lpstr>
      <vt:lpstr>MaxKVload</vt:lpstr>
      <vt:lpstr>maxNthreshold</vt:lpstr>
      <vt:lpstr>MaxTok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LORENZ</cp:lastModifiedBy>
  <dcterms:created xsi:type="dcterms:W3CDTF">2026-03-06T15:55:01Z</dcterms:created>
  <dcterms:modified xsi:type="dcterms:W3CDTF">2026-04-12T16:59:40Z</dcterms:modified>
</cp:coreProperties>
</file>